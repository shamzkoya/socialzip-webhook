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'Stock'!$A$2:$S$2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#,##0.00"/>
    <numFmt numFmtId="165" formatCode="0.0&quot;%&quot;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3" fontId="0" fillId="4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8" customWidth="1" min="4" max="4"/>
    <col width="40" customWidth="1" min="5" max="5"/>
    <col width="15" customWidth="1" min="6" max="6"/>
    <col width="25" customWidth="1" min="7" max="7"/>
    <col width="50" customWidth="1" min="8" max="8"/>
    <col width="18" customWidth="1" min="9" max="9"/>
    <col width="12" customWidth="1" min="10" max="10"/>
    <col width="18" customWidth="1" min="11" max="11"/>
    <col width="18" customWidth="1" min="12" max="12"/>
    <col width="12" customWidth="1" min="13" max="13"/>
    <col width="14" customWidth="1" min="14" max="14"/>
    <col width="14" customWidth="1" min="15" max="15"/>
    <col width="18" customWidth="1" min="16" max="16"/>
    <col width="45" customWidth="1" min="17" max="17"/>
    <col width="15" customWidth="1" min="18" max="18"/>
    <col width="35" customWidth="1" min="19" max="19"/>
  </cols>
  <sheetData>
    <row r="1" ht="28" customHeight="1">
      <c r="A1" s="1" t="inlineStr">
        <is>
          <t>Makokoya — Stock Sheet   (updated: 2026-03-12)</t>
        </is>
      </c>
    </row>
    <row r="2" ht="30" customHeight="1">
      <c r="A2" s="2" t="inlineStr">
        <is>
          <t>Supplier SKU</t>
        </is>
      </c>
      <c r="B2" s="2" t="inlineStr">
        <is>
          <t>WC SKU</t>
        </is>
      </c>
      <c r="C2" s="2" t="inlineStr">
        <is>
          <t>WC ID</t>
        </is>
      </c>
      <c r="D2" s="2" t="inlineStr">
        <is>
          <t>Barcode / EAN</t>
        </is>
      </c>
      <c r="E2" s="2" t="inlineStr">
        <is>
          <t>Product Name</t>
        </is>
      </c>
      <c r="F2" s="2" t="inlineStr">
        <is>
          <t>Brand</t>
        </is>
      </c>
      <c r="G2" s="2" t="inlineStr">
        <is>
          <t>Category</t>
        </is>
      </c>
      <c r="H2" s="2" t="inlineStr">
        <is>
          <t>Description</t>
        </is>
      </c>
      <c r="I2" s="2" t="inlineStr">
        <is>
          <t>Cost Price (ex VAT)</t>
        </is>
      </c>
      <c r="J2" s="2" t="inlineStr">
        <is>
          <t>VAT Rate %</t>
        </is>
      </c>
      <c r="K2" s="2" t="inlineStr">
        <is>
          <t>Cost Price (incl VAT)</t>
        </is>
      </c>
      <c r="L2" s="2" t="inlineStr">
        <is>
          <t>Selling Price (R)</t>
        </is>
      </c>
      <c r="M2" s="2" t="inlineStr">
        <is>
          <t>Margin %</t>
        </is>
      </c>
      <c r="N2" s="2" t="inlineStr">
        <is>
          <t>Qty On Hand</t>
        </is>
      </c>
      <c r="O2" s="2" t="inlineStr">
        <is>
          <t>Reorder Level</t>
        </is>
      </c>
      <c r="P2" s="2" t="inlineStr">
        <is>
          <t>Location / Bay</t>
        </is>
      </c>
      <c r="Q2" s="2" t="inlineStr">
        <is>
          <t>Image URL</t>
        </is>
      </c>
      <c r="R2" s="2" t="inlineStr">
        <is>
          <t>Last Updated</t>
        </is>
      </c>
      <c r="S2" s="2" t="inlineStr">
        <is>
          <t>Notes</t>
        </is>
      </c>
    </row>
    <row r="3">
      <c r="A3" s="3" t="inlineStr"/>
      <c r="B3" s="4" t="inlineStr">
        <is>
          <t>528HU13061-03</t>
        </is>
      </c>
      <c r="C3" s="4" t="inlineStr">
        <is>
          <t>13066</t>
        </is>
      </c>
      <c r="D3" s="4" t="inlineStr"/>
      <c r="E3" s="5" t="inlineStr">
        <is>
          <t>Bathroom Mat Set - Baroque</t>
        </is>
      </c>
      <c r="F3" s="4" t="inlineStr"/>
      <c r="G3" s="4" t="inlineStr"/>
      <c r="H3" s="4" t="inlineStr"/>
      <c r="I3" s="6" t="inlineStr"/>
      <c r="J3" s="7" t="n">
        <v>15</v>
      </c>
      <c r="K3" s="8">
        <f>IF(I3="","",I3*(1+J3/100))</f>
        <v/>
      </c>
      <c r="L3" s="9" t="n">
        <v>250</v>
      </c>
      <c r="M3" s="10">
        <f>IF(OR(L3="",K3="",L3=0),"",
  (L3-K3)/L3*100)</f>
        <v/>
      </c>
      <c r="N3" s="11" t="inlineStr"/>
      <c r="O3" s="4" t="inlineStr"/>
      <c r="P3" s="4" t="inlineStr"/>
      <c r="Q3" s="4" t="inlineStr">
        <is>
          <t>https://happyharvesting.co.za/wp-content/uploads/2023/07/40-1.png</t>
        </is>
      </c>
      <c r="R3" s="4" t="inlineStr">
        <is>
          <t>2026-03-12</t>
        </is>
      </c>
      <c r="S3" s="4" t="inlineStr">
        <is>
          <t>Pre-loaded from WC export — fill in cost price</t>
        </is>
      </c>
    </row>
    <row r="4">
      <c r="A4" s="3" t="inlineStr"/>
      <c r="B4" s="12" t="inlineStr">
        <is>
          <t>528HU13061-02</t>
        </is>
      </c>
      <c r="C4" s="12" t="inlineStr">
        <is>
          <t>13065</t>
        </is>
      </c>
      <c r="D4" s="12" t="inlineStr"/>
      <c r="E4" s="12" t="inlineStr">
        <is>
          <t>Bathroom Mat Set - Candy Stripe</t>
        </is>
      </c>
      <c r="F4" s="12" t="inlineStr"/>
      <c r="G4" s="12" t="inlineStr"/>
      <c r="H4" s="12" t="inlineStr"/>
      <c r="I4" s="6" t="inlineStr"/>
      <c r="J4" s="7" t="n">
        <v>15</v>
      </c>
      <c r="K4" s="8">
        <f>IF(I4="","",I4*(1+J4/100))</f>
        <v/>
      </c>
      <c r="L4" s="13" t="n">
        <v>250</v>
      </c>
      <c r="M4" s="10">
        <f>IF(OR(L4="",K4="",L4=0),"",
  (L4-K4)/L4*100)</f>
        <v/>
      </c>
      <c r="N4" s="11" t="inlineStr"/>
      <c r="O4" s="12" t="inlineStr"/>
      <c r="P4" s="12" t="inlineStr"/>
      <c r="Q4" s="12" t="inlineStr">
        <is>
          <t>https://happyharvesting.co.za/wp-content/uploads/2023/07/41-1.png</t>
        </is>
      </c>
      <c r="R4" s="12" t="inlineStr">
        <is>
          <t>2026-03-12</t>
        </is>
      </c>
      <c r="S4" s="12" t="inlineStr">
        <is>
          <t>Pre-loaded from WC export — fill in cost price</t>
        </is>
      </c>
    </row>
    <row r="5">
      <c r="A5" s="3" t="inlineStr"/>
      <c r="B5" s="4" t="inlineStr">
        <is>
          <t>528HU13061-06</t>
        </is>
      </c>
      <c r="C5" s="4" t="inlineStr">
        <is>
          <t>13089</t>
        </is>
      </c>
      <c r="D5" s="4" t="inlineStr"/>
      <c r="E5" s="5" t="inlineStr">
        <is>
          <t>Bathroom Mat Set - NIght Sky</t>
        </is>
      </c>
      <c r="F5" s="4" t="inlineStr"/>
      <c r="G5" s="4" t="inlineStr"/>
      <c r="H5" s="4" t="inlineStr"/>
      <c r="I5" s="6" t="inlineStr"/>
      <c r="J5" s="7" t="n">
        <v>15</v>
      </c>
      <c r="K5" s="8">
        <f>IF(I5="","",I5*(1+J5/100))</f>
        <v/>
      </c>
      <c r="L5" s="9" t="n">
        <v>250</v>
      </c>
      <c r="M5" s="10">
        <f>IF(OR(L5="",K5="",L5=0),"",
  (L5-K5)/L5*100)</f>
        <v/>
      </c>
      <c r="N5" s="11" t="inlineStr"/>
      <c r="O5" s="4" t="inlineStr"/>
      <c r="P5" s="4" t="inlineStr"/>
      <c r="Q5" s="4" t="inlineStr"/>
      <c r="R5" s="4" t="inlineStr">
        <is>
          <t>2026-03-12</t>
        </is>
      </c>
      <c r="S5" s="4" t="inlineStr">
        <is>
          <t>Pre-loaded from WC export — fill in cost price</t>
        </is>
      </c>
    </row>
    <row r="6">
      <c r="A6" s="3" t="inlineStr"/>
      <c r="B6" s="12" t="inlineStr">
        <is>
          <t>528HU13061-05</t>
        </is>
      </c>
      <c r="C6" s="12" t="inlineStr">
        <is>
          <t>13088</t>
        </is>
      </c>
      <c r="D6" s="12" t="inlineStr"/>
      <c r="E6" s="12" t="inlineStr">
        <is>
          <t>Bathroom Mat Set - Seashells</t>
        </is>
      </c>
      <c r="F6" s="12" t="inlineStr"/>
      <c r="G6" s="12" t="inlineStr"/>
      <c r="H6" s="12" t="inlineStr"/>
      <c r="I6" s="6" t="inlineStr"/>
      <c r="J6" s="7" t="n">
        <v>15</v>
      </c>
      <c r="K6" s="8">
        <f>IF(I6="","",I6*(1+J6/100))</f>
        <v/>
      </c>
      <c r="L6" s="13" t="n">
        <v>250</v>
      </c>
      <c r="M6" s="10">
        <f>IF(OR(L6="",K6="",L6=0),"",
  (L6-K6)/L6*100)</f>
        <v/>
      </c>
      <c r="N6" s="11" t="inlineStr"/>
      <c r="O6" s="12" t="inlineStr"/>
      <c r="P6" s="12" t="inlineStr"/>
      <c r="Q6" s="12" t="inlineStr"/>
      <c r="R6" s="12" t="inlineStr">
        <is>
          <t>2026-03-12</t>
        </is>
      </c>
      <c r="S6" s="12" t="inlineStr">
        <is>
          <t>Pre-loaded from WC export — fill in cost price</t>
        </is>
      </c>
    </row>
    <row r="7">
      <c r="A7" s="3" t="inlineStr"/>
      <c r="B7" s="4" t="inlineStr">
        <is>
          <t>528HU13061-04</t>
        </is>
      </c>
      <c r="C7" s="4" t="inlineStr">
        <is>
          <t>13069</t>
        </is>
      </c>
      <c r="D7" s="4" t="inlineStr"/>
      <c r="E7" s="5" t="inlineStr">
        <is>
          <t>Bathroom Mat Set - Starfish</t>
        </is>
      </c>
      <c r="F7" s="4" t="inlineStr"/>
      <c r="G7" s="4" t="inlineStr"/>
      <c r="H7" s="4" t="inlineStr"/>
      <c r="I7" s="6" t="inlineStr"/>
      <c r="J7" s="7" t="n">
        <v>15</v>
      </c>
      <c r="K7" s="8">
        <f>IF(I7="","",I7*(1+J7/100))</f>
        <v/>
      </c>
      <c r="L7" s="9" t="n">
        <v>250</v>
      </c>
      <c r="M7" s="10">
        <f>IF(OR(L7="",K7="",L7=0),"",
  (L7-K7)/L7*100)</f>
        <v/>
      </c>
      <c r="N7" s="11" t="inlineStr"/>
      <c r="O7" s="4" t="inlineStr"/>
      <c r="P7" s="4" t="inlineStr"/>
      <c r="Q7" s="4" t="inlineStr">
        <is>
          <t>https://happyharvesting.co.za/wp-content/uploads/2023/07/35-1.png</t>
        </is>
      </c>
      <c r="R7" s="4" t="inlineStr">
        <is>
          <t>2026-03-12</t>
        </is>
      </c>
      <c r="S7" s="4" t="inlineStr">
        <is>
          <t>Pre-loaded from WC export — fill in cost price</t>
        </is>
      </c>
    </row>
    <row r="8">
      <c r="A8" s="3" t="inlineStr"/>
      <c r="B8" s="12" t="inlineStr">
        <is>
          <t>528HU13061-01</t>
        </is>
      </c>
      <c r="C8" s="12" t="inlineStr">
        <is>
          <t>13063</t>
        </is>
      </c>
      <c r="D8" s="12" t="inlineStr"/>
      <c r="E8" s="12" t="inlineStr">
        <is>
          <t>Bathroom Mat Set - Stone</t>
        </is>
      </c>
      <c r="F8" s="12" t="inlineStr"/>
      <c r="G8" s="12" t="inlineStr"/>
      <c r="H8" s="12" t="inlineStr"/>
      <c r="I8" s="6" t="inlineStr"/>
      <c r="J8" s="7" t="n">
        <v>15</v>
      </c>
      <c r="K8" s="8">
        <f>IF(I8="","",I8*(1+J8/100))</f>
        <v/>
      </c>
      <c r="L8" s="13" t="n">
        <v>250</v>
      </c>
      <c r="M8" s="10">
        <f>IF(OR(L8="",K8="",L8=0),"",
  (L8-K8)/L8*100)</f>
        <v/>
      </c>
      <c r="N8" s="11" t="inlineStr"/>
      <c r="O8" s="12" t="inlineStr"/>
      <c r="P8" s="12" t="inlineStr"/>
      <c r="Q8" s="12" t="inlineStr">
        <is>
          <t>https://happyharvesting.co.za/wp-content/uploads/2023/07/Takealot-1.png</t>
        </is>
      </c>
      <c r="R8" s="12" t="inlineStr">
        <is>
          <t>2026-03-12</t>
        </is>
      </c>
      <c r="S8" s="12" t="inlineStr">
        <is>
          <t>Pre-loaded from WC export — fill in cost price</t>
        </is>
      </c>
    </row>
    <row r="9">
      <c r="A9" s="3" t="inlineStr"/>
      <c r="B9" s="4" t="inlineStr">
        <is>
          <t>528HU13061-07</t>
        </is>
      </c>
      <c r="C9" s="4" t="inlineStr">
        <is>
          <t>13090</t>
        </is>
      </c>
      <c r="D9" s="4" t="inlineStr"/>
      <c r="E9" s="5" t="inlineStr">
        <is>
          <t>Bathroom Mat Set - Wood</t>
        </is>
      </c>
      <c r="F9" s="4" t="inlineStr"/>
      <c r="G9" s="4" t="inlineStr"/>
      <c r="H9" s="4" t="inlineStr"/>
      <c r="I9" s="6" t="inlineStr"/>
      <c r="J9" s="7" t="n">
        <v>15</v>
      </c>
      <c r="K9" s="8">
        <f>IF(I9="","",I9*(1+J9/100))</f>
        <v/>
      </c>
      <c r="L9" s="9" t="n">
        <v>250</v>
      </c>
      <c r="M9" s="10">
        <f>IF(OR(L9="",K9="",L9=0),"",
  (L9-K9)/L9*100)</f>
        <v/>
      </c>
      <c r="N9" s="11" t="inlineStr"/>
      <c r="O9" s="4" t="inlineStr"/>
      <c r="P9" s="4" t="inlineStr"/>
      <c r="Q9" s="4" t="inlineStr"/>
      <c r="R9" s="4" t="inlineStr">
        <is>
          <t>2026-03-12</t>
        </is>
      </c>
      <c r="S9" s="4" t="inlineStr">
        <is>
          <t>Pre-loaded from WC export — fill in cost price</t>
        </is>
      </c>
    </row>
    <row r="10">
      <c r="A10" s="3" t="inlineStr"/>
      <c r="B10" s="12" t="inlineStr">
        <is>
          <t>U63L413078-04</t>
        </is>
      </c>
      <c r="C10" s="12" t="inlineStr">
        <is>
          <t>13087</t>
        </is>
      </c>
      <c r="D10" s="12" t="inlineStr"/>
      <c r="E10" s="12" t="inlineStr">
        <is>
          <t>Bathroom Mat Set-Thick - NIght Sky</t>
        </is>
      </c>
      <c r="F10" s="12" t="inlineStr"/>
      <c r="G10" s="12" t="inlineStr"/>
      <c r="H10" s="12" t="inlineStr"/>
      <c r="I10" s="6" t="inlineStr"/>
      <c r="J10" s="7" t="n">
        <v>15</v>
      </c>
      <c r="K10" s="8">
        <f>IF(I10="","",I10*(1+J10/100))</f>
        <v/>
      </c>
      <c r="L10" s="13" t="n">
        <v>390</v>
      </c>
      <c r="M10" s="10">
        <f>IF(OR(L10="",K10="",L10=0),"",
  (L10-K10)/L10*100)</f>
        <v/>
      </c>
      <c r="N10" s="11" t="inlineStr"/>
      <c r="O10" s="12" t="inlineStr"/>
      <c r="P10" s="12" t="inlineStr"/>
      <c r="Q10" s="12" t="inlineStr">
        <is>
          <t>https://happyharvesting.co.za/wp-content/uploads/2023/07/34-1.png</t>
        </is>
      </c>
      <c r="R10" s="12" t="inlineStr">
        <is>
          <t>2026-03-12</t>
        </is>
      </c>
      <c r="S10" s="12" t="inlineStr">
        <is>
          <t>Pre-loaded from WC export — fill in cost price</t>
        </is>
      </c>
    </row>
    <row r="11">
      <c r="A11" s="3" t="inlineStr"/>
      <c r="B11" s="4" t="inlineStr">
        <is>
          <t>U63L413078-01</t>
        </is>
      </c>
      <c r="C11" s="4" t="inlineStr">
        <is>
          <t>13079</t>
        </is>
      </c>
      <c r="D11" s="4" t="inlineStr"/>
      <c r="E11" s="5" t="inlineStr">
        <is>
          <t>Bathroom Mat Set-Thick - Paisley</t>
        </is>
      </c>
      <c r="F11" s="4" t="inlineStr"/>
      <c r="G11" s="4" t="inlineStr"/>
      <c r="H11" s="4" t="inlineStr"/>
      <c r="I11" s="6" t="inlineStr"/>
      <c r="J11" s="7" t="n">
        <v>15</v>
      </c>
      <c r="K11" s="8">
        <f>IF(I11="","",I11*(1+J11/100))</f>
        <v/>
      </c>
      <c r="L11" s="9" t="n">
        <v>390</v>
      </c>
      <c r="M11" s="10">
        <f>IF(OR(L11="",K11="",L11=0),"",
  (L11-K11)/L11*100)</f>
        <v/>
      </c>
      <c r="N11" s="11" t="inlineStr"/>
      <c r="O11" s="4" t="inlineStr"/>
      <c r="P11" s="4" t="inlineStr"/>
      <c r="Q11" s="4" t="inlineStr">
        <is>
          <t>https://happyharvesting.co.za/wp-content/uploads/2023/07/Takealot-2.png</t>
        </is>
      </c>
      <c r="R11" s="4" t="inlineStr">
        <is>
          <t>2026-03-12</t>
        </is>
      </c>
      <c r="S11" s="4" t="inlineStr">
        <is>
          <t>Pre-loaded from WC export — fill in cost price</t>
        </is>
      </c>
    </row>
    <row r="12">
      <c r="A12" s="3" t="inlineStr"/>
      <c r="B12" s="12" t="inlineStr">
        <is>
          <t>U63L413078-02</t>
        </is>
      </c>
      <c r="C12" s="12" t="inlineStr">
        <is>
          <t>13084</t>
        </is>
      </c>
      <c r="D12" s="12" t="inlineStr"/>
      <c r="E12" s="12" t="inlineStr">
        <is>
          <t>Bathroom Mat Set-Thick - Pebbles</t>
        </is>
      </c>
      <c r="F12" s="12" t="inlineStr"/>
      <c r="G12" s="12" t="inlineStr"/>
      <c r="H12" s="12" t="inlineStr"/>
      <c r="I12" s="6" t="inlineStr"/>
      <c r="J12" s="7" t="n">
        <v>15</v>
      </c>
      <c r="K12" s="8">
        <f>IF(I12="","",I12*(1+J12/100))</f>
        <v/>
      </c>
      <c r="L12" s="13" t="n">
        <v>390</v>
      </c>
      <c r="M12" s="10">
        <f>IF(OR(L12="",K12="",L12=0),"",
  (L12-K12)/L12*100)</f>
        <v/>
      </c>
      <c r="N12" s="11" t="inlineStr"/>
      <c r="O12" s="12" t="inlineStr"/>
      <c r="P12" s="12" t="inlineStr"/>
      <c r="Q12" s="12" t="inlineStr">
        <is>
          <t>https://happyharvesting.co.za/wp-content/uploads/2023/07/39-1.png</t>
        </is>
      </c>
      <c r="R12" s="12" t="inlineStr">
        <is>
          <t>2026-03-12</t>
        </is>
      </c>
      <c r="S12" s="12" t="inlineStr">
        <is>
          <t>Pre-loaded from WC export — fill in cost price</t>
        </is>
      </c>
    </row>
    <row r="13">
      <c r="A13" s="3" t="inlineStr"/>
      <c r="B13" s="4" t="inlineStr">
        <is>
          <t>U63L413078-03</t>
        </is>
      </c>
      <c r="C13" s="4" t="inlineStr">
        <is>
          <t>13085</t>
        </is>
      </c>
      <c r="D13" s="4" t="inlineStr"/>
      <c r="E13" s="5" t="inlineStr">
        <is>
          <t>Bathroom Mat Set-Thick - Seashore</t>
        </is>
      </c>
      <c r="F13" s="4" t="inlineStr"/>
      <c r="G13" s="4" t="inlineStr"/>
      <c r="H13" s="4" t="inlineStr"/>
      <c r="I13" s="6" t="inlineStr"/>
      <c r="J13" s="7" t="n">
        <v>15</v>
      </c>
      <c r="K13" s="8">
        <f>IF(I13="","",I13*(1+J13/100))</f>
        <v/>
      </c>
      <c r="L13" s="9" t="n">
        <v>390</v>
      </c>
      <c r="M13" s="10">
        <f>IF(OR(L13="",K13="",L13=0),"",
  (L13-K13)/L13*100)</f>
        <v/>
      </c>
      <c r="N13" s="11" t="inlineStr"/>
      <c r="O13" s="4" t="inlineStr"/>
      <c r="P13" s="4" t="inlineStr"/>
      <c r="Q13" s="4" t="inlineStr"/>
      <c r="R13" s="4" t="inlineStr">
        <is>
          <t>2026-03-12</t>
        </is>
      </c>
      <c r="S13" s="4" t="inlineStr">
        <is>
          <t>Pre-loaded from WC export — fill in cost price</t>
        </is>
      </c>
    </row>
    <row r="14">
      <c r="A14" s="3" t="inlineStr"/>
      <c r="B14" s="12" t="inlineStr">
        <is>
          <t>F00747-B</t>
        </is>
      </c>
      <c r="C14" s="12" t="inlineStr">
        <is>
          <t>19447</t>
        </is>
      </c>
      <c r="D14" s="12" t="inlineStr"/>
      <c r="E14" s="12" t="inlineStr">
        <is>
          <t>Candy Stripe Mat - Blue-Pink -Grey - 57x37</t>
        </is>
      </c>
      <c r="F14" s="12" t="inlineStr"/>
      <c r="G14" s="12" t="inlineStr"/>
      <c r="H14" s="12" t="inlineStr"/>
      <c r="I14" s="6" t="inlineStr"/>
      <c r="J14" s="7" t="n">
        <v>15</v>
      </c>
      <c r="K14" s="8">
        <f>IF(I14="","",I14*(1+J14/100))</f>
        <v/>
      </c>
      <c r="L14" s="13" t="n">
        <v>120</v>
      </c>
      <c r="M14" s="10">
        <f>IF(OR(L14="",K14="",L14=0),"",
  (L14-K14)/L14*100)</f>
        <v/>
      </c>
      <c r="N14" s="11" t="inlineStr"/>
      <c r="O14" s="12" t="inlineStr"/>
      <c r="P14" s="12" t="inlineStr"/>
      <c r="Q14" s="12" t="inlineStr">
        <is>
          <t>https://happyharvesting.co.za/wp-content/uploads/2024/03/f00747BPGrey-Photoroom.jpg</t>
        </is>
      </c>
      <c r="R14" s="12" t="inlineStr">
        <is>
          <t>2026-03-12</t>
        </is>
      </c>
      <c r="S14" s="12" t="inlineStr">
        <is>
          <t>Pre-loaded from WC export — fill in cost price</t>
        </is>
      </c>
    </row>
    <row r="15">
      <c r="A15" s="3" t="inlineStr"/>
      <c r="B15" s="4" t="inlineStr">
        <is>
          <t>F00747-G</t>
        </is>
      </c>
      <c r="C15" s="4" t="inlineStr">
        <is>
          <t>19445</t>
        </is>
      </c>
      <c r="D15" s="4" t="inlineStr"/>
      <c r="E15" s="5" t="inlineStr">
        <is>
          <t>Candy Stripe Mat - Blue-Red-Green- 57x37</t>
        </is>
      </c>
      <c r="F15" s="4" t="inlineStr"/>
      <c r="G15" s="4" t="inlineStr"/>
      <c r="H15" s="4" t="inlineStr"/>
      <c r="I15" s="6" t="inlineStr"/>
      <c r="J15" s="7" t="n">
        <v>15</v>
      </c>
      <c r="K15" s="8">
        <f>IF(I15="","",I15*(1+J15/100))</f>
        <v/>
      </c>
      <c r="L15" s="9" t="n">
        <v>120</v>
      </c>
      <c r="M15" s="10">
        <f>IF(OR(L15="",K15="",L15=0),"",
  (L15-K15)/L15*100)</f>
        <v/>
      </c>
      <c r="N15" s="11" t="inlineStr"/>
      <c r="O15" s="4" t="inlineStr"/>
      <c r="P15" s="4" t="inlineStr"/>
      <c r="Q15" s="4" t="inlineStr">
        <is>
          <t>https://happyharvesting.co.za/wp-content/uploads/2024/03/f00747BRG-Photoroom.jpg</t>
        </is>
      </c>
      <c r="R15" s="4" t="inlineStr">
        <is>
          <t>2026-03-12</t>
        </is>
      </c>
      <c r="S15" s="4" t="inlineStr">
        <is>
          <t>Pre-loaded from WC export — fill in cost price</t>
        </is>
      </c>
    </row>
    <row r="16">
      <c r="A16" s="3" t="inlineStr"/>
      <c r="B16" s="12" t="inlineStr">
        <is>
          <t>F00747-P</t>
        </is>
      </c>
      <c r="C16" s="12" t="inlineStr">
        <is>
          <t>19448</t>
        </is>
      </c>
      <c r="D16" s="12" t="inlineStr"/>
      <c r="E16" s="12" t="inlineStr">
        <is>
          <t>Candy Stripe Mat - Brown - Purple - 57x37</t>
        </is>
      </c>
      <c r="F16" s="12" t="inlineStr"/>
      <c r="G16" s="12" t="inlineStr"/>
      <c r="H16" s="12" t="inlineStr"/>
      <c r="I16" s="6" t="inlineStr"/>
      <c r="J16" s="7" t="n">
        <v>15</v>
      </c>
      <c r="K16" s="8">
        <f>IF(I16="","",I16*(1+J16/100))</f>
        <v/>
      </c>
      <c r="L16" s="13" t="n">
        <v>120</v>
      </c>
      <c r="M16" s="10">
        <f>IF(OR(L16="",K16="",L16=0),"",
  (L16-K16)/L16*100)</f>
        <v/>
      </c>
      <c r="N16" s="11" t="inlineStr"/>
      <c r="O16" s="12" t="inlineStr"/>
      <c r="P16" s="12" t="inlineStr"/>
      <c r="Q16" s="12" t="inlineStr">
        <is>
          <t>https://happyharvesting.co.za/wp-content/uploads/2024/03/f00747Brownpurple-Photoroom.jpg</t>
        </is>
      </c>
      <c r="R16" s="12" t="inlineStr">
        <is>
          <t>2026-03-12</t>
        </is>
      </c>
      <c r="S16" s="12" t="inlineStr">
        <is>
          <t>Pre-loaded from WC export — fill in cost price</t>
        </is>
      </c>
    </row>
    <row r="17">
      <c r="A17" s="3" t="inlineStr"/>
      <c r="B17" s="4" t="inlineStr">
        <is>
          <t>F00747-R</t>
        </is>
      </c>
      <c r="C17" s="4" t="inlineStr">
        <is>
          <t>19446</t>
        </is>
      </c>
      <c r="D17" s="4" t="inlineStr"/>
      <c r="E17" s="5" t="inlineStr">
        <is>
          <t>Candy Stripe Mat - Pink-Red-Yellow - 57x37</t>
        </is>
      </c>
      <c r="F17" s="4" t="inlineStr"/>
      <c r="G17" s="4" t="inlineStr"/>
      <c r="H17" s="4" t="inlineStr"/>
      <c r="I17" s="6" t="inlineStr"/>
      <c r="J17" s="7" t="n">
        <v>15</v>
      </c>
      <c r="K17" s="8">
        <f>IF(I17="","",I17*(1+J17/100))</f>
        <v/>
      </c>
      <c r="L17" s="9" t="n">
        <v>120</v>
      </c>
      <c r="M17" s="10">
        <f>IF(OR(L17="",K17="",L17=0),"",
  (L17-K17)/L17*100)</f>
        <v/>
      </c>
      <c r="N17" s="11" t="inlineStr"/>
      <c r="O17" s="4" t="inlineStr"/>
      <c r="P17" s="4" t="inlineStr"/>
      <c r="Q17" s="4" t="inlineStr">
        <is>
          <t>https://happyharvesting.co.za/wp-content/uploads/2024/03/f00747PRY-Photoroom.jpg</t>
        </is>
      </c>
      <c r="R17" s="4" t="inlineStr">
        <is>
          <t>2026-03-12</t>
        </is>
      </c>
      <c r="S17" s="4" t="inlineStr">
        <is>
          <t>Pre-loaded from WC export — fill in cost price</t>
        </is>
      </c>
    </row>
    <row r="18">
      <c r="A18" s="3" t="inlineStr"/>
      <c r="B18" s="12" t="inlineStr">
        <is>
          <t>H4224A/H3247B-01</t>
        </is>
      </c>
      <c r="C18" s="12" t="inlineStr">
        <is>
          <t>14931</t>
        </is>
      </c>
      <c r="D18" s="12" t="inlineStr"/>
      <c r="E18" s="12" t="inlineStr">
        <is>
          <t>Cape Town Rug - Brown</t>
        </is>
      </c>
      <c r="F18" s="12" t="inlineStr"/>
      <c r="G18" s="12" t="inlineStr"/>
      <c r="H18" s="12" t="inlineStr"/>
      <c r="I18" s="6" t="inlineStr"/>
      <c r="J18" s="7" t="n">
        <v>15</v>
      </c>
      <c r="K18" s="8">
        <f>IF(I18="","",I18*(1+J18/100))</f>
        <v/>
      </c>
      <c r="L18" s="13" t="n">
        <v>950</v>
      </c>
      <c r="M18" s="10">
        <f>IF(OR(L18="",K18="",L18=0),"",
  (L18-K18)/L18*100)</f>
        <v/>
      </c>
      <c r="N18" s="11" t="inlineStr"/>
      <c r="O18" s="12" t="inlineStr"/>
      <c r="P18" s="12" t="inlineStr"/>
      <c r="Q18" s="12" t="inlineStr">
        <is>
          <t>https://happyharvesting.co.za/wp-content/uploads/2023/11/PhotoRoom-20231128_115020_1.png</t>
        </is>
      </c>
      <c r="R18" s="12" t="inlineStr">
        <is>
          <t>2026-03-12</t>
        </is>
      </c>
      <c r="S18" s="12" t="inlineStr">
        <is>
          <t>Pre-loaded from WC export — fill in cost price</t>
        </is>
      </c>
    </row>
    <row r="19">
      <c r="A19" s="3" t="inlineStr"/>
      <c r="B19" s="4" t="inlineStr">
        <is>
          <t>H4224A/H3247B-02</t>
        </is>
      </c>
      <c r="C19" s="4" t="inlineStr">
        <is>
          <t>14932</t>
        </is>
      </c>
      <c r="D19" s="4" t="inlineStr"/>
      <c r="E19" s="5" t="inlineStr">
        <is>
          <t>Cape Town Rug - Grey/green</t>
        </is>
      </c>
      <c r="F19" s="4" t="inlineStr"/>
      <c r="G19" s="4" t="inlineStr"/>
      <c r="H19" s="4" t="inlineStr"/>
      <c r="I19" s="6" t="inlineStr"/>
      <c r="J19" s="7" t="n">
        <v>15</v>
      </c>
      <c r="K19" s="8">
        <f>IF(I19="","",I19*(1+J19/100))</f>
        <v/>
      </c>
      <c r="L19" s="9" t="n">
        <v>1000</v>
      </c>
      <c r="M19" s="10">
        <f>IF(OR(L19="",K19="",L19=0),"",
  (L19-K19)/L19*100)</f>
        <v/>
      </c>
      <c r="N19" s="11" t="inlineStr"/>
      <c r="O19" s="4" t="inlineStr"/>
      <c r="P19" s="4" t="inlineStr"/>
      <c r="Q19" s="4" t="inlineStr">
        <is>
          <t>https://happyharvesting.co.za/wp-content/uploads/2023/11/PhotoRoom-20231128_122131_3.png</t>
        </is>
      </c>
      <c r="R19" s="4" t="inlineStr">
        <is>
          <t>2026-03-12</t>
        </is>
      </c>
      <c r="S19" s="4" t="inlineStr">
        <is>
          <t>Pre-loaded from WC export — fill in cost price</t>
        </is>
      </c>
    </row>
    <row r="20">
      <c r="A20" s="3" t="inlineStr"/>
      <c r="B20" s="12" t="inlineStr">
        <is>
          <t>H3264A/H4623A/H5119A/H4188A/H4627A-01</t>
        </is>
      </c>
      <c r="C20" s="12" t="inlineStr">
        <is>
          <t>14987</t>
        </is>
      </c>
      <c r="D20" s="12" t="inlineStr"/>
      <c r="E20" s="12" t="inlineStr">
        <is>
          <t>Emporium Turkish Rug - Brown</t>
        </is>
      </c>
      <c r="F20" s="12" t="inlineStr"/>
      <c r="G20" s="12" t="inlineStr"/>
      <c r="H20" s="12" t="inlineStr"/>
      <c r="I20" s="6" t="inlineStr"/>
      <c r="J20" s="7" t="n">
        <v>15</v>
      </c>
      <c r="K20" s="8">
        <f>IF(I20="","",I20*(1+J20/100))</f>
        <v/>
      </c>
      <c r="L20" s="13" t="n">
        <v>1000</v>
      </c>
      <c r="M20" s="10">
        <f>IF(OR(L20="",K20="",L20=0),"",
  (L20-K20)/L20*100)</f>
        <v/>
      </c>
      <c r="N20" s="11" t="inlineStr"/>
      <c r="O20" s="12" t="inlineStr"/>
      <c r="P20" s="12" t="inlineStr"/>
      <c r="Q20" s="12" t="inlineStr">
        <is>
          <t>https://happyharvesting.co.za/wp-content/uploads/2023/11/H3264A.webp</t>
        </is>
      </c>
      <c r="R20" s="12" t="inlineStr">
        <is>
          <t>2026-03-12</t>
        </is>
      </c>
      <c r="S20" s="12" t="inlineStr">
        <is>
          <t>Pre-loaded from WC export — fill in cost price</t>
        </is>
      </c>
    </row>
    <row r="21">
      <c r="A21" s="3" t="inlineStr"/>
      <c r="B21" s="4" t="inlineStr">
        <is>
          <t>H3264A/H4623A/H5119A/H4188A/H4627A-03</t>
        </is>
      </c>
      <c r="C21" s="4" t="inlineStr">
        <is>
          <t>14989</t>
        </is>
      </c>
      <c r="D21" s="4" t="inlineStr"/>
      <c r="E21" s="5" t="inlineStr">
        <is>
          <t>Emporium Turkish Rug - Brown-Black</t>
        </is>
      </c>
      <c r="F21" s="4" t="inlineStr"/>
      <c r="G21" s="4" t="inlineStr"/>
      <c r="H21" s="4" t="inlineStr"/>
      <c r="I21" s="6" t="inlineStr"/>
      <c r="J21" s="7" t="n">
        <v>15</v>
      </c>
      <c r="K21" s="8">
        <f>IF(I21="","",I21*(1+J21/100))</f>
        <v/>
      </c>
      <c r="L21" s="9" t="n">
        <v>950</v>
      </c>
      <c r="M21" s="10">
        <f>IF(OR(L21="",K21="",L21=0),"",
  (L21-K21)/L21*100)</f>
        <v/>
      </c>
      <c r="N21" s="11" t="inlineStr"/>
      <c r="O21" s="4" t="inlineStr"/>
      <c r="P21" s="4" t="inlineStr"/>
      <c r="Q21" s="4" t="inlineStr">
        <is>
          <t>https://happyharvesting.co.za/wp-content/uploads/2023/11/H4188A.webp</t>
        </is>
      </c>
      <c r="R21" s="4" t="inlineStr">
        <is>
          <t>2026-03-12</t>
        </is>
      </c>
      <c r="S21" s="4" t="inlineStr">
        <is>
          <t>Pre-loaded from WC export — fill in cost price</t>
        </is>
      </c>
    </row>
    <row r="22">
      <c r="A22" s="3" t="inlineStr"/>
      <c r="B22" s="12" t="inlineStr">
        <is>
          <t>G318A/ G323PP/ G323C-01</t>
        </is>
      </c>
      <c r="C22" s="12" t="inlineStr">
        <is>
          <t>14979</t>
        </is>
      </c>
      <c r="D22" s="12" t="inlineStr"/>
      <c r="E22" s="12" t="inlineStr">
        <is>
          <t>Emporium Turkish Rug - Chocolate</t>
        </is>
      </c>
      <c r="F22" s="12" t="inlineStr"/>
      <c r="G22" s="12" t="inlineStr"/>
      <c r="H22" s="12" t="inlineStr"/>
      <c r="I22" s="6" t="inlineStr"/>
      <c r="J22" s="7" t="n">
        <v>15</v>
      </c>
      <c r="K22" s="8">
        <f>IF(I22="","",I22*(1+J22/100))</f>
        <v/>
      </c>
      <c r="L22" s="13" t="n">
        <v>950</v>
      </c>
      <c r="M22" s="10">
        <f>IF(OR(L22="",K22="",L22=0),"",
  (L22-K22)/L22*100)</f>
        <v/>
      </c>
      <c r="N22" s="11" t="inlineStr"/>
      <c r="O22" s="12" t="inlineStr"/>
      <c r="P22" s="12" t="inlineStr"/>
      <c r="Q22" s="12" t="inlineStr">
        <is>
          <t>https://happyharvesting.co.za/wp-content/uploads/2023/11/PhotoRoom-20231128_115020_2.png</t>
        </is>
      </c>
      <c r="R22" s="12" t="inlineStr">
        <is>
          <t>2026-03-12</t>
        </is>
      </c>
      <c r="S22" s="12" t="inlineStr">
        <is>
          <t>Pre-loaded from WC export — fill in cost price</t>
        </is>
      </c>
    </row>
    <row r="23">
      <c r="A23" s="3" t="inlineStr"/>
      <c r="B23" s="4" t="inlineStr">
        <is>
          <t>H3264A/H4623A/H5119A/H4188A/H4627A-02</t>
        </is>
      </c>
      <c r="C23" s="4" t="inlineStr">
        <is>
          <t>14988</t>
        </is>
      </c>
      <c r="D23" s="4" t="inlineStr"/>
      <c r="E23" s="5" t="inlineStr">
        <is>
          <t>Emporium Turkish Rug - D- Red</t>
        </is>
      </c>
      <c r="F23" s="4" t="inlineStr"/>
      <c r="G23" s="4" t="inlineStr"/>
      <c r="H23" s="4" t="inlineStr"/>
      <c r="I23" s="6" t="inlineStr"/>
      <c r="J23" s="7" t="n">
        <v>15</v>
      </c>
      <c r="K23" s="8">
        <f>IF(I23="","",I23*(1+J23/100))</f>
        <v/>
      </c>
      <c r="L23" s="9" t="n">
        <v>1200</v>
      </c>
      <c r="M23" s="10">
        <f>IF(OR(L23="",K23="",L23=0),"",
  (L23-K23)/L23*100)</f>
        <v/>
      </c>
      <c r="N23" s="11" t="inlineStr"/>
      <c r="O23" s="4" t="inlineStr"/>
      <c r="P23" s="4" t="inlineStr"/>
      <c r="Q23" s="4" t="inlineStr">
        <is>
          <t>https://happyharvesting.co.za/wp-content/uploads/2023/11/H4623A.webp</t>
        </is>
      </c>
      <c r="R23" s="4" t="inlineStr">
        <is>
          <t>2026-03-12</t>
        </is>
      </c>
      <c r="S23" s="4" t="inlineStr">
        <is>
          <t>Pre-loaded from WC export — fill in cost price</t>
        </is>
      </c>
    </row>
    <row r="24">
      <c r="A24" s="3" t="inlineStr"/>
      <c r="B24" s="12" t="inlineStr">
        <is>
          <t>G318A/ G323PP/ G323C-03</t>
        </is>
      </c>
      <c r="C24" s="12" t="inlineStr">
        <is>
          <t>14981</t>
        </is>
      </c>
      <c r="D24" s="12" t="inlineStr"/>
      <c r="E24" s="12" t="inlineStr">
        <is>
          <t>Emporium Turkish Rug - D/G`REY</t>
        </is>
      </c>
      <c r="F24" s="12" t="inlineStr"/>
      <c r="G24" s="12" t="inlineStr"/>
      <c r="H24" s="12" t="inlineStr"/>
      <c r="I24" s="6" t="inlineStr"/>
      <c r="J24" s="7" t="n">
        <v>15</v>
      </c>
      <c r="K24" s="8">
        <f>IF(I24="","",I24*(1+J24/100))</f>
        <v/>
      </c>
      <c r="L24" s="13" t="n">
        <v>1250</v>
      </c>
      <c r="M24" s="10">
        <f>IF(OR(L24="",K24="",L24=0),"",
  (L24-K24)/L24*100)</f>
        <v/>
      </c>
      <c r="N24" s="11" t="inlineStr"/>
      <c r="O24" s="12" t="inlineStr"/>
      <c r="P24" s="12" t="inlineStr"/>
      <c r="Q24" s="12" t="inlineStr">
        <is>
          <t>https://happyharvesting.co.za/wp-content/uploads/2023/11/PhotoRoom-20231128_122132_5.png</t>
        </is>
      </c>
      <c r="R24" s="12" t="inlineStr">
        <is>
          <t>2026-03-12</t>
        </is>
      </c>
      <c r="S24" s="12" t="inlineStr">
        <is>
          <t>Pre-loaded from WC export — fill in cost price</t>
        </is>
      </c>
    </row>
    <row r="25">
      <c r="A25" s="3" t="inlineStr"/>
      <c r="B25" s="4" t="inlineStr">
        <is>
          <t>H3264A/H4623A/H5119A/H4188A/H4627A-05</t>
        </is>
      </c>
      <c r="C25" s="4" t="inlineStr">
        <is>
          <t>14991</t>
        </is>
      </c>
      <c r="D25" s="4" t="inlineStr"/>
      <c r="E25" s="5" t="inlineStr">
        <is>
          <t>Emporium Turkish Rug - Gold</t>
        </is>
      </c>
      <c r="F25" s="4" t="inlineStr"/>
      <c r="G25" s="4" t="inlineStr"/>
      <c r="H25" s="4" t="inlineStr"/>
      <c r="I25" s="6" t="inlineStr"/>
      <c r="J25" s="7" t="n">
        <v>15</v>
      </c>
      <c r="K25" s="8">
        <f>IF(I25="","",I25*(1+J25/100))</f>
        <v/>
      </c>
      <c r="L25" s="9" t="n">
        <v>900</v>
      </c>
      <c r="M25" s="10">
        <f>IF(OR(L25="",K25="",L25=0),"",
  (L25-K25)/L25*100)</f>
        <v/>
      </c>
      <c r="N25" s="11" t="inlineStr"/>
      <c r="O25" s="4" t="inlineStr"/>
      <c r="P25" s="4" t="inlineStr"/>
      <c r="Q25" s="4" t="inlineStr">
        <is>
          <t>https://happyharvesting.co.za/wp-content/uploads/2023/11/H4627A.png</t>
        </is>
      </c>
      <c r="R25" s="4" t="inlineStr">
        <is>
          <t>2026-03-12</t>
        </is>
      </c>
      <c r="S25" s="4" t="inlineStr">
        <is>
          <t>Pre-loaded from WC export — fill in cost price</t>
        </is>
      </c>
    </row>
    <row r="26">
      <c r="A26" s="3" t="inlineStr"/>
      <c r="B26" s="12" t="inlineStr">
        <is>
          <t>H3264A/H4623A/H5119A/H4188A/H4627A-04</t>
        </is>
      </c>
      <c r="C26" s="12" t="inlineStr">
        <is>
          <t>14990</t>
        </is>
      </c>
      <c r="D26" s="12" t="inlineStr"/>
      <c r="E26" s="12" t="inlineStr">
        <is>
          <t>Emporium Turkish Rug - Grey</t>
        </is>
      </c>
      <c r="F26" s="12" t="inlineStr"/>
      <c r="G26" s="12" t="inlineStr"/>
      <c r="H26" s="12" t="inlineStr"/>
      <c r="I26" s="6" t="inlineStr"/>
      <c r="J26" s="7" t="n">
        <v>15</v>
      </c>
      <c r="K26" s="8">
        <f>IF(I26="","",I26*(1+J26/100))</f>
        <v/>
      </c>
      <c r="L26" s="13" t="n">
        <v>1100</v>
      </c>
      <c r="M26" s="10">
        <f>IF(OR(L26="",K26="",L26=0),"",
  (L26-K26)/L26*100)</f>
        <v/>
      </c>
      <c r="N26" s="11" t="inlineStr"/>
      <c r="O26" s="12" t="inlineStr"/>
      <c r="P26" s="12" t="inlineStr"/>
      <c r="Q26" s="12" t="inlineStr">
        <is>
          <t>https://happyharvesting.co.za/wp-content/uploads/2023/11/H5119A.webp</t>
        </is>
      </c>
      <c r="R26" s="12" t="inlineStr">
        <is>
          <t>2026-03-12</t>
        </is>
      </c>
      <c r="S26" s="12" t="inlineStr">
        <is>
          <t>Pre-loaded from WC export — fill in cost price</t>
        </is>
      </c>
    </row>
    <row r="27">
      <c r="A27" s="3" t="inlineStr"/>
      <c r="B27" s="4" t="inlineStr">
        <is>
          <t>G318A/ G323PP/ G323C-02</t>
        </is>
      </c>
      <c r="C27" s="4" t="inlineStr">
        <is>
          <t>14980</t>
        </is>
      </c>
      <c r="D27" s="4" t="inlineStr"/>
      <c r="E27" s="5" t="inlineStr">
        <is>
          <t>Emporium Turkish Rug - Pink / Silver</t>
        </is>
      </c>
      <c r="F27" s="4" t="inlineStr"/>
      <c r="G27" s="4" t="inlineStr"/>
      <c r="H27" s="4" t="inlineStr"/>
      <c r="I27" s="6" t="inlineStr"/>
      <c r="J27" s="7" t="n">
        <v>15</v>
      </c>
      <c r="K27" s="8">
        <f>IF(I27="","",I27*(1+J27/100))</f>
        <v/>
      </c>
      <c r="L27" s="9" t="n">
        <v>950</v>
      </c>
      <c r="M27" s="10">
        <f>IF(OR(L27="",K27="",L27=0),"",
  (L27-K27)/L27*100)</f>
        <v/>
      </c>
      <c r="N27" s="11" t="inlineStr"/>
      <c r="O27" s="4" t="inlineStr"/>
      <c r="P27" s="4" t="inlineStr"/>
      <c r="Q27" s="4" t="inlineStr">
        <is>
          <t>https://happyharvesting.co.za/wp-content/uploads/2023/11/PhotoRoom-20231128_122901.png</t>
        </is>
      </c>
      <c r="R27" s="4" t="inlineStr">
        <is>
          <t>2026-03-12</t>
        </is>
      </c>
      <c r="S27" s="4" t="inlineStr">
        <is>
          <t>Pre-loaded from WC export — fill in cost price</t>
        </is>
      </c>
    </row>
    <row r="28">
      <c r="A28" s="3" t="inlineStr"/>
      <c r="B28" s="12" t="inlineStr">
        <is>
          <t>FCG/FCB/FCDG/FCP/FCBLK-11</t>
        </is>
      </c>
      <c r="C28" s="12" t="inlineStr">
        <is>
          <t>14889</t>
        </is>
      </c>
      <c r="D28" s="12" t="inlineStr"/>
      <c r="E28" s="12" t="inlineStr">
        <is>
          <t>Fluffy Carpet Mats - Large, Black</t>
        </is>
      </c>
      <c r="F28" s="12" t="inlineStr"/>
      <c r="G28" s="12" t="inlineStr"/>
      <c r="H28" s="12" t="inlineStr"/>
      <c r="I28" s="6" t="inlineStr"/>
      <c r="J28" s="7" t="n">
        <v>15</v>
      </c>
      <c r="K28" s="8">
        <f>IF(I28="","",I28*(1+J28/100))</f>
        <v/>
      </c>
      <c r="L28" s="13" t="n">
        <v>400</v>
      </c>
      <c r="M28" s="10">
        <f>IF(OR(L28="",K28="",L28=0),"",
  (L28-K28)/L28*100)</f>
        <v/>
      </c>
      <c r="N28" s="11" t="inlineStr"/>
      <c r="O28" s="12" t="inlineStr"/>
      <c r="P28" s="12" t="inlineStr"/>
      <c r="Q28" s="12" t="inlineStr"/>
      <c r="R28" s="12" t="inlineStr">
        <is>
          <t>2026-03-12</t>
        </is>
      </c>
      <c r="S28" s="12" t="inlineStr">
        <is>
          <t>Pre-loaded from WC export — fill in cost price</t>
        </is>
      </c>
    </row>
    <row r="29">
      <c r="A29" s="3" t="inlineStr"/>
      <c r="B29" s="4" t="inlineStr">
        <is>
          <t>FCG/FCB/FCDG/FCP/FCBLK-08</t>
        </is>
      </c>
      <c r="C29" s="4" t="inlineStr">
        <is>
          <t>14886</t>
        </is>
      </c>
      <c r="D29" s="4" t="inlineStr"/>
      <c r="E29" s="5" t="inlineStr">
        <is>
          <t>Fluffy Carpet Mats - Large, Blue</t>
        </is>
      </c>
      <c r="F29" s="4" t="inlineStr"/>
      <c r="G29" s="4" t="inlineStr"/>
      <c r="H29" s="4" t="inlineStr"/>
      <c r="I29" s="6" t="inlineStr"/>
      <c r="J29" s="7" t="n">
        <v>15</v>
      </c>
      <c r="K29" s="8">
        <f>IF(I29="","",I29*(1+J29/100))</f>
        <v/>
      </c>
      <c r="L29" s="9" t="n">
        <v>400</v>
      </c>
      <c r="M29" s="10">
        <f>IF(OR(L29="",K29="",L29=0),"",
  (L29-K29)/L29*100)</f>
        <v/>
      </c>
      <c r="N29" s="11" t="inlineStr"/>
      <c r="O29" s="4" t="inlineStr"/>
      <c r="P29" s="4" t="inlineStr"/>
      <c r="Q29" s="4" t="inlineStr"/>
      <c r="R29" s="4" t="inlineStr">
        <is>
          <t>2026-03-12</t>
        </is>
      </c>
      <c r="S29" s="4" t="inlineStr">
        <is>
          <t>Pre-loaded from WC export — fill in cost price</t>
        </is>
      </c>
    </row>
    <row r="30">
      <c r="A30" s="3" t="inlineStr"/>
      <c r="B30" s="12" t="inlineStr">
        <is>
          <t>FCG/FCB/FCDG/FCP/FCBLK-09</t>
        </is>
      </c>
      <c r="C30" s="12" t="inlineStr">
        <is>
          <t>14887</t>
        </is>
      </c>
      <c r="D30" s="12" t="inlineStr"/>
      <c r="E30" s="12" t="inlineStr">
        <is>
          <t>Fluffy Carpet Mats - Large, Dark Grey</t>
        </is>
      </c>
      <c r="F30" s="12" t="inlineStr"/>
      <c r="G30" s="12" t="inlineStr"/>
      <c r="H30" s="12" t="inlineStr"/>
      <c r="I30" s="6" t="inlineStr"/>
      <c r="J30" s="7" t="n">
        <v>15</v>
      </c>
      <c r="K30" s="8">
        <f>IF(I30="","",I30*(1+J30/100))</f>
        <v/>
      </c>
      <c r="L30" s="13" t="n">
        <v>400</v>
      </c>
      <c r="M30" s="10">
        <f>IF(OR(L30="",K30="",L30=0),"",
  (L30-K30)/L30*100)</f>
        <v/>
      </c>
      <c r="N30" s="11" t="inlineStr"/>
      <c r="O30" s="12" t="inlineStr"/>
      <c r="P30" s="12" t="inlineStr"/>
      <c r="Q30" s="12" t="inlineStr"/>
      <c r="R30" s="12" t="inlineStr">
        <is>
          <t>2026-03-12</t>
        </is>
      </c>
      <c r="S30" s="12" t="inlineStr">
        <is>
          <t>Pre-loaded from WC export — fill in cost price</t>
        </is>
      </c>
    </row>
    <row r="31">
      <c r="A31" s="3" t="inlineStr"/>
      <c r="B31" s="4" t="inlineStr">
        <is>
          <t>FCG/FCB/FCDG/FCP/FCBLK-07</t>
        </is>
      </c>
      <c r="C31" s="4" t="inlineStr">
        <is>
          <t>14885</t>
        </is>
      </c>
      <c r="D31" s="4" t="inlineStr"/>
      <c r="E31" s="5" t="inlineStr">
        <is>
          <t>Fluffy Carpet Mats - Large, Grey</t>
        </is>
      </c>
      <c r="F31" s="4" t="inlineStr"/>
      <c r="G31" s="4" t="inlineStr"/>
      <c r="H31" s="4" t="inlineStr"/>
      <c r="I31" s="6" t="inlineStr"/>
      <c r="J31" s="7" t="n">
        <v>15</v>
      </c>
      <c r="K31" s="8">
        <f>IF(I31="","",I31*(1+J31/100))</f>
        <v/>
      </c>
      <c r="L31" s="9" t="n">
        <v>400</v>
      </c>
      <c r="M31" s="10">
        <f>IF(OR(L31="",K31="",L31=0),"",
  (L31-K31)/L31*100)</f>
        <v/>
      </c>
      <c r="N31" s="11" t="inlineStr"/>
      <c r="O31" s="4" t="inlineStr"/>
      <c r="P31" s="4" t="inlineStr"/>
      <c r="Q31" s="4" t="inlineStr"/>
      <c r="R31" s="4" t="inlineStr">
        <is>
          <t>2026-03-12</t>
        </is>
      </c>
      <c r="S31" s="4" t="inlineStr">
        <is>
          <t>Pre-loaded from WC export — fill in cost price</t>
        </is>
      </c>
    </row>
    <row r="32">
      <c r="A32" s="3" t="inlineStr"/>
      <c r="B32" s="12" t="inlineStr">
        <is>
          <t>FCG/FCB/FCDG/FCP/FCBLK-10</t>
        </is>
      </c>
      <c r="C32" s="12" t="inlineStr">
        <is>
          <t>14888</t>
        </is>
      </c>
      <c r="D32" s="12" t="inlineStr"/>
      <c r="E32" s="12" t="inlineStr">
        <is>
          <t>Fluffy Carpet Mats - Large, Pink</t>
        </is>
      </c>
      <c r="F32" s="12" t="inlineStr"/>
      <c r="G32" s="12" t="inlineStr"/>
      <c r="H32" s="12" t="inlineStr"/>
      <c r="I32" s="6" t="inlineStr"/>
      <c r="J32" s="7" t="n">
        <v>15</v>
      </c>
      <c r="K32" s="8">
        <f>IF(I32="","",I32*(1+J32/100))</f>
        <v/>
      </c>
      <c r="L32" s="13" t="n">
        <v>400</v>
      </c>
      <c r="M32" s="10">
        <f>IF(OR(L32="",K32="",L32=0),"",
  (L32-K32)/L32*100)</f>
        <v/>
      </c>
      <c r="N32" s="11" t="inlineStr"/>
      <c r="O32" s="12" t="inlineStr"/>
      <c r="P32" s="12" t="inlineStr"/>
      <c r="Q32" s="12" t="inlineStr"/>
      <c r="R32" s="12" t="inlineStr">
        <is>
          <t>2026-03-12</t>
        </is>
      </c>
      <c r="S32" s="12" t="inlineStr">
        <is>
          <t>Pre-loaded from WC export — fill in cost price</t>
        </is>
      </c>
    </row>
    <row r="33">
      <c r="A33" s="3" t="inlineStr"/>
      <c r="B33" s="4" t="inlineStr">
        <is>
          <t>FCG/FCB/FCDG/FCP/FCBLK-12</t>
        </is>
      </c>
      <c r="C33" s="4" t="inlineStr">
        <is>
          <t>14890</t>
        </is>
      </c>
      <c r="D33" s="4" t="inlineStr"/>
      <c r="E33" s="5" t="inlineStr">
        <is>
          <t>Fluffy Carpet Mats - Large, Rainbow</t>
        </is>
      </c>
      <c r="F33" s="4" t="inlineStr"/>
      <c r="G33" s="4" t="inlineStr"/>
      <c r="H33" s="4" t="inlineStr"/>
      <c r="I33" s="6" t="inlineStr"/>
      <c r="J33" s="7" t="n">
        <v>15</v>
      </c>
      <c r="K33" s="8">
        <f>IF(I33="","",I33*(1+J33/100))</f>
        <v/>
      </c>
      <c r="L33" s="9" t="n">
        <v>400</v>
      </c>
      <c r="M33" s="10">
        <f>IF(OR(L33="",K33="",L33=0),"",
  (L33-K33)/L33*100)</f>
        <v/>
      </c>
      <c r="N33" s="11" t="inlineStr"/>
      <c r="O33" s="4" t="inlineStr"/>
      <c r="P33" s="4" t="inlineStr"/>
      <c r="Q33" s="4" t="inlineStr"/>
      <c r="R33" s="4" t="inlineStr">
        <is>
          <t>2026-03-12</t>
        </is>
      </c>
      <c r="S33" s="4" t="inlineStr">
        <is>
          <t>Pre-loaded from WC export — fill in cost price</t>
        </is>
      </c>
    </row>
    <row r="34">
      <c r="A34" s="3" t="inlineStr"/>
      <c r="B34" s="12" t="inlineStr">
        <is>
          <t>FCG/FCB/FCDG/FCP/FCBLK-05</t>
        </is>
      </c>
      <c r="C34" s="12" t="inlineStr">
        <is>
          <t>14883</t>
        </is>
      </c>
      <c r="D34" s="12" t="inlineStr"/>
      <c r="E34" s="12" t="inlineStr">
        <is>
          <t>Fluffy Carpet Mats - Medium, Black</t>
        </is>
      </c>
      <c r="F34" s="12" t="inlineStr"/>
      <c r="G34" s="12" t="inlineStr"/>
      <c r="H34" s="12" t="inlineStr"/>
      <c r="I34" s="6" t="inlineStr"/>
      <c r="J34" s="7" t="n">
        <v>15</v>
      </c>
      <c r="K34" s="8">
        <f>IF(I34="","",I34*(1+J34/100))</f>
        <v/>
      </c>
      <c r="L34" s="13" t="n">
        <v>300</v>
      </c>
      <c r="M34" s="10">
        <f>IF(OR(L34="",K34="",L34=0),"",
  (L34-K34)/L34*100)</f>
        <v/>
      </c>
      <c r="N34" s="11" t="inlineStr"/>
      <c r="O34" s="12" t="inlineStr"/>
      <c r="P34" s="12" t="inlineStr"/>
      <c r="Q34" s="12" t="inlineStr"/>
      <c r="R34" s="12" t="inlineStr">
        <is>
          <t>2026-03-12</t>
        </is>
      </c>
      <c r="S34" s="12" t="inlineStr">
        <is>
          <t>Pre-loaded from WC export — fill in cost price</t>
        </is>
      </c>
    </row>
    <row r="35">
      <c r="A35" s="3" t="inlineStr"/>
      <c r="B35" s="4" t="inlineStr">
        <is>
          <t>FCG/FCB/FCDG/FCP/FCBLK-02</t>
        </is>
      </c>
      <c r="C35" s="4" t="inlineStr">
        <is>
          <t>14880</t>
        </is>
      </c>
      <c r="D35" s="4" t="inlineStr"/>
      <c r="E35" s="5" t="inlineStr">
        <is>
          <t>Fluffy Carpet Mats - Medium, Blue</t>
        </is>
      </c>
      <c r="F35" s="4" t="inlineStr"/>
      <c r="G35" s="4" t="inlineStr"/>
      <c r="H35" s="4" t="inlineStr"/>
      <c r="I35" s="6" t="inlineStr"/>
      <c r="J35" s="7" t="n">
        <v>15</v>
      </c>
      <c r="K35" s="8">
        <f>IF(I35="","",I35*(1+J35/100))</f>
        <v/>
      </c>
      <c r="L35" s="9" t="n">
        <v>300</v>
      </c>
      <c r="M35" s="10">
        <f>IF(OR(L35="",K35="",L35=0),"",
  (L35-K35)/L35*100)</f>
        <v/>
      </c>
      <c r="N35" s="11" t="inlineStr"/>
      <c r="O35" s="4" t="inlineStr"/>
      <c r="P35" s="4" t="inlineStr"/>
      <c r="Q35" s="4" t="inlineStr"/>
      <c r="R35" s="4" t="inlineStr">
        <is>
          <t>2026-03-12</t>
        </is>
      </c>
      <c r="S35" s="4" t="inlineStr">
        <is>
          <t>Pre-loaded from WC export — fill in cost price</t>
        </is>
      </c>
    </row>
    <row r="36">
      <c r="A36" s="3" t="inlineStr"/>
      <c r="B36" s="12" t="inlineStr">
        <is>
          <t>FCG/FCB/FCDG/FCP/FCBLK-03</t>
        </is>
      </c>
      <c r="C36" s="12" t="inlineStr">
        <is>
          <t>14881</t>
        </is>
      </c>
      <c r="D36" s="12" t="inlineStr"/>
      <c r="E36" s="12" t="inlineStr">
        <is>
          <t>Fluffy Carpet Mats - Medium, Dark Grey</t>
        </is>
      </c>
      <c r="F36" s="12" t="inlineStr"/>
      <c r="G36" s="12" t="inlineStr"/>
      <c r="H36" s="12" t="inlineStr"/>
      <c r="I36" s="6" t="inlineStr"/>
      <c r="J36" s="7" t="n">
        <v>15</v>
      </c>
      <c r="K36" s="8">
        <f>IF(I36="","",I36*(1+J36/100))</f>
        <v/>
      </c>
      <c r="L36" s="13" t="n">
        <v>300</v>
      </c>
      <c r="M36" s="10">
        <f>IF(OR(L36="",K36="",L36=0),"",
  (L36-K36)/L36*100)</f>
        <v/>
      </c>
      <c r="N36" s="11" t="inlineStr"/>
      <c r="O36" s="12" t="inlineStr"/>
      <c r="P36" s="12" t="inlineStr"/>
      <c r="Q36" s="12" t="inlineStr"/>
      <c r="R36" s="12" t="inlineStr">
        <is>
          <t>2026-03-12</t>
        </is>
      </c>
      <c r="S36" s="12" t="inlineStr">
        <is>
          <t>Pre-loaded from WC export — fill in cost price</t>
        </is>
      </c>
    </row>
    <row r="37">
      <c r="A37" s="3" t="inlineStr"/>
      <c r="B37" s="4" t="inlineStr">
        <is>
          <t>FCG/FCB/FCDG/FCP/FCBLK-01</t>
        </is>
      </c>
      <c r="C37" s="4" t="inlineStr">
        <is>
          <t>14879</t>
        </is>
      </c>
      <c r="D37" s="4" t="inlineStr"/>
      <c r="E37" s="5" t="inlineStr">
        <is>
          <t>Fluffy Carpet Mats - Medium, Grey</t>
        </is>
      </c>
      <c r="F37" s="4" t="inlineStr"/>
      <c r="G37" s="4" t="inlineStr"/>
      <c r="H37" s="4" t="inlineStr"/>
      <c r="I37" s="6" t="inlineStr"/>
      <c r="J37" s="7" t="n">
        <v>15</v>
      </c>
      <c r="K37" s="8">
        <f>IF(I37="","",I37*(1+J37/100))</f>
        <v/>
      </c>
      <c r="L37" s="9" t="n">
        <v>300</v>
      </c>
      <c r="M37" s="10">
        <f>IF(OR(L37="",K37="",L37=0),"",
  (L37-K37)/L37*100)</f>
        <v/>
      </c>
      <c r="N37" s="11" t="inlineStr"/>
      <c r="O37" s="4" t="inlineStr"/>
      <c r="P37" s="4" t="inlineStr"/>
      <c r="Q37" s="4" t="inlineStr"/>
      <c r="R37" s="4" t="inlineStr">
        <is>
          <t>2026-03-12</t>
        </is>
      </c>
      <c r="S37" s="4" t="inlineStr">
        <is>
          <t>Pre-loaded from WC export — fill in cost price</t>
        </is>
      </c>
    </row>
    <row r="38">
      <c r="A38" s="3" t="inlineStr"/>
      <c r="B38" s="12" t="inlineStr">
        <is>
          <t>FCG/FCB/FCDG/FCP/FCBLK-04</t>
        </is>
      </c>
      <c r="C38" s="12" t="inlineStr">
        <is>
          <t>14882</t>
        </is>
      </c>
      <c r="D38" s="12" t="inlineStr"/>
      <c r="E38" s="12" t="inlineStr">
        <is>
          <t>Fluffy Carpet Mats - Medium, Pink</t>
        </is>
      </c>
      <c r="F38" s="12" t="inlineStr"/>
      <c r="G38" s="12" t="inlineStr"/>
      <c r="H38" s="12" t="inlineStr"/>
      <c r="I38" s="6" t="inlineStr"/>
      <c r="J38" s="7" t="n">
        <v>15</v>
      </c>
      <c r="K38" s="8">
        <f>IF(I38="","",I38*(1+J38/100))</f>
        <v/>
      </c>
      <c r="L38" s="13" t="n">
        <v>300</v>
      </c>
      <c r="M38" s="10">
        <f>IF(OR(L38="",K38="",L38=0),"",
  (L38-K38)/L38*100)</f>
        <v/>
      </c>
      <c r="N38" s="11" t="inlineStr"/>
      <c r="O38" s="12" t="inlineStr"/>
      <c r="P38" s="12" t="inlineStr"/>
      <c r="Q38" s="12" t="inlineStr"/>
      <c r="R38" s="12" t="inlineStr">
        <is>
          <t>2026-03-12</t>
        </is>
      </c>
      <c r="S38" s="12" t="inlineStr">
        <is>
          <t>Pre-loaded from WC export — fill in cost price</t>
        </is>
      </c>
    </row>
    <row r="39">
      <c r="A39" s="3" t="inlineStr"/>
      <c r="B39" s="4" t="inlineStr">
        <is>
          <t>FCG/FCB/FCDG/FCP/FCBLK-06</t>
        </is>
      </c>
      <c r="C39" s="4" t="inlineStr">
        <is>
          <t>14884</t>
        </is>
      </c>
      <c r="D39" s="4" t="inlineStr"/>
      <c r="E39" s="5" t="inlineStr">
        <is>
          <t>Fluffy Carpet Mats - Medium, Rainbow</t>
        </is>
      </c>
      <c r="F39" s="4" t="inlineStr"/>
      <c r="G39" s="4" t="inlineStr"/>
      <c r="H39" s="4" t="inlineStr"/>
      <c r="I39" s="6" t="inlineStr"/>
      <c r="J39" s="7" t="n">
        <v>15</v>
      </c>
      <c r="K39" s="8">
        <f>IF(I39="","",I39*(1+J39/100))</f>
        <v/>
      </c>
      <c r="L39" s="9" t="n">
        <v>300</v>
      </c>
      <c r="M39" s="10">
        <f>IF(OR(L39="",K39="",L39=0),"",
  (L39-K39)/L39*100)</f>
        <v/>
      </c>
      <c r="N39" s="11" t="inlineStr"/>
      <c r="O39" s="4" t="inlineStr"/>
      <c r="P39" s="4" t="inlineStr"/>
      <c r="Q39" s="4" t="inlineStr"/>
      <c r="R39" s="4" t="inlineStr">
        <is>
          <t>2026-03-12</t>
        </is>
      </c>
      <c r="S39" s="4" t="inlineStr">
        <is>
          <t>Pre-loaded from WC export — fill in cost price</t>
        </is>
      </c>
    </row>
    <row r="40">
      <c r="A40" s="3" t="inlineStr"/>
      <c r="B40" s="12" t="inlineStr">
        <is>
          <t>REDLX425120-03</t>
        </is>
      </c>
      <c r="C40" s="12" t="inlineStr">
        <is>
          <t>25186</t>
        </is>
      </c>
      <c r="D40" s="12" t="inlineStr"/>
      <c r="E40" s="12" t="inlineStr">
        <is>
          <t>Kristal Carpet - Boutique Collection - JAG10643A - 120 x 170 cm</t>
        </is>
      </c>
      <c r="F40" s="12" t="inlineStr"/>
      <c r="G40" s="12" t="inlineStr"/>
      <c r="H40" s="12" t="inlineStr"/>
      <c r="I40" s="6" t="inlineStr"/>
      <c r="J40" s="7" t="n">
        <v>15</v>
      </c>
      <c r="K40" s="8">
        <f>IF(I40="","",I40*(1+J40/100))</f>
        <v/>
      </c>
      <c r="L40" s="13" t="n">
        <v>950</v>
      </c>
      <c r="M40" s="10">
        <f>IF(OR(L40="",K40="",L40=0),"",
  (L40-K40)/L40*100)</f>
        <v/>
      </c>
      <c r="N40" s="11" t="inlineStr"/>
      <c r="O40" s="12" t="inlineStr"/>
      <c r="P40" s="12" t="inlineStr"/>
      <c r="Q40" s="12" t="inlineStr"/>
      <c r="R40" s="12" t="inlineStr">
        <is>
          <t>2026-03-12</t>
        </is>
      </c>
      <c r="S40" s="12" t="inlineStr">
        <is>
          <t>Pre-loaded from WC export — fill in cost price</t>
        </is>
      </c>
    </row>
    <row r="41">
      <c r="A41" s="3" t="inlineStr"/>
      <c r="B41" s="4" t="inlineStr">
        <is>
          <t>REDLX425120-04</t>
        </is>
      </c>
      <c r="C41" s="4" t="inlineStr">
        <is>
          <t>25187</t>
        </is>
      </c>
      <c r="D41" s="4" t="inlineStr"/>
      <c r="E41" s="5" t="inlineStr">
        <is>
          <t>Kristal Carpet - Boutique Collection - JAG10643A - 160 x 230 cm</t>
        </is>
      </c>
      <c r="F41" s="4" t="inlineStr"/>
      <c r="G41" s="4" t="inlineStr"/>
      <c r="H41" s="4" t="inlineStr"/>
      <c r="I41" s="6" t="inlineStr"/>
      <c r="J41" s="7" t="n">
        <v>15</v>
      </c>
      <c r="K41" s="8">
        <f>IF(I41="","",I41*(1+J41/100))</f>
        <v/>
      </c>
      <c r="L41" s="9" t="n">
        <v>1399</v>
      </c>
      <c r="M41" s="10">
        <f>IF(OR(L41="",K41="",L41=0),"",
  (L41-K41)/L41*100)</f>
        <v/>
      </c>
      <c r="N41" s="11" t="inlineStr"/>
      <c r="O41" s="4" t="inlineStr"/>
      <c r="P41" s="4" t="inlineStr"/>
      <c r="Q41" s="4" t="inlineStr"/>
      <c r="R41" s="4" t="inlineStr">
        <is>
          <t>2026-03-12</t>
        </is>
      </c>
      <c r="S41" s="4" t="inlineStr">
        <is>
          <t>Pre-loaded from WC export — fill in cost price</t>
        </is>
      </c>
    </row>
    <row r="42">
      <c r="A42" s="3" t="inlineStr"/>
      <c r="B42" s="12" t="inlineStr">
        <is>
          <t>REDLX425120-05</t>
        </is>
      </c>
      <c r="C42" s="12" t="inlineStr">
        <is>
          <t>25188</t>
        </is>
      </c>
      <c r="D42" s="12" t="inlineStr"/>
      <c r="E42" s="12" t="inlineStr">
        <is>
          <t>Kristal Carpet - Boutique Collection - JAG10643A - 200 x 290 cm</t>
        </is>
      </c>
      <c r="F42" s="12" t="inlineStr"/>
      <c r="G42" s="12" t="inlineStr"/>
      <c r="H42" s="12" t="inlineStr"/>
      <c r="I42" s="6" t="inlineStr"/>
      <c r="J42" s="7" t="n">
        <v>15</v>
      </c>
      <c r="K42" s="8">
        <f>IF(I42="","",I42*(1+J42/100))</f>
        <v/>
      </c>
      <c r="L42" s="13" t="n">
        <v>1950</v>
      </c>
      <c r="M42" s="10">
        <f>IF(OR(L42="",K42="",L42=0),"",
  (L42-K42)/L42*100)</f>
        <v/>
      </c>
      <c r="N42" s="11" t="inlineStr"/>
      <c r="O42" s="12" t="inlineStr"/>
      <c r="P42" s="12" t="inlineStr"/>
      <c r="Q42" s="12" t="inlineStr"/>
      <c r="R42" s="12" t="inlineStr">
        <is>
          <t>2026-03-12</t>
        </is>
      </c>
      <c r="S42" s="12" t="inlineStr">
        <is>
          <t>Pre-loaded from WC export — fill in cost price</t>
        </is>
      </c>
    </row>
    <row r="43">
      <c r="A43" s="3" t="inlineStr"/>
      <c r="B43" s="4" t="inlineStr">
        <is>
          <t>REDLX425120-01</t>
        </is>
      </c>
      <c r="C43" s="4" t="inlineStr">
        <is>
          <t>25184</t>
        </is>
      </c>
      <c r="D43" s="4" t="inlineStr"/>
      <c r="E43" s="5" t="inlineStr">
        <is>
          <t>Kristal Carpet - Boutique Collection - JAG10643A - 80 x 150 cm</t>
        </is>
      </c>
      <c r="F43" s="4" t="inlineStr"/>
      <c r="G43" s="4" t="inlineStr"/>
      <c r="H43" s="4" t="inlineStr"/>
      <c r="I43" s="6" t="inlineStr"/>
      <c r="J43" s="7" t="n">
        <v>15</v>
      </c>
      <c r="K43" s="8">
        <f>IF(I43="","",I43*(1+J43/100))</f>
        <v/>
      </c>
      <c r="L43" s="9" t="n">
        <v>650</v>
      </c>
      <c r="M43" s="10">
        <f>IF(OR(L43="",K43="",L43=0),"",
  (L43-K43)/L43*100)</f>
        <v/>
      </c>
      <c r="N43" s="11" t="inlineStr"/>
      <c r="O43" s="4" t="inlineStr"/>
      <c r="P43" s="4" t="inlineStr"/>
      <c r="Q43" s="4" t="inlineStr"/>
      <c r="R43" s="4" t="inlineStr">
        <is>
          <t>2026-03-12</t>
        </is>
      </c>
      <c r="S43" s="4" t="inlineStr">
        <is>
          <t>Pre-loaded from WC export — fill in cost price</t>
        </is>
      </c>
    </row>
    <row r="44">
      <c r="A44" s="3" t="inlineStr"/>
      <c r="B44" s="12" t="inlineStr">
        <is>
          <t>REDLX425120-02</t>
        </is>
      </c>
      <c r="C44" s="12" t="inlineStr">
        <is>
          <t>25185</t>
        </is>
      </c>
      <c r="D44" s="12" t="inlineStr"/>
      <c r="E44" s="12" t="inlineStr">
        <is>
          <t>Kristal Carpet - Boutique Collection - JAG10643A - 80 x 200 cm</t>
        </is>
      </c>
      <c r="F44" s="12" t="inlineStr"/>
      <c r="G44" s="12" t="inlineStr"/>
      <c r="H44" s="12" t="inlineStr"/>
      <c r="I44" s="6" t="inlineStr"/>
      <c r="J44" s="7" t="n">
        <v>15</v>
      </c>
      <c r="K44" s="8">
        <f>IF(I44="","",I44*(1+J44/100))</f>
        <v/>
      </c>
      <c r="L44" s="13" t="n">
        <v>840</v>
      </c>
      <c r="M44" s="10">
        <f>IF(OR(L44="",K44="",L44=0),"",
  (L44-K44)/L44*100)</f>
        <v/>
      </c>
      <c r="N44" s="11" t="inlineStr"/>
      <c r="O44" s="12" t="inlineStr"/>
      <c r="P44" s="12" t="inlineStr"/>
      <c r="Q44" s="12" t="inlineStr"/>
      <c r="R44" s="12" t="inlineStr">
        <is>
          <t>2026-03-12</t>
        </is>
      </c>
      <c r="S44" s="12" t="inlineStr">
        <is>
          <t>Pre-loaded from WC export — fill in cost price</t>
        </is>
      </c>
    </row>
    <row r="45">
      <c r="A45" s="3" t="inlineStr"/>
      <c r="B45" s="4" t="inlineStr">
        <is>
          <t>W3179J24733-02</t>
        </is>
      </c>
      <c r="C45" s="4" t="inlineStr">
        <is>
          <t>24866</t>
        </is>
      </c>
      <c r="D45" s="4" t="inlineStr"/>
      <c r="E45" s="5" t="inlineStr">
        <is>
          <t>Kristal Carpet - Dejavu Collection - 51683A - 120 x 165 cm</t>
        </is>
      </c>
      <c r="F45" s="4" t="inlineStr"/>
      <c r="G45" s="4" t="inlineStr"/>
      <c r="H45" s="4" t="inlineStr"/>
      <c r="I45" s="6" t="inlineStr"/>
      <c r="J45" s="7" t="n">
        <v>15</v>
      </c>
      <c r="K45" s="8">
        <f>IF(I45="","",I45*(1+J45/100))</f>
        <v/>
      </c>
      <c r="L45" s="9" t="n">
        <v>1200</v>
      </c>
      <c r="M45" s="10">
        <f>IF(OR(L45="",K45="",L45=0),"",
  (L45-K45)/L45*100)</f>
        <v/>
      </c>
      <c r="N45" s="11" t="inlineStr"/>
      <c r="O45" s="4" t="inlineStr"/>
      <c r="P45" s="4" t="inlineStr"/>
      <c r="Q45" s="4" t="inlineStr"/>
      <c r="R45" s="4" t="inlineStr">
        <is>
          <t>2026-03-12</t>
        </is>
      </c>
      <c r="S45" s="4" t="inlineStr">
        <is>
          <t>Pre-loaded from WC export — fill in cost price</t>
        </is>
      </c>
    </row>
    <row r="46">
      <c r="A46" s="3" t="inlineStr"/>
      <c r="B46" s="12" t="inlineStr">
        <is>
          <t>W3179J24733-03</t>
        </is>
      </c>
      <c r="C46" s="12" t="inlineStr">
        <is>
          <t>24867</t>
        </is>
      </c>
      <c r="D46" s="12" t="inlineStr"/>
      <c r="E46" s="12" t="inlineStr">
        <is>
          <t>Kristal Carpet - Dejavu Collection - 51683A - 160 x 220 cm</t>
        </is>
      </c>
      <c r="F46" s="12" t="inlineStr"/>
      <c r="G46" s="12" t="inlineStr"/>
      <c r="H46" s="12" t="inlineStr"/>
      <c r="I46" s="6" t="inlineStr"/>
      <c r="J46" s="7" t="n">
        <v>15</v>
      </c>
      <c r="K46" s="8">
        <f>IF(I46="","",I46*(1+J46/100))</f>
        <v/>
      </c>
      <c r="L46" s="13" t="n">
        <v>2100</v>
      </c>
      <c r="M46" s="10">
        <f>IF(OR(L46="",K46="",L46=0),"",
  (L46-K46)/L46*100)</f>
        <v/>
      </c>
      <c r="N46" s="11" t="inlineStr"/>
      <c r="O46" s="12" t="inlineStr"/>
      <c r="P46" s="12" t="inlineStr"/>
      <c r="Q46" s="12" t="inlineStr"/>
      <c r="R46" s="12" t="inlineStr">
        <is>
          <t>2026-03-12</t>
        </is>
      </c>
      <c r="S46" s="12" t="inlineStr">
        <is>
          <t>Pre-loaded from WC export — fill in cost price</t>
        </is>
      </c>
    </row>
    <row r="47">
      <c r="A47" s="3" t="inlineStr"/>
      <c r="B47" s="4" t="inlineStr">
        <is>
          <t>W3179J24733-04</t>
        </is>
      </c>
      <c r="C47" s="4" t="inlineStr">
        <is>
          <t>24868</t>
        </is>
      </c>
      <c r="D47" s="4" t="inlineStr"/>
      <c r="E47" s="5" t="inlineStr">
        <is>
          <t>Kristal Carpet - Dejavu Collection - 51683A - 200 x 285 cm</t>
        </is>
      </c>
      <c r="F47" s="4" t="inlineStr"/>
      <c r="G47" s="4" t="inlineStr"/>
      <c r="H47" s="4" t="inlineStr"/>
      <c r="I47" s="6" t="inlineStr"/>
      <c r="J47" s="7" t="n">
        <v>15</v>
      </c>
      <c r="K47" s="8">
        <f>IF(I47="","",I47*(1+J47/100))</f>
        <v/>
      </c>
      <c r="L47" s="9" t="n">
        <v>3500</v>
      </c>
      <c r="M47" s="10">
        <f>IF(OR(L47="",K47="",L47=0),"",
  (L47-K47)/L47*100)</f>
        <v/>
      </c>
      <c r="N47" s="11" t="inlineStr"/>
      <c r="O47" s="4" t="inlineStr"/>
      <c r="P47" s="4" t="inlineStr"/>
      <c r="Q47" s="4" t="inlineStr"/>
      <c r="R47" s="4" t="inlineStr">
        <is>
          <t>2026-03-12</t>
        </is>
      </c>
      <c r="S47" s="4" t="inlineStr">
        <is>
          <t>Pre-loaded from WC export — fill in cost price</t>
        </is>
      </c>
    </row>
    <row r="48">
      <c r="A48" s="3" t="inlineStr"/>
      <c r="B48" s="12" t="inlineStr">
        <is>
          <t>W3179J24733-05</t>
        </is>
      </c>
      <c r="C48" s="12" t="inlineStr">
        <is>
          <t>24869</t>
        </is>
      </c>
      <c r="D48" s="12" t="inlineStr"/>
      <c r="E48" s="12" t="inlineStr">
        <is>
          <t>Kristal Carpet - Dejavu Collection - 51683A - 240 x 315 cm</t>
        </is>
      </c>
      <c r="F48" s="12" t="inlineStr"/>
      <c r="G48" s="12" t="inlineStr"/>
      <c r="H48" s="12" t="inlineStr"/>
      <c r="I48" s="6" t="inlineStr"/>
      <c r="J48" s="7" t="n">
        <v>15</v>
      </c>
      <c r="K48" s="8">
        <f>IF(I48="","",I48*(1+J48/100))</f>
        <v/>
      </c>
      <c r="L48" s="13" t="n">
        <v>4750</v>
      </c>
      <c r="M48" s="10">
        <f>IF(OR(L48="",K48="",L48=0),"",
  (L48-K48)/L48*100)</f>
        <v/>
      </c>
      <c r="N48" s="11" t="inlineStr"/>
      <c r="O48" s="12" t="inlineStr"/>
      <c r="P48" s="12" t="inlineStr"/>
      <c r="Q48" s="12" t="inlineStr"/>
      <c r="R48" s="12" t="inlineStr">
        <is>
          <t>2026-03-12</t>
        </is>
      </c>
      <c r="S48" s="12" t="inlineStr">
        <is>
          <t>Pre-loaded from WC export — fill in cost price</t>
        </is>
      </c>
    </row>
    <row r="49">
      <c r="A49" s="3" t="inlineStr"/>
      <c r="B49" s="4" t="inlineStr">
        <is>
          <t>W3179J24733-06</t>
        </is>
      </c>
      <c r="C49" s="4" t="inlineStr">
        <is>
          <t>24870</t>
        </is>
      </c>
      <c r="D49" s="4" t="inlineStr"/>
      <c r="E49" s="5" t="inlineStr">
        <is>
          <t>Kristal Carpet - Dejavu Collection - 51683A - 300 x 385 cm</t>
        </is>
      </c>
      <c r="F49" s="4" t="inlineStr"/>
      <c r="G49" s="4" t="inlineStr"/>
      <c r="H49" s="4" t="inlineStr"/>
      <c r="I49" s="6" t="inlineStr"/>
      <c r="J49" s="7" t="n">
        <v>15</v>
      </c>
      <c r="K49" s="8">
        <f>IF(I49="","",I49*(1+J49/100))</f>
        <v/>
      </c>
      <c r="L49" s="9" t="n">
        <v>6999</v>
      </c>
      <c r="M49" s="10">
        <f>IF(OR(L49="",K49="",L49=0),"",
  (L49-K49)/L49*100)</f>
        <v/>
      </c>
      <c r="N49" s="11" t="inlineStr"/>
      <c r="O49" s="4" t="inlineStr"/>
      <c r="P49" s="4" t="inlineStr"/>
      <c r="Q49" s="4" t="inlineStr"/>
      <c r="R49" s="4" t="inlineStr">
        <is>
          <t>2026-03-12</t>
        </is>
      </c>
      <c r="S49" s="4" t="inlineStr">
        <is>
          <t>Pre-loaded from WC export — fill in cost price</t>
        </is>
      </c>
    </row>
    <row r="50">
      <c r="A50" s="3" t="inlineStr"/>
      <c r="B50" s="12" t="inlineStr">
        <is>
          <t>W3179J24733-01</t>
        </is>
      </c>
      <c r="C50" s="12" t="inlineStr">
        <is>
          <t>24865</t>
        </is>
      </c>
      <c r="D50" s="12" t="inlineStr"/>
      <c r="E50" s="12" t="inlineStr">
        <is>
          <t>Kristal Carpet - Dejavu Collection - 51683A - 80 x 150 cm</t>
        </is>
      </c>
      <c r="F50" s="12" t="inlineStr"/>
      <c r="G50" s="12" t="inlineStr"/>
      <c r="H50" s="12" t="inlineStr"/>
      <c r="I50" s="6" t="inlineStr"/>
      <c r="J50" s="7" t="n">
        <v>15</v>
      </c>
      <c r="K50" s="8">
        <f>IF(I50="","",I50*(1+J50/100))</f>
        <v/>
      </c>
      <c r="L50" s="13" t="n">
        <v>710</v>
      </c>
      <c r="M50" s="10">
        <f>IF(OR(L50="",K50="",L50=0),"",
  (L50-K50)/L50*100)</f>
        <v/>
      </c>
      <c r="N50" s="11" t="inlineStr"/>
      <c r="O50" s="12" t="inlineStr"/>
      <c r="P50" s="12" t="inlineStr"/>
      <c r="Q50" s="12" t="inlineStr"/>
      <c r="R50" s="12" t="inlineStr">
        <is>
          <t>2026-03-12</t>
        </is>
      </c>
      <c r="S50" s="12" t="inlineStr">
        <is>
          <t>Pre-loaded from WC export — fill in cost price</t>
        </is>
      </c>
    </row>
    <row r="51">
      <c r="A51" s="3" t="inlineStr"/>
      <c r="B51" s="4" t="inlineStr">
        <is>
          <t>05238A/ 300760740/ 04364A/ 04685B-01</t>
        </is>
      </c>
      <c r="C51" s="4" t="inlineStr">
        <is>
          <t>14969</t>
        </is>
      </c>
      <c r="D51" s="4" t="inlineStr"/>
      <c r="E51" s="5" t="inlineStr">
        <is>
          <t>Kristal Turkish Rug - Beige/copper</t>
        </is>
      </c>
      <c r="F51" s="4" t="inlineStr"/>
      <c r="G51" s="4" t="inlineStr"/>
      <c r="H51" s="4" t="inlineStr"/>
      <c r="I51" s="6" t="inlineStr"/>
      <c r="J51" s="7" t="n">
        <v>15</v>
      </c>
      <c r="K51" s="8">
        <f>IF(I51="","",I51*(1+J51/100))</f>
        <v/>
      </c>
      <c r="L51" s="9" t="n">
        <v>950</v>
      </c>
      <c r="M51" s="10">
        <f>IF(OR(L51="",K51="",L51=0),"",
  (L51-K51)/L51*100)</f>
        <v/>
      </c>
      <c r="N51" s="11" t="inlineStr"/>
      <c r="O51" s="4" t="inlineStr"/>
      <c r="P51" s="4" t="inlineStr"/>
      <c r="Q51" s="4" t="inlineStr">
        <is>
          <t>https://happyharvesting.co.za/wp-content/uploads/2023/11/PhotoRoom_007_20231121_174301.jpg</t>
        </is>
      </c>
      <c r="R51" s="4" t="inlineStr">
        <is>
          <t>2026-03-12</t>
        </is>
      </c>
      <c r="S51" s="4" t="inlineStr">
        <is>
          <t>Pre-loaded from WC export — fill in cost price</t>
        </is>
      </c>
    </row>
    <row r="52">
      <c r="A52" s="3" t="inlineStr"/>
      <c r="B52" s="12" t="inlineStr">
        <is>
          <t>05238A/ 300760740/ 04364A/ 04685B-03</t>
        </is>
      </c>
      <c r="C52" s="12" t="inlineStr">
        <is>
          <t>14971</t>
        </is>
      </c>
      <c r="D52" s="12" t="inlineStr"/>
      <c r="E52" s="12" t="inlineStr">
        <is>
          <t>Kristal Turkish Rug - Black</t>
        </is>
      </c>
      <c r="F52" s="12" t="inlineStr"/>
      <c r="G52" s="12" t="inlineStr"/>
      <c r="H52" s="12" t="inlineStr"/>
      <c r="I52" s="6" t="inlineStr"/>
      <c r="J52" s="7" t="n">
        <v>15</v>
      </c>
      <c r="K52" s="8">
        <f>IF(I52="","",I52*(1+J52/100))</f>
        <v/>
      </c>
      <c r="L52" s="13" t="n">
        <v>1200</v>
      </c>
      <c r="M52" s="10">
        <f>IF(OR(L52="",K52="",L52=0),"",
  (L52-K52)/L52*100)</f>
        <v/>
      </c>
      <c r="N52" s="11" t="inlineStr"/>
      <c r="O52" s="12" t="inlineStr"/>
      <c r="P52" s="12" t="inlineStr"/>
      <c r="Q52" s="12" t="inlineStr">
        <is>
          <t>https://happyharvesting.co.za/wp-content/uploads/2023/11/PhotoRoom-20231128_115020_4.png</t>
        </is>
      </c>
      <c r="R52" s="12" t="inlineStr">
        <is>
          <t>2026-03-12</t>
        </is>
      </c>
      <c r="S52" s="12" t="inlineStr">
        <is>
          <t>Pre-loaded from WC export — fill in cost price</t>
        </is>
      </c>
    </row>
    <row r="53">
      <c r="A53" s="3" t="inlineStr"/>
      <c r="B53" s="4" t="inlineStr">
        <is>
          <t>05238A/ 300760740/ 04364A/ 04685B-02</t>
        </is>
      </c>
      <c r="C53" s="4" t="inlineStr">
        <is>
          <t>14970</t>
        </is>
      </c>
      <c r="D53" s="4" t="inlineStr"/>
      <c r="E53" s="5" t="inlineStr">
        <is>
          <t>Kristal Turkish Rug - Blue</t>
        </is>
      </c>
      <c r="F53" s="4" t="inlineStr"/>
      <c r="G53" s="4" t="inlineStr"/>
      <c r="H53" s="4" t="inlineStr"/>
      <c r="I53" s="6" t="inlineStr"/>
      <c r="J53" s="7" t="n">
        <v>15</v>
      </c>
      <c r="K53" s="8">
        <f>IF(I53="","",I53*(1+J53/100))</f>
        <v/>
      </c>
      <c r="L53" s="9" t="n">
        <v>1200</v>
      </c>
      <c r="M53" s="10">
        <f>IF(OR(L53="",K53="",L53=0),"",
  (L53-K53)/L53*100)</f>
        <v/>
      </c>
      <c r="N53" s="11" t="inlineStr"/>
      <c r="O53" s="4" t="inlineStr"/>
      <c r="P53" s="4" t="inlineStr"/>
      <c r="Q53" s="4" t="inlineStr">
        <is>
          <t>https://happyharvesting.co.za/wp-content/uploads/2023/11/PhotoRoom_008_20231121_174301.jpg</t>
        </is>
      </c>
      <c r="R53" s="4" t="inlineStr">
        <is>
          <t>2026-03-12</t>
        </is>
      </c>
      <c r="S53" s="4" t="inlineStr">
        <is>
          <t>Pre-loaded from WC export — fill in cost price</t>
        </is>
      </c>
    </row>
    <row r="54">
      <c r="A54" s="3" t="inlineStr"/>
      <c r="B54" s="12" t="inlineStr">
        <is>
          <t>05238A/ 300760740/ 04364A/ 04685B-04</t>
        </is>
      </c>
      <c r="C54" s="12" t="inlineStr">
        <is>
          <t>14972</t>
        </is>
      </c>
      <c r="D54" s="12" t="inlineStr"/>
      <c r="E54" s="12" t="inlineStr">
        <is>
          <t>Kristal Turkish Rug - Grey</t>
        </is>
      </c>
      <c r="F54" s="12" t="inlineStr"/>
      <c r="G54" s="12" t="inlineStr"/>
      <c r="H54" s="12" t="inlineStr"/>
      <c r="I54" s="6" t="inlineStr"/>
      <c r="J54" s="7" t="n">
        <v>15</v>
      </c>
      <c r="K54" s="8">
        <f>IF(I54="","",I54*(1+J54/100))</f>
        <v/>
      </c>
      <c r="L54" s="13" t="n">
        <v>1200</v>
      </c>
      <c r="M54" s="10">
        <f>IF(OR(L54="",K54="",L54=0),"",
  (L54-K54)/L54*100)</f>
        <v/>
      </c>
      <c r="N54" s="11" t="inlineStr"/>
      <c r="O54" s="12" t="inlineStr"/>
      <c r="P54" s="12" t="inlineStr"/>
      <c r="Q54" s="12" t="inlineStr">
        <is>
          <t>https://happyharvesting.co.za/wp-content/uploads/2023/11/PhotoRoom-20231128_134702_5.png</t>
        </is>
      </c>
      <c r="R54" s="12" t="inlineStr">
        <is>
          <t>2026-03-12</t>
        </is>
      </c>
      <c r="S54" s="12" t="inlineStr">
        <is>
          <t>Pre-loaded from WC export — fill in cost price</t>
        </is>
      </c>
    </row>
    <row r="55">
      <c r="A55" s="3" t="inlineStr"/>
      <c r="B55" s="4" t="inlineStr">
        <is>
          <t>F01120-B</t>
        </is>
      </c>
      <c r="C55" s="4" t="inlineStr">
        <is>
          <t>19460</t>
        </is>
      </c>
      <c r="D55" s="4" t="inlineStr"/>
      <c r="E55" s="5" t="inlineStr">
        <is>
          <t>Micro Fibre Mat - Blue - 40x60cm</t>
        </is>
      </c>
      <c r="F55" s="4" t="inlineStr"/>
      <c r="G55" s="4" t="inlineStr"/>
      <c r="H55" s="4" t="inlineStr"/>
      <c r="I55" s="6" t="inlineStr"/>
      <c r="J55" s="7" t="n">
        <v>15</v>
      </c>
      <c r="K55" s="8">
        <f>IF(I55="","",I55*(1+J55/100))</f>
        <v/>
      </c>
      <c r="L55" s="9" t="n">
        <v>200</v>
      </c>
      <c r="M55" s="10">
        <f>IF(OR(L55="",K55="",L55=0),"",
  (L55-K55)/L55*100)</f>
        <v/>
      </c>
      <c r="N55" s="11" t="inlineStr"/>
      <c r="O55" s="4" t="inlineStr"/>
      <c r="P55" s="4" t="inlineStr"/>
      <c r="Q55" s="4" t="inlineStr">
        <is>
          <t>https://happyharvesting.co.za/wp-content/uploads/2024/03/f01120blue-Photoroom.jpg</t>
        </is>
      </c>
      <c r="R55" s="4" t="inlineStr">
        <is>
          <t>2026-03-12</t>
        </is>
      </c>
      <c r="S55" s="4" t="inlineStr">
        <is>
          <t>Pre-loaded from WC export — fill in cost price</t>
        </is>
      </c>
    </row>
    <row r="56">
      <c r="A56" s="3" t="inlineStr"/>
      <c r="B56" s="12" t="inlineStr">
        <is>
          <t>F01120-BR</t>
        </is>
      </c>
      <c r="C56" s="12" t="inlineStr">
        <is>
          <t>19459</t>
        </is>
      </c>
      <c r="D56" s="12" t="inlineStr"/>
      <c r="E56" s="12" t="inlineStr">
        <is>
          <t>Micro Fibre Mat - Brown - 40x60cm</t>
        </is>
      </c>
      <c r="F56" s="12" t="inlineStr"/>
      <c r="G56" s="12" t="inlineStr"/>
      <c r="H56" s="12" t="inlineStr"/>
      <c r="I56" s="6" t="inlineStr"/>
      <c r="J56" s="7" t="n">
        <v>15</v>
      </c>
      <c r="K56" s="8">
        <f>IF(I56="","",I56*(1+J56/100))</f>
        <v/>
      </c>
      <c r="L56" s="13" t="n">
        <v>200</v>
      </c>
      <c r="M56" s="10">
        <f>IF(OR(L56="",K56="",L56=0),"",
  (L56-K56)/L56*100)</f>
        <v/>
      </c>
      <c r="N56" s="11" t="inlineStr"/>
      <c r="O56" s="12" t="inlineStr"/>
      <c r="P56" s="12" t="inlineStr"/>
      <c r="Q56" s="12" t="inlineStr">
        <is>
          <t>https://happyharvesting.co.za/wp-content/uploads/2024/03/f01120brown-Photoroom.jpg</t>
        </is>
      </c>
      <c r="R56" s="12" t="inlineStr">
        <is>
          <t>2026-03-12</t>
        </is>
      </c>
      <c r="S56" s="12" t="inlineStr">
        <is>
          <t>Pre-loaded from WC export — fill in cost price</t>
        </is>
      </c>
    </row>
    <row r="57">
      <c r="A57" s="3" t="inlineStr"/>
      <c r="B57" s="4" t="inlineStr">
        <is>
          <t>F01120-G</t>
        </is>
      </c>
      <c r="C57" s="4" t="inlineStr">
        <is>
          <t>19458</t>
        </is>
      </c>
      <c r="D57" s="4" t="inlineStr"/>
      <c r="E57" s="5" t="inlineStr">
        <is>
          <t>Micro Fibre Mat - Grey - 40x60cm</t>
        </is>
      </c>
      <c r="F57" s="4" t="inlineStr"/>
      <c r="G57" s="4" t="inlineStr"/>
      <c r="H57" s="4" t="inlineStr"/>
      <c r="I57" s="6" t="inlineStr"/>
      <c r="J57" s="7" t="n">
        <v>15</v>
      </c>
      <c r="K57" s="8">
        <f>IF(I57="","",I57*(1+J57/100))</f>
        <v/>
      </c>
      <c r="L57" s="9" t="n">
        <v>200</v>
      </c>
      <c r="M57" s="10">
        <f>IF(OR(L57="",K57="",L57=0),"",
  (L57-K57)/L57*100)</f>
        <v/>
      </c>
      <c r="N57" s="11" t="inlineStr"/>
      <c r="O57" s="4" t="inlineStr"/>
      <c r="P57" s="4" t="inlineStr"/>
      <c r="Q57" s="4" t="inlineStr">
        <is>
          <t>https://happyharvesting.co.za/wp-content/uploads/2024/03/f01120grey-Photoroom.jpg</t>
        </is>
      </c>
      <c r="R57" s="4" t="inlineStr">
        <is>
          <t>2026-03-12</t>
        </is>
      </c>
      <c r="S57" s="4" t="inlineStr">
        <is>
          <t>Pre-loaded from WC export — fill in cost price</t>
        </is>
      </c>
    </row>
    <row r="58">
      <c r="A58" s="3" t="inlineStr"/>
      <c r="B58" s="12" t="inlineStr">
        <is>
          <t>F01120-P</t>
        </is>
      </c>
      <c r="C58" s="12" t="inlineStr">
        <is>
          <t>19457</t>
        </is>
      </c>
      <c r="D58" s="12" t="inlineStr"/>
      <c r="E58" s="12" t="inlineStr">
        <is>
          <t>Micro Fibre Mat - Pink - 40x60cm</t>
        </is>
      </c>
      <c r="F58" s="12" t="inlineStr"/>
      <c r="G58" s="12" t="inlineStr"/>
      <c r="H58" s="12" t="inlineStr"/>
      <c r="I58" s="6" t="inlineStr"/>
      <c r="J58" s="7" t="n">
        <v>15</v>
      </c>
      <c r="K58" s="8">
        <f>IF(I58="","",I58*(1+J58/100))</f>
        <v/>
      </c>
      <c r="L58" s="13" t="n">
        <v>200</v>
      </c>
      <c r="M58" s="10">
        <f>IF(OR(L58="",K58="",L58=0),"",
  (L58-K58)/L58*100)</f>
        <v/>
      </c>
      <c r="N58" s="11" t="inlineStr"/>
      <c r="O58" s="12" t="inlineStr"/>
      <c r="P58" s="12" t="inlineStr"/>
      <c r="Q58" s="12" t="inlineStr">
        <is>
          <t>https://happyharvesting.co.za/wp-content/uploads/2024/03/f01120pink-Photoroom-1.jpg</t>
        </is>
      </c>
      <c r="R58" s="12" t="inlineStr">
        <is>
          <t>2026-03-12</t>
        </is>
      </c>
      <c r="S58" s="12" t="inlineStr">
        <is>
          <t>Pre-loaded from WC export — fill in cost price</t>
        </is>
      </c>
    </row>
    <row r="59">
      <c r="A59" s="3" t="inlineStr"/>
      <c r="B59" s="4" t="inlineStr">
        <is>
          <t>00794/04020-03</t>
        </is>
      </c>
      <c r="C59" s="4" t="inlineStr">
        <is>
          <t>14948</t>
        </is>
      </c>
      <c r="D59" s="4" t="inlineStr"/>
      <c r="E59" s="5" t="inlineStr">
        <is>
          <t>Milano Luxury Carpet - D/Blue / Navy</t>
        </is>
      </c>
      <c r="F59" s="4" t="inlineStr"/>
      <c r="G59" s="4" t="inlineStr"/>
      <c r="H59" s="4" t="inlineStr"/>
      <c r="I59" s="6" t="inlineStr"/>
      <c r="J59" s="7" t="n">
        <v>15</v>
      </c>
      <c r="K59" s="8">
        <f>IF(I59="","",I59*(1+J59/100))</f>
        <v/>
      </c>
      <c r="L59" s="9" t="n">
        <v>1200</v>
      </c>
      <c r="M59" s="10">
        <f>IF(OR(L59="",K59="",L59=0),"",
  (L59-K59)/L59*100)</f>
        <v/>
      </c>
      <c r="N59" s="11" t="inlineStr"/>
      <c r="O59" s="4" t="inlineStr"/>
      <c r="P59" s="4" t="inlineStr"/>
      <c r="Q59" s="4" t="inlineStr">
        <is>
          <t>https://happyharvesting.co.za/wp-content/uploads/2023/11/PhotoRoom-20231128_122131_1.png</t>
        </is>
      </c>
      <c r="R59" s="4" t="inlineStr">
        <is>
          <t>2026-03-12</t>
        </is>
      </c>
      <c r="S59" s="4" t="inlineStr">
        <is>
          <t>Pre-loaded from WC export — fill in cost price</t>
        </is>
      </c>
    </row>
    <row r="60">
      <c r="A60" s="3" t="inlineStr"/>
      <c r="B60" s="12" t="inlineStr">
        <is>
          <t>00794/04020-02</t>
        </is>
      </c>
      <c r="C60" s="12" t="inlineStr">
        <is>
          <t>14947</t>
        </is>
      </c>
      <c r="D60" s="12" t="inlineStr"/>
      <c r="E60" s="12" t="inlineStr">
        <is>
          <t>Milano Luxury Carpet - Green</t>
        </is>
      </c>
      <c r="F60" s="12" t="inlineStr"/>
      <c r="G60" s="12" t="inlineStr"/>
      <c r="H60" s="12" t="inlineStr"/>
      <c r="I60" s="6" t="inlineStr"/>
      <c r="J60" s="7" t="n">
        <v>15</v>
      </c>
      <c r="K60" s="8">
        <f>IF(I60="","",I60*(1+J60/100))</f>
        <v/>
      </c>
      <c r="L60" s="13" t="n">
        <v>980</v>
      </c>
      <c r="M60" s="10">
        <f>IF(OR(L60="",K60="",L60=0),"",
  (L60-K60)/L60*100)</f>
        <v/>
      </c>
      <c r="N60" s="11" t="inlineStr"/>
      <c r="O60" s="12" t="inlineStr"/>
      <c r="P60" s="12" t="inlineStr"/>
      <c r="Q60" s="12" t="inlineStr">
        <is>
          <t>https://happyharvesting.co.za/wp-content/uploads/2023/11/PhotoRoom-20231128_122132_6.png</t>
        </is>
      </c>
      <c r="R60" s="12" t="inlineStr">
        <is>
          <t>2026-03-12</t>
        </is>
      </c>
      <c r="S60" s="12" t="inlineStr">
        <is>
          <t>Pre-loaded from WC export — fill in cost price</t>
        </is>
      </c>
    </row>
    <row r="61">
      <c r="A61" s="3" t="inlineStr"/>
      <c r="B61" s="4" t="inlineStr">
        <is>
          <t>00794/04020-01</t>
        </is>
      </c>
      <c r="C61" s="4" t="inlineStr">
        <is>
          <t>14946</t>
        </is>
      </c>
      <c r="D61" s="4" t="inlineStr"/>
      <c r="E61" s="5" t="inlineStr">
        <is>
          <t>Milano Luxury Carpet - Red</t>
        </is>
      </c>
      <c r="F61" s="4" t="inlineStr"/>
      <c r="G61" s="4" t="inlineStr"/>
      <c r="H61" s="4" t="inlineStr"/>
      <c r="I61" s="6" t="inlineStr"/>
      <c r="J61" s="7" t="n">
        <v>15</v>
      </c>
      <c r="K61" s="8">
        <f>IF(I61="","",I61*(1+J61/100))</f>
        <v/>
      </c>
      <c r="L61" s="9" t="n">
        <v>1100</v>
      </c>
      <c r="M61" s="10">
        <f>IF(OR(L61="",K61="",L61=0),"",
  (L61-K61)/L61*100)</f>
        <v/>
      </c>
      <c r="N61" s="11" t="inlineStr"/>
      <c r="O61" s="4" t="inlineStr"/>
      <c r="P61" s="4" t="inlineStr"/>
      <c r="Q61" s="4" t="inlineStr">
        <is>
          <t>https://happyharvesting.co.za/wp-content/uploads/2023/11/PhotoRoom-20231128_115020_3.png</t>
        </is>
      </c>
      <c r="R61" s="4" t="inlineStr">
        <is>
          <t>2026-03-12</t>
        </is>
      </c>
      <c r="S61" s="4" t="inlineStr">
        <is>
          <t>Pre-loaded from WC export — fill in cost price</t>
        </is>
      </c>
    </row>
    <row r="62">
      <c r="A62" s="3" t="inlineStr"/>
      <c r="B62" s="12" t="inlineStr">
        <is>
          <t>F00790-B</t>
        </is>
      </c>
      <c r="C62" s="12" t="inlineStr">
        <is>
          <t>19506</t>
        </is>
      </c>
      <c r="D62" s="12" t="inlineStr"/>
      <c r="E62" s="12" t="inlineStr">
        <is>
          <t>PVC Candy Mats 47cm x 77cm - Black - Grey</t>
        </is>
      </c>
      <c r="F62" s="12" t="inlineStr"/>
      <c r="G62" s="12" t="inlineStr"/>
      <c r="H62" s="12" t="inlineStr"/>
      <c r="I62" s="6" t="inlineStr"/>
      <c r="J62" s="7" t="n">
        <v>15</v>
      </c>
      <c r="K62" s="8">
        <f>IF(I62="","",I62*(1+J62/100))</f>
        <v/>
      </c>
      <c r="L62" s="13" t="n">
        <v>200</v>
      </c>
      <c r="M62" s="10">
        <f>IF(OR(L62="",K62="",L62=0),"",
  (L62-K62)/L62*100)</f>
        <v/>
      </c>
      <c r="N62" s="11" t="inlineStr"/>
      <c r="O62" s="12" t="inlineStr"/>
      <c r="P62" s="12" t="inlineStr"/>
      <c r="Q62" s="12" t="inlineStr">
        <is>
          <t>https://happyharvesting.co.za/wp-content/uploads/2024/03/black-grey-Photoroom.jpg</t>
        </is>
      </c>
      <c r="R62" s="12" t="inlineStr">
        <is>
          <t>2026-03-12</t>
        </is>
      </c>
      <c r="S62" s="12" t="inlineStr">
        <is>
          <t>Pre-loaded from WC export — fill in cost price</t>
        </is>
      </c>
    </row>
    <row r="63">
      <c r="A63" s="3" t="inlineStr"/>
      <c r="B63" s="4" t="inlineStr">
        <is>
          <t>F00790-R</t>
        </is>
      </c>
      <c r="C63" s="4" t="inlineStr">
        <is>
          <t>19505</t>
        </is>
      </c>
      <c r="D63" s="4" t="inlineStr"/>
      <c r="E63" s="5" t="inlineStr">
        <is>
          <t>PVC Candy Mats 47cm x 77cm - Blue - Red - Grey</t>
        </is>
      </c>
      <c r="F63" s="4" t="inlineStr"/>
      <c r="G63" s="4" t="inlineStr"/>
      <c r="H63" s="4" t="inlineStr"/>
      <c r="I63" s="6" t="inlineStr"/>
      <c r="J63" s="7" t="n">
        <v>15</v>
      </c>
      <c r="K63" s="8">
        <f>IF(I63="","",I63*(1+J63/100))</f>
        <v/>
      </c>
      <c r="L63" s="9" t="n">
        <v>200</v>
      </c>
      <c r="M63" s="10">
        <f>IF(OR(L63="",K63="",L63=0),"",
  (L63-K63)/L63*100)</f>
        <v/>
      </c>
      <c r="N63" s="11" t="inlineStr"/>
      <c r="O63" s="4" t="inlineStr"/>
      <c r="P63" s="4" t="inlineStr"/>
      <c r="Q63" s="4" t="inlineStr">
        <is>
          <t>https://happyharvesting.co.za/wp-content/uploads/2024/03/bluered-grey-Photoroom.jpg</t>
        </is>
      </c>
      <c r="R63" s="4" t="inlineStr">
        <is>
          <t>2026-03-12</t>
        </is>
      </c>
      <c r="S63" s="4" t="inlineStr">
        <is>
          <t>Pre-loaded from WC export — fill in cost price</t>
        </is>
      </c>
    </row>
    <row r="64">
      <c r="A64" s="3" t="inlineStr"/>
      <c r="B64" s="12" t="inlineStr">
        <is>
          <t>F00790-G</t>
        </is>
      </c>
      <c r="C64" s="12" t="inlineStr">
        <is>
          <t>19507</t>
        </is>
      </c>
      <c r="D64" s="12" t="inlineStr"/>
      <c r="E64" s="12" t="inlineStr">
        <is>
          <t>PVC Candy Mats 47cm x 77cm - Grey</t>
        </is>
      </c>
      <c r="F64" s="12" t="inlineStr"/>
      <c r="G64" s="12" t="inlineStr"/>
      <c r="H64" s="12" t="inlineStr"/>
      <c r="I64" s="6" t="inlineStr"/>
      <c r="J64" s="7" t="n">
        <v>15</v>
      </c>
      <c r="K64" s="8">
        <f>IF(I64="","",I64*(1+J64/100))</f>
        <v/>
      </c>
      <c r="L64" s="13" t="n">
        <v>200</v>
      </c>
      <c r="M64" s="10">
        <f>IF(OR(L64="",K64="",L64=0),"",
  (L64-K64)/L64*100)</f>
        <v/>
      </c>
      <c r="N64" s="11" t="inlineStr"/>
      <c r="O64" s="12" t="inlineStr"/>
      <c r="P64" s="12" t="inlineStr"/>
      <c r="Q64" s="12" t="inlineStr">
        <is>
          <t>https://happyharvesting.co.za/wp-content/uploads/2024/03/grey-Photoroom.jpg</t>
        </is>
      </c>
      <c r="R64" s="12" t="inlineStr">
        <is>
          <t>2026-03-12</t>
        </is>
      </c>
      <c r="S64" s="12" t="inlineStr">
        <is>
          <t>Pre-loaded from WC export — fill in cost price</t>
        </is>
      </c>
    </row>
    <row r="65">
      <c r="A65" s="3" t="inlineStr"/>
      <c r="B65" s="4" t="inlineStr">
        <is>
          <t>F02438</t>
        </is>
      </c>
      <c r="C65" s="4" t="inlineStr">
        <is>
          <t>21142</t>
        </is>
      </c>
      <c r="D65" s="4" t="inlineStr"/>
      <c r="E65" s="5" t="inlineStr">
        <is>
          <t>Pick / Cutter Mattock - Cutter Mattock</t>
        </is>
      </c>
      <c r="F65" s="4" t="inlineStr"/>
      <c r="G65" s="4" t="inlineStr"/>
      <c r="H65" s="4" t="inlineStr"/>
      <c r="I65" s="6" t="inlineStr"/>
      <c r="J65" s="7" t="n">
        <v>15</v>
      </c>
      <c r="K65" s="8">
        <f>IF(I65="","",I65*(1+J65/100))</f>
        <v/>
      </c>
      <c r="L65" s="9" t="n">
        <v>185</v>
      </c>
      <c r="M65" s="10">
        <f>IF(OR(L65="",K65="",L65=0),"",
  (L65-K65)/L65*100)</f>
        <v/>
      </c>
      <c r="N65" s="11" t="inlineStr"/>
      <c r="O65" s="4" t="inlineStr"/>
      <c r="P65" s="4" t="inlineStr"/>
      <c r="Q65" s="4" t="inlineStr">
        <is>
          <t>https://happyharvesting.co.za/wp-content/uploads/2024/06/FG00305-a9d0d1.jpg</t>
        </is>
      </c>
      <c r="R65" s="4" t="inlineStr">
        <is>
          <t>2026-03-12</t>
        </is>
      </c>
      <c r="S65" s="4" t="inlineStr">
        <is>
          <t>Pre-loaded from WC export — fill in cost price</t>
        </is>
      </c>
    </row>
    <row r="66">
      <c r="A66" s="3" t="inlineStr"/>
      <c r="B66" s="12" t="inlineStr">
        <is>
          <t>F02439</t>
        </is>
      </c>
      <c r="C66" s="12" t="inlineStr">
        <is>
          <t>21141</t>
        </is>
      </c>
      <c r="D66" s="12" t="inlineStr"/>
      <c r="E66" s="12" t="inlineStr">
        <is>
          <t>Pick / Cutter Mattock - Pick Mattock</t>
        </is>
      </c>
      <c r="F66" s="12" t="inlineStr"/>
      <c r="G66" s="12" t="inlineStr"/>
      <c r="H66" s="12" t="inlineStr"/>
      <c r="I66" s="6" t="inlineStr"/>
      <c r="J66" s="7" t="n">
        <v>15</v>
      </c>
      <c r="K66" s="8">
        <f>IF(I66="","",I66*(1+J66/100))</f>
        <v/>
      </c>
      <c r="L66" s="13" t="n">
        <v>180</v>
      </c>
      <c r="M66" s="10">
        <f>IF(OR(L66="",K66="",L66=0),"",
  (L66-K66)/L66*100)</f>
        <v/>
      </c>
      <c r="N66" s="11" t="inlineStr"/>
      <c r="O66" s="12" t="inlineStr"/>
      <c r="P66" s="12" t="inlineStr"/>
      <c r="Q66" s="12" t="inlineStr">
        <is>
          <t>https://happyharvesting.co.za/wp-content/uploads/2024/06/pick.jpg</t>
        </is>
      </c>
      <c r="R66" s="12" t="inlineStr">
        <is>
          <t>2026-03-12</t>
        </is>
      </c>
      <c r="S66" s="12" t="inlineStr">
        <is>
          <t>Pre-loaded from WC export — fill in cost price</t>
        </is>
      </c>
    </row>
    <row r="67">
      <c r="A67" s="3" t="inlineStr"/>
      <c r="B67" s="4" t="inlineStr">
        <is>
          <t>B9T5413048-03</t>
        </is>
      </c>
      <c r="C67" s="4" t="inlineStr">
        <is>
          <t>13058</t>
        </is>
      </c>
      <c r="D67" s="4" t="inlineStr"/>
      <c r="E67" s="5" t="inlineStr">
        <is>
          <t>Plush Bathroom Mat - Lavender</t>
        </is>
      </c>
      <c r="F67" s="4" t="inlineStr"/>
      <c r="G67" s="4" t="inlineStr"/>
      <c r="H67" s="4" t="inlineStr"/>
      <c r="I67" s="6" t="inlineStr"/>
      <c r="J67" s="7" t="n">
        <v>15</v>
      </c>
      <c r="K67" s="8">
        <f>IF(I67="","",I67*(1+J67/100))</f>
        <v/>
      </c>
      <c r="L67" s="9" t="n">
        <v>150</v>
      </c>
      <c r="M67" s="10">
        <f>IF(OR(L67="",K67="",L67=0),"",
  (L67-K67)/L67*100)</f>
        <v/>
      </c>
      <c r="N67" s="11" t="inlineStr"/>
      <c r="O67" s="4" t="inlineStr"/>
      <c r="P67" s="4" t="inlineStr"/>
      <c r="Q67" s="4" t="inlineStr">
        <is>
          <t>https://happyharvesting.co.za/wp-content/uploads/2023/07/29-1.png</t>
        </is>
      </c>
      <c r="R67" s="4" t="inlineStr">
        <is>
          <t>2026-03-12</t>
        </is>
      </c>
      <c r="S67" s="4" t="inlineStr">
        <is>
          <t>Pre-loaded from WC export — fill in cost price</t>
        </is>
      </c>
    </row>
    <row r="68">
      <c r="A68" s="3" t="inlineStr"/>
      <c r="B68" s="12" t="inlineStr">
        <is>
          <t>B9T5413048-02</t>
        </is>
      </c>
      <c r="C68" s="12" t="inlineStr">
        <is>
          <t>13057</t>
        </is>
      </c>
      <c r="D68" s="12" t="inlineStr"/>
      <c r="E68" s="12" t="inlineStr">
        <is>
          <t>Plush Bathroom Mat - Lilac</t>
        </is>
      </c>
      <c r="F68" s="12" t="inlineStr"/>
      <c r="G68" s="12" t="inlineStr"/>
      <c r="H68" s="12" t="inlineStr"/>
      <c r="I68" s="6" t="inlineStr"/>
      <c r="J68" s="7" t="n">
        <v>15</v>
      </c>
      <c r="K68" s="8">
        <f>IF(I68="","",I68*(1+J68/100))</f>
        <v/>
      </c>
      <c r="L68" s="13" t="n">
        <v>150</v>
      </c>
      <c r="M68" s="10">
        <f>IF(OR(L68="",K68="",L68=0),"",
  (L68-K68)/L68*100)</f>
        <v/>
      </c>
      <c r="N68" s="11" t="inlineStr"/>
      <c r="O68" s="12" t="inlineStr"/>
      <c r="P68" s="12" t="inlineStr"/>
      <c r="Q68" s="12" t="inlineStr">
        <is>
          <t>https://happyharvesting.co.za/wp-content/uploads/2023/07/28-1.png</t>
        </is>
      </c>
      <c r="R68" s="12" t="inlineStr">
        <is>
          <t>2026-03-12</t>
        </is>
      </c>
      <c r="S68" s="12" t="inlineStr">
        <is>
          <t>Pre-loaded from WC export — fill in cost price</t>
        </is>
      </c>
    </row>
    <row r="69">
      <c r="A69" s="3" t="inlineStr"/>
      <c r="B69" s="4" t="inlineStr">
        <is>
          <t>B9T5413048-01</t>
        </is>
      </c>
      <c r="C69" s="4" t="inlineStr">
        <is>
          <t>13056</t>
        </is>
      </c>
      <c r="D69" s="4" t="inlineStr"/>
      <c r="E69" s="5" t="inlineStr">
        <is>
          <t>Plush Bathroom Mat - Pink</t>
        </is>
      </c>
      <c r="F69" s="4" t="inlineStr"/>
      <c r="G69" s="4" t="inlineStr"/>
      <c r="H69" s="4" t="inlineStr"/>
      <c r="I69" s="6" t="inlineStr"/>
      <c r="J69" s="7" t="n">
        <v>15</v>
      </c>
      <c r="K69" s="8">
        <f>IF(I69="","",I69*(1+J69/100))</f>
        <v/>
      </c>
      <c r="L69" s="9" t="n">
        <v>150</v>
      </c>
      <c r="M69" s="10">
        <f>IF(OR(L69="",K69="",L69=0),"",
  (L69-K69)/L69*100)</f>
        <v/>
      </c>
      <c r="N69" s="11" t="inlineStr"/>
      <c r="O69" s="4" t="inlineStr"/>
      <c r="P69" s="4" t="inlineStr"/>
      <c r="Q69" s="4" t="inlineStr">
        <is>
          <t>https://happyharvesting.co.za/wp-content/uploads/2023/07/27-1.png</t>
        </is>
      </c>
      <c r="R69" s="4" t="inlineStr">
        <is>
          <t>2026-03-12</t>
        </is>
      </c>
      <c r="S69" s="4" t="inlineStr">
        <is>
          <t>Pre-loaded from WC export — fill in cost price</t>
        </is>
      </c>
    </row>
    <row r="70">
      <c r="A70" s="3" t="inlineStr"/>
      <c r="B70" s="12" t="inlineStr">
        <is>
          <t>B9T5413048-04</t>
        </is>
      </c>
      <c r="C70" s="12" t="inlineStr">
        <is>
          <t>13059</t>
        </is>
      </c>
      <c r="D70" s="12" t="inlineStr"/>
      <c r="E70" s="12" t="inlineStr">
        <is>
          <t>Plush Bathroom Mat - Purple</t>
        </is>
      </c>
      <c r="F70" s="12" t="inlineStr"/>
      <c r="G70" s="12" t="inlineStr"/>
      <c r="H70" s="12" t="inlineStr"/>
      <c r="I70" s="6" t="inlineStr"/>
      <c r="J70" s="7" t="n">
        <v>15</v>
      </c>
      <c r="K70" s="8">
        <f>IF(I70="","",I70*(1+J70/100))</f>
        <v/>
      </c>
      <c r="L70" s="13" t="n">
        <v>150</v>
      </c>
      <c r="M70" s="10">
        <f>IF(OR(L70="",K70="",L70=0),"",
  (L70-K70)/L70*100)</f>
        <v/>
      </c>
      <c r="N70" s="11" t="inlineStr"/>
      <c r="O70" s="12" t="inlineStr"/>
      <c r="P70" s="12" t="inlineStr"/>
      <c r="Q70" s="12" t="inlineStr">
        <is>
          <t>https://happyharvesting.co.za/wp-content/uploads/2023/07/Takealot.png</t>
        </is>
      </c>
      <c r="R70" s="12" t="inlineStr">
        <is>
          <t>2026-03-12</t>
        </is>
      </c>
      <c r="S70" s="12" t="inlineStr">
        <is>
          <t>Pre-loaded from WC export — fill in cost price</t>
        </is>
      </c>
    </row>
    <row r="71">
      <c r="A71" s="3" t="inlineStr"/>
      <c r="B71" s="4" t="inlineStr">
        <is>
          <t>FSG/GSG-01</t>
        </is>
      </c>
      <c r="C71" s="4" t="inlineStr">
        <is>
          <t>15680</t>
        </is>
      </c>
      <c r="D71" s="4" t="inlineStr"/>
      <c r="E71" s="5" t="inlineStr">
        <is>
          <t>Santa Material Mask Glasses - Fabric</t>
        </is>
      </c>
      <c r="F71" s="4" t="inlineStr"/>
      <c r="G71" s="4" t="inlineStr"/>
      <c r="H71" s="4" t="inlineStr"/>
      <c r="I71" s="6" t="inlineStr"/>
      <c r="J71" s="7" t="n">
        <v>15</v>
      </c>
      <c r="K71" s="8">
        <f>IF(I71="","",I71*(1+J71/100))</f>
        <v/>
      </c>
      <c r="L71" s="9" t="n">
        <v>50</v>
      </c>
      <c r="M71" s="10">
        <f>IF(OR(L71="",K71="",L71=0),"",
  (L71-K71)/L71*100)</f>
        <v/>
      </c>
      <c r="N71" s="11" t="inlineStr"/>
      <c r="O71" s="4" t="inlineStr"/>
      <c r="P71" s="4" t="inlineStr"/>
      <c r="Q71" s="4" t="inlineStr">
        <is>
          <t>https://happyharvesting.co.za/wp-content/uploads/2023/12/Photo-2023-12-08-23-54-52.jpg</t>
        </is>
      </c>
      <c r="R71" s="4" t="inlineStr">
        <is>
          <t>2026-03-12</t>
        </is>
      </c>
      <c r="S71" s="4" t="inlineStr">
        <is>
          <t>Pre-loaded from WC export — fill in cost price</t>
        </is>
      </c>
    </row>
    <row r="72">
      <c r="A72" s="3" t="inlineStr"/>
      <c r="B72" s="12" t="inlineStr">
        <is>
          <t>FSG/GSG-02</t>
        </is>
      </c>
      <c r="C72" s="12" t="inlineStr">
        <is>
          <t>15681</t>
        </is>
      </c>
      <c r="D72" s="12" t="inlineStr"/>
      <c r="E72" s="12" t="inlineStr">
        <is>
          <t>Santa Material Mask Glasses - Glitter</t>
        </is>
      </c>
      <c r="F72" s="12" t="inlineStr"/>
      <c r="G72" s="12" t="inlineStr"/>
      <c r="H72" s="12" t="inlineStr"/>
      <c r="I72" s="6" t="inlineStr"/>
      <c r="J72" s="7" t="n">
        <v>15</v>
      </c>
      <c r="K72" s="8">
        <f>IF(I72="","",I72*(1+J72/100))</f>
        <v/>
      </c>
      <c r="L72" s="13" t="n">
        <v>50</v>
      </c>
      <c r="M72" s="10">
        <f>IF(OR(L72="",K72="",L72=0),"",
  (L72-K72)/L72*100)</f>
        <v/>
      </c>
      <c r="N72" s="11" t="inlineStr"/>
      <c r="O72" s="12" t="inlineStr"/>
      <c r="P72" s="12" t="inlineStr"/>
      <c r="Q72" s="12" t="inlineStr">
        <is>
          <t>https://happyharvesting.co.za/wp-content/uploads/2023/12/Photo-2023-12-08-23-54-56.jpg</t>
        </is>
      </c>
      <c r="R72" s="12" t="inlineStr">
        <is>
          <t>2026-03-12</t>
        </is>
      </c>
      <c r="S72" s="12" t="inlineStr">
        <is>
          <t>Pre-loaded from WC export — fill in cost price</t>
        </is>
      </c>
    </row>
    <row r="73">
      <c r="A73" s="3" t="inlineStr"/>
      <c r="B73" s="4" t="inlineStr">
        <is>
          <t>6445714380-01</t>
        </is>
      </c>
      <c r="C73" s="4" t="inlineStr">
        <is>
          <t>14381</t>
        </is>
      </c>
      <c r="D73" s="4" t="inlineStr"/>
      <c r="E73" s="5" t="inlineStr">
        <is>
          <t>Sophisticated Home Rug - Navy blue and light brown</t>
        </is>
      </c>
      <c r="F73" s="4" t="inlineStr"/>
      <c r="G73" s="4" t="inlineStr"/>
      <c r="H73" s="4" t="inlineStr"/>
      <c r="I73" s="6" t="inlineStr"/>
      <c r="J73" s="7" t="n">
        <v>15</v>
      </c>
      <c r="K73" s="8">
        <f>IF(I73="","",I73*(1+J73/100))</f>
        <v/>
      </c>
      <c r="L73" s="9" t="n">
        <v>1500</v>
      </c>
      <c r="M73" s="10">
        <f>IF(OR(L73="",K73="",L73=0),"",
  (L73-K73)/L73*100)</f>
        <v/>
      </c>
      <c r="N73" s="11" t="inlineStr"/>
      <c r="O73" s="4" t="inlineStr"/>
      <c r="P73" s="4" t="inlineStr"/>
      <c r="Q73" s="4" t="inlineStr">
        <is>
          <t>https://happyharvesting.co.za/wp-content/uploads/2023/11/PhotoRoom-20231111_163920.jpg</t>
        </is>
      </c>
      <c r="R73" s="4" t="inlineStr">
        <is>
          <t>2026-03-12</t>
        </is>
      </c>
      <c r="S73" s="4" t="inlineStr">
        <is>
          <t>Pre-loaded from WC export — fill in cost price</t>
        </is>
      </c>
    </row>
    <row r="74">
      <c r="A74" s="3" t="inlineStr"/>
      <c r="B74" s="12" t="inlineStr">
        <is>
          <t>1X2YK14383-01</t>
        </is>
      </c>
      <c r="C74" s="12" t="inlineStr">
        <is>
          <t>14384</t>
        </is>
      </c>
      <c r="D74" s="12" t="inlineStr"/>
      <c r="E74" s="12" t="inlineStr">
        <is>
          <t>Sophisticated Home Rug - Patterns</t>
        </is>
      </c>
      <c r="F74" s="12" t="inlineStr"/>
      <c r="G74" s="12" t="inlineStr"/>
      <c r="H74" s="12" t="inlineStr"/>
      <c r="I74" s="6" t="inlineStr"/>
      <c r="J74" s="7" t="n">
        <v>15</v>
      </c>
      <c r="K74" s="8">
        <f>IF(I74="","",I74*(1+J74/100))</f>
        <v/>
      </c>
      <c r="L74" s="13" t="n">
        <v>1500</v>
      </c>
      <c r="M74" s="10">
        <f>IF(OR(L74="",K74="",L74=0),"",
  (L74-K74)/L74*100)</f>
        <v/>
      </c>
      <c r="N74" s="11" t="inlineStr"/>
      <c r="O74" s="12" t="inlineStr"/>
      <c r="P74" s="12" t="inlineStr"/>
      <c r="Q74" s="12" t="inlineStr">
        <is>
          <t>https://happyharvesting.co.za/wp-content/uploads/2023/11/PhotoRoom-20231111_230040.jpg</t>
        </is>
      </c>
      <c r="R74" s="12" t="inlineStr">
        <is>
          <t>2026-03-12</t>
        </is>
      </c>
      <c r="S74" s="12" t="inlineStr">
        <is>
          <t>Pre-loaded from WC export — fill in cost price</t>
        </is>
      </c>
    </row>
    <row r="75">
      <c r="A75" s="3" t="inlineStr"/>
      <c r="B75" s="4" t="inlineStr">
        <is>
          <t>6445714380-02</t>
        </is>
      </c>
      <c r="C75" s="4" t="inlineStr">
        <is>
          <t>14382</t>
        </is>
      </c>
      <c r="D75" s="4" t="inlineStr"/>
      <c r="E75" s="5" t="inlineStr">
        <is>
          <t>Sophisticated Home Rug - Red and Cream</t>
        </is>
      </c>
      <c r="F75" s="4" t="inlineStr"/>
      <c r="G75" s="4" t="inlineStr"/>
      <c r="H75" s="4" t="inlineStr"/>
      <c r="I75" s="6" t="inlineStr"/>
      <c r="J75" s="7" t="n">
        <v>15</v>
      </c>
      <c r="K75" s="8">
        <f>IF(I75="","",I75*(1+J75/100))</f>
        <v/>
      </c>
      <c r="L75" s="9" t="n">
        <v>1500</v>
      </c>
      <c r="M75" s="10">
        <f>IF(OR(L75="",K75="",L75=0),"",
  (L75-K75)/L75*100)</f>
        <v/>
      </c>
      <c r="N75" s="11" t="inlineStr"/>
      <c r="O75" s="4" t="inlineStr"/>
      <c r="P75" s="4" t="inlineStr"/>
      <c r="Q75" s="4" t="inlineStr">
        <is>
          <t>https://happyharvesting.co.za/wp-content/uploads/2023/11/PhotoRoom-20231111_163806.jpg</t>
        </is>
      </c>
      <c r="R75" s="4" t="inlineStr">
        <is>
          <t>2026-03-12</t>
        </is>
      </c>
      <c r="S75" s="4" t="inlineStr">
        <is>
          <t>Pre-loaded from WC export — fill in cost price</t>
        </is>
      </c>
    </row>
    <row r="76">
      <c r="A76" s="3" t="inlineStr"/>
      <c r="B76" s="12" t="inlineStr">
        <is>
          <t>1X2YK14383-02</t>
        </is>
      </c>
      <c r="C76" s="12" t="inlineStr">
        <is>
          <t>14385</t>
        </is>
      </c>
      <c r="D76" s="12" t="inlineStr"/>
      <c r="E76" s="12" t="inlineStr">
        <is>
          <t>Sophisticated Home Rug - lines</t>
        </is>
      </c>
      <c r="F76" s="12" t="inlineStr"/>
      <c r="G76" s="12" t="inlineStr"/>
      <c r="H76" s="12" t="inlineStr"/>
      <c r="I76" s="6" t="inlineStr"/>
      <c r="J76" s="7" t="n">
        <v>15</v>
      </c>
      <c r="K76" s="8">
        <f>IF(I76="","",I76*(1+J76/100))</f>
        <v/>
      </c>
      <c r="L76" s="13" t="n">
        <v>1500</v>
      </c>
      <c r="M76" s="10">
        <f>IF(OR(L76="",K76="",L76=0),"",
  (L76-K76)/L76*100)</f>
        <v/>
      </c>
      <c r="N76" s="11" t="inlineStr"/>
      <c r="O76" s="12" t="inlineStr"/>
      <c r="P76" s="12" t="inlineStr"/>
      <c r="Q76" s="12" t="inlineStr">
        <is>
          <t>https://happyharvesting.co.za/wp-content/uploads/2023/11/PhotoRoom-20231111_230003.jpg</t>
        </is>
      </c>
      <c r="R76" s="12" t="inlineStr">
        <is>
          <t>2026-03-12</t>
        </is>
      </c>
      <c r="S76" s="12" t="inlineStr">
        <is>
          <t>Pre-loaded from WC export — fill in cost price</t>
        </is>
      </c>
    </row>
    <row r="77">
      <c r="A77" s="3" t="inlineStr"/>
      <c r="B77" s="4" t="inlineStr">
        <is>
          <t>F00201-01</t>
        </is>
      </c>
      <c r="C77" s="4" t="inlineStr">
        <is>
          <t>32168</t>
        </is>
      </c>
      <c r="D77" s="4" t="inlineStr"/>
      <c r="E77" s="5" t="inlineStr">
        <is>
          <t>Table mat - Black</t>
        </is>
      </c>
      <c r="F77" s="4" t="inlineStr"/>
      <c r="G77" s="4" t="inlineStr"/>
      <c r="H77" s="4" t="inlineStr"/>
      <c r="I77" s="6" t="inlineStr"/>
      <c r="J77" s="7" t="n">
        <v>15</v>
      </c>
      <c r="K77" s="8">
        <f>IF(I77="","",I77*(1+J77/100))</f>
        <v/>
      </c>
      <c r="L77" s="9" t="n">
        <v>12.95</v>
      </c>
      <c r="M77" s="10">
        <f>IF(OR(L77="",K77="",L77=0),"",
  (L77-K77)/L77*100)</f>
        <v/>
      </c>
      <c r="N77" s="11" t="inlineStr"/>
      <c r="O77" s="4" t="inlineStr"/>
      <c r="P77" s="4" t="inlineStr"/>
      <c r="Q77" s="4" t="inlineStr"/>
      <c r="R77" s="4" t="inlineStr">
        <is>
          <t>2026-03-12</t>
        </is>
      </c>
      <c r="S77" s="4" t="inlineStr">
        <is>
          <t>Pre-loaded from WC export — fill in cost price</t>
        </is>
      </c>
    </row>
    <row r="78">
      <c r="A78" s="3" t="inlineStr"/>
      <c r="B78" s="12" t="inlineStr">
        <is>
          <t>F00201</t>
        </is>
      </c>
      <c r="C78" s="12" t="inlineStr">
        <is>
          <t>32169</t>
        </is>
      </c>
      <c r="D78" s="12" t="inlineStr"/>
      <c r="E78" s="12" t="inlineStr">
        <is>
          <t>Table mat - Silver</t>
        </is>
      </c>
      <c r="F78" s="12" t="inlineStr"/>
      <c r="G78" s="12" t="inlineStr"/>
      <c r="H78" s="12" t="inlineStr"/>
      <c r="I78" s="6" t="inlineStr"/>
      <c r="J78" s="7" t="n">
        <v>15</v>
      </c>
      <c r="K78" s="8">
        <f>IF(I78="","",I78*(1+J78/100))</f>
        <v/>
      </c>
      <c r="L78" s="13" t="n">
        <v>12.95</v>
      </c>
      <c r="M78" s="10">
        <f>IF(OR(L78="",K78="",L78=0),"",
  (L78-K78)/L78*100)</f>
        <v/>
      </c>
      <c r="N78" s="11" t="inlineStr"/>
      <c r="O78" s="12" t="inlineStr"/>
      <c r="P78" s="12" t="inlineStr"/>
      <c r="Q78" s="12" t="inlineStr"/>
      <c r="R78" s="12" t="inlineStr">
        <is>
          <t>2026-03-12</t>
        </is>
      </c>
      <c r="S78" s="12" t="inlineStr">
        <is>
          <t>Pre-loaded from WC export — fill in cost price</t>
        </is>
      </c>
    </row>
    <row r="79">
      <c r="A79" s="3" t="inlineStr"/>
      <c r="B79" s="4" t="inlineStr">
        <is>
          <t>2622B/2409BLK/2622R/2622P/2622G-02</t>
        </is>
      </c>
      <c r="C79" s="4" t="inlineStr">
        <is>
          <t>14964</t>
        </is>
      </c>
      <c r="D79" s="4" t="inlineStr"/>
      <c r="E79" s="5" t="inlineStr">
        <is>
          <t>Turkish Emporium Rug - Black</t>
        </is>
      </c>
      <c r="F79" s="4" t="inlineStr"/>
      <c r="G79" s="4" t="inlineStr"/>
      <c r="H79" s="4" t="inlineStr"/>
      <c r="I79" s="6" t="inlineStr"/>
      <c r="J79" s="7" t="n">
        <v>15</v>
      </c>
      <c r="K79" s="8">
        <f>IF(I79="","",I79*(1+J79/100))</f>
        <v/>
      </c>
      <c r="L79" s="9" t="n">
        <v>850</v>
      </c>
      <c r="M79" s="10">
        <f>IF(OR(L79="",K79="",L79=0),"",
  (L79-K79)/L79*100)</f>
        <v/>
      </c>
      <c r="N79" s="11" t="inlineStr"/>
      <c r="O79" s="4" t="inlineStr"/>
      <c r="P79" s="4" t="inlineStr"/>
      <c r="Q79" s="4" t="inlineStr">
        <is>
          <t>https://happyharvesting.co.za/wp-content/uploads/2023/11/PhotoRoom_005_20231121_174301-1.jpg</t>
        </is>
      </c>
      <c r="R79" s="4" t="inlineStr">
        <is>
          <t>2026-03-12</t>
        </is>
      </c>
      <c r="S79" s="4" t="inlineStr">
        <is>
          <t>Pre-loaded from WC export — fill in cost price</t>
        </is>
      </c>
    </row>
    <row r="80">
      <c r="A80" s="3" t="inlineStr"/>
      <c r="B80" s="12" t="inlineStr">
        <is>
          <t>2622B/2409BLK/2622R/2622P/2622G-05</t>
        </is>
      </c>
      <c r="C80" s="12" t="inlineStr">
        <is>
          <t>14967</t>
        </is>
      </c>
      <c r="D80" s="12" t="inlineStr"/>
      <c r="E80" s="12" t="inlineStr">
        <is>
          <t>Turkish Emporium Rug - Grey/Black</t>
        </is>
      </c>
      <c r="F80" s="12" t="inlineStr"/>
      <c r="G80" s="12" t="inlineStr"/>
      <c r="H80" s="12" t="inlineStr"/>
      <c r="I80" s="6" t="inlineStr"/>
      <c r="J80" s="7" t="n">
        <v>15</v>
      </c>
      <c r="K80" s="8">
        <f>IF(I80="","",I80*(1+J80/100))</f>
        <v/>
      </c>
      <c r="L80" s="13" t="n">
        <v>850</v>
      </c>
      <c r="M80" s="10">
        <f>IF(OR(L80="",K80="",L80=0),"",
  (L80-K80)/L80*100)</f>
        <v/>
      </c>
      <c r="N80" s="11" t="inlineStr"/>
      <c r="O80" s="12" t="inlineStr"/>
      <c r="P80" s="12" t="inlineStr"/>
      <c r="Q80" s="12" t="inlineStr">
        <is>
          <t>https://happyharvesting.co.za/wp-content/uploads/2023/11/PhotoRoom-20231128_143016_7.png</t>
        </is>
      </c>
      <c r="R80" s="12" t="inlineStr">
        <is>
          <t>2026-03-12</t>
        </is>
      </c>
      <c r="S80" s="12" t="inlineStr">
        <is>
          <t>Pre-loaded from WC export — fill in cost price</t>
        </is>
      </c>
    </row>
    <row r="81">
      <c r="A81" s="3" t="inlineStr"/>
      <c r="B81" s="4" t="inlineStr">
        <is>
          <t>2622B/2409BLK/2622R/2622P/2622G-04</t>
        </is>
      </c>
      <c r="C81" s="4" t="inlineStr">
        <is>
          <t>14966</t>
        </is>
      </c>
      <c r="D81" s="4" t="inlineStr"/>
      <c r="E81" s="5" t="inlineStr">
        <is>
          <t>Turkish Emporium Rug - Purple</t>
        </is>
      </c>
      <c r="F81" s="4" t="inlineStr"/>
      <c r="G81" s="4" t="inlineStr"/>
      <c r="H81" s="4" t="inlineStr"/>
      <c r="I81" s="6" t="inlineStr"/>
      <c r="J81" s="7" t="n">
        <v>15</v>
      </c>
      <c r="K81" s="8">
        <f>IF(I81="","",I81*(1+J81/100))</f>
        <v/>
      </c>
      <c r="L81" s="9" t="n">
        <v>850</v>
      </c>
      <c r="M81" s="10">
        <f>IF(OR(L81="",K81="",L81=0),"",
  (L81-K81)/L81*100)</f>
        <v/>
      </c>
      <c r="N81" s="11" t="inlineStr"/>
      <c r="O81" s="4" t="inlineStr"/>
      <c r="P81" s="4" t="inlineStr"/>
      <c r="Q81" s="4" t="inlineStr">
        <is>
          <t>https://happyharvesting.co.za/wp-content/uploads/2023/11/PhotoRoom-20231128_143016_9-1.png</t>
        </is>
      </c>
      <c r="R81" s="4" t="inlineStr">
        <is>
          <t>2026-03-12</t>
        </is>
      </c>
      <c r="S81" s="4" t="inlineStr">
        <is>
          <t>Pre-loaded from WC export — fill in cost price</t>
        </is>
      </c>
    </row>
    <row r="82">
      <c r="A82" s="3" t="inlineStr"/>
      <c r="B82" s="12" t="inlineStr">
        <is>
          <t>2622B/2409BLK/2622R/2622P/2622G-03</t>
        </is>
      </c>
      <c r="C82" s="12" t="inlineStr">
        <is>
          <t>14965</t>
        </is>
      </c>
      <c r="D82" s="12" t="inlineStr"/>
      <c r="E82" s="12" t="inlineStr">
        <is>
          <t>Turkish Emporium Rug - RED</t>
        </is>
      </c>
      <c r="F82" s="12" t="inlineStr"/>
      <c r="G82" s="12" t="inlineStr"/>
      <c r="H82" s="12" t="inlineStr"/>
      <c r="I82" s="6" t="inlineStr"/>
      <c r="J82" s="7" t="n">
        <v>15</v>
      </c>
      <c r="K82" s="8">
        <f>IF(I82="","",I82*(1+J82/100))</f>
        <v/>
      </c>
      <c r="L82" s="13" t="n">
        <v>850</v>
      </c>
      <c r="M82" s="10">
        <f>IF(OR(L82="",K82="",L82=0),"",
  (L82-K82)/L82*100)</f>
        <v/>
      </c>
      <c r="N82" s="11" t="inlineStr"/>
      <c r="O82" s="12" t="inlineStr"/>
      <c r="P82" s="12" t="inlineStr"/>
      <c r="Q82" s="12" t="inlineStr">
        <is>
          <t>https://happyharvesting.co.za/wp-content/uploads/2023/11/PhotoRoom-20231128_134701_3.png</t>
        </is>
      </c>
      <c r="R82" s="12" t="inlineStr">
        <is>
          <t>2026-03-12</t>
        </is>
      </c>
      <c r="S82" s="12" t="inlineStr">
        <is>
          <t>Pre-loaded from WC export — fill in cost price</t>
        </is>
      </c>
    </row>
    <row r="83">
      <c r="A83" s="3" t="inlineStr"/>
      <c r="B83" s="4" t="inlineStr">
        <is>
          <t>2622B/2409BLK/2622R/2622P/2622G-01</t>
        </is>
      </c>
      <c r="C83" s="4" t="inlineStr">
        <is>
          <t>14963</t>
        </is>
      </c>
      <c r="D83" s="4" t="inlineStr"/>
      <c r="E83" s="5" t="inlineStr">
        <is>
          <t>Turkish Emporium Rug - Turq/Blue</t>
        </is>
      </c>
      <c r="F83" s="4" t="inlineStr"/>
      <c r="G83" s="4" t="inlineStr"/>
      <c r="H83" s="4" t="inlineStr"/>
      <c r="I83" s="6" t="inlineStr"/>
      <c r="J83" s="7" t="n">
        <v>15</v>
      </c>
      <c r="K83" s="8">
        <f>IF(I83="","",I83*(1+J83/100))</f>
        <v/>
      </c>
      <c r="L83" s="9" t="n">
        <v>850</v>
      </c>
      <c r="M83" s="10">
        <f>IF(OR(L83="",K83="",L83=0),"",
  (L83-K83)/L83*100)</f>
        <v/>
      </c>
      <c r="N83" s="11" t="inlineStr"/>
      <c r="O83" s="4" t="inlineStr"/>
      <c r="P83" s="4" t="inlineStr"/>
      <c r="Q83" s="4" t="inlineStr">
        <is>
          <t>https://happyharvesting.co.za/wp-content/uploads/2023/11/PhotoRoom-20231128_134702_6.png</t>
        </is>
      </c>
      <c r="R83" s="4" t="inlineStr">
        <is>
          <t>2026-03-12</t>
        </is>
      </c>
      <c r="S83" s="4" t="inlineStr">
        <is>
          <t>Pre-loaded from WC export — fill in cost price</t>
        </is>
      </c>
    </row>
    <row r="84">
      <c r="A84" s="3" t="inlineStr"/>
      <c r="B84" s="12" t="inlineStr">
        <is>
          <t>F02484A</t>
        </is>
      </c>
      <c r="C84" s="12" t="inlineStr">
        <is>
          <t>22448</t>
        </is>
      </c>
      <c r="D84" s="12" t="inlineStr"/>
      <c r="E84" s="12" t="inlineStr">
        <is>
          <t>Wall panels - UV Sheets - MATRIX GRIS A</t>
        </is>
      </c>
      <c r="F84" s="12" t="inlineStr"/>
      <c r="G84" s="12" t="inlineStr"/>
      <c r="H84" s="12" t="inlineStr"/>
      <c r="I84" s="6" t="inlineStr"/>
      <c r="J84" s="7" t="n">
        <v>15</v>
      </c>
      <c r="K84" s="8">
        <f>IF(I84="","",I84*(1+J84/100))</f>
        <v/>
      </c>
      <c r="L84" s="13" t="n">
        <v>1300</v>
      </c>
      <c r="M84" s="10">
        <f>IF(OR(L84="",K84="",L84=0),"",
  (L84-K84)/L84*100)</f>
        <v/>
      </c>
      <c r="N84" s="11" t="inlineStr"/>
      <c r="O84" s="12" t="inlineStr"/>
      <c r="P84" s="12" t="inlineStr"/>
      <c r="Q84" s="12" t="inlineStr">
        <is>
          <t>https://happyharvesting.co.za/wp-content/uploads/2024/10/MATRIX-GRISS-F02484-B.png</t>
        </is>
      </c>
      <c r="R84" s="12" t="inlineStr">
        <is>
          <t>2026-03-12</t>
        </is>
      </c>
      <c r="S84" s="12" t="inlineStr">
        <is>
          <t>Pre-loaded from WC export — fill in cost price</t>
        </is>
      </c>
    </row>
    <row r="85">
      <c r="A85" s="3" t="inlineStr"/>
      <c r="B85" s="4" t="inlineStr">
        <is>
          <t>F02484B</t>
        </is>
      </c>
      <c r="C85" s="4" t="inlineStr">
        <is>
          <t>22450</t>
        </is>
      </c>
      <c r="D85" s="4" t="inlineStr"/>
      <c r="E85" s="5" t="inlineStr">
        <is>
          <t>Wall panels - UV Sheets - MATRIX GRIS B</t>
        </is>
      </c>
      <c r="F85" s="4" t="inlineStr"/>
      <c r="G85" s="4" t="inlineStr"/>
      <c r="H85" s="4" t="inlineStr"/>
      <c r="I85" s="6" t="inlineStr"/>
      <c r="J85" s="7" t="n">
        <v>15</v>
      </c>
      <c r="K85" s="8">
        <f>IF(I85="","",I85*(1+J85/100))</f>
        <v/>
      </c>
      <c r="L85" s="9" t="n">
        <v>1300</v>
      </c>
      <c r="M85" s="10">
        <f>IF(OR(L85="",K85="",L85=0),"",
  (L85-K85)/L85*100)</f>
        <v/>
      </c>
      <c r="N85" s="11" t="inlineStr"/>
      <c r="O85" s="4" t="inlineStr"/>
      <c r="P85" s="4" t="inlineStr"/>
      <c r="Q85" s="4" t="inlineStr">
        <is>
          <t>https://happyharvesting.co.za/wp-content/uploads/2024/10/MATRIX-GRISS-F02484-B-1.png</t>
        </is>
      </c>
      <c r="R85" s="4" t="inlineStr">
        <is>
          <t>2026-03-12</t>
        </is>
      </c>
      <c r="S85" s="4" t="inlineStr">
        <is>
          <t>Pre-loaded from WC export — fill in cost price</t>
        </is>
      </c>
    </row>
    <row r="86">
      <c r="A86" s="3" t="inlineStr"/>
      <c r="B86" s="12" t="inlineStr">
        <is>
          <t>F02485A</t>
        </is>
      </c>
      <c r="C86" s="12" t="inlineStr">
        <is>
          <t>22444</t>
        </is>
      </c>
      <c r="D86" s="12" t="inlineStr"/>
      <c r="E86" s="12" t="inlineStr">
        <is>
          <t>Wall panels - UV Sheets - MATRIX MAGIA</t>
        </is>
      </c>
      <c r="F86" s="12" t="inlineStr"/>
      <c r="G86" s="12" t="inlineStr"/>
      <c r="H86" s="12" t="inlineStr"/>
      <c r="I86" s="6" t="inlineStr"/>
      <c r="J86" s="7" t="n">
        <v>15</v>
      </c>
      <c r="K86" s="8">
        <f>IF(I86="","",I86*(1+J86/100))</f>
        <v/>
      </c>
      <c r="L86" s="13" t="n">
        <v>1300</v>
      </c>
      <c r="M86" s="10">
        <f>IF(OR(L86="",K86="",L86=0),"",
  (L86-K86)/L86*100)</f>
        <v/>
      </c>
      <c r="N86" s="11" t="inlineStr"/>
      <c r="O86" s="12" t="inlineStr"/>
      <c r="P86" s="12" t="inlineStr"/>
      <c r="Q86" s="12" t="inlineStr">
        <is>
          <t>https://happyharvesting.co.za/wp-content/uploads/2024/10/MATRIX-MAGIA-F02485-A.png</t>
        </is>
      </c>
      <c r="R86" s="12" t="inlineStr">
        <is>
          <t>2026-03-12</t>
        </is>
      </c>
      <c r="S86" s="12" t="inlineStr">
        <is>
          <t>Pre-loaded from WC export — fill in cost price</t>
        </is>
      </c>
    </row>
    <row r="87">
      <c r="A87" s="3" t="inlineStr"/>
      <c r="B87" s="4" t="inlineStr">
        <is>
          <t>F02485B</t>
        </is>
      </c>
      <c r="C87" s="4" t="inlineStr">
        <is>
          <t>22446</t>
        </is>
      </c>
      <c r="D87" s="4" t="inlineStr"/>
      <c r="E87" s="5" t="inlineStr">
        <is>
          <t>Wall panels - UV Sheets - MATRIX MAGIA B</t>
        </is>
      </c>
      <c r="F87" s="4" t="inlineStr"/>
      <c r="G87" s="4" t="inlineStr"/>
      <c r="H87" s="4" t="inlineStr"/>
      <c r="I87" s="6" t="inlineStr"/>
      <c r="J87" s="7" t="n">
        <v>15</v>
      </c>
      <c r="K87" s="8">
        <f>IF(I87="","",I87*(1+J87/100))</f>
        <v/>
      </c>
      <c r="L87" s="9" t="n">
        <v>1300</v>
      </c>
      <c r="M87" s="10">
        <f>IF(OR(L87="",K87="",L87=0),"",
  (L87-K87)/L87*100)</f>
        <v/>
      </c>
      <c r="N87" s="11" t="inlineStr"/>
      <c r="O87" s="4" t="inlineStr"/>
      <c r="P87" s="4" t="inlineStr"/>
      <c r="Q87" s="4" t="inlineStr">
        <is>
          <t>https://happyharvesting.co.za/wp-content/uploads/2024/10/MATRIX-MAGIA-B-F02485-B.png</t>
        </is>
      </c>
      <c r="R87" s="4" t="inlineStr">
        <is>
          <t>2026-03-12</t>
        </is>
      </c>
      <c r="S87" s="4" t="inlineStr">
        <is>
          <t>Pre-loaded from WC export — fill in cost price</t>
        </is>
      </c>
    </row>
    <row r="88">
      <c r="A88" s="3" t="inlineStr"/>
      <c r="B88" s="12" t="inlineStr">
        <is>
          <t>F02488 A</t>
        </is>
      </c>
      <c r="C88" s="12" t="inlineStr">
        <is>
          <t>22422</t>
        </is>
      </c>
      <c r="D88" s="12" t="inlineStr"/>
      <c r="E88" s="12" t="inlineStr">
        <is>
          <t>Wall panels - UV Sheets - MATRIX MARFIL A</t>
        </is>
      </c>
      <c r="F88" s="12" t="inlineStr"/>
      <c r="G88" s="12" t="inlineStr"/>
      <c r="H88" s="12" t="inlineStr"/>
      <c r="I88" s="6" t="inlineStr"/>
      <c r="J88" s="7" t="n">
        <v>15</v>
      </c>
      <c r="K88" s="8">
        <f>IF(I88="","",I88*(1+J88/100))</f>
        <v/>
      </c>
      <c r="L88" s="13" t="n">
        <v>1300</v>
      </c>
      <c r="M88" s="10">
        <f>IF(OR(L88="",K88="",L88=0),"",
  (L88-K88)/L88*100)</f>
        <v/>
      </c>
      <c r="N88" s="11" t="inlineStr"/>
      <c r="O88" s="12" t="inlineStr"/>
      <c r="P88" s="12" t="inlineStr"/>
      <c r="Q88" s="12" t="inlineStr">
        <is>
          <t>https://happyharvesting.co.za/wp-content/uploads/2024/10/MATRIX-MARFIL-F02488-A.png</t>
        </is>
      </c>
      <c r="R88" s="12" t="inlineStr">
        <is>
          <t>2026-03-12</t>
        </is>
      </c>
      <c r="S88" s="12" t="inlineStr">
        <is>
          <t>Pre-loaded from WC export — fill in cost price</t>
        </is>
      </c>
    </row>
    <row r="89">
      <c r="A89" s="3" t="inlineStr"/>
      <c r="B89" s="4" t="inlineStr">
        <is>
          <t>F02488 B</t>
        </is>
      </c>
      <c r="C89" s="4" t="inlineStr">
        <is>
          <t>22423</t>
        </is>
      </c>
      <c r="D89" s="4" t="inlineStr"/>
      <c r="E89" s="5" t="inlineStr">
        <is>
          <t>Wall panels - UV Sheets - MATRIX MARFIL B</t>
        </is>
      </c>
      <c r="F89" s="4" t="inlineStr"/>
      <c r="G89" s="4" t="inlineStr"/>
      <c r="H89" s="4" t="inlineStr"/>
      <c r="I89" s="6" t="inlineStr"/>
      <c r="J89" s="7" t="n">
        <v>15</v>
      </c>
      <c r="K89" s="8">
        <f>IF(I89="","",I89*(1+J89/100))</f>
        <v/>
      </c>
      <c r="L89" s="9" t="n">
        <v>1300</v>
      </c>
      <c r="M89" s="10">
        <f>IF(OR(L89="",K89="",L89=0),"",
  (L89-K89)/L89*100)</f>
        <v/>
      </c>
      <c r="N89" s="11" t="inlineStr"/>
      <c r="O89" s="4" t="inlineStr"/>
      <c r="P89" s="4" t="inlineStr"/>
      <c r="Q89" s="4" t="inlineStr">
        <is>
          <t>https://happyharvesting.co.za/wp-content/uploads/2024/10/MATRIX-MARFIL-B-F02488-B.png</t>
        </is>
      </c>
      <c r="R89" s="4" t="inlineStr">
        <is>
          <t>2026-03-12</t>
        </is>
      </c>
      <c r="S89" s="4" t="inlineStr">
        <is>
          <t>Pre-loaded from WC export — fill in cost price</t>
        </is>
      </c>
    </row>
    <row r="90">
      <c r="A90" s="3" t="inlineStr"/>
      <c r="B90" s="12" t="inlineStr">
        <is>
          <t>F00079-B</t>
        </is>
      </c>
      <c r="C90" s="12" t="inlineStr">
        <is>
          <t>19472</t>
        </is>
      </c>
      <c r="D90" s="12" t="inlineStr"/>
      <c r="E90" s="12" t="inlineStr">
        <is>
          <t>Welcome Mats - Black</t>
        </is>
      </c>
      <c r="F90" s="12" t="inlineStr"/>
      <c r="G90" s="12" t="inlineStr"/>
      <c r="H90" s="12" t="inlineStr"/>
      <c r="I90" s="6" t="inlineStr"/>
      <c r="J90" s="7" t="n">
        <v>15</v>
      </c>
      <c r="K90" s="8">
        <f>IF(I90="","",I90*(1+J90/100))</f>
        <v/>
      </c>
      <c r="L90" s="13" t="n">
        <v>110</v>
      </c>
      <c r="M90" s="10">
        <f>IF(OR(L90="",K90="",L90=0),"",
  (L90-K90)/L90*100)</f>
        <v/>
      </c>
      <c r="N90" s="11" t="inlineStr"/>
      <c r="O90" s="12" t="inlineStr"/>
      <c r="P90" s="12" t="inlineStr"/>
      <c r="Q90" s="12" t="inlineStr">
        <is>
          <t>https://happyharvesting.co.za/wp-content/uploads/2024/03/blackl-Photoroom.jpg</t>
        </is>
      </c>
      <c r="R90" s="12" t="inlineStr">
        <is>
          <t>2026-03-12</t>
        </is>
      </c>
      <c r="S90" s="12" t="inlineStr">
        <is>
          <t>Pre-loaded from WC export — fill in cost price</t>
        </is>
      </c>
    </row>
    <row r="91">
      <c r="A91" s="3" t="inlineStr"/>
      <c r="B91" s="4" t="inlineStr">
        <is>
          <t>F00079-BL</t>
        </is>
      </c>
      <c r="C91" s="4" t="inlineStr">
        <is>
          <t>19470</t>
        </is>
      </c>
      <c r="D91" s="4" t="inlineStr"/>
      <c r="E91" s="5" t="inlineStr">
        <is>
          <t>Welcome Mats - Blue</t>
        </is>
      </c>
      <c r="F91" s="4" t="inlineStr"/>
      <c r="G91" s="4" t="inlineStr"/>
      <c r="H91" s="4" t="inlineStr"/>
      <c r="I91" s="6" t="inlineStr"/>
      <c r="J91" s="7" t="n">
        <v>15</v>
      </c>
      <c r="K91" s="8">
        <f>IF(I91="","",I91*(1+J91/100))</f>
        <v/>
      </c>
      <c r="L91" s="9" t="n">
        <v>110</v>
      </c>
      <c r="M91" s="10">
        <f>IF(OR(L91="",K91="",L91=0),"",
  (L91-K91)/L91*100)</f>
        <v/>
      </c>
      <c r="N91" s="11" t="inlineStr"/>
      <c r="O91" s="4" t="inlineStr"/>
      <c r="P91" s="4" t="inlineStr"/>
      <c r="Q91" s="4" t="inlineStr">
        <is>
          <t>https://happyharvesting.co.za/wp-content/uploads/2024/03/blue-welcome-Photoroom.jpg</t>
        </is>
      </c>
      <c r="R91" s="4" t="inlineStr">
        <is>
          <t>2026-03-12</t>
        </is>
      </c>
      <c r="S91" s="4" t="inlineStr">
        <is>
          <t>Pre-loaded from WC export — fill in cost price</t>
        </is>
      </c>
    </row>
    <row r="92">
      <c r="A92" s="3" t="inlineStr"/>
      <c r="B92" s="12" t="inlineStr">
        <is>
          <t>F00079-G</t>
        </is>
      </c>
      <c r="C92" s="12" t="inlineStr">
        <is>
          <t>19471</t>
        </is>
      </c>
      <c r="D92" s="12" t="inlineStr"/>
      <c r="E92" s="12" t="inlineStr">
        <is>
          <t>Welcome Mats - Grey</t>
        </is>
      </c>
      <c r="F92" s="12" t="inlineStr"/>
      <c r="G92" s="12" t="inlineStr"/>
      <c r="H92" s="12" t="inlineStr"/>
      <c r="I92" s="6" t="inlineStr"/>
      <c r="J92" s="7" t="n">
        <v>15</v>
      </c>
      <c r="K92" s="8">
        <f>IF(I92="","",I92*(1+J92/100))</f>
        <v/>
      </c>
      <c r="L92" s="13" t="n">
        <v>110</v>
      </c>
      <c r="M92" s="10">
        <f>IF(OR(L92="",K92="",L92=0),"",
  (L92-K92)/L92*100)</f>
        <v/>
      </c>
      <c r="N92" s="11" t="inlineStr"/>
      <c r="O92" s="12" t="inlineStr"/>
      <c r="P92" s="12" t="inlineStr"/>
      <c r="Q92" s="12" t="inlineStr">
        <is>
          <t>https://happyharvesting.co.za/wp-content/uploads/2024/03/grey-welcome-Photoroom.jpg</t>
        </is>
      </c>
      <c r="R92" s="12" t="inlineStr">
        <is>
          <t>2026-03-12</t>
        </is>
      </c>
      <c r="S92" s="12" t="inlineStr">
        <is>
          <t>Pre-loaded from WC export — fill in cost price</t>
        </is>
      </c>
    </row>
    <row r="93">
      <c r="A93" s="3" t="inlineStr"/>
      <c r="B93" s="4" t="inlineStr">
        <is>
          <t>F00079-R</t>
        </is>
      </c>
      <c r="C93" s="4" t="inlineStr">
        <is>
          <t>19469</t>
        </is>
      </c>
      <c r="D93" s="4" t="inlineStr"/>
      <c r="E93" s="5" t="inlineStr">
        <is>
          <t>Welcome Mats - Red</t>
        </is>
      </c>
      <c r="F93" s="4" t="inlineStr"/>
      <c r="G93" s="4" t="inlineStr"/>
      <c r="H93" s="4" t="inlineStr"/>
      <c r="I93" s="6" t="inlineStr"/>
      <c r="J93" s="7" t="n">
        <v>15</v>
      </c>
      <c r="K93" s="8">
        <f>IF(I93="","",I93*(1+J93/100))</f>
        <v/>
      </c>
      <c r="L93" s="9" t="n">
        <v>110</v>
      </c>
      <c r="M93" s="10">
        <f>IF(OR(L93="",K93="",L93=0),"",
  (L93-K93)/L93*100)</f>
        <v/>
      </c>
      <c r="N93" s="11" t="inlineStr"/>
      <c r="O93" s="4" t="inlineStr"/>
      <c r="P93" s="4" t="inlineStr"/>
      <c r="Q93" s="4" t="inlineStr">
        <is>
          <t>https://happyharvesting.co.za/wp-content/uploads/2024/03/red-welcome-Photoroom.jpg</t>
        </is>
      </c>
      <c r="R93" s="4" t="inlineStr">
        <is>
          <t>2026-03-12</t>
        </is>
      </c>
      <c r="S93" s="4" t="inlineStr">
        <is>
          <t>Pre-loaded from WC export — fill in cost price</t>
        </is>
      </c>
    </row>
    <row r="94">
      <c r="A94" s="3" t="inlineStr"/>
      <c r="B94" s="12" t="inlineStr">
        <is>
          <t>528HU13061</t>
        </is>
      </c>
      <c r="C94" s="12" t="inlineStr">
        <is>
          <t>13061</t>
        </is>
      </c>
      <c r="D94" s="12" t="inlineStr"/>
      <c r="E94" s="12" t="inlineStr">
        <is>
          <t>Bathroom Mat Set</t>
        </is>
      </c>
      <c r="F94" s="12" t="inlineStr"/>
      <c r="G94" s="12" t="inlineStr">
        <is>
          <t>All Products</t>
        </is>
      </c>
      <c r="H94" s="12" t="inlineStr"/>
      <c r="I94" s="6" t="inlineStr"/>
      <c r="J94" s="7" t="n">
        <v>15</v>
      </c>
      <c r="K94" s="8">
        <f>IF(I94="","",I94*(1+J94/100))</f>
        <v/>
      </c>
      <c r="L94" s="6" t="inlineStr"/>
      <c r="M94" s="10">
        <f>IF(OR(L94="",K94="",L94=0),"",
  (L94-K94)/L94*100)</f>
        <v/>
      </c>
      <c r="N94" s="11" t="inlineStr"/>
      <c r="O94" s="12" t="inlineStr"/>
      <c r="P94" s="12" t="inlineStr"/>
      <c r="Q94" s="12" t="inlineStr">
        <is>
          <t>https://happyharvesting.co.za/wp-content/uploads/2023/07/40-1.png</t>
        </is>
      </c>
      <c r="R94" s="12" t="inlineStr">
        <is>
          <t>2026-03-12</t>
        </is>
      </c>
      <c r="S94" s="12" t="inlineStr">
        <is>
          <t>Pre-loaded from WC export — fill in cost price</t>
        </is>
      </c>
    </row>
    <row r="95">
      <c r="A95" s="3" t="inlineStr"/>
      <c r="B95" s="4" t="inlineStr">
        <is>
          <t>U63L413078</t>
        </is>
      </c>
      <c r="C95" s="4" t="inlineStr">
        <is>
          <t>13078</t>
        </is>
      </c>
      <c r="D95" s="4" t="inlineStr"/>
      <c r="E95" s="5" t="inlineStr">
        <is>
          <t>Bathroom Mat Set-Thick</t>
        </is>
      </c>
      <c r="F95" s="4" t="inlineStr"/>
      <c r="G95" s="4" t="inlineStr">
        <is>
          <t>All Products</t>
        </is>
      </c>
      <c r="H95" s="4" t="inlineStr"/>
      <c r="I95" s="6" t="inlineStr"/>
      <c r="J95" s="7" t="n">
        <v>15</v>
      </c>
      <c r="K95" s="8">
        <f>IF(I95="","",I95*(1+J95/100))</f>
        <v/>
      </c>
      <c r="L95" s="6" t="inlineStr"/>
      <c r="M95" s="10">
        <f>IF(OR(L95="",K95="",L95=0),"",
  (L95-K95)/L95*100)</f>
        <v/>
      </c>
      <c r="N95" s="11" t="inlineStr"/>
      <c r="O95" s="4" t="inlineStr"/>
      <c r="P95" s="4" t="inlineStr"/>
      <c r="Q95" s="4" t="inlineStr">
        <is>
          <t>https://happyharvesting.co.za/wp-content/uploads/2023/07/Takealot-2.png</t>
        </is>
      </c>
      <c r="R95" s="4" t="inlineStr">
        <is>
          <t>2026-03-12</t>
        </is>
      </c>
      <c r="S95" s="4" t="inlineStr">
        <is>
          <t>Pre-loaded from WC export — fill in cost price</t>
        </is>
      </c>
    </row>
    <row r="96">
      <c r="A96" s="3" t="inlineStr"/>
      <c r="B96" s="12" t="inlineStr">
        <is>
          <t>F00621</t>
        </is>
      </c>
      <c r="C96" s="12" t="inlineStr">
        <is>
          <t>18835</t>
        </is>
      </c>
      <c r="D96" s="12" t="inlineStr"/>
      <c r="E96" s="12" t="inlineStr">
        <is>
          <t>Brown Tape 100m</t>
        </is>
      </c>
      <c r="F96" s="12" t="inlineStr"/>
      <c r="G96" s="12" t="inlineStr">
        <is>
          <t>All Products</t>
        </is>
      </c>
      <c r="H96" s="12" t="inlineStr"/>
      <c r="I96" s="6" t="inlineStr"/>
      <c r="J96" s="7" t="n">
        <v>15</v>
      </c>
      <c r="K96" s="8">
        <f>IF(I96="","",I96*(1+J96/100))</f>
        <v/>
      </c>
      <c r="L96" s="6" t="inlineStr"/>
      <c r="M96" s="10">
        <f>IF(OR(L96="",K96="",L96=0),"",
  (L96-K96)/L96*100)</f>
        <v/>
      </c>
      <c r="N96" s="11" t="inlineStr"/>
      <c r="O96" s="12" t="inlineStr"/>
      <c r="P96" s="12" t="inlineStr"/>
      <c r="Q96" s="12" t="inlineStr">
        <is>
          <t>https://happyharvesting.co.za/wp-content/uploads/2023/03/IMG_7165.jpg</t>
        </is>
      </c>
      <c r="R96" s="12" t="inlineStr">
        <is>
          <t>2026-03-12</t>
        </is>
      </c>
      <c r="S96" s="12" t="inlineStr">
        <is>
          <t>Pre-loaded from WC export — fill in cost price</t>
        </is>
      </c>
    </row>
    <row r="97">
      <c r="A97" s="3" t="inlineStr"/>
      <c r="B97" s="4" t="inlineStr">
        <is>
          <t>F00620</t>
        </is>
      </c>
      <c r="C97" s="4" t="inlineStr">
        <is>
          <t>18834</t>
        </is>
      </c>
      <c r="D97" s="4" t="inlineStr"/>
      <c r="E97" s="5" t="inlineStr">
        <is>
          <t>Brown Tape 50m</t>
        </is>
      </c>
      <c r="F97" s="4" t="inlineStr"/>
      <c r="G97" s="4" t="inlineStr">
        <is>
          <t>All Products</t>
        </is>
      </c>
      <c r="H97" s="4" t="inlineStr"/>
      <c r="I97" s="6" t="inlineStr"/>
      <c r="J97" s="7" t="n">
        <v>15</v>
      </c>
      <c r="K97" s="8">
        <f>IF(I97="","",I97*(1+J97/100))</f>
        <v/>
      </c>
      <c r="L97" s="6" t="inlineStr"/>
      <c r="M97" s="10">
        <f>IF(OR(L97="",K97="",L97=0),"",
  (L97-K97)/L97*100)</f>
        <v/>
      </c>
      <c r="N97" s="11" t="inlineStr"/>
      <c r="O97" s="4" t="inlineStr"/>
      <c r="P97" s="4" t="inlineStr"/>
      <c r="Q97" s="4" t="inlineStr">
        <is>
          <t>https://happyharvesting.co.za/wp-content/uploads/2024/03/IMG_7165.webp</t>
        </is>
      </c>
      <c r="R97" s="4" t="inlineStr">
        <is>
          <t>2026-03-12</t>
        </is>
      </c>
      <c r="S97" s="4" t="inlineStr">
        <is>
          <t>Pre-loaded from WC export — fill in cost price</t>
        </is>
      </c>
    </row>
    <row r="98">
      <c r="A98" s="3" t="inlineStr"/>
      <c r="B98" s="12" t="inlineStr">
        <is>
          <t>F00422</t>
        </is>
      </c>
      <c r="C98" s="12" t="inlineStr">
        <is>
          <t>18906</t>
        </is>
      </c>
      <c r="D98" s="12" t="inlineStr"/>
      <c r="E98" s="12" t="inlineStr">
        <is>
          <t>Clear Tape 100m</t>
        </is>
      </c>
      <c r="F98" s="12" t="inlineStr"/>
      <c r="G98" s="12" t="inlineStr">
        <is>
          <t>All Products</t>
        </is>
      </c>
      <c r="H98" s="12" t="inlineStr"/>
      <c r="I98" s="6" t="inlineStr"/>
      <c r="J98" s="7" t="n">
        <v>15</v>
      </c>
      <c r="K98" s="8">
        <f>IF(I98="","",I98*(1+J98/100))</f>
        <v/>
      </c>
      <c r="L98" s="6" t="inlineStr"/>
      <c r="M98" s="10">
        <f>IF(OR(L98="",K98="",L98=0),"",
  (L98-K98)/L98*100)</f>
        <v/>
      </c>
      <c r="N98" s="11" t="inlineStr"/>
      <c r="O98" s="12" t="inlineStr"/>
      <c r="P98" s="12" t="inlineStr"/>
      <c r="Q98" s="12" t="inlineStr">
        <is>
          <t>https://happyharvesting.co.za/wp-content/uploads/2024/03/clear-tape.jpg</t>
        </is>
      </c>
      <c r="R98" s="12" t="inlineStr">
        <is>
          <t>2026-03-12</t>
        </is>
      </c>
      <c r="S98" s="12" t="inlineStr">
        <is>
          <t>Pre-loaded from WC export — fill in cost price</t>
        </is>
      </c>
    </row>
    <row r="99">
      <c r="A99" s="3" t="inlineStr"/>
      <c r="B99" s="4" t="inlineStr">
        <is>
          <t>F00421</t>
        </is>
      </c>
      <c r="C99" s="4" t="inlineStr">
        <is>
          <t>18896</t>
        </is>
      </c>
      <c r="D99" s="4" t="inlineStr"/>
      <c r="E99" s="5" t="inlineStr">
        <is>
          <t>Clear Tape 50m</t>
        </is>
      </c>
      <c r="F99" s="4" t="inlineStr"/>
      <c r="G99" s="4" t="inlineStr">
        <is>
          <t>All Products</t>
        </is>
      </c>
      <c r="H99" s="4" t="inlineStr"/>
      <c r="I99" s="6" t="inlineStr"/>
      <c r="J99" s="7" t="n">
        <v>15</v>
      </c>
      <c r="K99" s="8">
        <f>IF(I99="","",I99*(1+J99/100))</f>
        <v/>
      </c>
      <c r="L99" s="6" t="inlineStr"/>
      <c r="M99" s="10">
        <f>IF(OR(L99="",K99="",L99=0),"",
  (L99-K99)/L99*100)</f>
        <v/>
      </c>
      <c r="N99" s="11" t="inlineStr"/>
      <c r="O99" s="4" t="inlineStr"/>
      <c r="P99" s="4" t="inlineStr"/>
      <c r="Q99" s="4" t="inlineStr">
        <is>
          <t>https://happyharvesting.co.za/wp-content/uploads/2024/03/clear-tape.jpg</t>
        </is>
      </c>
      <c r="R99" s="4" t="inlineStr">
        <is>
          <t>2026-03-12</t>
        </is>
      </c>
      <c r="S99" s="4" t="inlineStr">
        <is>
          <t>Pre-loaded from WC export — fill in cost price</t>
        </is>
      </c>
    </row>
    <row r="100">
      <c r="A100" s="3" t="inlineStr"/>
      <c r="B100" s="12" t="inlineStr">
        <is>
          <t>OA1RM13204</t>
        </is>
      </c>
      <c r="C100" s="12" t="inlineStr">
        <is>
          <t>13204</t>
        </is>
      </c>
      <c r="D100" s="12" t="inlineStr"/>
      <c r="E100" s="12" t="inlineStr">
        <is>
          <t>Light Blue Floor Mat Set</t>
        </is>
      </c>
      <c r="F100" s="12" t="inlineStr"/>
      <c r="G100" s="12" t="inlineStr">
        <is>
          <t>All Products</t>
        </is>
      </c>
      <c r="H100" s="12" t="inlineStr"/>
      <c r="I100" s="6" t="inlineStr"/>
      <c r="J100" s="7" t="n">
        <v>15</v>
      </c>
      <c r="K100" s="8">
        <f>IF(I100="","",I100*(1+J100/100))</f>
        <v/>
      </c>
      <c r="L100" s="13" t="n">
        <v>350</v>
      </c>
      <c r="M100" s="10">
        <f>IF(OR(L100="",K100="",L100=0),"",
  (L100-K100)/L100*100)</f>
        <v/>
      </c>
      <c r="N100" s="11" t="inlineStr"/>
      <c r="O100" s="12" t="inlineStr"/>
      <c r="P100" s="12" t="inlineStr"/>
      <c r="Q100" s="12" t="inlineStr">
        <is>
          <t>https://happyharvesting.co.za/wp-content/uploads/2023/07/31-1.png</t>
        </is>
      </c>
      <c r="R100" s="12" t="inlineStr">
        <is>
          <t>2026-03-12</t>
        </is>
      </c>
      <c r="S100" s="12" t="inlineStr">
        <is>
          <t>Pre-loaded from WC export — fill in cost price</t>
        </is>
      </c>
    </row>
    <row r="101">
      <c r="A101" s="3" t="inlineStr"/>
      <c r="B101" s="4" t="inlineStr">
        <is>
          <t>SWUHY13202</t>
        </is>
      </c>
      <c r="C101" s="4" t="inlineStr">
        <is>
          <t>13202</t>
        </is>
      </c>
      <c r="D101" s="4" t="inlineStr"/>
      <c r="E101" s="5" t="inlineStr">
        <is>
          <t>Pattern Rug</t>
        </is>
      </c>
      <c r="F101" s="4" t="inlineStr"/>
      <c r="G101" s="4" t="inlineStr">
        <is>
          <t>All Products</t>
        </is>
      </c>
      <c r="H101" s="4" t="inlineStr"/>
      <c r="I101" s="6" t="inlineStr"/>
      <c r="J101" s="7" t="n">
        <v>15</v>
      </c>
      <c r="K101" s="8">
        <f>IF(I101="","",I101*(1+J101/100))</f>
        <v/>
      </c>
      <c r="L101" s="9" t="n">
        <v>500</v>
      </c>
      <c r="M101" s="10">
        <f>IF(OR(L101="",K101="",L101=0),"",
  (L101-K101)/L101*100)</f>
        <v/>
      </c>
      <c r="N101" s="11" t="inlineStr"/>
      <c r="O101" s="4" t="inlineStr"/>
      <c r="P101" s="4" t="inlineStr"/>
      <c r="Q101" s="4" t="inlineStr">
        <is>
          <t>https://happyharvesting.co.za/wp-content/uploads/2023/07/33-1.png</t>
        </is>
      </c>
      <c r="R101" s="4" t="inlineStr">
        <is>
          <t>2026-03-12</t>
        </is>
      </c>
      <c r="S101" s="4" t="inlineStr">
        <is>
          <t>Pre-loaded from WC export — fill in cost price</t>
        </is>
      </c>
    </row>
    <row r="102">
      <c r="A102" s="3" t="inlineStr"/>
      <c r="B102" s="12" t="inlineStr">
        <is>
          <t>B9T5413048</t>
        </is>
      </c>
      <c r="C102" s="12" t="inlineStr">
        <is>
          <t>13048</t>
        </is>
      </c>
      <c r="D102" s="12" t="inlineStr"/>
      <c r="E102" s="12" t="inlineStr">
        <is>
          <t>Plush Bathroom Mat</t>
        </is>
      </c>
      <c r="F102" s="12" t="inlineStr"/>
      <c r="G102" s="12" t="inlineStr">
        <is>
          <t>All Products</t>
        </is>
      </c>
      <c r="H102" s="12" t="inlineStr"/>
      <c r="I102" s="6" t="inlineStr"/>
      <c r="J102" s="7" t="n">
        <v>15</v>
      </c>
      <c r="K102" s="8">
        <f>IF(I102="","",I102*(1+J102/100))</f>
        <v/>
      </c>
      <c r="L102" s="6" t="inlineStr"/>
      <c r="M102" s="10">
        <f>IF(OR(L102="",K102="",L102=0),"",
  (L102-K102)/L102*100)</f>
        <v/>
      </c>
      <c r="N102" s="11" t="inlineStr"/>
      <c r="O102" s="12" t="inlineStr"/>
      <c r="P102" s="12" t="inlineStr"/>
      <c r="Q102" s="12" t="inlineStr">
        <is>
          <t>https://happyharvesting.co.za/wp-content/uploads/2023/07/Takealot.png</t>
        </is>
      </c>
      <c r="R102" s="12" t="inlineStr">
        <is>
          <t>2026-03-12</t>
        </is>
      </c>
      <c r="S102" s="12" t="inlineStr">
        <is>
          <t>Pre-loaded from WC export — fill in cost price</t>
        </is>
      </c>
    </row>
    <row r="103">
      <c r="A103" s="3" t="inlineStr"/>
      <c r="B103" s="4" t="inlineStr">
        <is>
          <t>68OKF13205</t>
        </is>
      </c>
      <c r="C103" s="4" t="inlineStr">
        <is>
          <t>13205</t>
        </is>
      </c>
      <c r="D103" s="4" t="inlineStr"/>
      <c r="E103" s="5" t="inlineStr">
        <is>
          <t>Red Checked Floor Mat</t>
        </is>
      </c>
      <c r="F103" s="4" t="inlineStr"/>
      <c r="G103" s="4" t="inlineStr">
        <is>
          <t>All Products</t>
        </is>
      </c>
      <c r="H103" s="4" t="inlineStr"/>
      <c r="I103" s="6" t="inlineStr"/>
      <c r="J103" s="7" t="n">
        <v>15</v>
      </c>
      <c r="K103" s="8">
        <f>IF(I103="","",I103*(1+J103/100))</f>
        <v/>
      </c>
      <c r="L103" s="9" t="n">
        <v>180</v>
      </c>
      <c r="M103" s="10">
        <f>IF(OR(L103="",K103="",L103=0),"",
  (L103-K103)/L103*100)</f>
        <v/>
      </c>
      <c r="N103" s="11" t="inlineStr"/>
      <c r="O103" s="4" t="inlineStr"/>
      <c r="P103" s="4" t="inlineStr"/>
      <c r="Q103" s="4" t="inlineStr">
        <is>
          <t>https://happyharvesting.co.za/wp-content/uploads/2023/07/32-1.png</t>
        </is>
      </c>
      <c r="R103" s="4" t="inlineStr">
        <is>
          <t>2026-03-12</t>
        </is>
      </c>
      <c r="S103" s="4" t="inlineStr">
        <is>
          <t>Pre-loaded from WC export — fill in cost price</t>
        </is>
      </c>
    </row>
    <row r="104">
      <c r="A104" s="3" t="inlineStr"/>
      <c r="B104" s="12" t="inlineStr">
        <is>
          <t>F02432</t>
        </is>
      </c>
      <c r="C104" s="12" t="inlineStr">
        <is>
          <t>12856</t>
        </is>
      </c>
      <c r="D104" s="12" t="inlineStr"/>
      <c r="E104" s="12" t="inlineStr">
        <is>
          <t>Shade Netting Green 3X50M 40%</t>
        </is>
      </c>
      <c r="F104" s="12" t="inlineStr"/>
      <c r="G104" s="12" t="inlineStr">
        <is>
          <t>All Products</t>
        </is>
      </c>
      <c r="H104" s="12" t="inlineStr"/>
      <c r="I104" s="6" t="inlineStr"/>
      <c r="J104" s="7" t="n">
        <v>15</v>
      </c>
      <c r="K104" s="8">
        <f>IF(I104="","",I104*(1+J104/100))</f>
        <v/>
      </c>
      <c r="L104" s="13" t="n">
        <v>2300</v>
      </c>
      <c r="M104" s="10">
        <f>IF(OR(L104="",K104="",L104=0),"",
  (L104-K104)/L104*100)</f>
        <v/>
      </c>
      <c r="N104" s="11" t="inlineStr"/>
      <c r="O104" s="12" t="inlineStr"/>
      <c r="P104" s="12" t="inlineStr"/>
      <c r="Q104" s="12" t="inlineStr">
        <is>
          <t>https://happyharvesting.co.za/wp-content/uploads/2023/07/images-3-4.jpeg</t>
        </is>
      </c>
      <c r="R104" s="12" t="inlineStr">
        <is>
          <t>2026-03-12</t>
        </is>
      </c>
      <c r="S104" s="12" t="inlineStr">
        <is>
          <t>Pre-loaded from WC export — fill in cost price</t>
        </is>
      </c>
    </row>
    <row r="105">
      <c r="A105" s="3" t="inlineStr"/>
      <c r="B105" s="4" t="inlineStr">
        <is>
          <t>F02433</t>
        </is>
      </c>
      <c r="C105" s="4" t="inlineStr">
        <is>
          <t>12857</t>
        </is>
      </c>
      <c r="D105" s="4" t="inlineStr"/>
      <c r="E105" s="5" t="inlineStr">
        <is>
          <t>Shade Netting Green 3X50M 80%</t>
        </is>
      </c>
      <c r="F105" s="4" t="inlineStr"/>
      <c r="G105" s="4" t="inlineStr">
        <is>
          <t>All Products</t>
        </is>
      </c>
      <c r="H105" s="4" t="inlineStr"/>
      <c r="I105" s="6" t="inlineStr"/>
      <c r="J105" s="7" t="n">
        <v>15</v>
      </c>
      <c r="K105" s="8">
        <f>IF(I105="","",I105*(1+J105/100))</f>
        <v/>
      </c>
      <c r="L105" s="9" t="n">
        <v>3700</v>
      </c>
      <c r="M105" s="10">
        <f>IF(OR(L105="",K105="",L105=0),"",
  (L105-K105)/L105*100)</f>
        <v/>
      </c>
      <c r="N105" s="11" t="inlineStr"/>
      <c r="O105" s="4" t="inlineStr"/>
      <c r="P105" s="4" t="inlineStr"/>
      <c r="Q105" s="4" t="inlineStr">
        <is>
          <t>https://happyharvesting.co.za/wp-content/uploads/2023/07/Screenshot_20230721_063349_Chrome.jpg</t>
        </is>
      </c>
      <c r="R105" s="4" t="inlineStr">
        <is>
          <t>2026-03-12</t>
        </is>
      </c>
      <c r="S105" s="4" t="inlineStr">
        <is>
          <t>Pre-loaded from WC export — fill in cost price</t>
        </is>
      </c>
    </row>
    <row r="106">
      <c r="A106" s="3" t="inlineStr"/>
      <c r="B106" s="12" t="inlineStr">
        <is>
          <t>SH47519258</t>
        </is>
      </c>
      <c r="C106" s="12" t="inlineStr">
        <is>
          <t>19258</t>
        </is>
      </c>
      <c r="D106" s="12" t="inlineStr"/>
      <c r="E106" s="12" t="inlineStr">
        <is>
          <t>Mattock Cutter 5LB</t>
        </is>
      </c>
      <c r="F106" s="12" t="inlineStr"/>
      <c r="G106" s="12" t="inlineStr">
        <is>
          <t>Garden</t>
        </is>
      </c>
      <c r="H106" s="12" t="inlineStr"/>
      <c r="I106" s="6" t="inlineStr"/>
      <c r="J106" s="7" t="n">
        <v>15</v>
      </c>
      <c r="K106" s="8">
        <f>IF(I106="","",I106*(1+J106/100))</f>
        <v/>
      </c>
      <c r="L106" s="13" t="n">
        <v>250</v>
      </c>
      <c r="M106" s="10">
        <f>IF(OR(L106="",K106="",L106=0),"",
  (L106-K106)/L106*100)</f>
        <v/>
      </c>
      <c r="N106" s="11" t="inlineStr"/>
      <c r="O106" s="12" t="inlineStr"/>
      <c r="P106" s="12" t="inlineStr"/>
      <c r="Q106" s="12" t="inlineStr">
        <is>
          <t>https://happyharvesting.co.za/wp-content/uploads/2024/03/2541-CUTTERAXE-MATTOCK-5LB-600x400-1.jpg</t>
        </is>
      </c>
      <c r="R106" s="12" t="inlineStr">
        <is>
          <t>2026-03-12</t>
        </is>
      </c>
      <c r="S106" s="12" t="inlineStr">
        <is>
          <t>Pre-loaded from WC export — fill in cost price</t>
        </is>
      </c>
    </row>
    <row r="107">
      <c r="A107" s="3" t="inlineStr"/>
      <c r="B107" s="4" t="inlineStr">
        <is>
          <t>F02439-01</t>
        </is>
      </c>
      <c r="C107" s="4" t="inlineStr">
        <is>
          <t>21140</t>
        </is>
      </c>
      <c r="D107" s="4" t="inlineStr"/>
      <c r="E107" s="5" t="inlineStr">
        <is>
          <t>Pick / Cutter Mattock</t>
        </is>
      </c>
      <c r="F107" s="4" t="inlineStr"/>
      <c r="G107" s="4" t="inlineStr">
        <is>
          <t>Garden</t>
        </is>
      </c>
      <c r="H107" s="4" t="inlineStr"/>
      <c r="I107" s="6" t="inlineStr"/>
      <c r="J107" s="7" t="n">
        <v>15</v>
      </c>
      <c r="K107" s="8">
        <f>IF(I107="","",I107*(1+J107/100))</f>
        <v/>
      </c>
      <c r="L107" s="6" t="inlineStr"/>
      <c r="M107" s="10">
        <f>IF(OR(L107="",K107="",L107=0),"",
  (L107-K107)/L107*100)</f>
        <v/>
      </c>
      <c r="N107" s="11" t="inlineStr"/>
      <c r="O107" s="4" t="inlineStr"/>
      <c r="P107" s="4" t="inlineStr"/>
      <c r="Q107" s="4" t="inlineStr">
        <is>
          <t>https://happyharvesting.co.za/wp-content/uploads/2024/06/pick.jpg</t>
        </is>
      </c>
      <c r="R107" s="4" t="inlineStr">
        <is>
          <t>2026-03-12</t>
        </is>
      </c>
      <c r="S107" s="4" t="inlineStr">
        <is>
          <t>Pre-loaded from WC export — fill in cost price</t>
        </is>
      </c>
    </row>
    <row r="108">
      <c r="A108" s="3" t="inlineStr"/>
      <c r="B108" s="12" t="inlineStr">
        <is>
          <t>F4RVQ21001</t>
        </is>
      </c>
      <c r="C108" s="12" t="inlineStr">
        <is>
          <t>21001</t>
        </is>
      </c>
      <c r="D108" s="12" t="inlineStr"/>
      <c r="E108" s="12" t="inlineStr">
        <is>
          <t>2.5mm Flat Surfix Coil SABS (100m)</t>
        </is>
      </c>
      <c r="F108" s="12" t="inlineStr"/>
      <c r="G108" s="12" t="inlineStr">
        <is>
          <t>Hardware &gt; Buidling Materials</t>
        </is>
      </c>
      <c r="H108" s="12" t="inlineStr"/>
      <c r="I108" s="6" t="inlineStr"/>
      <c r="J108" s="7" t="n">
        <v>15</v>
      </c>
      <c r="K108" s="8">
        <f>IF(I108="","",I108*(1+J108/100))</f>
        <v/>
      </c>
      <c r="L108" s="13" t="n">
        <v>2700</v>
      </c>
      <c r="M108" s="10">
        <f>IF(OR(L108="",K108="",L108=0),"",
  (L108-K108)/L108*100)</f>
        <v/>
      </c>
      <c r="N108" s="11" t="inlineStr"/>
      <c r="O108" s="12" t="inlineStr"/>
      <c r="P108" s="12" t="inlineStr"/>
      <c r="Q108" s="12" t="inlineStr">
        <is>
          <t>https://happyharvesting.co.za/wp-content/uploads/2024/06/s-pdpxl-2.jpg</t>
        </is>
      </c>
      <c r="R108" s="12" t="inlineStr">
        <is>
          <t>2026-03-12</t>
        </is>
      </c>
      <c r="S108" s="12" t="inlineStr">
        <is>
          <t>Pre-loaded from WC export — fill in cost price</t>
        </is>
      </c>
    </row>
    <row r="109">
      <c r="A109" s="3" t="inlineStr"/>
      <c r="B109" s="4" t="inlineStr">
        <is>
          <t>4D2GT20624</t>
        </is>
      </c>
      <c r="C109" s="4" t="inlineStr">
        <is>
          <t>20624</t>
        </is>
      </c>
      <c r="D109" s="4" t="inlineStr"/>
      <c r="E109" s="5" t="inlineStr">
        <is>
          <t>3pc Paint Brush</t>
        </is>
      </c>
      <c r="F109" s="4" t="inlineStr"/>
      <c r="G109" s="4" t="inlineStr">
        <is>
          <t>Hardware &gt; Buidling Materials</t>
        </is>
      </c>
      <c r="H109" s="4" t="inlineStr"/>
      <c r="I109" s="6" t="inlineStr"/>
      <c r="J109" s="7" t="n">
        <v>15</v>
      </c>
      <c r="K109" s="8">
        <f>IF(I109="","",I109*(1+J109/100))</f>
        <v/>
      </c>
      <c r="L109" s="9" t="n">
        <v>35</v>
      </c>
      <c r="M109" s="10">
        <f>IF(OR(L109="",K109="",L109=0),"",
  (L109-K109)/L109*100)</f>
        <v/>
      </c>
      <c r="N109" s="11" t="inlineStr"/>
      <c r="O109" s="4" t="inlineStr"/>
      <c r="P109" s="4" t="inlineStr"/>
      <c r="Q109" s="4" t="inlineStr">
        <is>
          <t>https://happyharvesting.co.za/wp-content/uploads/2024/05/3pc-paint-brush-Photoroom.jpg</t>
        </is>
      </c>
      <c r="R109" s="4" t="inlineStr">
        <is>
          <t>2026-03-12</t>
        </is>
      </c>
      <c r="S109" s="4" t="inlineStr">
        <is>
          <t>Pre-loaded from WC export — fill in cost price</t>
        </is>
      </c>
    </row>
    <row r="110">
      <c r="A110" s="3" t="inlineStr"/>
      <c r="B110" s="12" t="inlineStr">
        <is>
          <t>9902054073218</t>
        </is>
      </c>
      <c r="C110" s="12" t="inlineStr">
        <is>
          <t>9979</t>
        </is>
      </c>
      <c r="D110" s="12" t="inlineStr"/>
      <c r="E110" s="12" t="inlineStr">
        <is>
          <t>Alco Paint Brush Set 5 piece</t>
        </is>
      </c>
      <c r="F110" s="12" t="inlineStr"/>
      <c r="G110" s="12" t="inlineStr">
        <is>
          <t>Hardware &gt; Buidling Materials</t>
        </is>
      </c>
      <c r="H110" s="12" t="inlineStr"/>
      <c r="I110" s="6" t="inlineStr"/>
      <c r="J110" s="7" t="n">
        <v>15</v>
      </c>
      <c r="K110" s="8">
        <f>IF(I110="","",I110*(1+J110/100))</f>
        <v/>
      </c>
      <c r="L110" s="13" t="n">
        <v>160</v>
      </c>
      <c r="M110" s="10">
        <f>IF(OR(L110="",K110="",L110=0),"",
  (L110-K110)/L110*100)</f>
        <v/>
      </c>
      <c r="N110" s="11" t="inlineStr"/>
      <c r="O110" s="12" t="inlineStr"/>
      <c r="P110" s="12" t="inlineStr"/>
      <c r="Q110" s="12" t="inlineStr">
        <is>
          <t>https://happyharvesting.co.za/wp-content/uploads/2023/03/IMG_7065.jpg</t>
        </is>
      </c>
      <c r="R110" s="12" t="inlineStr">
        <is>
          <t>2026-03-12</t>
        </is>
      </c>
      <c r="S110" s="12" t="inlineStr">
        <is>
          <t>Pre-loaded from WC export — fill in cost price</t>
        </is>
      </c>
    </row>
    <row r="111">
      <c r="A111" s="3" t="inlineStr"/>
      <c r="B111" s="4" t="inlineStr">
        <is>
          <t>9902054135053</t>
        </is>
      </c>
      <c r="C111" s="4" t="inlineStr">
        <is>
          <t>10033</t>
        </is>
      </c>
      <c r="D111" s="4" t="inlineStr"/>
      <c r="E111" s="5" t="inlineStr">
        <is>
          <t>Alco Roofing Screws 120mm</t>
        </is>
      </c>
      <c r="F111" s="4" t="inlineStr"/>
      <c r="G111" s="4" t="inlineStr">
        <is>
          <t>Hardware &gt; Buidling Materials</t>
        </is>
      </c>
      <c r="H111" s="4" t="inlineStr"/>
      <c r="I111" s="6" t="inlineStr"/>
      <c r="J111" s="7" t="n">
        <v>15</v>
      </c>
      <c r="K111" s="8">
        <f>IF(I111="","",I111*(1+J111/100))</f>
        <v/>
      </c>
      <c r="L111" s="9" t="n">
        <v>80</v>
      </c>
      <c r="M111" s="10">
        <f>IF(OR(L111="",K111="",L111=0),"",
  (L111-K111)/L111*100)</f>
        <v/>
      </c>
      <c r="N111" s="11" t="inlineStr"/>
      <c r="O111" s="4" t="inlineStr"/>
      <c r="P111" s="4" t="inlineStr"/>
      <c r="Q111" s="4" t="inlineStr">
        <is>
          <t>https://happyharvesting.co.za/wp-content/uploads/2023/03/IMG_7148.png</t>
        </is>
      </c>
      <c r="R111" s="4" t="inlineStr">
        <is>
          <t>2026-03-12</t>
        </is>
      </c>
      <c r="S111" s="4" t="inlineStr">
        <is>
          <t>Pre-loaded from WC export — fill in cost price</t>
        </is>
      </c>
    </row>
    <row r="112">
      <c r="A112" s="3" t="inlineStr"/>
      <c r="B112" s="12" t="inlineStr">
        <is>
          <t>9902054135039</t>
        </is>
      </c>
      <c r="C112" s="12" t="inlineStr">
        <is>
          <t>10031</t>
        </is>
      </c>
      <c r="D112" s="12" t="inlineStr"/>
      <c r="E112" s="12" t="inlineStr">
        <is>
          <t>Alco Roofing Screws 75mm</t>
        </is>
      </c>
      <c r="F112" s="12" t="inlineStr"/>
      <c r="G112" s="12" t="inlineStr">
        <is>
          <t>Hardware &gt; Buidling Materials</t>
        </is>
      </c>
      <c r="H112" s="12" t="inlineStr"/>
      <c r="I112" s="6" t="inlineStr"/>
      <c r="J112" s="7" t="n">
        <v>15</v>
      </c>
      <c r="K112" s="8">
        <f>IF(I112="","",I112*(1+J112/100))</f>
        <v/>
      </c>
      <c r="L112" s="13" t="n">
        <v>40</v>
      </c>
      <c r="M112" s="10">
        <f>IF(OR(L112="",K112="",L112=0),"",
  (L112-K112)/L112*100)</f>
        <v/>
      </c>
      <c r="N112" s="11" t="inlineStr"/>
      <c r="O112" s="12" t="inlineStr"/>
      <c r="P112" s="12" t="inlineStr"/>
      <c r="Q112" s="12" t="inlineStr">
        <is>
          <t>https://happyharvesting.co.za/wp-content/uploads/2023/03/IMG_7148.png</t>
        </is>
      </c>
      <c r="R112" s="12" t="inlineStr">
        <is>
          <t>2026-03-12</t>
        </is>
      </c>
      <c r="S112" s="12" t="inlineStr">
        <is>
          <t>Pre-loaded from WC export — fill in cost price</t>
        </is>
      </c>
    </row>
    <row r="113">
      <c r="A113" s="3" t="inlineStr"/>
      <c r="B113" s="4" t="inlineStr">
        <is>
          <t>9902054135046</t>
        </is>
      </c>
      <c r="C113" s="4" t="inlineStr">
        <is>
          <t>10032</t>
        </is>
      </c>
      <c r="D113" s="4" t="inlineStr"/>
      <c r="E113" s="5" t="inlineStr">
        <is>
          <t>Alco Roofing Screws 90mm</t>
        </is>
      </c>
      <c r="F113" s="4" t="inlineStr"/>
      <c r="G113" s="4" t="inlineStr">
        <is>
          <t>Hardware &gt; Buidling Materials</t>
        </is>
      </c>
      <c r="H113" s="4" t="inlineStr"/>
      <c r="I113" s="6" t="inlineStr"/>
      <c r="J113" s="7" t="n">
        <v>15</v>
      </c>
      <c r="K113" s="8">
        <f>IF(I113="","",I113*(1+J113/100))</f>
        <v/>
      </c>
      <c r="L113" s="9" t="n">
        <v>60</v>
      </c>
      <c r="M113" s="10">
        <f>IF(OR(L113="",K113="",L113=0),"",
  (L113-K113)/L113*100)</f>
        <v/>
      </c>
      <c r="N113" s="11" t="inlineStr"/>
      <c r="O113" s="4" t="inlineStr"/>
      <c r="P113" s="4" t="inlineStr"/>
      <c r="Q113" s="4" t="inlineStr">
        <is>
          <t>https://happyharvesting.co.za/wp-content/uploads/2023/03/IMG_7148.png</t>
        </is>
      </c>
      <c r="R113" s="4" t="inlineStr">
        <is>
          <t>2026-03-12</t>
        </is>
      </c>
      <c r="S113" s="4" t="inlineStr">
        <is>
          <t>Pre-loaded from WC export — fill in cost price</t>
        </is>
      </c>
    </row>
    <row r="114">
      <c r="A114" s="3" t="inlineStr"/>
      <c r="B114" s="12" t="inlineStr">
        <is>
          <t>F02493</t>
        </is>
      </c>
      <c r="C114" s="12" t="inlineStr">
        <is>
          <t>12660</t>
        </is>
      </c>
      <c r="D114" s="12" t="inlineStr"/>
      <c r="E114" s="12" t="inlineStr">
        <is>
          <t>Barrier Fencing Orange UV Resistant 1.0m x 50m</t>
        </is>
      </c>
      <c r="F114" s="12" t="inlineStr"/>
      <c r="G114" s="12" t="inlineStr">
        <is>
          <t>Hardware &gt; Buidling Materials</t>
        </is>
      </c>
      <c r="H114" s="12" t="inlineStr"/>
      <c r="I114" s="6" t="inlineStr"/>
      <c r="J114" s="7" t="n">
        <v>15</v>
      </c>
      <c r="K114" s="8">
        <f>IF(I114="","",I114*(1+J114/100))</f>
        <v/>
      </c>
      <c r="L114" s="13" t="n">
        <v>550</v>
      </c>
      <c r="M114" s="10">
        <f>IF(OR(L114="",K114="",L114=0),"",
  (L114-K114)/L114*100)</f>
        <v/>
      </c>
      <c r="N114" s="11" t="inlineStr"/>
      <c r="O114" s="12" t="inlineStr"/>
      <c r="P114" s="12" t="inlineStr"/>
      <c r="Q114" s="12" t="inlineStr">
        <is>
          <t>https://happyharvesting.co.za/wp-content/uploads/2023/07/T10932.jpg</t>
        </is>
      </c>
      <c r="R114" s="12" t="inlineStr">
        <is>
          <t>2026-03-12</t>
        </is>
      </c>
      <c r="S114" s="12" t="inlineStr">
        <is>
          <t>Pre-loaded from WC export — fill in cost price</t>
        </is>
      </c>
    </row>
    <row r="115">
      <c r="A115" s="3" t="inlineStr"/>
      <c r="B115" s="4" t="inlineStr">
        <is>
          <t>F02224</t>
        </is>
      </c>
      <c r="C115" s="4" t="inlineStr">
        <is>
          <t>20750</t>
        </is>
      </c>
      <c r="D115" s="4" t="inlineStr"/>
      <c r="E115" s="5" t="inlineStr">
        <is>
          <t>Chalk Line 15M Plastic Case + Powder + Leveler</t>
        </is>
      </c>
      <c r="F115" s="4" t="inlineStr"/>
      <c r="G115" s="4" t="inlineStr">
        <is>
          <t>Hardware &gt; Buidling Materials</t>
        </is>
      </c>
      <c r="H115" s="4" t="inlineStr"/>
      <c r="I115" s="6" t="inlineStr"/>
      <c r="J115" s="7" t="n">
        <v>15</v>
      </c>
      <c r="K115" s="8">
        <f>IF(I115="","",I115*(1+J115/100))</f>
        <v/>
      </c>
      <c r="L115" s="9" t="n">
        <v>120</v>
      </c>
      <c r="M115" s="10">
        <f>IF(OR(L115="",K115="",L115=0),"",
  (L115-K115)/L115*100)</f>
        <v/>
      </c>
      <c r="N115" s="11" t="inlineStr"/>
      <c r="O115" s="4" t="inlineStr"/>
      <c r="P115" s="4" t="inlineStr"/>
      <c r="Q115" s="4" t="inlineStr">
        <is>
          <t>https://happyharvesting.co.za/wp-content/uploads/2024/05/chalk-line-Photoroom.jpg</t>
        </is>
      </c>
      <c r="R115" s="4" t="inlineStr">
        <is>
          <t>2026-03-12</t>
        </is>
      </c>
      <c r="S115" s="4" t="inlineStr">
        <is>
          <t>Pre-loaded from WC export — fill in cost price</t>
        </is>
      </c>
    </row>
    <row r="116">
      <c r="A116" s="3" t="inlineStr"/>
      <c r="B116" s="12" t="inlineStr">
        <is>
          <t>F02574-01</t>
        </is>
      </c>
      <c r="C116" s="12" t="inlineStr">
        <is>
          <t>19243</t>
        </is>
      </c>
      <c r="D116" s="12" t="inlineStr"/>
      <c r="E116" s="12" t="inlineStr">
        <is>
          <t>Danger Barrier Tape Red/White</t>
        </is>
      </c>
      <c r="F116" s="12" t="inlineStr"/>
      <c r="G116" s="12" t="inlineStr">
        <is>
          <t>Hardware &gt; Buidling Materials</t>
        </is>
      </c>
      <c r="H116" s="12" t="inlineStr"/>
      <c r="I116" s="6" t="inlineStr"/>
      <c r="J116" s="7" t="n">
        <v>15</v>
      </c>
      <c r="K116" s="8">
        <f>IF(I116="","",I116*(1+J116/100))</f>
        <v/>
      </c>
      <c r="L116" s="6" t="inlineStr"/>
      <c r="M116" s="10">
        <f>IF(OR(L116="",K116="",L116=0),"",
  (L116-K116)/L116*100)</f>
        <v/>
      </c>
      <c r="N116" s="11" t="inlineStr"/>
      <c r="O116" s="12" t="inlineStr"/>
      <c r="P116" s="12" t="inlineStr"/>
      <c r="Q116" s="12" t="inlineStr">
        <is>
          <t>https://happyharvesting.co.za/wp-content/uploads/2024/03/s-pdpxl.jpg, https://happyharvesting.co.za/wp-content/uploads/2024/03/50165906-pdpxl75mmx500m.jpg, https://happyharvesting.co.za/wp-content/uploads/2024/03/s-pdpxl.jpg</t>
        </is>
      </c>
      <c r="R116" s="12" t="inlineStr">
        <is>
          <t>2026-03-12</t>
        </is>
      </c>
      <c r="S116" s="12" t="inlineStr">
        <is>
          <t>Pre-loaded from WC export — fill in cost price</t>
        </is>
      </c>
    </row>
    <row r="117">
      <c r="A117" s="3" t="inlineStr"/>
      <c r="B117" s="4" t="inlineStr">
        <is>
          <t>NQZ5V13898</t>
        </is>
      </c>
      <c r="C117" s="4" t="inlineStr">
        <is>
          <t>13898</t>
        </is>
      </c>
      <c r="D117" s="4" t="inlineStr"/>
      <c r="E117" s="5" t="inlineStr">
        <is>
          <t>General Purpose Silicone - 50g</t>
        </is>
      </c>
      <c r="F117" s="4" t="inlineStr"/>
      <c r="G117" s="4" t="inlineStr">
        <is>
          <t>Hardware &gt; Buidling Materials</t>
        </is>
      </c>
      <c r="H117" s="4" t="inlineStr"/>
      <c r="I117" s="6" t="inlineStr"/>
      <c r="J117" s="7" t="n">
        <v>15</v>
      </c>
      <c r="K117" s="8">
        <f>IF(I117="","",I117*(1+J117/100))</f>
        <v/>
      </c>
      <c r="L117" s="9" t="n">
        <v>25</v>
      </c>
      <c r="M117" s="10">
        <f>IF(OR(L117="",K117="",L117=0),"",
  (L117-K117)/L117*100)</f>
        <v/>
      </c>
      <c r="N117" s="11" t="inlineStr"/>
      <c r="O117" s="4" t="inlineStr"/>
      <c r="P117" s="4" t="inlineStr"/>
      <c r="Q117" s="4" t="inlineStr">
        <is>
          <t>https://happyharvesting.co.za/wp-content/uploads/2023/11/Lersean-3.png, https://happyharvesting.co.za/wp-content/uploads/2023/11/Lersean-3.png</t>
        </is>
      </c>
      <c r="R117" s="4" t="inlineStr">
        <is>
          <t>2026-03-12</t>
        </is>
      </c>
      <c r="S117" s="4" t="inlineStr">
        <is>
          <t>Pre-loaded from WC export — fill in cost price</t>
        </is>
      </c>
    </row>
    <row r="118">
      <c r="A118" s="3" t="inlineStr"/>
      <c r="B118" s="12" t="inlineStr">
        <is>
          <t>F02524 / F02527</t>
        </is>
      </c>
      <c r="C118" s="12" t="inlineStr">
        <is>
          <t>13892</t>
        </is>
      </c>
      <c r="D118" s="12" t="inlineStr"/>
      <c r="E118" s="12" t="inlineStr">
        <is>
          <t>Homey - Silicone Sealant - 660AC - Grey / White</t>
        </is>
      </c>
      <c r="F118" s="12" t="inlineStr"/>
      <c r="G118" s="12" t="inlineStr">
        <is>
          <t>Hardware &gt; Buidling Materials</t>
        </is>
      </c>
      <c r="H118" s="12" t="inlineStr"/>
      <c r="I118" s="6" t="inlineStr"/>
      <c r="J118" s="7" t="n">
        <v>15</v>
      </c>
      <c r="K118" s="8">
        <f>IF(I118="","",I118*(1+J118/100))</f>
        <v/>
      </c>
      <c r="L118" s="6" t="inlineStr"/>
      <c r="M118" s="10">
        <f>IF(OR(L118="",K118="",L118=0),"",
  (L118-K118)/L118*100)</f>
        <v/>
      </c>
      <c r="N118" s="11" t="inlineStr"/>
      <c r="O118" s="12" t="inlineStr"/>
      <c r="P118" s="12" t="inlineStr"/>
      <c r="Q118" s="12" t="inlineStr">
        <is>
          <t>https://happyharvesting.co.za/wp-content/uploads/2024/06/280ml-silicon-Photoroom.jpg, https://happyharvesting.co.za/wp-content/uploads/2023/11/2362AE7A-D02C-4DE0-B037-D85ABA4E30DE.png</t>
        </is>
      </c>
      <c r="R118" s="12" t="inlineStr">
        <is>
          <t>2026-03-12</t>
        </is>
      </c>
      <c r="S118" s="12" t="inlineStr">
        <is>
          <t>Pre-loaded from WC export — fill in cost price</t>
        </is>
      </c>
    </row>
    <row r="119">
      <c r="A119" s="3" t="inlineStr"/>
      <c r="B119" s="4" t="inlineStr">
        <is>
          <t>3GJ4K13889</t>
        </is>
      </c>
      <c r="C119" s="4" t="inlineStr">
        <is>
          <t>13889</t>
        </is>
      </c>
      <c r="D119" s="4" t="inlineStr"/>
      <c r="E119" s="5" t="inlineStr">
        <is>
          <t>Homey PU Foam</t>
        </is>
      </c>
      <c r="F119" s="4" t="inlineStr"/>
      <c r="G119" s="4" t="inlineStr">
        <is>
          <t>Hardware &gt; Buidling Materials</t>
        </is>
      </c>
      <c r="H119" s="4" t="inlineStr"/>
      <c r="I119" s="6" t="inlineStr"/>
      <c r="J119" s="7" t="n">
        <v>15</v>
      </c>
      <c r="K119" s="8">
        <f>IF(I119="","",I119*(1+J119/100))</f>
        <v/>
      </c>
      <c r="L119" s="9" t="n">
        <v>104</v>
      </c>
      <c r="M119" s="10">
        <f>IF(OR(L119="",K119="",L119=0),"",
  (L119-K119)/L119*100)</f>
        <v/>
      </c>
      <c r="N119" s="11" t="inlineStr"/>
      <c r="O119" s="4" t="inlineStr"/>
      <c r="P119" s="4" t="inlineStr"/>
      <c r="Q119" s="4" t="inlineStr">
        <is>
          <t>https://happyharvesting.co.za/wp-content/uploads/2023/11/9F90A06D-BC64-424B-83D4-7F38CFF71E08.png, https://happyharvesting.co.za/wp-content/uploads/2023/11/9F90A06D-BC64-424B-83D4-7F38CFF71E08.png</t>
        </is>
      </c>
      <c r="R119" s="4" t="inlineStr">
        <is>
          <t>2026-03-12</t>
        </is>
      </c>
      <c r="S119" s="4" t="inlineStr">
        <is>
          <t>Pre-loaded from WC export — fill in cost price</t>
        </is>
      </c>
    </row>
    <row r="120">
      <c r="A120" s="3" t="inlineStr"/>
      <c r="B120" s="12" t="inlineStr">
        <is>
          <t>9902033172833</t>
        </is>
      </c>
      <c r="C120" s="12" t="inlineStr">
        <is>
          <t>9602</t>
        </is>
      </c>
      <c r="D120" s="12" t="inlineStr"/>
      <c r="E120" s="12" t="inlineStr">
        <is>
          <t>Nylon Ski Rope</t>
        </is>
      </c>
      <c r="F120" s="12" t="inlineStr"/>
      <c r="G120" s="12" t="inlineStr">
        <is>
          <t>Hardware &gt; Buidling Materials</t>
        </is>
      </c>
      <c r="H120" s="12" t="inlineStr"/>
      <c r="I120" s="6" t="inlineStr"/>
      <c r="J120" s="7" t="n">
        <v>15</v>
      </c>
      <c r="K120" s="8">
        <f>IF(I120="","",I120*(1+J120/100))</f>
        <v/>
      </c>
      <c r="L120" s="6" t="inlineStr"/>
      <c r="M120" s="10">
        <f>IF(OR(L120="",K120="",L120=0),"",
  (L120-K120)/L120*100)</f>
        <v/>
      </c>
      <c r="N120" s="11" t="inlineStr"/>
      <c r="O120" s="12" t="inlineStr"/>
      <c r="P120" s="12" t="inlineStr"/>
      <c r="Q120" s="12" t="inlineStr">
        <is>
          <t>https://happyharvesting.co.za/wp-content/uploads/2023/03/ski-rope.webp, https://happyharvesting.co.za/wp-content/uploads/2023/11/yellow-nylo-rope.webp, https://happyharvesting.co.za/wp-content/uploads/2023/11/blue-nylon-rope.webp, https://happyharvesting.co.za/wp-content/uploads/2023/11/Nylon-Ski-Rope-8mm-x-20m.webp</t>
        </is>
      </c>
      <c r="R120" s="12" t="inlineStr">
        <is>
          <t>2026-03-12</t>
        </is>
      </c>
      <c r="S120" s="12" t="inlineStr">
        <is>
          <t>Pre-loaded from WC export — fill in cost price</t>
        </is>
      </c>
    </row>
    <row r="121">
      <c r="A121" s="3" t="inlineStr"/>
      <c r="B121" s="4" t="inlineStr">
        <is>
          <t>F02494</t>
        </is>
      </c>
      <c r="C121" s="4" t="inlineStr">
        <is>
          <t>12661</t>
        </is>
      </c>
      <c r="D121" s="4" t="inlineStr"/>
      <c r="E121" s="5" t="inlineStr">
        <is>
          <t>Orange &amp; Yellow Woven Barrier Netting</t>
        </is>
      </c>
      <c r="F121" s="4" t="inlineStr"/>
      <c r="G121" s="4" t="inlineStr">
        <is>
          <t>Hardware &gt; Buidling Materials</t>
        </is>
      </c>
      <c r="H121" s="4" t="inlineStr"/>
      <c r="I121" s="6" t="inlineStr"/>
      <c r="J121" s="7" t="n">
        <v>15</v>
      </c>
      <c r="K121" s="8">
        <f>IF(I121="","",I121*(1+J121/100))</f>
        <v/>
      </c>
      <c r="L121" s="9" t="n">
        <v>499</v>
      </c>
      <c r="M121" s="10">
        <f>IF(OR(L121="",K121="",L121=0),"",
  (L121-K121)/L121*100)</f>
        <v/>
      </c>
      <c r="N121" s="11" t="inlineStr"/>
      <c r="O121" s="4" t="inlineStr"/>
      <c r="P121" s="4" t="inlineStr"/>
      <c r="Q121" s="4" t="inlineStr">
        <is>
          <t>https://happyharvesting.co.za/wp-content/uploads/2023/07/images-2.jpeg</t>
        </is>
      </c>
      <c r="R121" s="4" t="inlineStr">
        <is>
          <t>2026-03-12</t>
        </is>
      </c>
      <c r="S121" s="4" t="inlineStr">
        <is>
          <t>Pre-loaded from WC export — fill in cost price</t>
        </is>
      </c>
    </row>
    <row r="122">
      <c r="A122" s="3" t="inlineStr"/>
      <c r="B122" s="12" t="inlineStr">
        <is>
          <t>F01464</t>
        </is>
      </c>
      <c r="C122" s="12" t="inlineStr">
        <is>
          <t>19353</t>
        </is>
      </c>
      <c r="D122" s="12" t="inlineStr"/>
      <c r="E122" s="12" t="inlineStr">
        <is>
          <t>Padbolt Carded Galv + Screws 200mm</t>
        </is>
      </c>
      <c r="F122" s="12" t="inlineStr"/>
      <c r="G122" s="12" t="inlineStr">
        <is>
          <t>Hardware &gt; Buidling Materials</t>
        </is>
      </c>
      <c r="H122" s="12" t="inlineStr"/>
      <c r="I122" s="6" t="inlineStr"/>
      <c r="J122" s="7" t="n">
        <v>15</v>
      </c>
      <c r="K122" s="8">
        <f>IF(I122="","",I122*(1+J122/100))</f>
        <v/>
      </c>
      <c r="L122" s="13" t="n">
        <v>150</v>
      </c>
      <c r="M122" s="10">
        <f>IF(OR(L122="",K122="",L122=0),"",
  (L122-K122)/L122*100)</f>
        <v/>
      </c>
      <c r="N122" s="11" t="inlineStr"/>
      <c r="O122" s="12" t="inlineStr"/>
      <c r="P122" s="12" t="inlineStr"/>
      <c r="Q122" s="12" t="inlineStr">
        <is>
          <t>https://happyharvesting.co.za/wp-content/uploads/2024/03/pad-bolt-200mm.jpg</t>
        </is>
      </c>
      <c r="R122" s="12" t="inlineStr">
        <is>
          <t>2026-03-12</t>
        </is>
      </c>
      <c r="S122" s="12" t="inlineStr">
        <is>
          <t>Pre-loaded from WC export — fill in cost price</t>
        </is>
      </c>
    </row>
    <row r="123">
      <c r="A123" s="3" t="inlineStr"/>
      <c r="B123" s="4" t="inlineStr">
        <is>
          <t>BK93O20628</t>
        </is>
      </c>
      <c r="C123" s="4" t="inlineStr">
        <is>
          <t>20629</t>
        </is>
      </c>
      <c r="D123" s="4" t="inlineStr"/>
      <c r="E123" s="5" t="inlineStr">
        <is>
          <t>Paint Roller Eazi Brush + Paint Tray</t>
        </is>
      </c>
      <c r="F123" s="4" t="inlineStr"/>
      <c r="G123" s="4" t="inlineStr">
        <is>
          <t>Hardware &gt; Buidling Materials</t>
        </is>
      </c>
      <c r="H123" s="4" t="inlineStr"/>
      <c r="I123" s="6" t="inlineStr"/>
      <c r="J123" s="7" t="n">
        <v>15</v>
      </c>
      <c r="K123" s="8">
        <f>IF(I123="","",I123*(1+J123/100))</f>
        <v/>
      </c>
      <c r="L123" s="9" t="n">
        <v>120</v>
      </c>
      <c r="M123" s="10">
        <f>IF(OR(L123="",K123="",L123=0),"",
  (L123-K123)/L123*100)</f>
        <v/>
      </c>
      <c r="N123" s="11" t="inlineStr"/>
      <c r="O123" s="4" t="inlineStr"/>
      <c r="P123" s="4" t="inlineStr"/>
      <c r="Q123" s="4" t="inlineStr">
        <is>
          <t>https://happyharvesting.co.za/wp-content/uploads/2024/05/f02580-Photoroom.jpg</t>
        </is>
      </c>
      <c r="R123" s="4" t="inlineStr">
        <is>
          <t>2026-03-12</t>
        </is>
      </c>
      <c r="S123" s="4" t="inlineStr">
        <is>
          <t>Pre-loaded from WC export — fill in cost price</t>
        </is>
      </c>
    </row>
    <row r="124">
      <c r="A124" s="3" t="inlineStr"/>
      <c r="B124" s="12" t="inlineStr">
        <is>
          <t>F02437</t>
        </is>
      </c>
      <c r="C124" s="12" t="inlineStr">
        <is>
          <t>21114</t>
        </is>
      </c>
      <c r="D124" s="12" t="inlineStr"/>
      <c r="E124" s="12" t="inlineStr">
        <is>
          <t>Pick Handle Fibre Glass Yellow</t>
        </is>
      </c>
      <c r="F124" s="12" t="inlineStr"/>
      <c r="G124" s="12" t="inlineStr">
        <is>
          <t>Hardware &gt; Buidling Materials</t>
        </is>
      </c>
      <c r="H124" s="12" t="inlineStr"/>
      <c r="I124" s="6" t="inlineStr"/>
      <c r="J124" s="7" t="n">
        <v>15</v>
      </c>
      <c r="K124" s="8">
        <f>IF(I124="","",I124*(1+J124/100))</f>
        <v/>
      </c>
      <c r="L124" s="13" t="n">
        <v>145</v>
      </c>
      <c r="M124" s="10">
        <f>IF(OR(L124="",K124="",L124=0),"",
  (L124-K124)/L124*100)</f>
        <v/>
      </c>
      <c r="N124" s="11" t="inlineStr"/>
      <c r="O124" s="12" t="inlineStr"/>
      <c r="P124" s="12" t="inlineStr"/>
      <c r="Q124" s="12" t="inlineStr">
        <is>
          <t>https://happyharvesting.co.za/wp-content/uploads/2024/06/Pick-Handle-Fibre-Photoroom-1.jpg</t>
        </is>
      </c>
      <c r="R124" s="12" t="inlineStr">
        <is>
          <t>2026-03-12</t>
        </is>
      </c>
      <c r="S124" s="12" t="inlineStr">
        <is>
          <t>Pre-loaded from WC export — fill in cost price</t>
        </is>
      </c>
    </row>
    <row r="125">
      <c r="A125" s="3" t="inlineStr"/>
      <c r="B125" s="4" t="inlineStr">
        <is>
          <t>F01875</t>
        </is>
      </c>
      <c r="C125" s="4" t="inlineStr">
        <is>
          <t>19240</t>
        </is>
      </c>
      <c r="D125" s="4" t="inlineStr"/>
      <c r="E125" s="5" t="inlineStr">
        <is>
          <t>Shelf Safety Support</t>
        </is>
      </c>
      <c r="F125" s="4" t="inlineStr"/>
      <c r="G125" s="4" t="inlineStr">
        <is>
          <t>Hardware &gt; Buidling Materials</t>
        </is>
      </c>
      <c r="H125" s="4" t="inlineStr"/>
      <c r="I125" s="6" t="inlineStr"/>
      <c r="J125" s="7" t="n">
        <v>15</v>
      </c>
      <c r="K125" s="8">
        <f>IF(I125="","",I125*(1+J125/100))</f>
        <v/>
      </c>
      <c r="L125" s="9" t="n">
        <v>150</v>
      </c>
      <c r="M125" s="10">
        <f>IF(OR(L125="",K125="",L125=0),"",
  (L125-K125)/L125*100)</f>
        <v/>
      </c>
      <c r="N125" s="11" t="inlineStr"/>
      <c r="O125" s="4" t="inlineStr"/>
      <c r="P125" s="4" t="inlineStr"/>
      <c r="Q125" s="4" t="inlineStr">
        <is>
          <t>https://happyharvesting.co.za/wp-content/uploads/2024/03/s-zoom.jpg</t>
        </is>
      </c>
      <c r="R125" s="4" t="inlineStr">
        <is>
          <t>2026-03-12</t>
        </is>
      </c>
      <c r="S125" s="4" t="inlineStr">
        <is>
          <t>Pre-loaded from WC export — fill in cost price</t>
        </is>
      </c>
    </row>
    <row r="126">
      <c r="A126" s="3" t="inlineStr"/>
      <c r="B126" s="12" t="inlineStr">
        <is>
          <t>3AI4713896</t>
        </is>
      </c>
      <c r="C126" s="12" t="inlineStr">
        <is>
          <t>13896</t>
        </is>
      </c>
      <c r="D126" s="12" t="inlineStr"/>
      <c r="E126" s="12" t="inlineStr">
        <is>
          <t>Silicone Acetoxy H400</t>
        </is>
      </c>
      <c r="F126" s="12" t="inlineStr"/>
      <c r="G126" s="12" t="inlineStr">
        <is>
          <t>Hardware &gt; Buidling Materials</t>
        </is>
      </c>
      <c r="H126" s="12" t="inlineStr"/>
      <c r="I126" s="6" t="inlineStr"/>
      <c r="J126" s="7" t="n">
        <v>15</v>
      </c>
      <c r="K126" s="8">
        <f>IF(I126="","",I126*(1+J126/100))</f>
        <v/>
      </c>
      <c r="L126" s="13" t="n">
        <v>40</v>
      </c>
      <c r="M126" s="10">
        <f>IF(OR(L126="",K126="",L126=0),"",
  (L126-K126)/L126*100)</f>
        <v/>
      </c>
      <c r="N126" s="11" t="inlineStr"/>
      <c r="O126" s="12" t="inlineStr"/>
      <c r="P126" s="12" t="inlineStr"/>
      <c r="Q126" s="12" t="inlineStr">
        <is>
          <t>https://happyharvesting.co.za/wp-content/uploads/2023/11/image-removebg-preview-27.png, https://happyharvesting.co.za/wp-content/uploads/2023/11/image-removebg-preview-27.png</t>
        </is>
      </c>
      <c r="R126" s="12" t="inlineStr">
        <is>
          <t>2026-03-12</t>
        </is>
      </c>
      <c r="S126" s="12" t="inlineStr">
        <is>
          <t>Pre-loaded from WC export — fill in cost price</t>
        </is>
      </c>
    </row>
    <row r="127">
      <c r="A127" s="3" t="inlineStr"/>
      <c r="B127" s="4" t="inlineStr">
        <is>
          <t>F02497-01</t>
        </is>
      </c>
      <c r="C127" s="4" t="inlineStr">
        <is>
          <t>19267</t>
        </is>
      </c>
      <c r="D127" s="4" t="inlineStr"/>
      <c r="E127" s="5" t="inlineStr">
        <is>
          <t>Waterproofing Roof Under-Tile Membrane</t>
        </is>
      </c>
      <c r="F127" s="4" t="inlineStr"/>
      <c r="G127" s="4" t="inlineStr">
        <is>
          <t>Hardware &gt; Buidling Materials</t>
        </is>
      </c>
      <c r="H127" s="4" t="inlineStr"/>
      <c r="I127" s="6" t="inlineStr"/>
      <c r="J127" s="7" t="n">
        <v>15</v>
      </c>
      <c r="K127" s="8">
        <f>IF(I127="","",I127*(1+J127/100))</f>
        <v/>
      </c>
      <c r="L127" s="6" t="inlineStr"/>
      <c r="M127" s="10">
        <f>IF(OR(L127="",K127="",L127=0),"",
  (L127-K127)/L127*100)</f>
        <v/>
      </c>
      <c r="N127" s="11" t="inlineStr"/>
      <c r="O127" s="4" t="inlineStr"/>
      <c r="P127" s="4" t="inlineStr"/>
      <c r="Q127" s="4" t="inlineStr">
        <is>
          <t>https://happyharvesting.co.za/wp-content/uploads/2024/03/whnt.jpg</t>
        </is>
      </c>
      <c r="R127" s="4" t="inlineStr">
        <is>
          <t>2026-03-12</t>
        </is>
      </c>
      <c r="S127" s="4" t="inlineStr">
        <is>
          <t>Pre-loaded from WC export — fill in cost price</t>
        </is>
      </c>
    </row>
    <row r="128">
      <c r="A128" s="3" t="inlineStr"/>
      <c r="B128" s="12" t="inlineStr">
        <is>
          <t>F02425 / F02426</t>
        </is>
      </c>
      <c r="C128" s="12" t="inlineStr">
        <is>
          <t>21192</t>
        </is>
      </c>
      <c r="D128" s="12" t="inlineStr"/>
      <c r="E128" s="12" t="inlineStr">
        <is>
          <t>Wooden Frame</t>
        </is>
      </c>
      <c r="F128" s="12" t="inlineStr"/>
      <c r="G128" s="12" t="inlineStr">
        <is>
          <t>Hardware &gt; Buidling Materials</t>
        </is>
      </c>
      <c r="H128" s="12" t="inlineStr"/>
      <c r="I128" s="6" t="inlineStr"/>
      <c r="J128" s="7" t="n">
        <v>15</v>
      </c>
      <c r="K128" s="8">
        <f>IF(I128="","",I128*(1+J128/100))</f>
        <v/>
      </c>
      <c r="L128" s="6" t="inlineStr"/>
      <c r="M128" s="10">
        <f>IF(OR(L128="",K128="",L128=0),"",
  (L128-K128)/L128*100)</f>
        <v/>
      </c>
      <c r="N128" s="11" t="inlineStr"/>
      <c r="O128" s="12" t="inlineStr"/>
      <c r="P128" s="12" t="inlineStr"/>
      <c r="Q128" s="12" t="inlineStr">
        <is>
          <t>https://happyharvesting.co.za/wp-content/uploads/2024/06/frame-Photoroom.jpg</t>
        </is>
      </c>
      <c r="R128" s="12" t="inlineStr">
        <is>
          <t>2026-03-12</t>
        </is>
      </c>
      <c r="S128" s="12" t="inlineStr">
        <is>
          <t>Pre-loaded from WC export — fill in cost price</t>
        </is>
      </c>
    </row>
    <row r="129">
      <c r="A129" s="3" t="inlineStr"/>
      <c r="B129" s="4" t="inlineStr">
        <is>
          <t>NKT9120708</t>
        </is>
      </c>
      <c r="C129" s="4" t="inlineStr">
        <is>
          <t>20708</t>
        </is>
      </c>
      <c r="D129" s="4" t="inlineStr"/>
      <c r="E129" s="5" t="inlineStr">
        <is>
          <t>Yellow Glue Sticks For Glue Gun (1kg)</t>
        </is>
      </c>
      <c r="F129" s="4" t="inlineStr"/>
      <c r="G129" s="4" t="inlineStr">
        <is>
          <t>Hardware &gt; Buidling Materials</t>
        </is>
      </c>
      <c r="H129" s="4" t="inlineStr"/>
      <c r="I129" s="6" t="inlineStr"/>
      <c r="J129" s="7" t="n">
        <v>15</v>
      </c>
      <c r="K129" s="8">
        <f>IF(I129="","",I129*(1+J129/100))</f>
        <v/>
      </c>
      <c r="L129" s="9" t="n">
        <v>390</v>
      </c>
      <c r="M129" s="10">
        <f>IF(OR(L129="",K129="",L129=0),"",
  (L129-K129)/L129*100)</f>
        <v/>
      </c>
      <c r="N129" s="11" t="inlineStr"/>
      <c r="O129" s="4" t="inlineStr"/>
      <c r="P129" s="4" t="inlineStr"/>
      <c r="Q129" s="4" t="inlineStr">
        <is>
          <t>https://happyharvesting.co.za/wp-content/uploads/2024/05/glue-stick-Photoroom.jpg</t>
        </is>
      </c>
      <c r="R129" s="4" t="inlineStr">
        <is>
          <t>2026-03-12</t>
        </is>
      </c>
      <c r="S129" s="4" t="inlineStr">
        <is>
          <t>Pre-loaded from WC export — fill in cost price</t>
        </is>
      </c>
    </row>
    <row r="130">
      <c r="A130" s="3" t="inlineStr"/>
      <c r="B130" s="12" t="inlineStr">
        <is>
          <t>RZQRB20798</t>
        </is>
      </c>
      <c r="C130" s="12" t="inlineStr">
        <is>
          <t>20798</t>
        </is>
      </c>
      <c r="D130" s="12" t="inlineStr"/>
      <c r="E130" s="12" t="inlineStr">
        <is>
          <t>Samsung Bespoke 630L Net French Door Refrigerator - Matt Black  Stainless Steel - RF29BB8600MT</t>
        </is>
      </c>
      <c r="F130" s="12" t="inlineStr"/>
      <c r="G130" s="12" t="inlineStr">
        <is>
          <t>Homeware &gt; Appliances</t>
        </is>
      </c>
      <c r="H130" s="12" t="inlineStr"/>
      <c r="I130" s="6" t="inlineStr"/>
      <c r="J130" s="7" t="n">
        <v>15</v>
      </c>
      <c r="K130" s="8">
        <f>IF(I130="","",I130*(1+J130/100))</f>
        <v/>
      </c>
      <c r="L130" s="13" t="n">
        <v>59999</v>
      </c>
      <c r="M130" s="10">
        <f>IF(OR(L130="",K130="",L130=0),"",
  (L130-K130)/L130*100)</f>
        <v/>
      </c>
      <c r="N130" s="11" t="inlineStr"/>
      <c r="O130" s="12" t="inlineStr"/>
      <c r="P130" s="12" t="inlineStr"/>
      <c r="Q130" s="12" t="inlineStr">
        <is>
          <t>https://happyharvesting.co.za/wp-content/uploads/2024/06/9B2A6743-BBDA-411E-B3AA-5979A5721AE5.png, https://happyharvesting.co.za/wp-content/uploads/2024/06/685D378F-CC97-43E7-83CB-35D1B4F88D14.png, https://happyharvesting.co.za/wp-content/uploads/2024/06/9B2A6743-BBDA-411E-B3AA-5979A5721AE5.png</t>
        </is>
      </c>
      <c r="R130" s="12" t="inlineStr">
        <is>
          <t>2026-03-12</t>
        </is>
      </c>
      <c r="S130" s="12" t="inlineStr">
        <is>
          <t>Pre-loaded from WC export — fill in cost price</t>
        </is>
      </c>
    </row>
    <row r="131">
      <c r="A131" s="3" t="inlineStr"/>
      <c r="B131" s="4" t="inlineStr">
        <is>
          <t>GC-L247SLUV</t>
        </is>
      </c>
      <c r="C131" s="4" t="inlineStr">
        <is>
          <t>23393</t>
        </is>
      </c>
      <c r="D131" s="4" t="inlineStr"/>
      <c r="E131" s="5" t="inlineStr">
        <is>
          <t>LG 611L Matte Black Side-by-Side Fridge</t>
        </is>
      </c>
      <c r="F131" s="4" t="inlineStr"/>
      <c r="G131" s="4" t="inlineStr">
        <is>
          <t>Homeware &gt; Appliances &gt; Fridges</t>
        </is>
      </c>
      <c r="H131" s="4" t="inlineStr"/>
      <c r="I131" s="6" t="inlineStr"/>
      <c r="J131" s="7" t="n">
        <v>15</v>
      </c>
      <c r="K131" s="8">
        <f>IF(I131="","",I131*(1+J131/100))</f>
        <v/>
      </c>
      <c r="L131" s="9" t="n">
        <v>27999.99</v>
      </c>
      <c r="M131" s="10">
        <f>IF(OR(L131="",K131="",L131=0),"",
  (L131-K131)/L131*100)</f>
        <v/>
      </c>
      <c r="N131" s="11" t="inlineStr"/>
      <c r="O131" s="4" t="inlineStr"/>
      <c r="P131" s="4" t="inlineStr"/>
      <c r="Q131" s="4" t="inlineStr">
        <is>
          <t>https://happyharvesting.co.za/wp-content/uploads/2024/11/download-10-1.jpg, https://happyharvesting.co.za/wp-content/uploads/2024/11/download-11-1.jpg, https://happyharvesting.co.za/wp-content/uploads/2024/11/download-10-1.jpg</t>
        </is>
      </c>
      <c r="R131" s="4" t="inlineStr">
        <is>
          <t>2026-03-12</t>
        </is>
      </c>
      <c r="S131" s="4" t="inlineStr">
        <is>
          <t>Pre-loaded from WC export — fill in cost price</t>
        </is>
      </c>
    </row>
    <row r="132">
      <c r="A132" s="3" t="inlineStr"/>
      <c r="B132" s="12" t="inlineStr">
        <is>
          <t>36988</t>
        </is>
      </c>
      <c r="C132" s="12" t="inlineStr">
        <is>
          <t>23427</t>
        </is>
      </c>
      <c r="D132" s="12" t="inlineStr"/>
      <c r="E132" s="12" t="inlineStr">
        <is>
          <t>Bissell SpotClean Carpet Cleaner</t>
        </is>
      </c>
      <c r="F132" s="12" t="inlineStr"/>
      <c r="G132" s="12" t="inlineStr">
        <is>
          <t>Homeware &gt; Cleaning &amp; Organization &gt; Cleaning</t>
        </is>
      </c>
      <c r="H132" s="12" t="inlineStr"/>
      <c r="I132" s="6" t="inlineStr"/>
      <c r="J132" s="7" t="n">
        <v>15</v>
      </c>
      <c r="K132" s="8">
        <f>IF(I132="","",I132*(1+J132/100))</f>
        <v/>
      </c>
      <c r="L132" s="13" t="n">
        <v>6499.99</v>
      </c>
      <c r="M132" s="10">
        <f>IF(OR(L132="",K132="",L132=0),"",
  (L132-K132)/L132*100)</f>
        <v/>
      </c>
      <c r="N132" s="11" t="inlineStr"/>
      <c r="O132" s="12" t="inlineStr"/>
      <c r="P132" s="12" t="inlineStr"/>
      <c r="Q132" s="12" t="inlineStr">
        <is>
          <t>https://happyharvesting.co.za/wp-content/uploads/2024/11/Bissell-SpotClean-Carpet-Cleaner-1.png, https://happyharvesting.co.za/wp-content/uploads/2024/11/Bissell-SpotClean-Carpet-Cleaner.png</t>
        </is>
      </c>
      <c r="R132" s="12" t="inlineStr">
        <is>
          <t>2026-03-12</t>
        </is>
      </c>
      <c r="S132" s="12" t="inlineStr">
        <is>
          <t>Pre-loaded from WC export — fill in cost price</t>
        </is>
      </c>
    </row>
    <row r="133">
      <c r="A133" s="3" t="inlineStr"/>
      <c r="B133" s="4" t="inlineStr">
        <is>
          <t>F00747</t>
        </is>
      </c>
      <c r="C133" s="4" t="inlineStr">
        <is>
          <t>19357</t>
        </is>
      </c>
      <c r="D133" s="4" t="inlineStr"/>
      <c r="E133" s="5" t="inlineStr">
        <is>
          <t>Candy Stripe Mat</t>
        </is>
      </c>
      <c r="F133" s="4" t="inlineStr"/>
      <c r="G133" s="4" t="inlineStr">
        <is>
          <t>Homeware &gt; Decor</t>
        </is>
      </c>
      <c r="H133" s="4" t="inlineStr"/>
      <c r="I133" s="6" t="inlineStr"/>
      <c r="J133" s="7" t="n">
        <v>15</v>
      </c>
      <c r="K133" s="8">
        <f>IF(I133="","",I133*(1+J133/100))</f>
        <v/>
      </c>
      <c r="L133" s="6" t="inlineStr"/>
      <c r="M133" s="10">
        <f>IF(OR(L133="",K133="",L133=0),"",
  (L133-K133)/L133*100)</f>
        <v/>
      </c>
      <c r="N133" s="11" t="inlineStr"/>
      <c r="O133" s="4" t="inlineStr"/>
      <c r="P133" s="4" t="inlineStr"/>
      <c r="Q133" s="4" t="inlineStr">
        <is>
          <t>https://happyharvesting.co.za/wp-content/uploads/2024/03/f00747BRG-Photoroom.jpg, https://happyharvesting.co.za/wp-content/uploads/2024/03/f00747Brownpurple-Photoroom.jpg, https://happyharvesting.co.za/wp-content/uploads/2024/03/f00747BPGrey-Photoroom.jpg, https://happyharvesting.co.za/wp-content/uploads/2024/03/f00747PRY-Photoroom.jpg, https://happyharvesting.co.za/wp-content/uploads/2024/03/f00747BRG-Photoroom.jpg</t>
        </is>
      </c>
      <c r="R133" s="4" t="inlineStr">
        <is>
          <t>2026-03-12</t>
        </is>
      </c>
      <c r="S133" s="4" t="inlineStr">
        <is>
          <t>Pre-loaded from WC export — fill in cost price</t>
        </is>
      </c>
    </row>
    <row r="134">
      <c r="A134" s="3" t="inlineStr"/>
      <c r="B134" s="12" t="inlineStr">
        <is>
          <t>F01120</t>
        </is>
      </c>
      <c r="C134" s="12" t="inlineStr">
        <is>
          <t>19359</t>
        </is>
      </c>
      <c r="D134" s="12" t="inlineStr"/>
      <c r="E134" s="12" t="inlineStr">
        <is>
          <t>Micro Fibre Mat</t>
        </is>
      </c>
      <c r="F134" s="12" t="inlineStr"/>
      <c r="G134" s="12" t="inlineStr">
        <is>
          <t>Homeware &gt; Decor</t>
        </is>
      </c>
      <c r="H134" s="12" t="inlineStr"/>
      <c r="I134" s="6" t="inlineStr"/>
      <c r="J134" s="7" t="n">
        <v>15</v>
      </c>
      <c r="K134" s="8">
        <f>IF(I134="","",I134*(1+J134/100))</f>
        <v/>
      </c>
      <c r="L134" s="6" t="inlineStr"/>
      <c r="M134" s="10">
        <f>IF(OR(L134="",K134="",L134=0),"",
  (L134-K134)/L134*100)</f>
        <v/>
      </c>
      <c r="N134" s="11" t="inlineStr"/>
      <c r="O134" s="12" t="inlineStr"/>
      <c r="P134" s="12" t="inlineStr"/>
      <c r="Q134" s="12" t="inlineStr">
        <is>
          <t>https://happyharvesting.co.za/wp-content/uploads/2024/03/f01120pink-Photoroom.jpg, https://happyharvesting.co.za/wp-content/uploads/2024/03/f01120blue-Photoroom.jpg, https://happyharvesting.co.za/wp-content/uploads/2024/03/f01120brown-Photoroom.jpg, https://happyharvesting.co.za/wp-content/uploads/2024/03/f01120grey-Photoroom.jpg, https://happyharvesting.co.za/wp-content/uploads/2024/03/f01120pink-Photoroom-1.jpg</t>
        </is>
      </c>
      <c r="R134" s="12" t="inlineStr">
        <is>
          <t>2026-03-12</t>
        </is>
      </c>
      <c r="S134" s="12" t="inlineStr">
        <is>
          <t>Pre-loaded from WC export — fill in cost price</t>
        </is>
      </c>
    </row>
    <row r="135">
      <c r="A135" s="3" t="inlineStr"/>
      <c r="B135" s="4" t="inlineStr">
        <is>
          <t>F00343</t>
        </is>
      </c>
      <c r="C135" s="4" t="inlineStr">
        <is>
          <t>32165</t>
        </is>
      </c>
      <c r="D135" s="4" t="inlineStr"/>
      <c r="E135" s="5" t="inlineStr">
        <is>
          <t>Table mat</t>
        </is>
      </c>
      <c r="F135" s="4" t="inlineStr"/>
      <c r="G135" s="4" t="inlineStr">
        <is>
          <t>Homeware &gt; Decor</t>
        </is>
      </c>
      <c r="H135" s="4" t="inlineStr"/>
      <c r="I135" s="6" t="inlineStr"/>
      <c r="J135" s="7" t="n">
        <v>15</v>
      </c>
      <c r="K135" s="8">
        <f>IF(I135="","",I135*(1+J135/100))</f>
        <v/>
      </c>
      <c r="L135" s="6" t="inlineStr"/>
      <c r="M135" s="10">
        <f>IF(OR(L135="",K135="",L135=0),"",
  (L135-K135)/L135*100)</f>
        <v/>
      </c>
      <c r="N135" s="11" t="inlineStr"/>
      <c r="O135" s="4" t="inlineStr"/>
      <c r="P135" s="4" t="inlineStr"/>
      <c r="Q135" s="4" t="inlineStr">
        <is>
          <t>https://happyharvesting.co.za/wp-content/uploads/2025/04/Untitled-design-14.png</t>
        </is>
      </c>
      <c r="R135" s="4" t="inlineStr">
        <is>
          <t>2026-03-12</t>
        </is>
      </c>
      <c r="S135" s="4" t="inlineStr">
        <is>
          <t>Pre-loaded from WC export — fill in cost price</t>
        </is>
      </c>
    </row>
    <row r="136">
      <c r="A136" s="3" t="inlineStr"/>
      <c r="B136" s="12" t="inlineStr">
        <is>
          <t>F00079</t>
        </is>
      </c>
      <c r="C136" s="12" t="inlineStr">
        <is>
          <t>19366</t>
        </is>
      </c>
      <c r="D136" s="12" t="inlineStr"/>
      <c r="E136" s="12" t="inlineStr">
        <is>
          <t>Welcome Mats</t>
        </is>
      </c>
      <c r="F136" s="12" t="inlineStr"/>
      <c r="G136" s="12" t="inlineStr">
        <is>
          <t>Homeware &gt; Decor</t>
        </is>
      </c>
      <c r="H136" s="12" t="inlineStr"/>
      <c r="I136" s="6" t="inlineStr"/>
      <c r="J136" s="7" t="n">
        <v>15</v>
      </c>
      <c r="K136" s="8">
        <f>IF(I136="","",I136*(1+J136/100))</f>
        <v/>
      </c>
      <c r="L136" s="6" t="inlineStr"/>
      <c r="M136" s="10">
        <f>IF(OR(L136="",K136="",L136=0),"",
  (L136-K136)/L136*100)</f>
        <v/>
      </c>
      <c r="N136" s="11" t="inlineStr"/>
      <c r="O136" s="12" t="inlineStr"/>
      <c r="P136" s="12" t="inlineStr"/>
      <c r="Q136" s="12" t="inlineStr">
        <is>
          <t>https://happyharvesting.co.za/wp-content/uploads/2024/03/blackl-Photoroom.jpg, https://happyharvesting.co.za/wp-content/uploads/2024/03/red-welcome-Photoroom.jpg, https://happyharvesting.co.za/wp-content/uploads/2024/03/blue-welcome-Photoroom.jpg, https://happyharvesting.co.za/wp-content/uploads/2024/03/grey-welcome-Photoroom.jpg, https://happyharvesting.co.za/wp-content/uploads/2024/03/blackl-Photoroom.jpg</t>
        </is>
      </c>
      <c r="R136" s="12" t="inlineStr">
        <is>
          <t>2026-03-12</t>
        </is>
      </c>
      <c r="S136" s="12" t="inlineStr">
        <is>
          <t>Pre-loaded from WC export — fill in cost price</t>
        </is>
      </c>
    </row>
    <row r="137">
      <c r="A137" s="3" t="inlineStr"/>
      <c r="B137" s="4" t="inlineStr">
        <is>
          <t>H4224A/H3247B</t>
        </is>
      </c>
      <c r="C137" s="4" t="inlineStr">
        <is>
          <t>14930</t>
        </is>
      </c>
      <c r="D137" s="4" t="inlineStr"/>
      <c r="E137" s="5" t="inlineStr">
        <is>
          <t>Cape Town Rug</t>
        </is>
      </c>
      <c r="F137" s="4" t="inlineStr"/>
      <c r="G137" s="4" t="inlineStr">
        <is>
          <t>Homeware &gt; Decor &gt; Carpets\</t>
        </is>
      </c>
      <c r="H137" s="4" t="inlineStr"/>
      <c r="I137" s="6" t="inlineStr"/>
      <c r="J137" s="7" t="n">
        <v>15</v>
      </c>
      <c r="K137" s="8">
        <f>IF(I137="","",I137*(1+J137/100))</f>
        <v/>
      </c>
      <c r="L137" s="6" t="inlineStr"/>
      <c r="M137" s="10">
        <f>IF(OR(L137="",K137="",L137=0),"",
  (L137-K137)/L137*100)</f>
        <v/>
      </c>
      <c r="N137" s="11" t="inlineStr"/>
      <c r="O137" s="4" t="inlineStr"/>
      <c r="P137" s="4" t="inlineStr"/>
      <c r="Q137" s="4" t="inlineStr">
        <is>
          <t>https://happyharvesting.co.za/wp-content/uploads/2023/11/PhotoRoom-20231128_115020_1.png, https://happyharvesting.co.za/wp-content/uploads/2023/11/PhotoRoom-20231128_122131_3.png</t>
        </is>
      </c>
      <c r="R137" s="4" t="inlineStr">
        <is>
          <t>2026-03-12</t>
        </is>
      </c>
      <c r="S137" s="4" t="inlineStr">
        <is>
          <t>Pre-loaded from WC export — fill in cost price</t>
        </is>
      </c>
    </row>
    <row r="138">
      <c r="A138" s="3" t="inlineStr"/>
      <c r="B138" s="12" t="inlineStr">
        <is>
          <t>3455615899</t>
        </is>
      </c>
      <c r="C138" s="12" t="inlineStr">
        <is>
          <t>15899</t>
        </is>
      </c>
      <c r="D138" s="12" t="inlineStr"/>
      <c r="E138" s="12" t="inlineStr">
        <is>
          <t>Christmas Mats</t>
        </is>
      </c>
      <c r="F138" s="12" t="inlineStr"/>
      <c r="G138" s="12" t="inlineStr">
        <is>
          <t>Homeware &gt; Decor &gt; Carpets\</t>
        </is>
      </c>
      <c r="H138" s="12" t="inlineStr"/>
      <c r="I138" s="6" t="inlineStr"/>
      <c r="J138" s="7" t="n">
        <v>15</v>
      </c>
      <c r="K138" s="8">
        <f>IF(I138="","",I138*(1+J138/100))</f>
        <v/>
      </c>
      <c r="L138" s="13" t="n">
        <v>80</v>
      </c>
      <c r="M138" s="10">
        <f>IF(OR(L138="",K138="",L138=0),"",
  (L138-K138)/L138*100)</f>
        <v/>
      </c>
      <c r="N138" s="11" t="inlineStr"/>
      <c r="O138" s="12" t="inlineStr"/>
      <c r="P138" s="12" t="inlineStr"/>
      <c r="Q138" s="12" t="inlineStr">
        <is>
          <t>https://happyharvesting.co.za/wp-content/uploads/2023/12/PhotoRoom-20231215_112700.png, https://happyharvesting.co.za/wp-content/uploads/2023/12/Screenshot_20231214_061103_edit_210220498120529.jpg, https://happyharvesting.co.za/wp-content/uploads/2023/12/Screenshot_20231214_061051_edit_215451033785918.jpg, https://happyharvesting.co.za/wp-content/uploads/2023/12/PhotoRoom-20231215_112700.png</t>
        </is>
      </c>
      <c r="R138" s="12" t="inlineStr">
        <is>
          <t>2026-03-12</t>
        </is>
      </c>
      <c r="S138" s="12" t="inlineStr">
        <is>
          <t>Pre-loaded from WC export — fill in cost price</t>
        </is>
      </c>
    </row>
    <row r="139">
      <c r="A139" s="3" t="inlineStr"/>
      <c r="B139" s="4" t="inlineStr">
        <is>
          <t>H5325A</t>
        </is>
      </c>
      <c r="C139" s="4" t="inlineStr">
        <is>
          <t>14973</t>
        </is>
      </c>
      <c r="D139" s="4" t="inlineStr"/>
      <c r="E139" s="5" t="inlineStr">
        <is>
          <t>Emporium Turkish Rug</t>
        </is>
      </c>
      <c r="F139" s="4" t="inlineStr"/>
      <c r="G139" s="4" t="inlineStr">
        <is>
          <t>Homeware &gt; Decor &gt; Carpets\</t>
        </is>
      </c>
      <c r="H139" s="4" t="inlineStr"/>
      <c r="I139" s="6" t="inlineStr"/>
      <c r="J139" s="7" t="n">
        <v>15</v>
      </c>
      <c r="K139" s="8">
        <f>IF(I139="","",I139*(1+J139/100))</f>
        <v/>
      </c>
      <c r="L139" s="9" t="n">
        <v>1200</v>
      </c>
      <c r="M139" s="10">
        <f>IF(OR(L139="",K139="",L139=0),"",
  (L139-K139)/L139*100)</f>
        <v/>
      </c>
      <c r="N139" s="11" t="inlineStr"/>
      <c r="O139" s="4" t="inlineStr"/>
      <c r="P139" s="4" t="inlineStr"/>
      <c r="Q139" s="4" t="inlineStr">
        <is>
          <t>https://happyharvesting.co.za/wp-content/uploads/2023/11/PhotoRoom-20231128_134702_7.png</t>
        </is>
      </c>
      <c r="R139" s="4" t="inlineStr">
        <is>
          <t>2026-03-12</t>
        </is>
      </c>
      <c r="S139" s="4" t="inlineStr">
        <is>
          <t>Pre-loaded from WC export — fill in cost price</t>
        </is>
      </c>
    </row>
    <row r="140">
      <c r="A140" s="3" t="inlineStr"/>
      <c r="B140" s="12" t="inlineStr">
        <is>
          <t>H5130B</t>
        </is>
      </c>
      <c r="C140" s="12" t="inlineStr">
        <is>
          <t>14975</t>
        </is>
      </c>
      <c r="D140" s="12" t="inlineStr"/>
      <c r="E140" s="12" t="inlineStr">
        <is>
          <t>Emporium Turkish Rug</t>
        </is>
      </c>
      <c r="F140" s="12" t="inlineStr"/>
      <c r="G140" s="12" t="inlineStr">
        <is>
          <t>Homeware &gt; Decor &gt; Carpets\</t>
        </is>
      </c>
      <c r="H140" s="12" t="inlineStr"/>
      <c r="I140" s="6" t="inlineStr"/>
      <c r="J140" s="7" t="n">
        <v>15</v>
      </c>
      <c r="K140" s="8">
        <f>IF(I140="","",I140*(1+J140/100))</f>
        <v/>
      </c>
      <c r="L140" s="13" t="n">
        <v>1300</v>
      </c>
      <c r="M140" s="10">
        <f>IF(OR(L140="",K140="",L140=0),"",
  (L140-K140)/L140*100)</f>
        <v/>
      </c>
      <c r="N140" s="11" t="inlineStr"/>
      <c r="O140" s="12" t="inlineStr"/>
      <c r="P140" s="12" t="inlineStr"/>
      <c r="Q140" s="12" t="inlineStr">
        <is>
          <t>https://happyharvesting.co.za/wp-content/uploads/2023/11/PhotoRoom-20231128_143016_1.png</t>
        </is>
      </c>
      <c r="R140" s="12" t="inlineStr">
        <is>
          <t>2026-03-12</t>
        </is>
      </c>
      <c r="S140" s="12" t="inlineStr">
        <is>
          <t>Pre-loaded from WC export — fill in cost price</t>
        </is>
      </c>
    </row>
    <row r="141">
      <c r="A141" s="3" t="inlineStr"/>
      <c r="B141" s="4" t="inlineStr">
        <is>
          <t>H4817C</t>
        </is>
      </c>
      <c r="C141" s="4" t="inlineStr">
        <is>
          <t>14976</t>
        </is>
      </c>
      <c r="D141" s="4" t="inlineStr"/>
      <c r="E141" s="5" t="inlineStr">
        <is>
          <t>Emporium Turkish Rug</t>
        </is>
      </c>
      <c r="F141" s="4" t="inlineStr"/>
      <c r="G141" s="4" t="inlineStr">
        <is>
          <t>Homeware &gt; Decor &gt; Carpets\</t>
        </is>
      </c>
      <c r="H141" s="4" t="inlineStr"/>
      <c r="I141" s="6" t="inlineStr"/>
      <c r="J141" s="7" t="n">
        <v>15</v>
      </c>
      <c r="K141" s="8">
        <f>IF(I141="","",I141*(1+J141/100))</f>
        <v/>
      </c>
      <c r="L141" s="9" t="n">
        <v>1100</v>
      </c>
      <c r="M141" s="10">
        <f>IF(OR(L141="",K141="",L141=0),"",
  (L141-K141)/L141*100)</f>
        <v/>
      </c>
      <c r="N141" s="11" t="inlineStr"/>
      <c r="O141" s="4" t="inlineStr"/>
      <c r="P141" s="4" t="inlineStr"/>
      <c r="Q141" s="4" t="inlineStr">
        <is>
          <t>https://happyharvesting.co.za/wp-content/uploads/2023/11/PhotoRoom-20231128_143016_2.png</t>
        </is>
      </c>
      <c r="R141" s="4" t="inlineStr">
        <is>
          <t>2026-03-12</t>
        </is>
      </c>
      <c r="S141" s="4" t="inlineStr">
        <is>
          <t>Pre-loaded from WC export — fill in cost price</t>
        </is>
      </c>
    </row>
    <row r="142">
      <c r="A142" s="3" t="inlineStr"/>
      <c r="B142" s="12" t="inlineStr">
        <is>
          <t>H4814A</t>
        </is>
      </c>
      <c r="C142" s="12" t="inlineStr">
        <is>
          <t>14977</t>
        </is>
      </c>
      <c r="D142" s="12" t="inlineStr"/>
      <c r="E142" s="12" t="inlineStr">
        <is>
          <t>Emporium Turkish Rug</t>
        </is>
      </c>
      <c r="F142" s="12" t="inlineStr"/>
      <c r="G142" s="12" t="inlineStr">
        <is>
          <t>Homeware &gt; Decor &gt; Carpets\</t>
        </is>
      </c>
      <c r="H142" s="12" t="inlineStr"/>
      <c r="I142" s="6" t="inlineStr"/>
      <c r="J142" s="7" t="n">
        <v>15</v>
      </c>
      <c r="K142" s="8">
        <f>IF(I142="","",I142*(1+J142/100))</f>
        <v/>
      </c>
      <c r="L142" s="13" t="n">
        <v>1150</v>
      </c>
      <c r="M142" s="10">
        <f>IF(OR(L142="",K142="",L142=0),"",
  (L142-K142)/L142*100)</f>
        <v/>
      </c>
      <c r="N142" s="11" t="inlineStr"/>
      <c r="O142" s="12" t="inlineStr"/>
      <c r="P142" s="12" t="inlineStr"/>
      <c r="Q142" s="12" t="inlineStr">
        <is>
          <t>https://happyharvesting.co.za/wp-content/uploads/2023/11/PhotoRoom-20231128_143016_3.png</t>
        </is>
      </c>
      <c r="R142" s="12" t="inlineStr">
        <is>
          <t>2026-03-12</t>
        </is>
      </c>
      <c r="S142" s="12" t="inlineStr">
        <is>
          <t>Pre-loaded from WC export — fill in cost price</t>
        </is>
      </c>
    </row>
    <row r="143">
      <c r="A143" s="3" t="inlineStr"/>
      <c r="B143" s="4" t="inlineStr">
        <is>
          <t>G318A/ G323PP/ G323C</t>
        </is>
      </c>
      <c r="C143" s="4" t="inlineStr">
        <is>
          <t>14978</t>
        </is>
      </c>
      <c r="D143" s="4" t="inlineStr"/>
      <c r="E143" s="5" t="inlineStr">
        <is>
          <t>Emporium Turkish Rug</t>
        </is>
      </c>
      <c r="F143" s="4" t="inlineStr"/>
      <c r="G143" s="4" t="inlineStr">
        <is>
          <t>Homeware &gt; Decor &gt; Carpets\</t>
        </is>
      </c>
      <c r="H143" s="4" t="inlineStr"/>
      <c r="I143" s="6" t="inlineStr"/>
      <c r="J143" s="7" t="n">
        <v>15</v>
      </c>
      <c r="K143" s="8">
        <f>IF(I143="","",I143*(1+J143/100))</f>
        <v/>
      </c>
      <c r="L143" s="6" t="inlineStr"/>
      <c r="M143" s="10">
        <f>IF(OR(L143="",K143="",L143=0),"",
  (L143-K143)/L143*100)</f>
        <v/>
      </c>
      <c r="N143" s="11" t="inlineStr"/>
      <c r="O143" s="4" t="inlineStr"/>
      <c r="P143" s="4" t="inlineStr"/>
      <c r="Q143" s="4" t="inlineStr">
        <is>
          <t>https://happyharvesting.co.za/wp-content/uploads/2023/11/PhotoRoom-20231128_115020_2.png, https://happyharvesting.co.za/wp-content/uploads/2023/11/PhotoRoom-20231128_122901.png, https://happyharvesting.co.za/wp-content/uploads/2023/11/PhotoRoom-20231128_122132_5.png, https://happyharvesting.co.za/wp-content/uploads/2023/11/PhotoRoom-20231128_115020_2.png</t>
        </is>
      </c>
      <c r="R143" s="4" t="inlineStr">
        <is>
          <t>2026-03-12</t>
        </is>
      </c>
      <c r="S143" s="4" t="inlineStr">
        <is>
          <t>Pre-loaded from WC export — fill in cost price</t>
        </is>
      </c>
    </row>
    <row r="144">
      <c r="A144" s="3" t="inlineStr"/>
      <c r="B144" s="12" t="inlineStr">
        <is>
          <t>H3264A/H4623A/H5119A/H4188A/H4627A</t>
        </is>
      </c>
      <c r="C144" s="12" t="inlineStr">
        <is>
          <t>14985</t>
        </is>
      </c>
      <c r="D144" s="12" t="inlineStr"/>
      <c r="E144" s="12" t="inlineStr">
        <is>
          <t>Emporium Turkish Rug</t>
        </is>
      </c>
      <c r="F144" s="12" t="inlineStr"/>
      <c r="G144" s="12" t="inlineStr">
        <is>
          <t>Homeware &gt; Decor &gt; Carpets\</t>
        </is>
      </c>
      <c r="H144" s="12" t="inlineStr"/>
      <c r="I144" s="6" t="inlineStr"/>
      <c r="J144" s="7" t="n">
        <v>15</v>
      </c>
      <c r="K144" s="8">
        <f>IF(I144="","",I144*(1+J144/100))</f>
        <v/>
      </c>
      <c r="L144" s="6" t="inlineStr"/>
      <c r="M144" s="10">
        <f>IF(OR(L144="",K144="",L144=0),"",
  (L144-K144)/L144*100)</f>
        <v/>
      </c>
      <c r="N144" s="11" t="inlineStr"/>
      <c r="O144" s="12" t="inlineStr"/>
      <c r="P144" s="12" t="inlineStr"/>
      <c r="Q144" s="12" t="inlineStr">
        <is>
          <t>https://happyharvesting.co.za/wp-content/uploads/2023/11/H3264A.webp, https://happyharvesting.co.za/wp-content/uploads/2023/11/H5119A.webp, https://happyharvesting.co.za/wp-content/uploads/2023/11/H4627A.png, https://happyharvesting.co.za/wp-content/uploads/2023/11/H4623A.webp, https://happyharvesting.co.za/wp-content/uploads/2023/11/H4188A.webp, https://happyharvesting.co.za/wp-content/uploads/2023/11/H3264A.webp</t>
        </is>
      </c>
      <c r="R144" s="12" t="inlineStr">
        <is>
          <t>2026-03-12</t>
        </is>
      </c>
      <c r="S144" s="12" t="inlineStr">
        <is>
          <t>Pre-loaded from WC export — fill in cost price</t>
        </is>
      </c>
    </row>
    <row r="145">
      <c r="A145" s="3" t="inlineStr"/>
      <c r="B145" s="4" t="inlineStr">
        <is>
          <t>FCG/FCB/FCDG/FCP/FCBLK</t>
        </is>
      </c>
      <c r="C145" s="4" t="inlineStr">
        <is>
          <t>14872</t>
        </is>
      </c>
      <c r="D145" s="4" t="inlineStr"/>
      <c r="E145" s="5" t="inlineStr">
        <is>
          <t>Fluffy Carpet Mats</t>
        </is>
      </c>
      <c r="F145" s="4" t="inlineStr"/>
      <c r="G145" s="4" t="inlineStr">
        <is>
          <t>Homeware &gt; Decor &gt; Carpets\</t>
        </is>
      </c>
      <c r="H145" s="4" t="inlineStr"/>
      <c r="I145" s="6" t="inlineStr"/>
      <c r="J145" s="7" t="n">
        <v>15</v>
      </c>
      <c r="K145" s="8">
        <f>IF(I145="","",I145*(1+J145/100))</f>
        <v/>
      </c>
      <c r="L145" s="6" t="inlineStr"/>
      <c r="M145" s="10">
        <f>IF(OR(L145="",K145="",L145=0),"",
  (L145-K145)/L145*100)</f>
        <v/>
      </c>
      <c r="N145" s="11" t="inlineStr"/>
      <c r="O145" s="4" t="inlineStr"/>
      <c r="P145" s="4" t="inlineStr"/>
      <c r="Q145" s="4" t="inlineStr">
        <is>
          <t>https://happyharvesting.co.za/wp-content/uploads/2023/11/PhotoRoom_005_20231118_165510.jpg, https://happyharvesting.co.za/wp-content/uploads/2023/11/PhotoRoom_009_20231118_165510.jpg, https://happyharvesting.co.za/wp-content/uploads/2023/11/PhotoRoom_005_20231118_165510.jpg, https://happyharvesting.co.za/wp-content/uploads/2023/11/PhotoRoom_000_20231117_225102.jpg, https://happyharvesting.co.za/wp-content/uploads/2023/11/PhotoRoom_008_20231118_165510.jpg, https://happyharvesting.co.za/wp-content/uploads/2023/11/PhotoRoom_007_20231118_165510.jpg</t>
        </is>
      </c>
      <c r="R145" s="4" t="inlineStr">
        <is>
          <t>2026-03-12</t>
        </is>
      </c>
      <c r="S145" s="4" t="inlineStr">
        <is>
          <t>Pre-loaded from WC export — fill in cost price</t>
        </is>
      </c>
    </row>
    <row r="146">
      <c r="A146" s="3" t="inlineStr"/>
      <c r="B146" s="12" t="inlineStr">
        <is>
          <t>PB3APB25633</t>
        </is>
      </c>
      <c r="C146" s="12" t="inlineStr">
        <is>
          <t>25940</t>
        </is>
      </c>
      <c r="D146" s="12" t="inlineStr"/>
      <c r="E146" s="12" t="inlineStr">
        <is>
          <t>Kristal - Alin Collections -05227A</t>
        </is>
      </c>
      <c r="F146" s="12" t="inlineStr"/>
      <c r="G146" s="12" t="inlineStr">
        <is>
          <t>Homeware &gt; Decor &gt; Carpets\</t>
        </is>
      </c>
      <c r="H146" s="12" t="inlineStr"/>
      <c r="I146" s="6" t="inlineStr"/>
      <c r="J146" s="7" t="n">
        <v>15</v>
      </c>
      <c r="K146" s="8">
        <f>IF(I146="","",I146*(1+J146/100))</f>
        <v/>
      </c>
      <c r="L146" s="6" t="inlineStr"/>
      <c r="M146" s="10">
        <f>IF(OR(L146="",K146="",L146=0),"",
  (L146-K146)/L146*100)</f>
        <v/>
      </c>
      <c r="N146" s="11" t="inlineStr"/>
      <c r="O146" s="12" t="inlineStr"/>
      <c r="P146" s="12" t="inlineStr"/>
      <c r="Q146" s="12" t="inlineStr">
        <is>
          <t>https://happyharvesting.co.za/wp-content/uploads/2024/12/Alin-05227A.png, https://happyharvesting.co.za/wp-content/uploads/2024/12/1-Alin-05227A.png</t>
        </is>
      </c>
      <c r="R146" s="12" t="inlineStr">
        <is>
          <t>2026-03-12</t>
        </is>
      </c>
      <c r="S146" s="12" t="inlineStr">
        <is>
          <t>Pre-loaded from WC export — fill in cost price</t>
        </is>
      </c>
    </row>
    <row r="147">
      <c r="A147" s="3" t="inlineStr"/>
      <c r="B147" s="4" t="inlineStr">
        <is>
          <t>Z5G9O725590</t>
        </is>
      </c>
      <c r="C147" s="4" t="inlineStr">
        <is>
          <t>25622</t>
        </is>
      </c>
      <c r="D147" s="4" t="inlineStr"/>
      <c r="E147" s="5" t="inlineStr">
        <is>
          <t>Kristal - Amber Collections - 31366A</t>
        </is>
      </c>
      <c r="F147" s="4" t="inlineStr"/>
      <c r="G147" s="4" t="inlineStr">
        <is>
          <t>Homeware &gt; Decor &gt; Carpets\</t>
        </is>
      </c>
      <c r="H147" s="4" t="inlineStr"/>
      <c r="I147" s="6" t="inlineStr"/>
      <c r="J147" s="7" t="n">
        <v>15</v>
      </c>
      <c r="K147" s="8">
        <f>IF(I147="","",I147*(1+J147/100))</f>
        <v/>
      </c>
      <c r="L147" s="6" t="inlineStr"/>
      <c r="M147" s="10">
        <f>IF(OR(L147="",K147="",L147=0),"",
  (L147-K147)/L147*100)</f>
        <v/>
      </c>
      <c r="N147" s="11" t="inlineStr"/>
      <c r="O147" s="4" t="inlineStr"/>
      <c r="P147" s="4" t="inlineStr"/>
      <c r="Q147" s="4" t="inlineStr">
        <is>
          <t>https://happyharvesting.co.za/wp-content/uploads/2024/12/Pastel-31366A.png, https://happyharvesting.co.za/wp-content/uploads/2024/12/1-Pastel-31366A.png</t>
        </is>
      </c>
      <c r="R147" s="4" t="inlineStr">
        <is>
          <t>2026-03-12</t>
        </is>
      </c>
      <c r="S147" s="4" t="inlineStr">
        <is>
          <t>Pre-loaded from WC export — fill in cost price</t>
        </is>
      </c>
    </row>
    <row r="148">
      <c r="A148" s="3" t="inlineStr"/>
      <c r="B148" s="12" t="inlineStr">
        <is>
          <t>5Q62R726026</t>
        </is>
      </c>
      <c r="C148" s="12" t="inlineStr">
        <is>
          <t>26946</t>
        </is>
      </c>
      <c r="D148" s="12" t="inlineStr"/>
      <c r="E148" s="12" t="inlineStr">
        <is>
          <t>Kristal - Artist Collection -10198A</t>
        </is>
      </c>
      <c r="F148" s="12" t="inlineStr"/>
      <c r="G148" s="12" t="inlineStr">
        <is>
          <t>Homeware &gt; Decor &gt; Carpets\</t>
        </is>
      </c>
      <c r="H148" s="12" t="inlineStr"/>
      <c r="I148" s="6" t="inlineStr"/>
      <c r="J148" s="7" t="n">
        <v>15</v>
      </c>
      <c r="K148" s="8">
        <f>IF(I148="","",I148*(1+J148/100))</f>
        <v/>
      </c>
      <c r="L148" s="6" t="inlineStr"/>
      <c r="M148" s="10">
        <f>IF(OR(L148="",K148="",L148=0),"",
  (L148-K148)/L148*100)</f>
        <v/>
      </c>
      <c r="N148" s="11" t="inlineStr"/>
      <c r="O148" s="12" t="inlineStr"/>
      <c r="P148" s="12" t="inlineStr"/>
      <c r="Q148" s="12" t="inlineStr">
        <is>
          <t>https://happyharvesting.co.za/wp-content/uploads/2024/12/Artist-10198A-2.png, https://happyharvesting.co.za/wp-content/uploads/2024/12/1-Artist-10198A-2.png</t>
        </is>
      </c>
      <c r="R148" s="12" t="inlineStr">
        <is>
          <t>2026-03-12</t>
        </is>
      </c>
      <c r="S148" s="12" t="inlineStr">
        <is>
          <t>Pre-loaded from WC export — fill in cost price</t>
        </is>
      </c>
    </row>
    <row r="149">
      <c r="A149" s="3" t="inlineStr"/>
      <c r="B149" s="4" t="inlineStr">
        <is>
          <t>43EHPH25457</t>
        </is>
      </c>
      <c r="C149" s="4" t="inlineStr">
        <is>
          <t>25489</t>
        </is>
      </c>
      <c r="D149" s="4" t="inlineStr"/>
      <c r="E149" s="5" t="inlineStr">
        <is>
          <t>Kristal - Eco Collections - 222</t>
        </is>
      </c>
      <c r="F149" s="4" t="inlineStr"/>
      <c r="G149" s="4" t="inlineStr">
        <is>
          <t>Homeware &gt; Decor &gt; Carpets\</t>
        </is>
      </c>
      <c r="H149" s="4" t="inlineStr"/>
      <c r="I149" s="6" t="inlineStr"/>
      <c r="J149" s="7" t="n">
        <v>15</v>
      </c>
      <c r="K149" s="8">
        <f>IF(I149="","",I149*(1+J149/100))</f>
        <v/>
      </c>
      <c r="L149" s="6" t="inlineStr"/>
      <c r="M149" s="10">
        <f>IF(OR(L149="",K149="",L149=0),"",
  (L149-K149)/L149*100)</f>
        <v/>
      </c>
      <c r="N149" s="11" t="inlineStr"/>
      <c r="O149" s="4" t="inlineStr"/>
      <c r="P149" s="4" t="inlineStr"/>
      <c r="Q149" s="4" t="inlineStr">
        <is>
          <t>https://happyharvesting.co.za/wp-content/uploads/2024/12/Eco-222.png, https://happyharvesting.co.za/wp-content/uploads/2024/12/1-Eco-222.png</t>
        </is>
      </c>
      <c r="R149" s="4" t="inlineStr">
        <is>
          <t>2026-03-12</t>
        </is>
      </c>
      <c r="S149" s="4" t="inlineStr">
        <is>
          <t>Pre-loaded from WC export — fill in cost price</t>
        </is>
      </c>
    </row>
    <row r="150">
      <c r="A150" s="3" t="inlineStr"/>
      <c r="B150" s="12" t="inlineStr">
        <is>
          <t>MT3G5I25234</t>
        </is>
      </c>
      <c r="C150" s="12" t="inlineStr">
        <is>
          <t>25344</t>
        </is>
      </c>
      <c r="D150" s="12" t="inlineStr"/>
      <c r="E150" s="12" t="inlineStr">
        <is>
          <t>Kristal - Palma Collections - 32110A</t>
        </is>
      </c>
      <c r="F150" s="12" t="inlineStr"/>
      <c r="G150" s="12" t="inlineStr">
        <is>
          <t>Homeware &gt; Decor &gt; Carpets\</t>
        </is>
      </c>
      <c r="H150" s="12" t="inlineStr"/>
      <c r="I150" s="6" t="inlineStr"/>
      <c r="J150" s="7" t="n">
        <v>15</v>
      </c>
      <c r="K150" s="8">
        <f>IF(I150="","",I150*(1+J150/100))</f>
        <v/>
      </c>
      <c r="L150" s="6" t="inlineStr"/>
      <c r="M150" s="10">
        <f>IF(OR(L150="",K150="",L150=0),"",
  (L150-K150)/L150*100)</f>
        <v/>
      </c>
      <c r="N150" s="11" t="inlineStr"/>
      <c r="O150" s="12" t="inlineStr"/>
      <c r="P150" s="12" t="inlineStr"/>
      <c r="Q150" s="12" t="inlineStr">
        <is>
          <t>https://happyharvesting.co.za/wp-content/uploads/2024/12/Palma-32110A.png, https://happyharvesting.co.za/wp-content/uploads/2024/12/1-Palma-32110A.png</t>
        </is>
      </c>
      <c r="R150" s="12" t="inlineStr">
        <is>
          <t>2026-03-12</t>
        </is>
      </c>
      <c r="S150" s="12" t="inlineStr">
        <is>
          <t>Pre-loaded from WC export — fill in cost price</t>
        </is>
      </c>
    </row>
    <row r="151">
      <c r="A151" s="3" t="inlineStr"/>
      <c r="B151" s="4" t="inlineStr">
        <is>
          <t>J675KI25497</t>
        </is>
      </c>
      <c r="C151" s="4" t="inlineStr">
        <is>
          <t>25582</t>
        </is>
      </c>
      <c r="D151" s="4" t="inlineStr"/>
      <c r="E151" s="5" t="inlineStr">
        <is>
          <t>Kristal - Pastel Collection - 31829A</t>
        </is>
      </c>
      <c r="F151" s="4" t="inlineStr"/>
      <c r="G151" s="4" t="inlineStr">
        <is>
          <t>Homeware &gt; Decor &gt; Carpets\</t>
        </is>
      </c>
      <c r="H151" s="4" t="inlineStr"/>
      <c r="I151" s="6" t="inlineStr"/>
      <c r="J151" s="7" t="n">
        <v>15</v>
      </c>
      <c r="K151" s="8">
        <f>IF(I151="","",I151*(1+J151/100))</f>
        <v/>
      </c>
      <c r="L151" s="6" t="inlineStr"/>
      <c r="M151" s="10">
        <f>IF(OR(L151="",K151="",L151=0),"",
  (L151-K151)/L151*100)</f>
        <v/>
      </c>
      <c r="N151" s="11" t="inlineStr"/>
      <c r="O151" s="4" t="inlineStr"/>
      <c r="P151" s="4" t="inlineStr"/>
      <c r="Q151" s="4" t="inlineStr">
        <is>
          <t>https://happyharvesting.co.za/wp-content/uploads/2024/12/Pastel-31829A.png, https://happyharvesting.co.za/wp-content/uploads/2024/12/1-Pastel-31829A.png</t>
        </is>
      </c>
      <c r="R151" s="4" t="inlineStr">
        <is>
          <t>2026-03-12</t>
        </is>
      </c>
      <c r="S151" s="4" t="inlineStr">
        <is>
          <t>Pre-loaded from WC export — fill in cost price</t>
        </is>
      </c>
    </row>
    <row r="152">
      <c r="A152" s="3" t="inlineStr"/>
      <c r="B152" s="12" t="inlineStr">
        <is>
          <t>X93WZ425194</t>
        </is>
      </c>
      <c r="C152" s="12" t="inlineStr">
        <is>
          <t>25224</t>
        </is>
      </c>
      <c r="D152" s="12" t="inlineStr"/>
      <c r="E152" s="12" t="inlineStr">
        <is>
          <t>Kristal - Porto Collection - 8813</t>
        </is>
      </c>
      <c r="F152" s="12" t="inlineStr"/>
      <c r="G152" s="12" t="inlineStr">
        <is>
          <t>Homeware &gt; Decor &gt; Carpets\</t>
        </is>
      </c>
      <c r="H152" s="12" t="inlineStr"/>
      <c r="I152" s="6" t="inlineStr"/>
      <c r="J152" s="7" t="n">
        <v>15</v>
      </c>
      <c r="K152" s="8">
        <f>IF(I152="","",I152*(1+J152/100))</f>
        <v/>
      </c>
      <c r="L152" s="6" t="inlineStr"/>
      <c r="M152" s="10">
        <f>IF(OR(L152="",K152="",L152=0),"",
  (L152-K152)/L152*100)</f>
        <v/>
      </c>
      <c r="N152" s="11" t="inlineStr"/>
      <c r="O152" s="12" t="inlineStr"/>
      <c r="P152" s="12" t="inlineStr"/>
      <c r="Q152" s="12" t="inlineStr">
        <is>
          <t>https://happyharvesting.co.za/wp-content/uploads/2024/12/Porto-8813.png, https://happyharvesting.co.za/wp-content/uploads/2024/12/1-Porto-8813.png</t>
        </is>
      </c>
      <c r="R152" s="12" t="inlineStr">
        <is>
          <t>2026-03-12</t>
        </is>
      </c>
      <c r="S152" s="12" t="inlineStr">
        <is>
          <t>Pre-loaded from WC export — fill in cost price</t>
        </is>
      </c>
    </row>
    <row r="153">
      <c r="A153" s="3" t="inlineStr"/>
      <c r="B153" s="4" t="inlineStr">
        <is>
          <t>MA1XCJ30837</t>
        </is>
      </c>
      <c r="C153" s="4" t="inlineStr">
        <is>
          <t>30958</t>
        </is>
      </c>
      <c r="D153" s="4" t="inlineStr"/>
      <c r="E153" s="5" t="inlineStr">
        <is>
          <t>Kristal Antislip Toilet Set - 10</t>
        </is>
      </c>
      <c r="F153" s="4" t="inlineStr"/>
      <c r="G153" s="4" t="inlineStr">
        <is>
          <t>Homeware &gt; Decor &gt; Carpets\</t>
        </is>
      </c>
      <c r="H153" s="4" t="inlineStr"/>
      <c r="I153" s="6" t="inlineStr"/>
      <c r="J153" s="7" t="n">
        <v>15</v>
      </c>
      <c r="K153" s="8">
        <f>IF(I153="","",I153*(1+J153/100))</f>
        <v/>
      </c>
      <c r="L153" s="6" t="inlineStr"/>
      <c r="M153" s="10">
        <f>IF(OR(L153="",K153="",L153=0),"",
  (L153-K153)/L153*100)</f>
        <v/>
      </c>
      <c r="N153" s="11" t="inlineStr"/>
      <c r="O153" s="4" t="inlineStr"/>
      <c r="P153" s="4" t="inlineStr"/>
      <c r="Q153" s="4" t="inlineStr">
        <is>
          <t>https://happyharvesting.co.za/wp-content/uploads/2025/01/Antislip-10.png</t>
        </is>
      </c>
      <c r="R153" s="4" t="inlineStr">
        <is>
          <t>2026-03-12</t>
        </is>
      </c>
      <c r="S153" s="4" t="inlineStr">
        <is>
          <t>Pre-loaded from WC export — fill in cost price</t>
        </is>
      </c>
    </row>
    <row r="154">
      <c r="A154" s="3" t="inlineStr"/>
      <c r="B154" s="12" t="inlineStr">
        <is>
          <t>REDLX425120</t>
        </is>
      </c>
      <c r="C154" s="12" t="inlineStr">
        <is>
          <t>25183</t>
        </is>
      </c>
      <c r="D154" s="12" t="inlineStr"/>
      <c r="E154" s="12" t="inlineStr">
        <is>
          <t>Kristal Carpet - Boutique Collection - JAG10643A</t>
        </is>
      </c>
      <c r="F154" s="12" t="inlineStr"/>
      <c r="G154" s="12" t="inlineStr">
        <is>
          <t>Homeware &gt; Decor &gt; Carpets\</t>
        </is>
      </c>
      <c r="H154" s="12" t="inlineStr"/>
      <c r="I154" s="6" t="inlineStr"/>
      <c r="J154" s="7" t="n">
        <v>15</v>
      </c>
      <c r="K154" s="8">
        <f>IF(I154="","",I154*(1+J154/100))</f>
        <v/>
      </c>
      <c r="L154" s="6" t="inlineStr"/>
      <c r="M154" s="10">
        <f>IF(OR(L154="",K154="",L154=0),"",
  (L154-K154)/L154*100)</f>
        <v/>
      </c>
      <c r="N154" s="11" t="inlineStr"/>
      <c r="O154" s="12" t="inlineStr"/>
      <c r="P154" s="12" t="inlineStr"/>
      <c r="Q154" s="12" t="inlineStr">
        <is>
          <t>https://happyharvesting.co.za/wp-content/uploads/2024/12/BOUTIQUE-JAG10643A.png, https://happyharvesting.co.za/wp-content/uploads/2024/12/1-BOUTIQUE-JAG10643A.png</t>
        </is>
      </c>
      <c r="R154" s="12" t="inlineStr">
        <is>
          <t>2026-03-12</t>
        </is>
      </c>
      <c r="S154" s="12" t="inlineStr">
        <is>
          <t>Pre-loaded from WC export — fill in cost price</t>
        </is>
      </c>
    </row>
    <row r="155">
      <c r="A155" s="3" t="inlineStr"/>
      <c r="B155" s="4" t="inlineStr">
        <is>
          <t>W3179J24733</t>
        </is>
      </c>
      <c r="C155" s="4" t="inlineStr">
        <is>
          <t>24864</t>
        </is>
      </c>
      <c r="D155" s="4" t="inlineStr"/>
      <c r="E155" s="5" t="inlineStr">
        <is>
          <t>Kristal Carpet - Dejavu Collection - 51683A</t>
        </is>
      </c>
      <c r="F155" s="4" t="inlineStr"/>
      <c r="G155" s="4" t="inlineStr">
        <is>
          <t>Homeware &gt; Decor &gt; Carpets\</t>
        </is>
      </c>
      <c r="H155" s="4" t="inlineStr"/>
      <c r="I155" s="6" t="inlineStr"/>
      <c r="J155" s="7" t="n">
        <v>15</v>
      </c>
      <c r="K155" s="8">
        <f>IF(I155="","",I155*(1+J155/100))</f>
        <v/>
      </c>
      <c r="L155" s="6" t="inlineStr"/>
      <c r="M155" s="10">
        <f>IF(OR(L155="",K155="",L155=0),"",
  (L155-K155)/L155*100)</f>
        <v/>
      </c>
      <c r="N155" s="11" t="inlineStr"/>
      <c r="O155" s="4" t="inlineStr"/>
      <c r="P155" s="4" t="inlineStr"/>
      <c r="Q155" s="4" t="inlineStr">
        <is>
          <t>https://happyharvesting.co.za/wp-content/uploads/2024/12/Dejavu51683A.png, https://happyharvesting.co.za/wp-content/uploads/2024/12/1Dejavu51683A.png</t>
        </is>
      </c>
      <c r="R155" s="4" t="inlineStr">
        <is>
          <t>2026-03-12</t>
        </is>
      </c>
      <c r="S155" s="4" t="inlineStr">
        <is>
          <t>Pre-loaded from WC export — fill in cost price</t>
        </is>
      </c>
    </row>
    <row r="156">
      <c r="A156" s="3" t="inlineStr"/>
      <c r="B156" s="12" t="inlineStr">
        <is>
          <t>4SH2W627238</t>
        </is>
      </c>
      <c r="C156" s="12" t="inlineStr">
        <is>
          <t>27420</t>
        </is>
      </c>
      <c r="D156" s="12" t="inlineStr"/>
      <c r="E156" s="12" t="inlineStr">
        <is>
          <t>Kristal Classic Collections -04736C</t>
        </is>
      </c>
      <c r="F156" s="12" t="inlineStr"/>
      <c r="G156" s="12" t="inlineStr">
        <is>
          <t>Homeware &gt; Decor &gt; Carpets\</t>
        </is>
      </c>
      <c r="H156" s="12" t="inlineStr"/>
      <c r="I156" s="6" t="inlineStr"/>
      <c r="J156" s="7" t="n">
        <v>15</v>
      </c>
      <c r="K156" s="8">
        <f>IF(I156="","",I156*(1+J156/100))</f>
        <v/>
      </c>
      <c r="L156" s="6" t="inlineStr"/>
      <c r="M156" s="10">
        <f>IF(OR(L156="",K156="",L156=0),"",
  (L156-K156)/L156*100)</f>
        <v/>
      </c>
      <c r="N156" s="11" t="inlineStr"/>
      <c r="O156" s="12" t="inlineStr"/>
      <c r="P156" s="12" t="inlineStr"/>
      <c r="Q156" s="12" t="inlineStr">
        <is>
          <t>https://happyharvesting.co.za/wp-content/uploads/2024/12/Classic-04736C-2.png, https://happyharvesting.co.za/wp-content/uploads/2024/12/1-Classic-04736C-2.png</t>
        </is>
      </c>
      <c r="R156" s="12" t="inlineStr">
        <is>
          <t>2026-03-12</t>
        </is>
      </c>
      <c r="S156" s="12" t="inlineStr">
        <is>
          <t>Pre-loaded from WC export — fill in cost price</t>
        </is>
      </c>
    </row>
    <row r="157">
      <c r="A157" s="3" t="inlineStr"/>
      <c r="B157" s="4" t="inlineStr">
        <is>
          <t>65V2X328298</t>
        </is>
      </c>
      <c r="C157" s="4" t="inlineStr">
        <is>
          <t>30208</t>
        </is>
      </c>
      <c r="D157" s="4" t="inlineStr"/>
      <c r="E157" s="5" t="inlineStr">
        <is>
          <t>Kristal Elite Collection - 39668</t>
        </is>
      </c>
      <c r="F157" s="4" t="inlineStr"/>
      <c r="G157" s="4" t="inlineStr">
        <is>
          <t>Homeware &gt; Decor &gt; Carpets\</t>
        </is>
      </c>
      <c r="H157" s="4" t="inlineStr"/>
      <c r="I157" s="6" t="inlineStr"/>
      <c r="J157" s="7" t="n">
        <v>15</v>
      </c>
      <c r="K157" s="8">
        <f>IF(I157="","",I157*(1+J157/100))</f>
        <v/>
      </c>
      <c r="L157" s="6" t="inlineStr"/>
      <c r="M157" s="10">
        <f>IF(OR(L157="",K157="",L157=0),"",
  (L157-K157)/L157*100)</f>
        <v/>
      </c>
      <c r="N157" s="11" t="inlineStr"/>
      <c r="O157" s="4" t="inlineStr"/>
      <c r="P157" s="4" t="inlineStr"/>
      <c r="Q157" s="4" t="inlineStr">
        <is>
          <t>https://happyharvesting.co.za/wp-content/uploads/2025/01/Elite-39668-1-1.png, https://happyharvesting.co.za/wp-content/uploads/2025/01/1-Elite-39668-2-1.png</t>
        </is>
      </c>
      <c r="R157" s="4" t="inlineStr">
        <is>
          <t>2026-03-12</t>
        </is>
      </c>
      <c r="S157" s="4" t="inlineStr">
        <is>
          <t>Pre-loaded from WC export — fill in cost price</t>
        </is>
      </c>
    </row>
    <row r="158">
      <c r="A158" s="3" t="inlineStr"/>
      <c r="B158" s="12" t="inlineStr">
        <is>
          <t>VA86VO30239</t>
        </is>
      </c>
      <c r="C158" s="12" t="inlineStr">
        <is>
          <t>30282</t>
        </is>
      </c>
      <c r="D158" s="12" t="inlineStr"/>
      <c r="E158" s="12" t="inlineStr">
        <is>
          <t>Kristal Faux Fur Collection - 05</t>
        </is>
      </c>
      <c r="F158" s="12" t="inlineStr"/>
      <c r="G158" s="12" t="inlineStr">
        <is>
          <t>Homeware &gt; Decor &gt; Carpets\</t>
        </is>
      </c>
      <c r="H158" s="12" t="inlineStr"/>
      <c r="I158" s="6" t="inlineStr"/>
      <c r="J158" s="7" t="n">
        <v>15</v>
      </c>
      <c r="K158" s="8">
        <f>IF(I158="","",I158*(1+J158/100))</f>
        <v/>
      </c>
      <c r="L158" s="6" t="inlineStr"/>
      <c r="M158" s="10">
        <f>IF(OR(L158="",K158="",L158=0),"",
  (L158-K158)/L158*100)</f>
        <v/>
      </c>
      <c r="N158" s="11" t="inlineStr"/>
      <c r="O158" s="12" t="inlineStr"/>
      <c r="P158" s="12" t="inlineStr"/>
      <c r="Q158" s="12" t="inlineStr">
        <is>
          <t>https://happyharvesting.co.za/wp-content/uploads/2025/01/Faux-Fur-04.png, https://happyharvesting.co.za/wp-content/uploads/2025/01/1-Faux-Fur-04.png</t>
        </is>
      </c>
      <c r="R158" s="12" t="inlineStr">
        <is>
          <t>2026-03-12</t>
        </is>
      </c>
      <c r="S158" s="12" t="inlineStr">
        <is>
          <t>Pre-loaded from WC export — fill in cost price</t>
        </is>
      </c>
    </row>
    <row r="159">
      <c r="A159" s="3" t="inlineStr"/>
      <c r="B159" s="4" t="inlineStr">
        <is>
          <t>EP14R428240</t>
        </is>
      </c>
      <c r="C159" s="4" t="inlineStr">
        <is>
          <t>28282</t>
        </is>
      </c>
      <c r="D159" s="4" t="inlineStr"/>
      <c r="E159" s="5" t="inlineStr">
        <is>
          <t>Kristal Favori Collection - 31879A</t>
        </is>
      </c>
      <c r="F159" s="4" t="inlineStr"/>
      <c r="G159" s="4" t="inlineStr">
        <is>
          <t>Homeware &gt; Decor &gt; Carpets\</t>
        </is>
      </c>
      <c r="H159" s="4" t="inlineStr"/>
      <c r="I159" s="6" t="inlineStr"/>
      <c r="J159" s="7" t="n">
        <v>15</v>
      </c>
      <c r="K159" s="8">
        <f>IF(I159="","",I159*(1+J159/100))</f>
        <v/>
      </c>
      <c r="L159" s="6" t="inlineStr"/>
      <c r="M159" s="10">
        <f>IF(OR(L159="",K159="",L159=0),"",
  (L159-K159)/L159*100)</f>
        <v/>
      </c>
      <c r="N159" s="11" t="inlineStr"/>
      <c r="O159" s="4" t="inlineStr"/>
      <c r="P159" s="4" t="inlineStr"/>
      <c r="Q159" s="4" t="inlineStr">
        <is>
          <t>https://happyharvesting.co.za/wp-content/uploads/2024/12/Favori-31879A.png, https://happyharvesting.co.za/wp-content/uploads/2024/12/1-Favori-31879A.png</t>
        </is>
      </c>
      <c r="R159" s="4" t="inlineStr">
        <is>
          <t>2026-03-12</t>
        </is>
      </c>
      <c r="S159" s="4" t="inlineStr">
        <is>
          <t>Pre-loaded from WC export — fill in cost price</t>
        </is>
      </c>
    </row>
    <row r="160">
      <c r="A160" s="3" t="inlineStr"/>
      <c r="B160" s="12" t="inlineStr">
        <is>
          <t>9Y1RC427579</t>
        </is>
      </c>
      <c r="C160" s="12" t="inlineStr">
        <is>
          <t>27609</t>
        </is>
      </c>
      <c r="D160" s="12" t="inlineStr"/>
      <c r="E160" s="12" t="inlineStr">
        <is>
          <t>Kristal HalHal Collections - 0063U 6</t>
        </is>
      </c>
      <c r="F160" s="12" t="inlineStr"/>
      <c r="G160" s="12" t="inlineStr">
        <is>
          <t>Homeware &gt; Decor &gt; Carpets\</t>
        </is>
      </c>
      <c r="H160" s="12" t="inlineStr"/>
      <c r="I160" s="6" t="inlineStr"/>
      <c r="J160" s="7" t="n">
        <v>15</v>
      </c>
      <c r="K160" s="8">
        <f>IF(I160="","",I160*(1+J160/100))</f>
        <v/>
      </c>
      <c r="L160" s="13" t="n">
        <v>999</v>
      </c>
      <c r="M160" s="10">
        <f>IF(OR(L160="",K160="",L160=0),"",
  (L160-K160)/L160*100)</f>
        <v/>
      </c>
      <c r="N160" s="11" t="inlineStr"/>
      <c r="O160" s="12" t="inlineStr"/>
      <c r="P160" s="12" t="inlineStr"/>
      <c r="Q160" s="12" t="inlineStr">
        <is>
          <t>https://happyharvesting.co.za/wp-content/uploads/2024/12/Hlahla-0063U-3.png, https://happyharvesting.co.za/wp-content/uploads/2024/12/1-Hlahla-0063U-4.png</t>
        </is>
      </c>
      <c r="R160" s="12" t="inlineStr">
        <is>
          <t>2026-03-12</t>
        </is>
      </c>
      <c r="S160" s="12" t="inlineStr">
        <is>
          <t>Pre-loaded from WC export — fill in cost price</t>
        </is>
      </c>
    </row>
    <row r="161">
      <c r="A161" s="3" t="inlineStr"/>
      <c r="B161" s="4" t="inlineStr">
        <is>
          <t>8GCY7W28042</t>
        </is>
      </c>
      <c r="C161" s="4" t="inlineStr">
        <is>
          <t>28228</t>
        </is>
      </c>
      <c r="D161" s="4" t="inlineStr"/>
      <c r="E161" s="5" t="inlineStr">
        <is>
          <t>Kristal Ikon Collection -05219D</t>
        </is>
      </c>
      <c r="F161" s="4" t="inlineStr"/>
      <c r="G161" s="4" t="inlineStr">
        <is>
          <t>Homeware &gt; Decor &gt; Carpets\</t>
        </is>
      </c>
      <c r="H161" s="4" t="inlineStr"/>
      <c r="I161" s="6" t="inlineStr"/>
      <c r="J161" s="7" t="n">
        <v>15</v>
      </c>
      <c r="K161" s="8">
        <f>IF(I161="","",I161*(1+J161/100))</f>
        <v/>
      </c>
      <c r="L161" s="6" t="inlineStr"/>
      <c r="M161" s="10">
        <f>IF(OR(L161="",K161="",L161=0),"",
  (L161-K161)/L161*100)</f>
        <v/>
      </c>
      <c r="N161" s="11" t="inlineStr"/>
      <c r="O161" s="4" t="inlineStr"/>
      <c r="P161" s="4" t="inlineStr"/>
      <c r="Q161" s="4" t="inlineStr">
        <is>
          <t>https://happyharvesting.co.za/wp-content/uploads/2024/12/1-Ikon-05219D-1.png, https://happyharvesting.co.za/wp-content/uploads/2024/12/1-Ikon-05219D.png</t>
        </is>
      </c>
      <c r="R161" s="4" t="inlineStr">
        <is>
          <t>2026-03-12</t>
        </is>
      </c>
      <c r="S161" s="4" t="inlineStr">
        <is>
          <t>Pre-loaded from WC export — fill in cost price</t>
        </is>
      </c>
    </row>
    <row r="162">
      <c r="A162" s="3" t="inlineStr"/>
      <c r="B162" s="12" t="inlineStr">
        <is>
          <t>6P9M2P31038</t>
        </is>
      </c>
      <c r="C162" s="12" t="inlineStr">
        <is>
          <t>31136</t>
        </is>
      </c>
      <c r="D162" s="12" t="inlineStr"/>
      <c r="E162" s="12" t="inlineStr">
        <is>
          <t>Kristal Istanbul Collection - 8656A</t>
        </is>
      </c>
      <c r="F162" s="12" t="inlineStr"/>
      <c r="G162" s="12" t="inlineStr">
        <is>
          <t>Homeware &gt; Decor &gt; Carpets\</t>
        </is>
      </c>
      <c r="H162" s="12" t="inlineStr"/>
      <c r="I162" s="6" t="inlineStr"/>
      <c r="J162" s="7" t="n">
        <v>15</v>
      </c>
      <c r="K162" s="8">
        <f>IF(I162="","",I162*(1+J162/100))</f>
        <v/>
      </c>
      <c r="L162" s="13" t="n">
        <v>3050</v>
      </c>
      <c r="M162" s="10">
        <f>IF(OR(L162="",K162="",L162=0),"",
  (L162-K162)/L162*100)</f>
        <v/>
      </c>
      <c r="N162" s="11" t="inlineStr"/>
      <c r="O162" s="12" t="inlineStr"/>
      <c r="P162" s="12" t="inlineStr"/>
      <c r="Q162" s="12" t="inlineStr">
        <is>
          <t>https://happyharvesting.co.za/wp-content/uploads/2025/01/Istanbul-8656A-1.png, https://happyharvesting.co.za/wp-content/uploads/2025/01/1-Istanbul-8656A-1.png</t>
        </is>
      </c>
      <c r="R162" s="12" t="inlineStr">
        <is>
          <t>2026-03-12</t>
        </is>
      </c>
      <c r="S162" s="12" t="inlineStr">
        <is>
          <t>Pre-loaded from WC export — fill in cost price</t>
        </is>
      </c>
    </row>
    <row r="163">
      <c r="A163" s="3" t="inlineStr"/>
      <c r="B163" s="4" t="inlineStr">
        <is>
          <t>3GPG4K27947</t>
        </is>
      </c>
      <c r="C163" s="4" t="inlineStr">
        <is>
          <t>28033</t>
        </is>
      </c>
      <c r="D163" s="4" t="inlineStr"/>
      <c r="E163" s="5" t="inlineStr">
        <is>
          <t>Kristal Merry Collection -MR267</t>
        </is>
      </c>
      <c r="F163" s="4" t="inlineStr"/>
      <c r="G163" s="4" t="inlineStr">
        <is>
          <t>Homeware &gt; Decor &gt; Carpets\</t>
        </is>
      </c>
      <c r="H163" s="4" t="inlineStr"/>
      <c r="I163" s="6" t="inlineStr"/>
      <c r="J163" s="7" t="n">
        <v>15</v>
      </c>
      <c r="K163" s="8">
        <f>IF(I163="","",I163*(1+J163/100))</f>
        <v/>
      </c>
      <c r="L163" s="6" t="inlineStr"/>
      <c r="M163" s="10">
        <f>IF(OR(L163="",K163="",L163=0),"",
  (L163-K163)/L163*100)</f>
        <v/>
      </c>
      <c r="N163" s="11" t="inlineStr"/>
      <c r="O163" s="4" t="inlineStr"/>
      <c r="P163" s="4" t="inlineStr"/>
      <c r="Q163" s="4" t="inlineStr">
        <is>
          <t>https://happyharvesting.co.za/wp-content/uploads/2024/12/Merry-MR267.png, https://happyharvesting.co.za/wp-content/uploads/2024/12/1-Merry-MR267.png</t>
        </is>
      </c>
      <c r="R163" s="4" t="inlineStr">
        <is>
          <t>2026-03-12</t>
        </is>
      </c>
      <c r="S163" s="4" t="inlineStr">
        <is>
          <t>Pre-loaded from WC export — fill in cost price</t>
        </is>
      </c>
    </row>
    <row r="164">
      <c r="A164" s="3" t="inlineStr"/>
      <c r="B164" s="12" t="inlineStr">
        <is>
          <t>97IUJX27637</t>
        </is>
      </c>
      <c r="C164" s="12" t="inlineStr">
        <is>
          <t>27908</t>
        </is>
      </c>
      <c r="D164" s="12" t="inlineStr"/>
      <c r="E164" s="12" t="inlineStr">
        <is>
          <t>Kristal Moyo Collections - M20</t>
        </is>
      </c>
      <c r="F164" s="12" t="inlineStr"/>
      <c r="G164" s="12" t="inlineStr">
        <is>
          <t>Homeware &gt; Decor &gt; Carpets\</t>
        </is>
      </c>
      <c r="H164" s="12" t="inlineStr"/>
      <c r="I164" s="6" t="inlineStr"/>
      <c r="J164" s="7" t="n">
        <v>15</v>
      </c>
      <c r="K164" s="8">
        <f>IF(I164="","",I164*(1+J164/100))</f>
        <v/>
      </c>
      <c r="L164" s="6" t="inlineStr"/>
      <c r="M164" s="10">
        <f>IF(OR(L164="",K164="",L164=0),"",
  (L164-K164)/L164*100)</f>
        <v/>
      </c>
      <c r="N164" s="11" t="inlineStr"/>
      <c r="O164" s="12" t="inlineStr"/>
      <c r="P164" s="12" t="inlineStr"/>
      <c r="Q164" s="12" t="inlineStr">
        <is>
          <t>https://happyharvesting.co.za/wp-content/uploads/2024/12/Moyo-M20.png, https://happyharvesting.co.za/wp-content/uploads/2024/12/Moyo-M21.png</t>
        </is>
      </c>
      <c r="R164" s="12" t="inlineStr">
        <is>
          <t>2026-03-12</t>
        </is>
      </c>
      <c r="S164" s="12" t="inlineStr">
        <is>
          <t>Pre-loaded from WC export — fill in cost price</t>
        </is>
      </c>
    </row>
    <row r="165">
      <c r="A165" s="3" t="inlineStr"/>
      <c r="B165" s="4" t="inlineStr">
        <is>
          <t>HG3Y8P27161</t>
        </is>
      </c>
      <c r="C165" s="4" t="inlineStr">
        <is>
          <t>27197</t>
        </is>
      </c>
      <c r="D165" s="4" t="inlineStr"/>
      <c r="E165" s="5" t="inlineStr">
        <is>
          <t>Kristal Opera Collection - 0D069A</t>
        </is>
      </c>
      <c r="F165" s="4" t="inlineStr"/>
      <c r="G165" s="4" t="inlineStr">
        <is>
          <t>Homeware &gt; Decor &gt; Carpets\</t>
        </is>
      </c>
      <c r="H165" s="4" t="inlineStr"/>
      <c r="I165" s="6" t="inlineStr"/>
      <c r="J165" s="7" t="n">
        <v>15</v>
      </c>
      <c r="K165" s="8">
        <f>IF(I165="","",I165*(1+J165/100))</f>
        <v/>
      </c>
      <c r="L165" s="9" t="n">
        <v>2699</v>
      </c>
      <c r="M165" s="10">
        <f>IF(OR(L165="",K165="",L165=0),"",
  (L165-K165)/L165*100)</f>
        <v/>
      </c>
      <c r="N165" s="11" t="inlineStr"/>
      <c r="O165" s="4" t="inlineStr"/>
      <c r="P165" s="4" t="inlineStr"/>
      <c r="Q165" s="4" t="inlineStr">
        <is>
          <t>https://happyharvesting.co.za/wp-content/uploads/2024/12/Opera-0D069A-.png, https://happyharvesting.co.za/wp-content/uploads/2024/12/1-Opera-0D069A-.png</t>
        </is>
      </c>
      <c r="R165" s="4" t="inlineStr">
        <is>
          <t>2026-03-12</t>
        </is>
      </c>
      <c r="S165" s="4" t="inlineStr">
        <is>
          <t>Pre-loaded from WC export — fill in cost price</t>
        </is>
      </c>
    </row>
    <row r="166">
      <c r="A166" s="3" t="inlineStr"/>
      <c r="B166" s="12" t="inlineStr">
        <is>
          <t>YS432A30218</t>
        </is>
      </c>
      <c r="C166" s="12" t="inlineStr">
        <is>
          <t>30237</t>
        </is>
      </c>
      <c r="D166" s="12" t="inlineStr"/>
      <c r="E166" s="12" t="inlineStr">
        <is>
          <t>Kristal Plush Collection - 013</t>
        </is>
      </c>
      <c r="F166" s="12" t="inlineStr"/>
      <c r="G166" s="12" t="inlineStr">
        <is>
          <t>Homeware &gt; Decor &gt; Carpets\</t>
        </is>
      </c>
      <c r="H166" s="12" t="inlineStr"/>
      <c r="I166" s="6" t="inlineStr"/>
      <c r="J166" s="7" t="n">
        <v>15</v>
      </c>
      <c r="K166" s="8">
        <f>IF(I166="","",I166*(1+J166/100))</f>
        <v/>
      </c>
      <c r="L166" s="13" t="n">
        <v>1599</v>
      </c>
      <c r="M166" s="10">
        <f>IF(OR(L166="",K166="",L166=0),"",
  (L166-K166)/L166*100)</f>
        <v/>
      </c>
      <c r="N166" s="11" t="inlineStr"/>
      <c r="O166" s="12" t="inlineStr"/>
      <c r="P166" s="12" t="inlineStr"/>
      <c r="Q166" s="12" t="inlineStr">
        <is>
          <t>https://happyharvesting.co.za/wp-content/uploads/2025/01/Plush-013.png, https://happyharvesting.co.za/wp-content/uploads/2025/01/1-Plush-013.png</t>
        </is>
      </c>
      <c r="R166" s="12" t="inlineStr">
        <is>
          <t>2026-03-12</t>
        </is>
      </c>
      <c r="S166" s="12" t="inlineStr">
        <is>
          <t>Pre-loaded from WC export — fill in cost price</t>
        </is>
      </c>
    </row>
    <row r="167">
      <c r="A167" s="3" t="inlineStr"/>
      <c r="B167" s="4" t="inlineStr">
        <is>
          <t>9J3PCP26971</t>
        </is>
      </c>
      <c r="C167" s="4" t="inlineStr">
        <is>
          <t>27150</t>
        </is>
      </c>
      <c r="D167" s="4" t="inlineStr"/>
      <c r="E167" s="5" t="inlineStr">
        <is>
          <t>Kristal Rainbow Collections 25536A</t>
        </is>
      </c>
      <c r="F167" s="4" t="inlineStr"/>
      <c r="G167" s="4" t="inlineStr">
        <is>
          <t>Homeware &gt; Decor &gt; Carpets\</t>
        </is>
      </c>
      <c r="H167" s="4" t="inlineStr"/>
      <c r="I167" s="6" t="inlineStr"/>
      <c r="J167" s="7" t="n">
        <v>15</v>
      </c>
      <c r="K167" s="8">
        <f>IF(I167="","",I167*(1+J167/100))</f>
        <v/>
      </c>
      <c r="L167" s="6" t="inlineStr"/>
      <c r="M167" s="10">
        <f>IF(OR(L167="",K167="",L167=0),"",
  (L167-K167)/L167*100)</f>
        <v/>
      </c>
      <c r="N167" s="11" t="inlineStr"/>
      <c r="O167" s="4" t="inlineStr"/>
      <c r="P167" s="4" t="inlineStr"/>
      <c r="Q167" s="4" t="inlineStr">
        <is>
          <t>https://happyharvesting.co.za/wp-content/uploads/2024/12/Rainbow-2-5-5-3-6A.png, https://happyharvesting.co.za/wp-content/uploads/2024/12/1-Rainbow-5536A-.png</t>
        </is>
      </c>
      <c r="R167" s="4" t="inlineStr">
        <is>
          <t>2026-03-12</t>
        </is>
      </c>
      <c r="S167" s="4" t="inlineStr">
        <is>
          <t>Pre-loaded from WC export — fill in cost price</t>
        </is>
      </c>
    </row>
    <row r="168">
      <c r="A168" s="3" t="inlineStr"/>
      <c r="B168" s="12" t="inlineStr">
        <is>
          <t>YCN5JJ30290</t>
        </is>
      </c>
      <c r="C168" s="12" t="inlineStr">
        <is>
          <t>30374</t>
        </is>
      </c>
      <c r="D168" s="12" t="inlineStr"/>
      <c r="E168" s="12" t="inlineStr">
        <is>
          <t>Kristal Royal Post Collection - 09</t>
        </is>
      </c>
      <c r="F168" s="12" t="inlineStr"/>
      <c r="G168" s="12" t="inlineStr">
        <is>
          <t>Homeware &gt; Decor &gt; Carpets\</t>
        </is>
      </c>
      <c r="H168" s="12" t="inlineStr"/>
      <c r="I168" s="6" t="inlineStr"/>
      <c r="J168" s="7" t="n">
        <v>15</v>
      </c>
      <c r="K168" s="8">
        <f>IF(I168="","",I168*(1+J168/100))</f>
        <v/>
      </c>
      <c r="L168" s="6" t="inlineStr"/>
      <c r="M168" s="10">
        <f>IF(OR(L168="",K168="",L168=0),"",
  (L168-K168)/L168*100)</f>
        <v/>
      </c>
      <c r="N168" s="11" t="inlineStr"/>
      <c r="O168" s="12" t="inlineStr"/>
      <c r="P168" s="12" t="inlineStr"/>
      <c r="Q168" s="12" t="inlineStr">
        <is>
          <t>https://happyharvesting.co.za/wp-content/uploads/2025/01/Royalpost-09.png, https://happyharvesting.co.za/wp-content/uploads/2025/01/1-Royalpost-09.png</t>
        </is>
      </c>
      <c r="R168" s="12" t="inlineStr">
        <is>
          <t>2026-03-12</t>
        </is>
      </c>
      <c r="S168" s="12" t="inlineStr">
        <is>
          <t>Pre-loaded from WC export — fill in cost price</t>
        </is>
      </c>
    </row>
    <row r="169">
      <c r="A169" s="3" t="inlineStr"/>
      <c r="B169" s="4" t="inlineStr">
        <is>
          <t>D81I9727611</t>
        </is>
      </c>
      <c r="C169" s="4" t="inlineStr">
        <is>
          <t>27633</t>
        </is>
      </c>
      <c r="D169" s="4" t="inlineStr"/>
      <c r="E169" s="5" t="inlineStr">
        <is>
          <t>Kristal Shiraz Collections -3323A</t>
        </is>
      </c>
      <c r="F169" s="4" t="inlineStr"/>
      <c r="G169" s="4" t="inlineStr">
        <is>
          <t>Homeware &gt; Decor &gt; Carpets\</t>
        </is>
      </c>
      <c r="H169" s="4" t="inlineStr"/>
      <c r="I169" s="6" t="inlineStr"/>
      <c r="J169" s="7" t="n">
        <v>15</v>
      </c>
      <c r="K169" s="8">
        <f>IF(I169="","",I169*(1+J169/100))</f>
        <v/>
      </c>
      <c r="L169" s="9" t="n">
        <v>1950</v>
      </c>
      <c r="M169" s="10">
        <f>IF(OR(L169="",K169="",L169=0),"",
  (L169-K169)/L169*100)</f>
        <v/>
      </c>
      <c r="N169" s="11" t="inlineStr"/>
      <c r="O169" s="4" t="inlineStr"/>
      <c r="P169" s="4" t="inlineStr"/>
      <c r="Q169" s="4" t="inlineStr">
        <is>
          <t>https://happyharvesting.co.za/wp-content/uploads/2024/12/Shiraz-1836A-1.png, https://happyharvesting.co.za/wp-content/uploads/2024/12/1-Shiraz-1836A-1.png</t>
        </is>
      </c>
      <c r="R169" s="4" t="inlineStr">
        <is>
          <t>2026-03-12</t>
        </is>
      </c>
      <c r="S169" s="4" t="inlineStr">
        <is>
          <t>Pre-loaded from WC export — fill in cost price</t>
        </is>
      </c>
    </row>
    <row r="170">
      <c r="A170" s="3" t="inlineStr"/>
      <c r="B170" s="12" t="inlineStr">
        <is>
          <t>2QQ7MC30812</t>
        </is>
      </c>
      <c r="C170" s="12" t="inlineStr">
        <is>
          <t>30835</t>
        </is>
      </c>
      <c r="D170" s="12" t="inlineStr"/>
      <c r="E170" s="12" t="inlineStr">
        <is>
          <t>Kristal Sila Collection -SL 707</t>
        </is>
      </c>
      <c r="F170" s="12" t="inlineStr"/>
      <c r="G170" s="12" t="inlineStr">
        <is>
          <t>Homeware &gt; Decor &gt; Carpets\</t>
        </is>
      </c>
      <c r="H170" s="12" t="inlineStr"/>
      <c r="I170" s="6" t="inlineStr"/>
      <c r="J170" s="7" t="n">
        <v>15</v>
      </c>
      <c r="K170" s="8">
        <f>IF(I170="","",I170*(1+J170/100))</f>
        <v/>
      </c>
      <c r="L170" s="13" t="n">
        <v>1450</v>
      </c>
      <c r="M170" s="10">
        <f>IF(OR(L170="",K170="",L170=0),"",
  (L170-K170)/L170*100)</f>
        <v/>
      </c>
      <c r="N170" s="11" t="inlineStr"/>
      <c r="O170" s="12" t="inlineStr"/>
      <c r="P170" s="12" t="inlineStr"/>
      <c r="Q170" s="12" t="inlineStr">
        <is>
          <t>https://happyharvesting.co.za/wp-content/uploads/2025/01/Sila-SL-707-1.png, https://happyharvesting.co.za/wp-content/uploads/2025/01/1-Sila-SL-707-3.png</t>
        </is>
      </c>
      <c r="R170" s="12" t="inlineStr">
        <is>
          <t>2026-03-12</t>
        </is>
      </c>
      <c r="S170" s="12" t="inlineStr">
        <is>
          <t>Pre-loaded from WC export — fill in cost price</t>
        </is>
      </c>
    </row>
    <row r="171">
      <c r="A171" s="3" t="inlineStr"/>
      <c r="B171" s="4" t="inlineStr">
        <is>
          <t>RSGWMM30382</t>
        </is>
      </c>
      <c r="C171" s="4" t="inlineStr">
        <is>
          <t>30751</t>
        </is>
      </c>
      <c r="D171" s="4" t="inlineStr"/>
      <c r="E171" s="5" t="inlineStr">
        <is>
          <t>Kristal Star Collection -LP438</t>
        </is>
      </c>
      <c r="F171" s="4" t="inlineStr"/>
      <c r="G171" s="4" t="inlineStr">
        <is>
          <t>Homeware &gt; Decor &gt; Carpets\</t>
        </is>
      </c>
      <c r="H171" s="4" t="inlineStr"/>
      <c r="I171" s="6" t="inlineStr"/>
      <c r="J171" s="7" t="n">
        <v>15</v>
      </c>
      <c r="K171" s="8">
        <f>IF(I171="","",I171*(1+J171/100))</f>
        <v/>
      </c>
      <c r="L171" s="6" t="inlineStr"/>
      <c r="M171" s="10">
        <f>IF(OR(L171="",K171="",L171=0),"",
  (L171-K171)/L171*100)</f>
        <v/>
      </c>
      <c r="N171" s="11" t="inlineStr"/>
      <c r="O171" s="4" t="inlineStr"/>
      <c r="P171" s="4" t="inlineStr"/>
      <c r="Q171" s="4" t="inlineStr">
        <is>
          <t>https://happyharvesting.co.za/wp-content/uploads/2025/01/Star-LP438-2.png, https://happyharvesting.co.za/wp-content/uploads/2025/01/1-Star-LP438-1.png</t>
        </is>
      </c>
      <c r="R171" s="4" t="inlineStr">
        <is>
          <t>2026-03-12</t>
        </is>
      </c>
      <c r="S171" s="4" t="inlineStr">
        <is>
          <t>Pre-loaded from WC export — fill in cost price</t>
        </is>
      </c>
    </row>
    <row r="172">
      <c r="A172" s="3" t="inlineStr"/>
      <c r="B172" s="12" t="inlineStr">
        <is>
          <t>C342CX27430</t>
        </is>
      </c>
      <c r="C172" s="12" t="inlineStr">
        <is>
          <t>27573</t>
        </is>
      </c>
      <c r="D172" s="12" t="inlineStr"/>
      <c r="E172" s="12" t="inlineStr">
        <is>
          <t>Kristal Trend Collection - 04393A</t>
        </is>
      </c>
      <c r="F172" s="12" t="inlineStr"/>
      <c r="G172" s="12" t="inlineStr">
        <is>
          <t>Homeware &gt; Decor &gt; Carpets\</t>
        </is>
      </c>
      <c r="H172" s="12" t="inlineStr"/>
      <c r="I172" s="6" t="inlineStr"/>
      <c r="J172" s="7" t="n">
        <v>15</v>
      </c>
      <c r="K172" s="8">
        <f>IF(I172="","",I172*(1+J172/100))</f>
        <v/>
      </c>
      <c r="L172" s="6" t="inlineStr"/>
      <c r="M172" s="10">
        <f>IF(OR(L172="",K172="",L172=0),"",
  (L172-K172)/L172*100)</f>
        <v/>
      </c>
      <c r="N172" s="11" t="inlineStr"/>
      <c r="O172" s="12" t="inlineStr"/>
      <c r="P172" s="12" t="inlineStr"/>
      <c r="Q172" s="12" t="inlineStr">
        <is>
          <t>https://happyharvesting.co.za/wp-content/uploads/2024/12/Trend-04393A.png, https://happyharvesting.co.za/wp-content/uploads/2024/12/1-Trend-04393A.png</t>
        </is>
      </c>
      <c r="R172" s="12" t="inlineStr">
        <is>
          <t>2026-03-12</t>
        </is>
      </c>
      <c r="S172" s="12" t="inlineStr">
        <is>
          <t>Pre-loaded from WC export — fill in cost price</t>
        </is>
      </c>
    </row>
    <row r="173">
      <c r="A173" s="3" t="inlineStr"/>
      <c r="B173" s="4" t="inlineStr">
        <is>
          <t>04395A</t>
        </is>
      </c>
      <c r="C173" s="4" t="inlineStr">
        <is>
          <t>14961</t>
        </is>
      </c>
      <c r="D173" s="4" t="inlineStr"/>
      <c r="E173" s="5" t="inlineStr">
        <is>
          <t>Kristal Turkish Polyester Carpet</t>
        </is>
      </c>
      <c r="F173" s="4" t="inlineStr"/>
      <c r="G173" s="4" t="inlineStr">
        <is>
          <t>Homeware &gt; Decor &gt; Carpets\</t>
        </is>
      </c>
      <c r="H173" s="4" t="inlineStr"/>
      <c r="I173" s="6" t="inlineStr"/>
      <c r="J173" s="7" t="n">
        <v>15</v>
      </c>
      <c r="K173" s="8">
        <f>IF(I173="","",I173*(1+J173/100))</f>
        <v/>
      </c>
      <c r="L173" s="9" t="n">
        <v>1200</v>
      </c>
      <c r="M173" s="10">
        <f>IF(OR(L173="",K173="",L173=0),"",
  (L173-K173)/L173*100)</f>
        <v/>
      </c>
      <c r="N173" s="11" t="inlineStr"/>
      <c r="O173" s="4" t="inlineStr"/>
      <c r="P173" s="4" t="inlineStr"/>
      <c r="Q173" s="4" t="inlineStr">
        <is>
          <t>https://happyharvesting.co.za/wp-content/uploads/2023/11/PhotoRoom-20231128_122132_4.png</t>
        </is>
      </c>
      <c r="R173" s="4" t="inlineStr">
        <is>
          <t>2026-03-12</t>
        </is>
      </c>
      <c r="S173" s="4" t="inlineStr">
        <is>
          <t>Pre-loaded from WC export — fill in cost price</t>
        </is>
      </c>
    </row>
    <row r="174">
      <c r="A174" s="3" t="inlineStr"/>
      <c r="B174" s="12" t="inlineStr">
        <is>
          <t>05238A/ 300760740/ 04364A/ 04685B</t>
        </is>
      </c>
      <c r="C174" s="12" t="inlineStr">
        <is>
          <t>14968</t>
        </is>
      </c>
      <c r="D174" s="12" t="inlineStr"/>
      <c r="E174" s="12" t="inlineStr">
        <is>
          <t>Kristal Turkish Rug</t>
        </is>
      </c>
      <c r="F174" s="12" t="inlineStr"/>
      <c r="G174" s="12" t="inlineStr">
        <is>
          <t>Homeware &gt; Decor &gt; Carpets\</t>
        </is>
      </c>
      <c r="H174" s="12" t="inlineStr"/>
      <c r="I174" s="6" t="inlineStr"/>
      <c r="J174" s="7" t="n">
        <v>15</v>
      </c>
      <c r="K174" s="8">
        <f>IF(I174="","",I174*(1+J174/100))</f>
        <v/>
      </c>
      <c r="L174" s="6" t="inlineStr"/>
      <c r="M174" s="10">
        <f>IF(OR(L174="",K174="",L174=0),"",
  (L174-K174)/L174*100)</f>
        <v/>
      </c>
      <c r="N174" s="11" t="inlineStr"/>
      <c r="O174" s="12" t="inlineStr"/>
      <c r="P174" s="12" t="inlineStr"/>
      <c r="Q174" s="12" t="inlineStr">
        <is>
          <t>https://happyharvesting.co.za/wp-content/uploads/2023/11/PhotoRoom-20231128_134702_5.png, https://happyharvesting.co.za/wp-content/uploads/2023/11/PhotoRoom-20231128_134702_5.png, https://happyharvesting.co.za/wp-content/uploads/2023/11/PhotoRoom_007_20231121_174301.jpg, https://happyharvesting.co.za/wp-content/uploads/2023/11/PhotoRoom_008_20231121_174301.jpg, https://happyharvesting.co.za/wp-content/uploads/2023/11/PhotoRoom-20231128_115020_4.png</t>
        </is>
      </c>
      <c r="R174" s="12" t="inlineStr">
        <is>
          <t>2026-03-12</t>
        </is>
      </c>
      <c r="S174" s="12" t="inlineStr">
        <is>
          <t>Pre-loaded from WC export — fill in cost price</t>
        </is>
      </c>
    </row>
    <row r="175">
      <c r="A175" s="3" t="inlineStr"/>
      <c r="B175" s="4" t="inlineStr">
        <is>
          <t>54W73427200</t>
        </is>
      </c>
      <c r="C175" s="4" t="inlineStr">
        <is>
          <t>27235</t>
        </is>
      </c>
      <c r="D175" s="4" t="inlineStr"/>
      <c r="E175" s="5" t="inlineStr">
        <is>
          <t>Kristal Twister Collection - 9603B</t>
        </is>
      </c>
      <c r="F175" s="4" t="inlineStr"/>
      <c r="G175" s="4" t="inlineStr">
        <is>
          <t>Homeware &gt; Decor &gt; Carpets\</t>
        </is>
      </c>
      <c r="H175" s="4" t="inlineStr"/>
      <c r="I175" s="6" t="inlineStr"/>
      <c r="J175" s="7" t="n">
        <v>15</v>
      </c>
      <c r="K175" s="8">
        <f>IF(I175="","",I175*(1+J175/100))</f>
        <v/>
      </c>
      <c r="L175" s="9" t="n">
        <v>2699</v>
      </c>
      <c r="M175" s="10">
        <f>IF(OR(L175="",K175="",L175=0),"",
  (L175-K175)/L175*100)</f>
        <v/>
      </c>
      <c r="N175" s="11" t="inlineStr"/>
      <c r="O175" s="4" t="inlineStr"/>
      <c r="P175" s="4" t="inlineStr"/>
      <c r="Q175" s="4" t="inlineStr">
        <is>
          <t>https://happyharvesting.co.za/wp-content/uploads/2024/12/Twister-9603B-1.png, https://happyharvesting.co.za/wp-content/uploads/2024/12/1-Twister-9603B.png</t>
        </is>
      </c>
      <c r="R175" s="4" t="inlineStr">
        <is>
          <t>2026-03-12</t>
        </is>
      </c>
      <c r="S175" s="4" t="inlineStr">
        <is>
          <t>Pre-loaded from WC export — fill in cost price</t>
        </is>
      </c>
    </row>
    <row r="176">
      <c r="A176" s="3" t="inlineStr"/>
      <c r="B176" s="12" t="inlineStr">
        <is>
          <t>KSRD</t>
        </is>
      </c>
      <c r="C176" s="12" t="inlineStr">
        <is>
          <t>14954</t>
        </is>
      </c>
      <c r="D176" s="12" t="inlineStr"/>
      <c r="E176" s="12" t="inlineStr">
        <is>
          <t>Luxury Collection - Kristal Star</t>
        </is>
      </c>
      <c r="F176" s="12" t="inlineStr"/>
      <c r="G176" s="12" t="inlineStr">
        <is>
          <t>Homeware &gt; Decor &gt; Carpets\</t>
        </is>
      </c>
      <c r="H176" s="12" t="inlineStr"/>
      <c r="I176" s="6" t="inlineStr"/>
      <c r="J176" s="7" t="n">
        <v>15</v>
      </c>
      <c r="K176" s="8">
        <f>IF(I176="","",I176*(1+J176/100))</f>
        <v/>
      </c>
      <c r="L176" s="13" t="n">
        <v>2500</v>
      </c>
      <c r="M176" s="10">
        <f>IF(OR(L176="",K176="",L176=0),"",
  (L176-K176)/L176*100)</f>
        <v/>
      </c>
      <c r="N176" s="11" t="inlineStr"/>
      <c r="O176" s="12" t="inlineStr"/>
      <c r="P176" s="12" t="inlineStr"/>
      <c r="Q176" s="12" t="inlineStr">
        <is>
          <t>https://happyharvesting.co.za/wp-content/uploads/2023/11/PhotoRoom_000_20231121_201413.jpg</t>
        </is>
      </c>
      <c r="R176" s="12" t="inlineStr">
        <is>
          <t>2026-03-12</t>
        </is>
      </c>
      <c r="S176" s="12" t="inlineStr">
        <is>
          <t>Pre-loaded from WC export — fill in cost price</t>
        </is>
      </c>
    </row>
    <row r="177">
      <c r="A177" s="3" t="inlineStr"/>
      <c r="B177" s="4" t="inlineStr">
        <is>
          <t>MR209</t>
        </is>
      </c>
      <c r="C177" s="4" t="inlineStr">
        <is>
          <t>14926</t>
        </is>
      </c>
      <c r="D177" s="4" t="inlineStr"/>
      <c r="E177" s="5" t="inlineStr">
        <is>
          <t>Luxury Diva Carpet</t>
        </is>
      </c>
      <c r="F177" s="4" t="inlineStr"/>
      <c r="G177" s="4" t="inlineStr">
        <is>
          <t>Homeware &gt; Decor &gt; Carpets\</t>
        </is>
      </c>
      <c r="H177" s="4" t="inlineStr"/>
      <c r="I177" s="6" t="inlineStr"/>
      <c r="J177" s="7" t="n">
        <v>15</v>
      </c>
      <c r="K177" s="8">
        <f>IF(I177="","",I177*(1+J177/100))</f>
        <v/>
      </c>
      <c r="L177" s="9" t="n">
        <v>25000</v>
      </c>
      <c r="M177" s="10">
        <f>IF(OR(L177="",K177="",L177=0),"",
  (L177-K177)/L177*100)</f>
        <v/>
      </c>
      <c r="N177" s="11" t="inlineStr"/>
      <c r="O177" s="4" t="inlineStr"/>
      <c r="P177" s="4" t="inlineStr"/>
      <c r="Q177" s="4" t="inlineStr">
        <is>
          <t>https://happyharvesting.co.za/wp-content/uploads/2023/11/PhotoRoom_002_20231121_201413.jpg, https://happyharvesting.co.za/wp-content/uploads/2023/11/PhotoRoom_003_20231121_201413.jpg</t>
        </is>
      </c>
      <c r="R177" s="4" t="inlineStr">
        <is>
          <t>2026-03-12</t>
        </is>
      </c>
      <c r="S177" s="4" t="inlineStr">
        <is>
          <t>Pre-loaded from WC export — fill in cost price</t>
        </is>
      </c>
    </row>
    <row r="178">
      <c r="A178" s="3" t="inlineStr"/>
      <c r="B178" s="12" t="inlineStr">
        <is>
          <t>48SFP16223</t>
        </is>
      </c>
      <c r="C178" s="12" t="inlineStr">
        <is>
          <t>16223</t>
        </is>
      </c>
      <c r="D178" s="12" t="inlineStr"/>
      <c r="E178" s="12" t="inlineStr">
        <is>
          <t>Merry Christmas Rubber Mat</t>
        </is>
      </c>
      <c r="F178" s="12" t="inlineStr"/>
      <c r="G178" s="12" t="inlineStr">
        <is>
          <t>Homeware &gt; Decor &gt; Carpets\</t>
        </is>
      </c>
      <c r="H178" s="12" t="inlineStr"/>
      <c r="I178" s="6" t="inlineStr"/>
      <c r="J178" s="7" t="n">
        <v>15</v>
      </c>
      <c r="K178" s="8">
        <f>IF(I178="","",I178*(1+J178/100))</f>
        <v/>
      </c>
      <c r="L178" s="13" t="n">
        <v>190</v>
      </c>
      <c r="M178" s="10">
        <f>IF(OR(L178="",K178="",L178=0),"",
  (L178-K178)/L178*100)</f>
        <v/>
      </c>
      <c r="N178" s="11" t="inlineStr"/>
      <c r="O178" s="12" t="inlineStr"/>
      <c r="P178" s="12" t="inlineStr"/>
      <c r="Q178" s="12" t="inlineStr">
        <is>
          <t>https://happyharvesting.co.za/wp-content/uploads/2023/12/Photo-2023-12-15-13-10-56.jpg</t>
        </is>
      </c>
      <c r="R178" s="12" t="inlineStr">
        <is>
          <t>2026-03-12</t>
        </is>
      </c>
      <c r="S178" s="12" t="inlineStr">
        <is>
          <t>Pre-loaded from WC export — fill in cost price</t>
        </is>
      </c>
    </row>
    <row r="179">
      <c r="A179" s="3" t="inlineStr"/>
      <c r="B179" s="4" t="inlineStr">
        <is>
          <t>00794/04020</t>
        </is>
      </c>
      <c r="C179" s="4" t="inlineStr">
        <is>
          <t>14945</t>
        </is>
      </c>
      <c r="D179" s="4" t="inlineStr"/>
      <c r="E179" s="5" t="inlineStr">
        <is>
          <t>Milano Luxury Carpet</t>
        </is>
      </c>
      <c r="F179" s="4" t="inlineStr"/>
      <c r="G179" s="4" t="inlineStr">
        <is>
          <t>Homeware &gt; Decor &gt; Carpets\</t>
        </is>
      </c>
      <c r="H179" s="4" t="inlineStr"/>
      <c r="I179" s="6" t="inlineStr"/>
      <c r="J179" s="7" t="n">
        <v>15</v>
      </c>
      <c r="K179" s="8">
        <f>IF(I179="","",I179*(1+J179/100))</f>
        <v/>
      </c>
      <c r="L179" s="6" t="inlineStr"/>
      <c r="M179" s="10">
        <f>IF(OR(L179="",K179="",L179=0),"",
  (L179-K179)/L179*100)</f>
        <v/>
      </c>
      <c r="N179" s="11" t="inlineStr"/>
      <c r="O179" s="4" t="inlineStr"/>
      <c r="P179" s="4" t="inlineStr"/>
      <c r="Q179" s="4" t="inlineStr">
        <is>
          <t>https://happyharvesting.co.za/wp-content/uploads/2023/11/PhotoRoom-20231128_115020_3.png, https://happyharvesting.co.za/wp-content/uploads/2023/11/PhotoRoom-20231128_122132_6.png, https://happyharvesting.co.za/wp-content/uploads/2023/11/PhotoRoom-20231128_122131_1.png</t>
        </is>
      </c>
      <c r="R179" s="4" t="inlineStr">
        <is>
          <t>2026-03-12</t>
        </is>
      </c>
      <c r="S179" s="4" t="inlineStr">
        <is>
          <t>Pre-loaded from WC export — fill in cost price</t>
        </is>
      </c>
    </row>
    <row r="180">
      <c r="A180" s="3" t="inlineStr"/>
      <c r="B180" s="12" t="inlineStr">
        <is>
          <t>1403</t>
        </is>
      </c>
      <c r="C180" s="12" t="inlineStr">
        <is>
          <t>14959</t>
        </is>
      </c>
      <c r="D180" s="12" t="inlineStr"/>
      <c r="E180" s="12" t="inlineStr">
        <is>
          <t>Milano Luxury Rug</t>
        </is>
      </c>
      <c r="F180" s="12" t="inlineStr"/>
      <c r="G180" s="12" t="inlineStr">
        <is>
          <t>Homeware &gt; Decor &gt; Carpets\</t>
        </is>
      </c>
      <c r="H180" s="12" t="inlineStr"/>
      <c r="I180" s="6" t="inlineStr"/>
      <c r="J180" s="7" t="n">
        <v>15</v>
      </c>
      <c r="K180" s="8">
        <f>IF(I180="","",I180*(1+J180/100))</f>
        <v/>
      </c>
      <c r="L180" s="13" t="n">
        <v>1200</v>
      </c>
      <c r="M180" s="10">
        <f>IF(OR(L180="",K180="",L180=0),"",
  (L180-K180)/L180*100)</f>
        <v/>
      </c>
      <c r="N180" s="11" t="inlineStr"/>
      <c r="O180" s="12" t="inlineStr"/>
      <c r="P180" s="12" t="inlineStr"/>
      <c r="Q180" s="12" t="inlineStr">
        <is>
          <t>https://happyharvesting.co.za/wp-content/uploads/2023/11/PhotoRoom_000_20231121_174301.jpg</t>
        </is>
      </c>
      <c r="R180" s="12" t="inlineStr">
        <is>
          <t>2026-03-12</t>
        </is>
      </c>
      <c r="S180" s="12" t="inlineStr">
        <is>
          <t>Pre-loaded from WC export — fill in cost price</t>
        </is>
      </c>
    </row>
    <row r="181">
      <c r="A181" s="3" t="inlineStr"/>
      <c r="B181" s="4" t="inlineStr">
        <is>
          <t>HS155</t>
        </is>
      </c>
      <c r="C181" s="4" t="inlineStr">
        <is>
          <t>14949</t>
        </is>
      </c>
      <c r="D181" s="4" t="inlineStr"/>
      <c r="E181" s="5" t="inlineStr">
        <is>
          <t>Moyo luxury carpets</t>
        </is>
      </c>
      <c r="F181" s="4" t="inlineStr"/>
      <c r="G181" s="4" t="inlineStr">
        <is>
          <t>Homeware &gt; Decor &gt; Carpets\</t>
        </is>
      </c>
      <c r="H181" s="4" t="inlineStr"/>
      <c r="I181" s="6" t="inlineStr"/>
      <c r="J181" s="7" t="n">
        <v>15</v>
      </c>
      <c r="K181" s="8">
        <f>IF(I181="","",I181*(1+J181/100))</f>
        <v/>
      </c>
      <c r="L181" s="9" t="n">
        <v>1200</v>
      </c>
      <c r="M181" s="10">
        <f>IF(OR(L181="",K181="",L181=0),"",
  (L181-K181)/L181*100)</f>
        <v/>
      </c>
      <c r="N181" s="11" t="inlineStr"/>
      <c r="O181" s="4" t="inlineStr"/>
      <c r="P181" s="4" t="inlineStr"/>
      <c r="Q181" s="4" t="inlineStr">
        <is>
          <t>https://happyharvesting.co.za/wp-content/uploads/2023/11/IMG-20231129-WA0017.jpg</t>
        </is>
      </c>
      <c r="R181" s="4" t="inlineStr">
        <is>
          <t>2026-03-12</t>
        </is>
      </c>
      <c r="S181" s="4" t="inlineStr">
        <is>
          <t>Pre-loaded from WC export — fill in cost price</t>
        </is>
      </c>
    </row>
    <row r="182">
      <c r="A182" s="3" t="inlineStr"/>
      <c r="B182" s="12" t="inlineStr">
        <is>
          <t>V57TU13659</t>
        </is>
      </c>
      <c r="C182" s="12" t="inlineStr">
        <is>
          <t>13659</t>
        </is>
      </c>
      <c r="D182" s="12" t="inlineStr"/>
      <c r="E182" s="12" t="inlineStr">
        <is>
          <t>Natural Decor Handcrafted Rug</t>
        </is>
      </c>
      <c r="F182" s="12" t="inlineStr"/>
      <c r="G182" s="12" t="inlineStr">
        <is>
          <t>Homeware &gt; Decor &gt; Carpets\</t>
        </is>
      </c>
      <c r="H182" s="12" t="inlineStr"/>
      <c r="I182" s="6" t="inlineStr"/>
      <c r="J182" s="7" t="n">
        <v>15</v>
      </c>
      <c r="K182" s="8">
        <f>IF(I182="","",I182*(1+J182/100))</f>
        <v/>
      </c>
      <c r="L182" s="13" t="n">
        <v>200</v>
      </c>
      <c r="M182" s="10">
        <f>IF(OR(L182="",K182="",L182=0),"",
  (L182-K182)/L182*100)</f>
        <v/>
      </c>
      <c r="N182" s="11" t="inlineStr"/>
      <c r="O182" s="12" t="inlineStr"/>
      <c r="P182" s="12" t="inlineStr"/>
      <c r="Q182" s="12" t="inlineStr">
        <is>
          <t>https://happyharvesting.co.za/wp-content/uploads/2023/09/1000050460.jpg, https://happyharvesting.co.za/wp-content/uploads/2023/09/20230908_132356-scaled.jpg, https://happyharvesting.co.za/wp-content/uploads/2023/09/20230908_132422-scaled.jpg, https://happyharvesting.co.za/wp-content/uploads/2023/09/20230908_132416-scaled.jpg, https://happyharvesting.co.za/wp-content/uploads/2023/09/20230908_132410-scaled.jpg, https://happyharvesting.co.za/wp-content/uploads/2023/09/20230908_132403-scaled.jpg, https://happyharvesting.co.za/wp-content/uploads/2023/09/20230908_132310-2-scaled.jpg, https://happyharvesting.co.za/wp-content/uploads/2023/09/20230908_132351-scaled.jpg, https://happyharvesting.co.za/wp-content/uploads/2023/09/20230908_132344-scaled.jpg, https://happyharvesting.co.za/wp-content/uploads/2023/09/20230908_132340-scaled.jpg, https://happyharvesting.co.za/wp-content/uploads/2023/09/20230908_132335-scaled.jpg, https://happyharvesting.co.za/wp-content/uploads/2023/09/20230908_132329-scaled.jpg, https://happyharvesting.co.za/wp-content/uploads/2023/09/20230908_132323-scaled.jpg, https://happyharvesting.co.za/wp-content/uploads/2023/09/20230908_132317-scaled.jpg</t>
        </is>
      </c>
      <c r="R182" s="12" t="inlineStr">
        <is>
          <t>2026-03-12</t>
        </is>
      </c>
      <c r="S182" s="12" t="inlineStr">
        <is>
          <t>Pre-loaded from WC export — fill in cost price</t>
        </is>
      </c>
    </row>
    <row r="183">
      <c r="A183" s="3" t="inlineStr"/>
      <c r="B183" s="4" t="inlineStr">
        <is>
          <t>F00790</t>
        </is>
      </c>
      <c r="C183" s="4" t="inlineStr">
        <is>
          <t>19354</t>
        </is>
      </c>
      <c r="D183" s="4" t="inlineStr"/>
      <c r="E183" s="5" t="inlineStr">
        <is>
          <t>PVC Candy Mats 47cm x 77cm</t>
        </is>
      </c>
      <c r="F183" s="4" t="inlineStr"/>
      <c r="G183" s="4" t="inlineStr">
        <is>
          <t>Homeware &gt; Decor &gt; Carpets\</t>
        </is>
      </c>
      <c r="H183" s="4" t="inlineStr"/>
      <c r="I183" s="6" t="inlineStr"/>
      <c r="J183" s="7" t="n">
        <v>15</v>
      </c>
      <c r="K183" s="8">
        <f>IF(I183="","",I183*(1+J183/100))</f>
        <v/>
      </c>
      <c r="L183" s="6" t="inlineStr"/>
      <c r="M183" s="10">
        <f>IF(OR(L183="",K183="",L183=0),"",
  (L183-K183)/L183*100)</f>
        <v/>
      </c>
      <c r="N183" s="11" t="inlineStr"/>
      <c r="O183" s="4" t="inlineStr"/>
      <c r="P183" s="4" t="inlineStr"/>
      <c r="Q183" s="4" t="inlineStr">
        <is>
          <t>https://happyharvesting.co.za/wp-content/uploads/2024/03/bluered-grey-Photoroom.jpg, https://happyharvesting.co.za/wp-content/uploads/2024/03/bluered-grey-Photoroom.jpg, https://happyharvesting.co.za/wp-content/uploads/2024/03/black-grey-Photoroom.jpg, https://happyharvesting.co.za/wp-content/uploads/2024/03/grey-Photoroom.jpg</t>
        </is>
      </c>
      <c r="R183" s="4" t="inlineStr">
        <is>
          <t>2026-03-12</t>
        </is>
      </c>
      <c r="S183" s="4" t="inlineStr">
        <is>
          <t>Pre-loaded from WC export — fill in cost price</t>
        </is>
      </c>
    </row>
    <row r="184">
      <c r="A184" s="3" t="inlineStr"/>
      <c r="B184" s="12" t="inlineStr">
        <is>
          <t>6445714380</t>
        </is>
      </c>
      <c r="C184" s="12" t="inlineStr">
        <is>
          <t>14380</t>
        </is>
      </c>
      <c r="D184" s="12" t="inlineStr"/>
      <c r="E184" s="12" t="inlineStr">
        <is>
          <t>Sophisticated Home Rug</t>
        </is>
      </c>
      <c r="F184" s="12" t="inlineStr"/>
      <c r="G184" s="12" t="inlineStr">
        <is>
          <t>Homeware &gt; Decor &gt; Carpets\</t>
        </is>
      </c>
      <c r="H184" s="12" t="inlineStr"/>
      <c r="I184" s="6" t="inlineStr"/>
      <c r="J184" s="7" t="n">
        <v>15</v>
      </c>
      <c r="K184" s="8">
        <f>IF(I184="","",I184*(1+J184/100))</f>
        <v/>
      </c>
      <c r="L184" s="6" t="inlineStr"/>
      <c r="M184" s="10">
        <f>IF(OR(L184="",K184="",L184=0),"",
  (L184-K184)/L184*100)</f>
        <v/>
      </c>
      <c r="N184" s="11" t="inlineStr"/>
      <c r="O184" s="12" t="inlineStr"/>
      <c r="P184" s="12" t="inlineStr"/>
      <c r="Q184" s="12" t="inlineStr">
        <is>
          <t>https://happyharvesting.co.za/wp-content/uploads/2023/11/PhotoRoom-20231111_163920.jpg, https://happyharvesting.co.za/wp-content/uploads/2023/11/PhotoRoom-20231111_163920.jpg, https://happyharvesting.co.za/wp-content/uploads/2023/11/PhotoRoom-20231111_163806.jpg</t>
        </is>
      </c>
      <c r="R184" s="12" t="inlineStr">
        <is>
          <t>2026-03-12</t>
        </is>
      </c>
      <c r="S184" s="12" t="inlineStr">
        <is>
          <t>Pre-loaded from WC export — fill in cost price</t>
        </is>
      </c>
    </row>
    <row r="185">
      <c r="A185" s="3" t="inlineStr"/>
      <c r="B185" s="4" t="inlineStr">
        <is>
          <t>1X2YK14383</t>
        </is>
      </c>
      <c r="C185" s="4" t="inlineStr">
        <is>
          <t>14383</t>
        </is>
      </c>
      <c r="D185" s="4" t="inlineStr"/>
      <c r="E185" s="5" t="inlineStr">
        <is>
          <t>Sophisticated Home Rug</t>
        </is>
      </c>
      <c r="F185" s="4" t="inlineStr"/>
      <c r="G185" s="4" t="inlineStr">
        <is>
          <t>Homeware &gt; Decor &gt; Carpets\</t>
        </is>
      </c>
      <c r="H185" s="4" t="inlineStr"/>
      <c r="I185" s="6" t="inlineStr"/>
      <c r="J185" s="7" t="n">
        <v>15</v>
      </c>
      <c r="K185" s="8">
        <f>IF(I185="","",I185*(1+J185/100))</f>
        <v/>
      </c>
      <c r="L185" s="6" t="inlineStr"/>
      <c r="M185" s="10">
        <f>IF(OR(L185="",K185="",L185=0),"",
  (L185-K185)/L185*100)</f>
        <v/>
      </c>
      <c r="N185" s="11" t="inlineStr"/>
      <c r="O185" s="4" t="inlineStr"/>
      <c r="P185" s="4" t="inlineStr"/>
      <c r="Q185" s="4" t="inlineStr">
        <is>
          <t>https://happyharvesting.co.za/wp-content/uploads/2023/11/PhotoRoom-20231111_230003.jpg, https://happyharvesting.co.za/wp-content/uploads/2023/11/PhotoRoom-20231111_230040.jpg</t>
        </is>
      </c>
      <c r="R185" s="4" t="inlineStr">
        <is>
          <t>2026-03-12</t>
        </is>
      </c>
      <c r="S185" s="4" t="inlineStr">
        <is>
          <t>Pre-loaded from WC export — fill in cost price</t>
        </is>
      </c>
    </row>
    <row r="186">
      <c r="A186" s="3" t="inlineStr"/>
      <c r="B186" s="12" t="inlineStr">
        <is>
          <t>04363A</t>
        </is>
      </c>
      <c r="C186" s="12" t="inlineStr">
        <is>
          <t>14960</t>
        </is>
      </c>
      <c r="D186" s="12" t="inlineStr"/>
      <c r="E186" s="12" t="inlineStr">
        <is>
          <t>Trend Polyester Rug</t>
        </is>
      </c>
      <c r="F186" s="12" t="inlineStr"/>
      <c r="G186" s="12" t="inlineStr">
        <is>
          <t>Homeware &gt; Decor &gt; Carpets\</t>
        </is>
      </c>
      <c r="H186" s="12" t="inlineStr"/>
      <c r="I186" s="6" t="inlineStr"/>
      <c r="J186" s="7" t="n">
        <v>15</v>
      </c>
      <c r="K186" s="8">
        <f>IF(I186="","",I186*(1+J186/100))</f>
        <v/>
      </c>
      <c r="L186" s="13" t="n">
        <v>1200</v>
      </c>
      <c r="M186" s="10">
        <f>IF(OR(L186="",K186="",L186=0),"",
  (L186-K186)/L186*100)</f>
        <v/>
      </c>
      <c r="N186" s="11" t="inlineStr"/>
      <c r="O186" s="12" t="inlineStr"/>
      <c r="P186" s="12" t="inlineStr"/>
      <c r="Q186" s="12" t="inlineStr">
        <is>
          <t>https://happyharvesting.co.za/wp-content/uploads/2023/11/PhotoRoom-20231128_115020_4.png</t>
        </is>
      </c>
      <c r="R186" s="12" t="inlineStr">
        <is>
          <t>2026-03-12</t>
        </is>
      </c>
      <c r="S186" s="12" t="inlineStr">
        <is>
          <t>Pre-loaded from WC export — fill in cost price</t>
        </is>
      </c>
    </row>
    <row r="187">
      <c r="A187" s="3" t="inlineStr"/>
      <c r="B187" s="4" t="inlineStr">
        <is>
          <t>MR207</t>
        </is>
      </c>
      <c r="C187" s="4" t="inlineStr">
        <is>
          <t>14944</t>
        </is>
      </c>
      <c r="D187" s="4" t="inlineStr"/>
      <c r="E187" s="5" t="inlineStr">
        <is>
          <t>Turkish Diva Rug</t>
        </is>
      </c>
      <c r="F187" s="4" t="inlineStr"/>
      <c r="G187" s="4" t="inlineStr">
        <is>
          <t>Homeware &gt; Decor &gt; Carpets\</t>
        </is>
      </c>
      <c r="H187" s="4" t="inlineStr"/>
      <c r="I187" s="6" t="inlineStr"/>
      <c r="J187" s="7" t="n">
        <v>15</v>
      </c>
      <c r="K187" s="8">
        <f>IF(I187="","",I187*(1+J187/100))</f>
        <v/>
      </c>
      <c r="L187" s="9" t="n">
        <v>1700</v>
      </c>
      <c r="M187" s="10">
        <f>IF(OR(L187="",K187="",L187=0),"",
  (L187-K187)/L187*100)</f>
        <v/>
      </c>
      <c r="N187" s="11" t="inlineStr"/>
      <c r="O187" s="4" t="inlineStr"/>
      <c r="P187" s="4" t="inlineStr"/>
      <c r="Q187" s="4" t="inlineStr">
        <is>
          <t>https://happyharvesting.co.za/wp-content/uploads/2023/11/PhotoRoom_002_20231121_174301.jpg</t>
        </is>
      </c>
      <c r="R187" s="4" t="inlineStr">
        <is>
          <t>2026-03-12</t>
        </is>
      </c>
      <c r="S187" s="4" t="inlineStr">
        <is>
          <t>Pre-loaded from WC export — fill in cost price</t>
        </is>
      </c>
    </row>
    <row r="188">
      <c r="A188" s="3" t="inlineStr"/>
      <c r="B188" s="12" t="inlineStr">
        <is>
          <t>2622B/2409BLK/2622R/2622P/2622G</t>
        </is>
      </c>
      <c r="C188" s="12" t="inlineStr">
        <is>
          <t>14962</t>
        </is>
      </c>
      <c r="D188" s="12" t="inlineStr"/>
      <c r="E188" s="12" t="inlineStr">
        <is>
          <t>Turkish Emporium Rug</t>
        </is>
      </c>
      <c r="F188" s="12" t="inlineStr"/>
      <c r="G188" s="12" t="inlineStr">
        <is>
          <t>Homeware &gt; Decor &gt; Carpets\</t>
        </is>
      </c>
      <c r="H188" s="12" t="inlineStr"/>
      <c r="I188" s="6" t="inlineStr"/>
      <c r="J188" s="7" t="n">
        <v>15</v>
      </c>
      <c r="K188" s="8">
        <f>IF(I188="","",I188*(1+J188/100))</f>
        <v/>
      </c>
      <c r="L188" s="6" t="inlineStr"/>
      <c r="M188" s="10">
        <f>IF(OR(L188="",K188="",L188=0),"",
  (L188-K188)/L188*100)</f>
        <v/>
      </c>
      <c r="N188" s="11" t="inlineStr"/>
      <c r="O188" s="12" t="inlineStr"/>
      <c r="P188" s="12" t="inlineStr"/>
      <c r="Q188" s="12" t="inlineStr">
        <is>
          <t>https://happyharvesting.co.za/wp-content/uploads/2023/11/PhotoRoom-20231128_134702_6.png, https://happyharvesting.co.za/wp-content/uploads/2023/11/PhotoRoom-20231128_143016_9-1.png, https://happyharvesting.co.za/wp-content/uploads/2023/11/PhotoRoom-20231128_143016_7.png, https://happyharvesting.co.za/wp-content/uploads/2023/11/PhotoRoom-20231128_134702_6.png, https://happyharvesting.co.za/wp-content/uploads/2023/11/PhotoRoom-20231128_134701_3.png, https://happyharvesting.co.za/wp-content/uploads/2023/11/PhotoRoom_005_20231121_174301-1.jpg</t>
        </is>
      </c>
      <c r="R188" s="12" t="inlineStr">
        <is>
          <t>2026-03-12</t>
        </is>
      </c>
      <c r="S188" s="12" t="inlineStr">
        <is>
          <t>Pre-loaded from WC export — fill in cost price</t>
        </is>
      </c>
    </row>
    <row r="189">
      <c r="A189" s="3" t="inlineStr"/>
      <c r="B189" s="4" t="inlineStr">
        <is>
          <t>BBU</t>
        </is>
      </c>
      <c r="C189" s="4" t="inlineStr">
        <is>
          <t>15790</t>
        </is>
      </c>
      <c r="D189" s="4" t="inlineStr"/>
      <c r="E189" s="5" t="inlineStr">
        <is>
          <t>Ultimate Braai Set Utensils</t>
        </is>
      </c>
      <c r="F189" s="4" t="inlineStr"/>
      <c r="G189" s="4" t="inlineStr">
        <is>
          <t>Homeware &gt; Dining &gt; Cutlery</t>
        </is>
      </c>
      <c r="H189" s="4" t="inlineStr"/>
      <c r="I189" s="6" t="inlineStr"/>
      <c r="J189" s="7" t="n">
        <v>15</v>
      </c>
      <c r="K189" s="8">
        <f>IF(I189="","",I189*(1+J189/100))</f>
        <v/>
      </c>
      <c r="L189" s="9" t="n">
        <v>250</v>
      </c>
      <c r="M189" s="10">
        <f>IF(OR(L189="",K189="",L189=0),"",
  (L189-K189)/L189*100)</f>
        <v/>
      </c>
      <c r="N189" s="11" t="inlineStr"/>
      <c r="O189" s="4" t="inlineStr"/>
      <c r="P189" s="4" t="inlineStr"/>
      <c r="Q189" s="4" t="inlineStr">
        <is>
          <t>https://happyharvesting.co.za/wp-content/uploads/2023/12/WhatsApp-Image-2023-12-13-at-5.42.36-PM.jpeg, https://happyharvesting.co.za/wp-content/uploads/2023/12/WhatsApp-Image-2023-12-13-at-5.42.35-PM.jpeg, https://happyharvesting.co.za/wp-content/uploads/2023/12/WhatsApp-Image-2023-12-13-at-5.42.35-PM-2.jpeg, https://happyharvesting.co.za/wp-content/uploads/2023/12/WhatsApp-Image-2023-12-13-at-5.42.36-PM.jpeg</t>
        </is>
      </c>
      <c r="R189" s="4" t="inlineStr">
        <is>
          <t>2026-03-12</t>
        </is>
      </c>
      <c r="S189" s="4" t="inlineStr">
        <is>
          <t>Pre-loaded from WC export — fill in cost price</t>
        </is>
      </c>
    </row>
    <row r="190">
      <c r="A190" s="3" t="inlineStr"/>
      <c r="B190" s="12" t="inlineStr">
        <is>
          <t>F00201-BLACK</t>
        </is>
      </c>
      <c r="C190" s="12" t="inlineStr">
        <is>
          <t>32188</t>
        </is>
      </c>
      <c r="D190" s="12" t="inlineStr"/>
      <c r="E190" s="12" t="inlineStr">
        <is>
          <t>Table Mat (perforated) Black</t>
        </is>
      </c>
      <c r="F190" s="12" t="inlineStr"/>
      <c r="G190" s="12" t="inlineStr">
        <is>
          <t>Homeware &gt; Kitchenware</t>
        </is>
      </c>
      <c r="H190" s="12" t="inlineStr"/>
      <c r="I190" s="6" t="inlineStr"/>
      <c r="J190" s="7" t="n">
        <v>15</v>
      </c>
      <c r="K190" s="8">
        <f>IF(I190="","",I190*(1+J190/100))</f>
        <v/>
      </c>
      <c r="L190" s="13" t="n">
        <v>85.95</v>
      </c>
      <c r="M190" s="10">
        <f>IF(OR(L190="",K190="",L190=0),"",
  (L190-K190)/L190*100)</f>
        <v/>
      </c>
      <c r="N190" s="11" t="inlineStr"/>
      <c r="O190" s="12" t="inlineStr"/>
      <c r="P190" s="12" t="inlineStr"/>
      <c r="Q190" s="12" t="inlineStr">
        <is>
          <t>https://happyharvesting.co.za/wp-content/uploads/2025/04/Untitled-design-16.png</t>
        </is>
      </c>
      <c r="R190" s="12" t="inlineStr">
        <is>
          <t>2026-03-12</t>
        </is>
      </c>
      <c r="S190" s="12" t="inlineStr">
        <is>
          <t>Pre-loaded from WC export — fill in cost price</t>
        </is>
      </c>
    </row>
    <row r="191">
      <c r="A191" s="3" t="inlineStr"/>
      <c r="B191" s="4" t="inlineStr">
        <is>
          <t>F00201- SILVER</t>
        </is>
      </c>
      <c r="C191" s="4" t="inlineStr">
        <is>
          <t>32186</t>
        </is>
      </c>
      <c r="D191" s="4" t="inlineStr"/>
      <c r="E191" s="5" t="inlineStr">
        <is>
          <t>Table Mat (perforated) Silver</t>
        </is>
      </c>
      <c r="F191" s="4" t="inlineStr"/>
      <c r="G191" s="4" t="inlineStr">
        <is>
          <t>Homeware &gt; Kitchenware</t>
        </is>
      </c>
      <c r="H191" s="4" t="inlineStr"/>
      <c r="I191" s="6" t="inlineStr"/>
      <c r="J191" s="7" t="n">
        <v>15</v>
      </c>
      <c r="K191" s="8">
        <f>IF(I191="","",I191*(1+J191/100))</f>
        <v/>
      </c>
      <c r="L191" s="9" t="n">
        <v>85.95</v>
      </c>
      <c r="M191" s="10">
        <f>IF(OR(L191="",K191="",L191=0),"",
  (L191-K191)/L191*100)</f>
        <v/>
      </c>
      <c r="N191" s="11" t="inlineStr"/>
      <c r="O191" s="4" t="inlineStr"/>
      <c r="P191" s="4" t="inlineStr"/>
      <c r="Q191" s="4" t="inlineStr">
        <is>
          <t>https://happyharvesting.co.za/wp-content/uploads/2025/04/Untitled-design-16.png</t>
        </is>
      </c>
      <c r="R191" s="4" t="inlineStr">
        <is>
          <t>2026-03-12</t>
        </is>
      </c>
      <c r="S191" s="4" t="inlineStr">
        <is>
          <t>Pre-loaded from WC export — fill in cost price</t>
        </is>
      </c>
    </row>
    <row r="192">
      <c r="A192" s="3" t="inlineStr"/>
      <c r="B192" s="12" t="inlineStr">
        <is>
          <t>F00201-WHITE</t>
        </is>
      </c>
      <c r="C192" s="12" t="inlineStr">
        <is>
          <t>32191</t>
        </is>
      </c>
      <c r="D192" s="12" t="inlineStr"/>
      <c r="E192" s="12" t="inlineStr">
        <is>
          <t>Table Mat (perforated) White</t>
        </is>
      </c>
      <c r="F192" s="12" t="inlineStr"/>
      <c r="G192" s="12" t="inlineStr">
        <is>
          <t>Homeware &gt; Kitchenware</t>
        </is>
      </c>
      <c r="H192" s="12" t="inlineStr"/>
      <c r="I192" s="6" t="inlineStr"/>
      <c r="J192" s="7" t="n">
        <v>15</v>
      </c>
      <c r="K192" s="8">
        <f>IF(I192="","",I192*(1+J192/100))</f>
        <v/>
      </c>
      <c r="L192" s="13" t="n">
        <v>85.95</v>
      </c>
      <c r="M192" s="10">
        <f>IF(OR(L192="",K192="",L192=0),"",
  (L192-K192)/L192*100)</f>
        <v/>
      </c>
      <c r="N192" s="11" t="inlineStr"/>
      <c r="O192" s="12" t="inlineStr"/>
      <c r="P192" s="12" t="inlineStr"/>
      <c r="Q192" s="12" t="inlineStr">
        <is>
          <t>https://happyharvesting.co.za/wp-content/uploads/2025/04/Untitled-design-16.png</t>
        </is>
      </c>
      <c r="R192" s="12" t="inlineStr">
        <is>
          <t>2026-03-12</t>
        </is>
      </c>
      <c r="S192" s="12" t="inlineStr">
        <is>
          <t>Pre-loaded from WC export — fill in cost price</t>
        </is>
      </c>
    </row>
    <row r="193">
      <c r="A193" s="3" t="inlineStr"/>
      <c r="B193" s="4" t="inlineStr">
        <is>
          <t>2SX5H21416-1-1-1</t>
        </is>
      </c>
      <c r="C193" s="4" t="inlineStr">
        <is>
          <t>21427</t>
        </is>
      </c>
      <c r="D193" s="4" t="inlineStr"/>
      <c r="E193" s="5" t="inlineStr">
        <is>
          <t>Head Edge Ultimate</t>
        </is>
      </c>
      <c r="F193" s="4" t="inlineStr"/>
      <c r="G193" s="4" t="inlineStr">
        <is>
          <t>Lifestyle &amp; Everyday Essentials</t>
        </is>
      </c>
      <c r="H193" s="4" t="inlineStr"/>
      <c r="I193" s="6" t="inlineStr"/>
      <c r="J193" s="7" t="n">
        <v>15</v>
      </c>
      <c r="K193" s="8">
        <f>IF(I193="","",I193*(1+J193/100))</f>
        <v/>
      </c>
      <c r="L193" s="9" t="n">
        <v>1900</v>
      </c>
      <c r="M193" s="10">
        <f>IF(OR(L193="",K193="",L193=0),"",
  (L193-K193)/L193*100)</f>
        <v/>
      </c>
      <c r="N193" s="11" t="inlineStr"/>
      <c r="O193" s="4" t="inlineStr"/>
      <c r="P193" s="4" t="inlineStr"/>
      <c r="Q193" s="4" t="inlineStr">
        <is>
          <t>https://happyharvesting.co.za/wp-content/uploads/2024/07/IMG_3087.jpeg</t>
        </is>
      </c>
      <c r="R193" s="4" t="inlineStr">
        <is>
          <t>2026-03-12</t>
        </is>
      </c>
      <c r="S193" s="4" t="inlineStr">
        <is>
          <t>Pre-loaded from WC export — fill in cost price</t>
        </is>
      </c>
    </row>
    <row r="194">
      <c r="A194" s="3" t="inlineStr"/>
      <c r="B194" s="12" t="inlineStr">
        <is>
          <t>FSG/GSG</t>
        </is>
      </c>
      <c r="C194" s="12" t="inlineStr">
        <is>
          <t>15679</t>
        </is>
      </c>
      <c r="D194" s="12" t="inlineStr"/>
      <c r="E194" s="12" t="inlineStr">
        <is>
          <t>Santa Material Mask Glasses</t>
        </is>
      </c>
      <c r="F194" s="12" t="inlineStr"/>
      <c r="G194" s="12" t="inlineStr">
        <is>
          <t>Lifestyle &amp; Everyday Essentials &gt; Christmas &gt; Festive Decor</t>
        </is>
      </c>
      <c r="H194" s="12" t="inlineStr"/>
      <c r="I194" s="6" t="inlineStr"/>
      <c r="J194" s="7" t="n">
        <v>15</v>
      </c>
      <c r="K194" s="8">
        <f>IF(I194="","",I194*(1+J194/100))</f>
        <v/>
      </c>
      <c r="L194" s="6" t="inlineStr"/>
      <c r="M194" s="10">
        <f>IF(OR(L194="",K194="",L194=0),"",
  (L194-K194)/L194*100)</f>
        <v/>
      </c>
      <c r="N194" s="11" t="inlineStr"/>
      <c r="O194" s="12" t="inlineStr"/>
      <c r="P194" s="12" t="inlineStr"/>
      <c r="Q194" s="12" t="inlineStr">
        <is>
          <t>https://happyharvesting.co.za/wp-content/uploads/2023/12/Photo-2023-12-08-23-54-56.jpg, https://happyharvesting.co.za/wp-content/uploads/2023/12/Photo-2023-12-08-23-54-52.jpg, https://happyharvesting.co.za/wp-content/uploads/2023/12/Photo-2023-12-08-23-54-56.jpg</t>
        </is>
      </c>
      <c r="R194" s="12" t="inlineStr">
        <is>
          <t>2026-03-12</t>
        </is>
      </c>
      <c r="S194" s="12" t="inlineStr">
        <is>
          <t>Pre-loaded from WC export — fill in cost price</t>
        </is>
      </c>
    </row>
    <row r="195">
      <c r="A195" s="3" t="inlineStr"/>
      <c r="B195" s="4" t="inlineStr">
        <is>
          <t>DGVYF13426</t>
        </is>
      </c>
      <c r="C195" s="4" t="inlineStr">
        <is>
          <t>13426</t>
        </is>
      </c>
      <c r="D195" s="4" t="inlineStr"/>
      <c r="E195" s="5" t="inlineStr">
        <is>
          <t>Cream Shrug with Buttons</t>
        </is>
      </c>
      <c r="F195" s="4" t="inlineStr"/>
      <c r="G195" s="4" t="inlineStr">
        <is>
          <t>Lifestyle &amp; Everyday Essentials &gt; Fashion</t>
        </is>
      </c>
      <c r="H195" s="4" t="inlineStr"/>
      <c r="I195" s="6" t="inlineStr"/>
      <c r="J195" s="7" t="n">
        <v>15</v>
      </c>
      <c r="K195" s="8">
        <f>IF(I195="","",I195*(1+J195/100))</f>
        <v/>
      </c>
      <c r="L195" s="9" t="n">
        <v>800</v>
      </c>
      <c r="M195" s="10">
        <f>IF(OR(L195="",K195="",L195=0),"",
  (L195-K195)/L195*100)</f>
        <v/>
      </c>
      <c r="N195" s="11" t="inlineStr"/>
      <c r="O195" s="4" t="inlineStr"/>
      <c r="P195" s="4" t="inlineStr"/>
      <c r="Q195" s="4" t="inlineStr">
        <is>
          <t>https://happyharvesting.co.za/wp-content/uploads/2023/09/WhatsApp-Image-2023-09-01-at-22.40.05.jpeg, https://happyharvesting.co.za/wp-content/uploads/2023/09/WhatsApp-Image-2023-09-01-at-22.40.06.jpeg, https://happyharvesting.co.za/wp-content/uploads/2023/09/WhatsApp-Image-2023-09-01-at-22.40.06-1.jpeg</t>
        </is>
      </c>
      <c r="R195" s="4" t="inlineStr">
        <is>
          <t>2026-03-12</t>
        </is>
      </c>
      <c r="S195" s="4" t="inlineStr">
        <is>
          <t>Pre-loaded from WC export — fill in cost price</t>
        </is>
      </c>
    </row>
    <row r="196">
      <c r="A196" s="3" t="n"/>
      <c r="B196" s="4" t="n"/>
      <c r="C196" s="4" t="n"/>
      <c r="D196" s="4" t="n"/>
      <c r="E196" s="3" t="n"/>
      <c r="F196" s="4" t="n"/>
      <c r="G196" s="4" t="n"/>
      <c r="H196" s="4" t="n"/>
      <c r="I196" s="3" t="n"/>
      <c r="J196" s="7" t="n">
        <v>15</v>
      </c>
      <c r="K196" s="8">
        <f>IF(I196="","",I196*(1+J196/100))</f>
        <v/>
      </c>
      <c r="L196" s="3" t="n"/>
      <c r="M196" s="10">
        <f>IF(OR(L196="",K196="",L196=0),"",
  (L196-K196)/L196*100)</f>
        <v/>
      </c>
      <c r="N196" s="3" t="n"/>
      <c r="O196" s="4" t="n"/>
      <c r="P196" s="4" t="n"/>
      <c r="Q196" s="4" t="n"/>
      <c r="R196" s="4" t="n"/>
      <c r="S196" s="4" t="n"/>
    </row>
    <row r="197">
      <c r="A197" s="3" t="n"/>
      <c r="B197" s="12" t="n"/>
      <c r="C197" s="12" t="n"/>
      <c r="D197" s="12" t="n"/>
      <c r="E197" s="3" t="n"/>
      <c r="F197" s="12" t="n"/>
      <c r="G197" s="12" t="n"/>
      <c r="H197" s="12" t="n"/>
      <c r="I197" s="3" t="n"/>
      <c r="J197" s="7" t="n">
        <v>15</v>
      </c>
      <c r="K197" s="8">
        <f>IF(I197="","",I197*(1+J197/100))</f>
        <v/>
      </c>
      <c r="L197" s="3" t="n"/>
      <c r="M197" s="10">
        <f>IF(OR(L197="",K197="",L197=0),"",
  (L197-K197)/L197*100)</f>
        <v/>
      </c>
      <c r="N197" s="3" t="n"/>
      <c r="O197" s="12" t="n"/>
      <c r="P197" s="12" t="n"/>
      <c r="Q197" s="12" t="n"/>
      <c r="R197" s="12" t="n"/>
      <c r="S197" s="12" t="n"/>
    </row>
    <row r="198">
      <c r="A198" s="3" t="n"/>
      <c r="B198" s="4" t="n"/>
      <c r="C198" s="4" t="n"/>
      <c r="D198" s="4" t="n"/>
      <c r="E198" s="3" t="n"/>
      <c r="F198" s="4" t="n"/>
      <c r="G198" s="4" t="n"/>
      <c r="H198" s="4" t="n"/>
      <c r="I198" s="3" t="n"/>
      <c r="J198" s="7" t="n">
        <v>15</v>
      </c>
      <c r="K198" s="8">
        <f>IF(I198="","",I198*(1+J198/100))</f>
        <v/>
      </c>
      <c r="L198" s="3" t="n"/>
      <c r="M198" s="10">
        <f>IF(OR(L198="",K198="",L198=0),"",
  (L198-K198)/L198*100)</f>
        <v/>
      </c>
      <c r="N198" s="3" t="n"/>
      <c r="O198" s="4" t="n"/>
      <c r="P198" s="4" t="n"/>
      <c r="Q198" s="4" t="n"/>
      <c r="R198" s="4" t="n"/>
      <c r="S198" s="4" t="n"/>
    </row>
    <row r="199">
      <c r="A199" s="3" t="n"/>
      <c r="B199" s="12" t="n"/>
      <c r="C199" s="12" t="n"/>
      <c r="D199" s="12" t="n"/>
      <c r="E199" s="3" t="n"/>
      <c r="F199" s="12" t="n"/>
      <c r="G199" s="12" t="n"/>
      <c r="H199" s="12" t="n"/>
      <c r="I199" s="3" t="n"/>
      <c r="J199" s="7" t="n">
        <v>15</v>
      </c>
      <c r="K199" s="8">
        <f>IF(I199="","",I199*(1+J199/100))</f>
        <v/>
      </c>
      <c r="L199" s="3" t="n"/>
      <c r="M199" s="10">
        <f>IF(OR(L199="",K199="",L199=0),"",
  (L199-K199)/L199*100)</f>
        <v/>
      </c>
      <c r="N199" s="3" t="n"/>
      <c r="O199" s="12" t="n"/>
      <c r="P199" s="12" t="n"/>
      <c r="Q199" s="12" t="n"/>
      <c r="R199" s="12" t="n"/>
      <c r="S199" s="12" t="n"/>
    </row>
    <row r="200">
      <c r="A200" s="3" t="n"/>
      <c r="B200" s="4" t="n"/>
      <c r="C200" s="4" t="n"/>
      <c r="D200" s="4" t="n"/>
      <c r="E200" s="3" t="n"/>
      <c r="F200" s="4" t="n"/>
      <c r="G200" s="4" t="n"/>
      <c r="H200" s="4" t="n"/>
      <c r="I200" s="3" t="n"/>
      <c r="J200" s="7" t="n">
        <v>15</v>
      </c>
      <c r="K200" s="8">
        <f>IF(I200="","",I200*(1+J200/100))</f>
        <v/>
      </c>
      <c r="L200" s="3" t="n"/>
      <c r="M200" s="10">
        <f>IF(OR(L200="",K200="",L200=0),"",
  (L200-K200)/L200*100)</f>
        <v/>
      </c>
      <c r="N200" s="3" t="n"/>
      <c r="O200" s="4" t="n"/>
      <c r="P200" s="4" t="n"/>
      <c r="Q200" s="4" t="n"/>
      <c r="R200" s="4" t="n"/>
      <c r="S200" s="4" t="n"/>
    </row>
    <row r="201">
      <c r="A201" s="3" t="n"/>
      <c r="B201" s="12" t="n"/>
      <c r="C201" s="12" t="n"/>
      <c r="D201" s="12" t="n"/>
      <c r="E201" s="3" t="n"/>
      <c r="F201" s="12" t="n"/>
      <c r="G201" s="12" t="n"/>
      <c r="H201" s="12" t="n"/>
      <c r="I201" s="3" t="n"/>
      <c r="J201" s="7" t="n">
        <v>15</v>
      </c>
      <c r="K201" s="8">
        <f>IF(I201="","",I201*(1+J201/100))</f>
        <v/>
      </c>
      <c r="L201" s="3" t="n"/>
      <c r="M201" s="10">
        <f>IF(OR(L201="",K201="",L201=0),"",
  (L201-K201)/L201*100)</f>
        <v/>
      </c>
      <c r="N201" s="3" t="n"/>
      <c r="O201" s="12" t="n"/>
      <c r="P201" s="12" t="n"/>
      <c r="Q201" s="12" t="n"/>
      <c r="R201" s="12" t="n"/>
      <c r="S201" s="12" t="n"/>
    </row>
    <row r="202">
      <c r="A202" s="3" t="n"/>
      <c r="B202" s="4" t="n"/>
      <c r="C202" s="4" t="n"/>
      <c r="D202" s="4" t="n"/>
      <c r="E202" s="3" t="n"/>
      <c r="F202" s="4" t="n"/>
      <c r="G202" s="4" t="n"/>
      <c r="H202" s="4" t="n"/>
      <c r="I202" s="3" t="n"/>
      <c r="J202" s="7" t="n">
        <v>15</v>
      </c>
      <c r="K202" s="8">
        <f>IF(I202="","",I202*(1+J202/100))</f>
        <v/>
      </c>
      <c r="L202" s="3" t="n"/>
      <c r="M202" s="10">
        <f>IF(OR(L202="",K202="",L202=0),"",
  (L202-K202)/L202*100)</f>
        <v/>
      </c>
      <c r="N202" s="3" t="n"/>
      <c r="O202" s="4" t="n"/>
      <c r="P202" s="4" t="n"/>
      <c r="Q202" s="4" t="n"/>
      <c r="R202" s="4" t="n"/>
      <c r="S202" s="4" t="n"/>
    </row>
    <row r="203">
      <c r="A203" s="3" t="n"/>
      <c r="B203" s="12" t="n"/>
      <c r="C203" s="12" t="n"/>
      <c r="D203" s="12" t="n"/>
      <c r="E203" s="3" t="n"/>
      <c r="F203" s="12" t="n"/>
      <c r="G203" s="12" t="n"/>
      <c r="H203" s="12" t="n"/>
      <c r="I203" s="3" t="n"/>
      <c r="J203" s="7" t="n">
        <v>15</v>
      </c>
      <c r="K203" s="8">
        <f>IF(I203="","",I203*(1+J203/100))</f>
        <v/>
      </c>
      <c r="L203" s="3" t="n"/>
      <c r="M203" s="10">
        <f>IF(OR(L203="",K203="",L203=0),"",
  (L203-K203)/L203*100)</f>
        <v/>
      </c>
      <c r="N203" s="3" t="n"/>
      <c r="O203" s="12" t="n"/>
      <c r="P203" s="12" t="n"/>
      <c r="Q203" s="12" t="n"/>
      <c r="R203" s="12" t="n"/>
      <c r="S203" s="12" t="n"/>
    </row>
    <row r="204">
      <c r="A204" s="3" t="n"/>
      <c r="B204" s="4" t="n"/>
      <c r="C204" s="4" t="n"/>
      <c r="D204" s="4" t="n"/>
      <c r="E204" s="3" t="n"/>
      <c r="F204" s="4" t="n"/>
      <c r="G204" s="4" t="n"/>
      <c r="H204" s="4" t="n"/>
      <c r="I204" s="3" t="n"/>
      <c r="J204" s="7" t="n">
        <v>15</v>
      </c>
      <c r="K204" s="8">
        <f>IF(I204="","",I204*(1+J204/100))</f>
        <v/>
      </c>
      <c r="L204" s="3" t="n"/>
      <c r="M204" s="10">
        <f>IF(OR(L204="",K204="",L204=0),"",
  (L204-K204)/L204*100)</f>
        <v/>
      </c>
      <c r="N204" s="3" t="n"/>
      <c r="O204" s="4" t="n"/>
      <c r="P204" s="4" t="n"/>
      <c r="Q204" s="4" t="n"/>
      <c r="R204" s="4" t="n"/>
      <c r="S204" s="4" t="n"/>
    </row>
    <row r="205">
      <c r="A205" s="3" t="n"/>
      <c r="B205" s="12" t="n"/>
      <c r="C205" s="12" t="n"/>
      <c r="D205" s="12" t="n"/>
      <c r="E205" s="3" t="n"/>
      <c r="F205" s="12" t="n"/>
      <c r="G205" s="12" t="n"/>
      <c r="H205" s="12" t="n"/>
      <c r="I205" s="3" t="n"/>
      <c r="J205" s="7" t="n">
        <v>15</v>
      </c>
      <c r="K205" s="8">
        <f>IF(I205="","",I205*(1+J205/100))</f>
        <v/>
      </c>
      <c r="L205" s="3" t="n"/>
      <c r="M205" s="10">
        <f>IF(OR(L205="",K205="",L205=0),"",
  (L205-K205)/L205*100)</f>
        <v/>
      </c>
      <c r="N205" s="3" t="n"/>
      <c r="O205" s="12" t="n"/>
      <c r="P205" s="12" t="n"/>
      <c r="Q205" s="12" t="n"/>
      <c r="R205" s="12" t="n"/>
      <c r="S205" s="12" t="n"/>
    </row>
    <row r="206">
      <c r="A206" s="3" t="n"/>
      <c r="B206" s="4" t="n"/>
      <c r="C206" s="4" t="n"/>
      <c r="D206" s="4" t="n"/>
      <c r="E206" s="3" t="n"/>
      <c r="F206" s="4" t="n"/>
      <c r="G206" s="4" t="n"/>
      <c r="H206" s="4" t="n"/>
      <c r="I206" s="3" t="n"/>
      <c r="J206" s="7" t="n">
        <v>15</v>
      </c>
      <c r="K206" s="8">
        <f>IF(I206="","",I206*(1+J206/100))</f>
        <v/>
      </c>
      <c r="L206" s="3" t="n"/>
      <c r="M206" s="10">
        <f>IF(OR(L206="",K206="",L206=0),"",
  (L206-K206)/L206*100)</f>
        <v/>
      </c>
      <c r="N206" s="3" t="n"/>
      <c r="O206" s="4" t="n"/>
      <c r="P206" s="4" t="n"/>
      <c r="Q206" s="4" t="n"/>
      <c r="R206" s="4" t="n"/>
      <c r="S206" s="4" t="n"/>
    </row>
    <row r="207">
      <c r="A207" s="3" t="n"/>
      <c r="B207" s="12" t="n"/>
      <c r="C207" s="12" t="n"/>
      <c r="D207" s="12" t="n"/>
      <c r="E207" s="3" t="n"/>
      <c r="F207" s="12" t="n"/>
      <c r="G207" s="12" t="n"/>
      <c r="H207" s="12" t="n"/>
      <c r="I207" s="3" t="n"/>
      <c r="J207" s="7" t="n">
        <v>15</v>
      </c>
      <c r="K207" s="8">
        <f>IF(I207="","",I207*(1+J207/100))</f>
        <v/>
      </c>
      <c r="L207" s="3" t="n"/>
      <c r="M207" s="10">
        <f>IF(OR(L207="",K207="",L207=0),"",
  (L207-K207)/L207*100)</f>
        <v/>
      </c>
      <c r="N207" s="3" t="n"/>
      <c r="O207" s="12" t="n"/>
      <c r="P207" s="12" t="n"/>
      <c r="Q207" s="12" t="n"/>
      <c r="R207" s="12" t="n"/>
      <c r="S207" s="12" t="n"/>
    </row>
    <row r="208">
      <c r="A208" s="3" t="n"/>
      <c r="B208" s="4" t="n"/>
      <c r="C208" s="4" t="n"/>
      <c r="D208" s="4" t="n"/>
      <c r="E208" s="3" t="n"/>
      <c r="F208" s="4" t="n"/>
      <c r="G208" s="4" t="n"/>
      <c r="H208" s="4" t="n"/>
      <c r="I208" s="3" t="n"/>
      <c r="J208" s="7" t="n">
        <v>15</v>
      </c>
      <c r="K208" s="8">
        <f>IF(I208="","",I208*(1+J208/100))</f>
        <v/>
      </c>
      <c r="L208" s="3" t="n"/>
      <c r="M208" s="10">
        <f>IF(OR(L208="",K208="",L208=0),"",
  (L208-K208)/L208*100)</f>
        <v/>
      </c>
      <c r="N208" s="3" t="n"/>
      <c r="O208" s="4" t="n"/>
      <c r="P208" s="4" t="n"/>
      <c r="Q208" s="4" t="n"/>
      <c r="R208" s="4" t="n"/>
      <c r="S208" s="4" t="n"/>
    </row>
    <row r="209">
      <c r="A209" s="3" t="n"/>
      <c r="B209" s="12" t="n"/>
      <c r="C209" s="12" t="n"/>
      <c r="D209" s="12" t="n"/>
      <c r="E209" s="3" t="n"/>
      <c r="F209" s="12" t="n"/>
      <c r="G209" s="12" t="n"/>
      <c r="H209" s="12" t="n"/>
      <c r="I209" s="3" t="n"/>
      <c r="J209" s="7" t="n">
        <v>15</v>
      </c>
      <c r="K209" s="8">
        <f>IF(I209="","",I209*(1+J209/100))</f>
        <v/>
      </c>
      <c r="L209" s="3" t="n"/>
      <c r="M209" s="10">
        <f>IF(OR(L209="",K209="",L209=0),"",
  (L209-K209)/L209*100)</f>
        <v/>
      </c>
      <c r="N209" s="3" t="n"/>
      <c r="O209" s="12" t="n"/>
      <c r="P209" s="12" t="n"/>
      <c r="Q209" s="12" t="n"/>
      <c r="R209" s="12" t="n"/>
      <c r="S209" s="12" t="n"/>
    </row>
    <row r="210">
      <c r="A210" s="3" t="n"/>
      <c r="B210" s="4" t="n"/>
      <c r="C210" s="4" t="n"/>
      <c r="D210" s="4" t="n"/>
      <c r="E210" s="3" t="n"/>
      <c r="F210" s="4" t="n"/>
      <c r="G210" s="4" t="n"/>
      <c r="H210" s="4" t="n"/>
      <c r="I210" s="3" t="n"/>
      <c r="J210" s="7" t="n">
        <v>15</v>
      </c>
      <c r="K210" s="8">
        <f>IF(I210="","",I210*(1+J210/100))</f>
        <v/>
      </c>
      <c r="L210" s="3" t="n"/>
      <c r="M210" s="10">
        <f>IF(OR(L210="",K210="",L210=0),"",
  (L210-K210)/L210*100)</f>
        <v/>
      </c>
      <c r="N210" s="3" t="n"/>
      <c r="O210" s="4" t="n"/>
      <c r="P210" s="4" t="n"/>
      <c r="Q210" s="4" t="n"/>
      <c r="R210" s="4" t="n"/>
      <c r="S210" s="4" t="n"/>
    </row>
    <row r="211">
      <c r="A211" s="3" t="n"/>
      <c r="B211" s="12" t="n"/>
      <c r="C211" s="12" t="n"/>
      <c r="D211" s="12" t="n"/>
      <c r="E211" s="3" t="n"/>
      <c r="F211" s="12" t="n"/>
      <c r="G211" s="12" t="n"/>
      <c r="H211" s="12" t="n"/>
      <c r="I211" s="3" t="n"/>
      <c r="J211" s="7" t="n">
        <v>15</v>
      </c>
      <c r="K211" s="8">
        <f>IF(I211="","",I211*(1+J211/100))</f>
        <v/>
      </c>
      <c r="L211" s="3" t="n"/>
      <c r="M211" s="10">
        <f>IF(OR(L211="",K211="",L211=0),"",
  (L211-K211)/L211*100)</f>
        <v/>
      </c>
      <c r="N211" s="3" t="n"/>
      <c r="O211" s="12" t="n"/>
      <c r="P211" s="12" t="n"/>
      <c r="Q211" s="12" t="n"/>
      <c r="R211" s="12" t="n"/>
      <c r="S211" s="12" t="n"/>
    </row>
    <row r="212">
      <c r="A212" s="3" t="n"/>
      <c r="B212" s="4" t="n"/>
      <c r="C212" s="4" t="n"/>
      <c r="D212" s="4" t="n"/>
      <c r="E212" s="3" t="n"/>
      <c r="F212" s="4" t="n"/>
      <c r="G212" s="4" t="n"/>
      <c r="H212" s="4" t="n"/>
      <c r="I212" s="3" t="n"/>
      <c r="J212" s="7" t="n">
        <v>15</v>
      </c>
      <c r="K212" s="8">
        <f>IF(I212="","",I212*(1+J212/100))</f>
        <v/>
      </c>
      <c r="L212" s="3" t="n"/>
      <c r="M212" s="10">
        <f>IF(OR(L212="",K212="",L212=0),"",
  (L212-K212)/L212*100)</f>
        <v/>
      </c>
      <c r="N212" s="3" t="n"/>
      <c r="O212" s="4" t="n"/>
      <c r="P212" s="4" t="n"/>
      <c r="Q212" s="4" t="n"/>
      <c r="R212" s="4" t="n"/>
      <c r="S212" s="4" t="n"/>
    </row>
    <row r="213">
      <c r="A213" s="3" t="n"/>
      <c r="B213" s="12" t="n"/>
      <c r="C213" s="12" t="n"/>
      <c r="D213" s="12" t="n"/>
      <c r="E213" s="3" t="n"/>
      <c r="F213" s="12" t="n"/>
      <c r="G213" s="12" t="n"/>
      <c r="H213" s="12" t="n"/>
      <c r="I213" s="3" t="n"/>
      <c r="J213" s="7" t="n">
        <v>15</v>
      </c>
      <c r="K213" s="8">
        <f>IF(I213="","",I213*(1+J213/100))</f>
        <v/>
      </c>
      <c r="L213" s="3" t="n"/>
      <c r="M213" s="10">
        <f>IF(OR(L213="",K213="",L213=0),"",
  (L213-K213)/L213*100)</f>
        <v/>
      </c>
      <c r="N213" s="3" t="n"/>
      <c r="O213" s="12" t="n"/>
      <c r="P213" s="12" t="n"/>
      <c r="Q213" s="12" t="n"/>
      <c r="R213" s="12" t="n"/>
      <c r="S213" s="12" t="n"/>
    </row>
    <row r="214">
      <c r="A214" s="3" t="n"/>
      <c r="B214" s="4" t="n"/>
      <c r="C214" s="4" t="n"/>
      <c r="D214" s="4" t="n"/>
      <c r="E214" s="3" t="n"/>
      <c r="F214" s="4" t="n"/>
      <c r="G214" s="4" t="n"/>
      <c r="H214" s="4" t="n"/>
      <c r="I214" s="3" t="n"/>
      <c r="J214" s="7" t="n">
        <v>15</v>
      </c>
      <c r="K214" s="8">
        <f>IF(I214="","",I214*(1+J214/100))</f>
        <v/>
      </c>
      <c r="L214" s="3" t="n"/>
      <c r="M214" s="10">
        <f>IF(OR(L214="",K214="",L214=0),"",
  (L214-K214)/L214*100)</f>
        <v/>
      </c>
      <c r="N214" s="3" t="n"/>
      <c r="O214" s="4" t="n"/>
      <c r="P214" s="4" t="n"/>
      <c r="Q214" s="4" t="n"/>
      <c r="R214" s="4" t="n"/>
      <c r="S214" s="4" t="n"/>
    </row>
    <row r="215">
      <c r="A215" s="3" t="n"/>
      <c r="B215" s="12" t="n"/>
      <c r="C215" s="12" t="n"/>
      <c r="D215" s="12" t="n"/>
      <c r="E215" s="3" t="n"/>
      <c r="F215" s="12" t="n"/>
      <c r="G215" s="12" t="n"/>
      <c r="H215" s="12" t="n"/>
      <c r="I215" s="3" t="n"/>
      <c r="J215" s="7" t="n">
        <v>15</v>
      </c>
      <c r="K215" s="8">
        <f>IF(I215="","",I215*(1+J215/100))</f>
        <v/>
      </c>
      <c r="L215" s="3" t="n"/>
      <c r="M215" s="10">
        <f>IF(OR(L215="",K215="",L215=0),"",
  (L215-K215)/L215*100)</f>
        <v/>
      </c>
      <c r="N215" s="3" t="n"/>
      <c r="O215" s="12" t="n"/>
      <c r="P215" s="12" t="n"/>
      <c r="Q215" s="12" t="n"/>
      <c r="R215" s="12" t="n"/>
      <c r="S215" s="12" t="n"/>
    </row>
    <row r="216">
      <c r="A216" s="3" t="n"/>
      <c r="B216" s="4" t="n"/>
      <c r="C216" s="4" t="n"/>
      <c r="D216" s="4" t="n"/>
      <c r="E216" s="3" t="n"/>
      <c r="F216" s="4" t="n"/>
      <c r="G216" s="4" t="n"/>
      <c r="H216" s="4" t="n"/>
      <c r="I216" s="3" t="n"/>
      <c r="J216" s="7" t="n">
        <v>15</v>
      </c>
      <c r="K216" s="8">
        <f>IF(I216="","",I216*(1+J216/100))</f>
        <v/>
      </c>
      <c r="L216" s="3" t="n"/>
      <c r="M216" s="10">
        <f>IF(OR(L216="",K216="",L216=0),"",
  (L216-K216)/L216*100)</f>
        <v/>
      </c>
      <c r="N216" s="3" t="n"/>
      <c r="O216" s="4" t="n"/>
      <c r="P216" s="4" t="n"/>
      <c r="Q216" s="4" t="n"/>
      <c r="R216" s="4" t="n"/>
      <c r="S216" s="4" t="n"/>
    </row>
    <row r="217">
      <c r="A217" s="3" t="n"/>
      <c r="B217" s="12" t="n"/>
      <c r="C217" s="12" t="n"/>
      <c r="D217" s="12" t="n"/>
      <c r="E217" s="3" t="n"/>
      <c r="F217" s="12" t="n"/>
      <c r="G217" s="12" t="n"/>
      <c r="H217" s="12" t="n"/>
      <c r="I217" s="3" t="n"/>
      <c r="J217" s="7" t="n">
        <v>15</v>
      </c>
      <c r="K217" s="8">
        <f>IF(I217="","",I217*(1+J217/100))</f>
        <v/>
      </c>
      <c r="L217" s="3" t="n"/>
      <c r="M217" s="10">
        <f>IF(OR(L217="",K217="",L217=0),"",
  (L217-K217)/L217*100)</f>
        <v/>
      </c>
      <c r="N217" s="3" t="n"/>
      <c r="O217" s="12" t="n"/>
      <c r="P217" s="12" t="n"/>
      <c r="Q217" s="12" t="n"/>
      <c r="R217" s="12" t="n"/>
      <c r="S217" s="12" t="n"/>
    </row>
    <row r="218">
      <c r="A218" s="3" t="n"/>
      <c r="B218" s="4" t="n"/>
      <c r="C218" s="4" t="n"/>
      <c r="D218" s="4" t="n"/>
      <c r="E218" s="3" t="n"/>
      <c r="F218" s="4" t="n"/>
      <c r="G218" s="4" t="n"/>
      <c r="H218" s="4" t="n"/>
      <c r="I218" s="3" t="n"/>
      <c r="J218" s="7" t="n">
        <v>15</v>
      </c>
      <c r="K218" s="8">
        <f>IF(I218="","",I218*(1+J218/100))</f>
        <v/>
      </c>
      <c r="L218" s="3" t="n"/>
      <c r="M218" s="10">
        <f>IF(OR(L218="",K218="",L218=0),"",
  (L218-K218)/L218*100)</f>
        <v/>
      </c>
      <c r="N218" s="3" t="n"/>
      <c r="O218" s="4" t="n"/>
      <c r="P218" s="4" t="n"/>
      <c r="Q218" s="4" t="n"/>
      <c r="R218" s="4" t="n"/>
      <c r="S218" s="4" t="n"/>
    </row>
    <row r="219">
      <c r="A219" s="3" t="n"/>
      <c r="B219" s="12" t="n"/>
      <c r="C219" s="12" t="n"/>
      <c r="D219" s="12" t="n"/>
      <c r="E219" s="3" t="n"/>
      <c r="F219" s="12" t="n"/>
      <c r="G219" s="12" t="n"/>
      <c r="H219" s="12" t="n"/>
      <c r="I219" s="3" t="n"/>
      <c r="J219" s="7" t="n">
        <v>15</v>
      </c>
      <c r="K219" s="8">
        <f>IF(I219="","",I219*(1+J219/100))</f>
        <v/>
      </c>
      <c r="L219" s="3" t="n"/>
      <c r="M219" s="10">
        <f>IF(OR(L219="",K219="",L219=0),"",
  (L219-K219)/L219*100)</f>
        <v/>
      </c>
      <c r="N219" s="3" t="n"/>
      <c r="O219" s="12" t="n"/>
      <c r="P219" s="12" t="n"/>
      <c r="Q219" s="12" t="n"/>
      <c r="R219" s="12" t="n"/>
      <c r="S219" s="12" t="n"/>
    </row>
    <row r="220">
      <c r="A220" s="3" t="n"/>
      <c r="B220" s="4" t="n"/>
      <c r="C220" s="4" t="n"/>
      <c r="D220" s="4" t="n"/>
      <c r="E220" s="3" t="n"/>
      <c r="F220" s="4" t="n"/>
      <c r="G220" s="4" t="n"/>
      <c r="H220" s="4" t="n"/>
      <c r="I220" s="3" t="n"/>
      <c r="J220" s="7" t="n">
        <v>15</v>
      </c>
      <c r="K220" s="8">
        <f>IF(I220="","",I220*(1+J220/100))</f>
        <v/>
      </c>
      <c r="L220" s="3" t="n"/>
      <c r="M220" s="10">
        <f>IF(OR(L220="",K220="",L220=0),"",
  (L220-K220)/L220*100)</f>
        <v/>
      </c>
      <c r="N220" s="3" t="n"/>
      <c r="O220" s="4" t="n"/>
      <c r="P220" s="4" t="n"/>
      <c r="Q220" s="4" t="n"/>
      <c r="R220" s="4" t="n"/>
      <c r="S220" s="4" t="n"/>
    </row>
    <row r="221">
      <c r="A221" s="3" t="n"/>
      <c r="B221" s="12" t="n"/>
      <c r="C221" s="12" t="n"/>
      <c r="D221" s="12" t="n"/>
      <c r="E221" s="3" t="n"/>
      <c r="F221" s="12" t="n"/>
      <c r="G221" s="12" t="n"/>
      <c r="H221" s="12" t="n"/>
      <c r="I221" s="3" t="n"/>
      <c r="J221" s="7" t="n">
        <v>15</v>
      </c>
      <c r="K221" s="8">
        <f>IF(I221="","",I221*(1+J221/100))</f>
        <v/>
      </c>
      <c r="L221" s="3" t="n"/>
      <c r="M221" s="10">
        <f>IF(OR(L221="",K221="",L221=0),"",
  (L221-K221)/L221*100)</f>
        <v/>
      </c>
      <c r="N221" s="3" t="n"/>
      <c r="O221" s="12" t="n"/>
      <c r="P221" s="12" t="n"/>
      <c r="Q221" s="12" t="n"/>
      <c r="R221" s="12" t="n"/>
      <c r="S221" s="12" t="n"/>
    </row>
    <row r="222">
      <c r="A222" s="3" t="n"/>
      <c r="B222" s="4" t="n"/>
      <c r="C222" s="4" t="n"/>
      <c r="D222" s="4" t="n"/>
      <c r="E222" s="3" t="n"/>
      <c r="F222" s="4" t="n"/>
      <c r="G222" s="4" t="n"/>
      <c r="H222" s="4" t="n"/>
      <c r="I222" s="3" t="n"/>
      <c r="J222" s="7" t="n">
        <v>15</v>
      </c>
      <c r="K222" s="8">
        <f>IF(I222="","",I222*(1+J222/100))</f>
        <v/>
      </c>
      <c r="L222" s="3" t="n"/>
      <c r="M222" s="10">
        <f>IF(OR(L222="",K222="",L222=0),"",
  (L222-K222)/L222*100)</f>
        <v/>
      </c>
      <c r="N222" s="3" t="n"/>
      <c r="O222" s="4" t="n"/>
      <c r="P222" s="4" t="n"/>
      <c r="Q222" s="4" t="n"/>
      <c r="R222" s="4" t="n"/>
      <c r="S222" s="4" t="n"/>
    </row>
    <row r="223">
      <c r="A223" s="3" t="n"/>
      <c r="B223" s="12" t="n"/>
      <c r="C223" s="12" t="n"/>
      <c r="D223" s="12" t="n"/>
      <c r="E223" s="3" t="n"/>
      <c r="F223" s="12" t="n"/>
      <c r="G223" s="12" t="n"/>
      <c r="H223" s="12" t="n"/>
      <c r="I223" s="3" t="n"/>
      <c r="J223" s="7" t="n">
        <v>15</v>
      </c>
      <c r="K223" s="8">
        <f>IF(I223="","",I223*(1+J223/100))</f>
        <v/>
      </c>
      <c r="L223" s="3" t="n"/>
      <c r="M223" s="10">
        <f>IF(OR(L223="",K223="",L223=0),"",
  (L223-K223)/L223*100)</f>
        <v/>
      </c>
      <c r="N223" s="3" t="n"/>
      <c r="O223" s="12" t="n"/>
      <c r="P223" s="12" t="n"/>
      <c r="Q223" s="12" t="n"/>
      <c r="R223" s="12" t="n"/>
      <c r="S223" s="12" t="n"/>
    </row>
    <row r="224">
      <c r="A224" s="3" t="n"/>
      <c r="B224" s="4" t="n"/>
      <c r="C224" s="4" t="n"/>
      <c r="D224" s="4" t="n"/>
      <c r="E224" s="3" t="n"/>
      <c r="F224" s="4" t="n"/>
      <c r="G224" s="4" t="n"/>
      <c r="H224" s="4" t="n"/>
      <c r="I224" s="3" t="n"/>
      <c r="J224" s="7" t="n">
        <v>15</v>
      </c>
      <c r="K224" s="8">
        <f>IF(I224="","",I224*(1+J224/100))</f>
        <v/>
      </c>
      <c r="L224" s="3" t="n"/>
      <c r="M224" s="10">
        <f>IF(OR(L224="",K224="",L224=0),"",
  (L224-K224)/L224*100)</f>
        <v/>
      </c>
      <c r="N224" s="3" t="n"/>
      <c r="O224" s="4" t="n"/>
      <c r="P224" s="4" t="n"/>
      <c r="Q224" s="4" t="n"/>
      <c r="R224" s="4" t="n"/>
      <c r="S224" s="4" t="n"/>
    </row>
    <row r="225">
      <c r="A225" s="3" t="n"/>
      <c r="B225" s="12" t="n"/>
      <c r="C225" s="12" t="n"/>
      <c r="D225" s="12" t="n"/>
      <c r="E225" s="3" t="n"/>
      <c r="F225" s="12" t="n"/>
      <c r="G225" s="12" t="n"/>
      <c r="H225" s="12" t="n"/>
      <c r="I225" s="3" t="n"/>
      <c r="J225" s="7" t="n">
        <v>15</v>
      </c>
      <c r="K225" s="8">
        <f>IF(I225="","",I225*(1+J225/100))</f>
        <v/>
      </c>
      <c r="L225" s="3" t="n"/>
      <c r="M225" s="10">
        <f>IF(OR(L225="",K225="",L225=0),"",
  (L225-K225)/L225*100)</f>
        <v/>
      </c>
      <c r="N225" s="3" t="n"/>
      <c r="O225" s="12" t="n"/>
      <c r="P225" s="12" t="n"/>
      <c r="Q225" s="12" t="n"/>
      <c r="R225" s="12" t="n"/>
      <c r="S225" s="12" t="n"/>
    </row>
    <row r="226">
      <c r="A226" s="3" t="n"/>
      <c r="B226" s="4" t="n"/>
      <c r="C226" s="4" t="n"/>
      <c r="D226" s="4" t="n"/>
      <c r="E226" s="3" t="n"/>
      <c r="F226" s="4" t="n"/>
      <c r="G226" s="4" t="n"/>
      <c r="H226" s="4" t="n"/>
      <c r="I226" s="3" t="n"/>
      <c r="J226" s="7" t="n">
        <v>15</v>
      </c>
      <c r="K226" s="8">
        <f>IF(I226="","",I226*(1+J226/100))</f>
        <v/>
      </c>
      <c r="L226" s="3" t="n"/>
      <c r="M226" s="10">
        <f>IF(OR(L226="",K226="",L226=0),"",
  (L226-K226)/L226*100)</f>
        <v/>
      </c>
      <c r="N226" s="3" t="n"/>
      <c r="O226" s="4" t="n"/>
      <c r="P226" s="4" t="n"/>
      <c r="Q226" s="4" t="n"/>
      <c r="R226" s="4" t="n"/>
      <c r="S226" s="4" t="n"/>
    </row>
    <row r="227">
      <c r="A227" s="3" t="n"/>
      <c r="B227" s="12" t="n"/>
      <c r="C227" s="12" t="n"/>
      <c r="D227" s="12" t="n"/>
      <c r="E227" s="3" t="n"/>
      <c r="F227" s="12" t="n"/>
      <c r="G227" s="12" t="n"/>
      <c r="H227" s="12" t="n"/>
      <c r="I227" s="3" t="n"/>
      <c r="J227" s="7" t="n">
        <v>15</v>
      </c>
      <c r="K227" s="8">
        <f>IF(I227="","",I227*(1+J227/100))</f>
        <v/>
      </c>
      <c r="L227" s="3" t="n"/>
      <c r="M227" s="10">
        <f>IF(OR(L227="",K227="",L227=0),"",
  (L227-K227)/L227*100)</f>
        <v/>
      </c>
      <c r="N227" s="3" t="n"/>
      <c r="O227" s="12" t="n"/>
      <c r="P227" s="12" t="n"/>
      <c r="Q227" s="12" t="n"/>
      <c r="R227" s="12" t="n"/>
      <c r="S227" s="12" t="n"/>
    </row>
    <row r="228">
      <c r="A228" s="3" t="n"/>
      <c r="B228" s="4" t="n"/>
      <c r="C228" s="4" t="n"/>
      <c r="D228" s="4" t="n"/>
      <c r="E228" s="3" t="n"/>
      <c r="F228" s="4" t="n"/>
      <c r="G228" s="4" t="n"/>
      <c r="H228" s="4" t="n"/>
      <c r="I228" s="3" t="n"/>
      <c r="J228" s="7" t="n">
        <v>15</v>
      </c>
      <c r="K228" s="8">
        <f>IF(I228="","",I228*(1+J228/100))</f>
        <v/>
      </c>
      <c r="L228" s="3" t="n"/>
      <c r="M228" s="10">
        <f>IF(OR(L228="",K228="",L228=0),"",
  (L228-K228)/L228*100)</f>
        <v/>
      </c>
      <c r="N228" s="3" t="n"/>
      <c r="O228" s="4" t="n"/>
      <c r="P228" s="4" t="n"/>
      <c r="Q228" s="4" t="n"/>
      <c r="R228" s="4" t="n"/>
      <c r="S228" s="4" t="n"/>
    </row>
    <row r="229">
      <c r="A229" s="3" t="n"/>
      <c r="B229" s="12" t="n"/>
      <c r="C229" s="12" t="n"/>
      <c r="D229" s="12" t="n"/>
      <c r="E229" s="3" t="n"/>
      <c r="F229" s="12" t="n"/>
      <c r="G229" s="12" t="n"/>
      <c r="H229" s="12" t="n"/>
      <c r="I229" s="3" t="n"/>
      <c r="J229" s="7" t="n">
        <v>15</v>
      </c>
      <c r="K229" s="8">
        <f>IF(I229="","",I229*(1+J229/100))</f>
        <v/>
      </c>
      <c r="L229" s="3" t="n"/>
      <c r="M229" s="10">
        <f>IF(OR(L229="",K229="",L229=0),"",
  (L229-K229)/L229*100)</f>
        <v/>
      </c>
      <c r="N229" s="3" t="n"/>
      <c r="O229" s="12" t="n"/>
      <c r="P229" s="12" t="n"/>
      <c r="Q229" s="12" t="n"/>
      <c r="R229" s="12" t="n"/>
      <c r="S229" s="12" t="n"/>
    </row>
    <row r="230">
      <c r="A230" s="3" t="n"/>
      <c r="B230" s="4" t="n"/>
      <c r="C230" s="4" t="n"/>
      <c r="D230" s="4" t="n"/>
      <c r="E230" s="3" t="n"/>
      <c r="F230" s="4" t="n"/>
      <c r="G230" s="4" t="n"/>
      <c r="H230" s="4" t="n"/>
      <c r="I230" s="3" t="n"/>
      <c r="J230" s="7" t="n">
        <v>15</v>
      </c>
      <c r="K230" s="8">
        <f>IF(I230="","",I230*(1+J230/100))</f>
        <v/>
      </c>
      <c r="L230" s="3" t="n"/>
      <c r="M230" s="10">
        <f>IF(OR(L230="",K230="",L230=0),"",
  (L230-K230)/L230*100)</f>
        <v/>
      </c>
      <c r="N230" s="3" t="n"/>
      <c r="O230" s="4" t="n"/>
      <c r="P230" s="4" t="n"/>
      <c r="Q230" s="4" t="n"/>
      <c r="R230" s="4" t="n"/>
      <c r="S230" s="4" t="n"/>
    </row>
    <row r="231">
      <c r="A231" s="3" t="n"/>
      <c r="B231" s="12" t="n"/>
      <c r="C231" s="12" t="n"/>
      <c r="D231" s="12" t="n"/>
      <c r="E231" s="3" t="n"/>
      <c r="F231" s="12" t="n"/>
      <c r="G231" s="12" t="n"/>
      <c r="H231" s="12" t="n"/>
      <c r="I231" s="3" t="n"/>
      <c r="J231" s="7" t="n">
        <v>15</v>
      </c>
      <c r="K231" s="8">
        <f>IF(I231="","",I231*(1+J231/100))</f>
        <v/>
      </c>
      <c r="L231" s="3" t="n"/>
      <c r="M231" s="10">
        <f>IF(OR(L231="",K231="",L231=0),"",
  (L231-K231)/L231*100)</f>
        <v/>
      </c>
      <c r="N231" s="3" t="n"/>
      <c r="O231" s="12" t="n"/>
      <c r="P231" s="12" t="n"/>
      <c r="Q231" s="12" t="n"/>
      <c r="R231" s="12" t="n"/>
      <c r="S231" s="12" t="n"/>
    </row>
    <row r="232">
      <c r="A232" s="3" t="n"/>
      <c r="B232" s="4" t="n"/>
      <c r="C232" s="4" t="n"/>
      <c r="D232" s="4" t="n"/>
      <c r="E232" s="3" t="n"/>
      <c r="F232" s="4" t="n"/>
      <c r="G232" s="4" t="n"/>
      <c r="H232" s="4" t="n"/>
      <c r="I232" s="3" t="n"/>
      <c r="J232" s="7" t="n">
        <v>15</v>
      </c>
      <c r="K232" s="8">
        <f>IF(I232="","",I232*(1+J232/100))</f>
        <v/>
      </c>
      <c r="L232" s="3" t="n"/>
      <c r="M232" s="10">
        <f>IF(OR(L232="",K232="",L232=0),"",
  (L232-K232)/L232*100)</f>
        <v/>
      </c>
      <c r="N232" s="3" t="n"/>
      <c r="O232" s="4" t="n"/>
      <c r="P232" s="4" t="n"/>
      <c r="Q232" s="4" t="n"/>
      <c r="R232" s="4" t="n"/>
      <c r="S232" s="4" t="n"/>
    </row>
    <row r="233">
      <c r="A233" s="3" t="n"/>
      <c r="B233" s="12" t="n"/>
      <c r="C233" s="12" t="n"/>
      <c r="D233" s="12" t="n"/>
      <c r="E233" s="3" t="n"/>
      <c r="F233" s="12" t="n"/>
      <c r="G233" s="12" t="n"/>
      <c r="H233" s="12" t="n"/>
      <c r="I233" s="3" t="n"/>
      <c r="J233" s="7" t="n">
        <v>15</v>
      </c>
      <c r="K233" s="8">
        <f>IF(I233="","",I233*(1+J233/100))</f>
        <v/>
      </c>
      <c r="L233" s="3" t="n"/>
      <c r="M233" s="10">
        <f>IF(OR(L233="",K233="",L233=0),"",
  (L233-K233)/L233*100)</f>
        <v/>
      </c>
      <c r="N233" s="3" t="n"/>
      <c r="O233" s="12" t="n"/>
      <c r="P233" s="12" t="n"/>
      <c r="Q233" s="12" t="n"/>
      <c r="R233" s="12" t="n"/>
      <c r="S233" s="12" t="n"/>
    </row>
    <row r="234">
      <c r="A234" s="3" t="n"/>
      <c r="B234" s="4" t="n"/>
      <c r="C234" s="4" t="n"/>
      <c r="D234" s="4" t="n"/>
      <c r="E234" s="3" t="n"/>
      <c r="F234" s="4" t="n"/>
      <c r="G234" s="4" t="n"/>
      <c r="H234" s="4" t="n"/>
      <c r="I234" s="3" t="n"/>
      <c r="J234" s="7" t="n">
        <v>15</v>
      </c>
      <c r="K234" s="8">
        <f>IF(I234="","",I234*(1+J234/100))</f>
        <v/>
      </c>
      <c r="L234" s="3" t="n"/>
      <c r="M234" s="10">
        <f>IF(OR(L234="",K234="",L234=0),"",
  (L234-K234)/L234*100)</f>
        <v/>
      </c>
      <c r="N234" s="3" t="n"/>
      <c r="O234" s="4" t="n"/>
      <c r="P234" s="4" t="n"/>
      <c r="Q234" s="4" t="n"/>
      <c r="R234" s="4" t="n"/>
      <c r="S234" s="4" t="n"/>
    </row>
    <row r="235">
      <c r="A235" s="3" t="n"/>
      <c r="B235" s="12" t="n"/>
      <c r="C235" s="12" t="n"/>
      <c r="D235" s="12" t="n"/>
      <c r="E235" s="3" t="n"/>
      <c r="F235" s="12" t="n"/>
      <c r="G235" s="12" t="n"/>
      <c r="H235" s="12" t="n"/>
      <c r="I235" s="3" t="n"/>
      <c r="J235" s="7" t="n">
        <v>15</v>
      </c>
      <c r="K235" s="8">
        <f>IF(I235="","",I235*(1+J235/100))</f>
        <v/>
      </c>
      <c r="L235" s="3" t="n"/>
      <c r="M235" s="10">
        <f>IF(OR(L235="",K235="",L235=0),"",
  (L235-K235)/L235*100)</f>
        <v/>
      </c>
      <c r="N235" s="3" t="n"/>
      <c r="O235" s="12" t="n"/>
      <c r="P235" s="12" t="n"/>
      <c r="Q235" s="12" t="n"/>
      <c r="R235" s="12" t="n"/>
      <c r="S235" s="12" t="n"/>
    </row>
    <row r="236">
      <c r="A236" s="3" t="n"/>
      <c r="B236" s="4" t="n"/>
      <c r="C236" s="4" t="n"/>
      <c r="D236" s="4" t="n"/>
      <c r="E236" s="3" t="n"/>
      <c r="F236" s="4" t="n"/>
      <c r="G236" s="4" t="n"/>
      <c r="H236" s="4" t="n"/>
      <c r="I236" s="3" t="n"/>
      <c r="J236" s="7" t="n">
        <v>15</v>
      </c>
      <c r="K236" s="8">
        <f>IF(I236="","",I236*(1+J236/100))</f>
        <v/>
      </c>
      <c r="L236" s="3" t="n"/>
      <c r="M236" s="10">
        <f>IF(OR(L236="",K236="",L236=0),"",
  (L236-K236)/L236*100)</f>
        <v/>
      </c>
      <c r="N236" s="3" t="n"/>
      <c r="O236" s="4" t="n"/>
      <c r="P236" s="4" t="n"/>
      <c r="Q236" s="4" t="n"/>
      <c r="R236" s="4" t="n"/>
      <c r="S236" s="4" t="n"/>
    </row>
    <row r="237">
      <c r="A237" s="3" t="n"/>
      <c r="B237" s="12" t="n"/>
      <c r="C237" s="12" t="n"/>
      <c r="D237" s="12" t="n"/>
      <c r="E237" s="3" t="n"/>
      <c r="F237" s="12" t="n"/>
      <c r="G237" s="12" t="n"/>
      <c r="H237" s="12" t="n"/>
      <c r="I237" s="3" t="n"/>
      <c r="J237" s="7" t="n">
        <v>15</v>
      </c>
      <c r="K237" s="8">
        <f>IF(I237="","",I237*(1+J237/100))</f>
        <v/>
      </c>
      <c r="L237" s="3" t="n"/>
      <c r="M237" s="10">
        <f>IF(OR(L237="",K237="",L237=0),"",
  (L237-K237)/L237*100)</f>
        <v/>
      </c>
      <c r="N237" s="3" t="n"/>
      <c r="O237" s="12" t="n"/>
      <c r="P237" s="12" t="n"/>
      <c r="Q237" s="12" t="n"/>
      <c r="R237" s="12" t="n"/>
      <c r="S237" s="12" t="n"/>
    </row>
    <row r="238">
      <c r="A238" s="3" t="n"/>
      <c r="B238" s="4" t="n"/>
      <c r="C238" s="4" t="n"/>
      <c r="D238" s="4" t="n"/>
      <c r="E238" s="3" t="n"/>
      <c r="F238" s="4" t="n"/>
      <c r="G238" s="4" t="n"/>
      <c r="H238" s="4" t="n"/>
      <c r="I238" s="3" t="n"/>
      <c r="J238" s="7" t="n">
        <v>15</v>
      </c>
      <c r="K238" s="8">
        <f>IF(I238="","",I238*(1+J238/100))</f>
        <v/>
      </c>
      <c r="L238" s="3" t="n"/>
      <c r="M238" s="10">
        <f>IF(OR(L238="",K238="",L238=0),"",
  (L238-K238)/L238*100)</f>
        <v/>
      </c>
      <c r="N238" s="3" t="n"/>
      <c r="O238" s="4" t="n"/>
      <c r="P238" s="4" t="n"/>
      <c r="Q238" s="4" t="n"/>
      <c r="R238" s="4" t="n"/>
      <c r="S238" s="4" t="n"/>
    </row>
    <row r="239">
      <c r="A239" s="3" t="n"/>
      <c r="B239" s="12" t="n"/>
      <c r="C239" s="12" t="n"/>
      <c r="D239" s="12" t="n"/>
      <c r="E239" s="3" t="n"/>
      <c r="F239" s="12" t="n"/>
      <c r="G239" s="12" t="n"/>
      <c r="H239" s="12" t="n"/>
      <c r="I239" s="3" t="n"/>
      <c r="J239" s="7" t="n">
        <v>15</v>
      </c>
      <c r="K239" s="8">
        <f>IF(I239="","",I239*(1+J239/100))</f>
        <v/>
      </c>
      <c r="L239" s="3" t="n"/>
      <c r="M239" s="10">
        <f>IF(OR(L239="",K239="",L239=0),"",
  (L239-K239)/L239*100)</f>
        <v/>
      </c>
      <c r="N239" s="3" t="n"/>
      <c r="O239" s="12" t="n"/>
      <c r="P239" s="12" t="n"/>
      <c r="Q239" s="12" t="n"/>
      <c r="R239" s="12" t="n"/>
      <c r="S239" s="12" t="n"/>
    </row>
    <row r="240">
      <c r="A240" s="3" t="n"/>
      <c r="B240" s="4" t="n"/>
      <c r="C240" s="4" t="n"/>
      <c r="D240" s="4" t="n"/>
      <c r="E240" s="3" t="n"/>
      <c r="F240" s="4" t="n"/>
      <c r="G240" s="4" t="n"/>
      <c r="H240" s="4" t="n"/>
      <c r="I240" s="3" t="n"/>
      <c r="J240" s="7" t="n">
        <v>15</v>
      </c>
      <c r="K240" s="8">
        <f>IF(I240="","",I240*(1+J240/100))</f>
        <v/>
      </c>
      <c r="L240" s="3" t="n"/>
      <c r="M240" s="10">
        <f>IF(OR(L240="",K240="",L240=0),"",
  (L240-K240)/L240*100)</f>
        <v/>
      </c>
      <c r="N240" s="3" t="n"/>
      <c r="O240" s="4" t="n"/>
      <c r="P240" s="4" t="n"/>
      <c r="Q240" s="4" t="n"/>
      <c r="R240" s="4" t="n"/>
      <c r="S240" s="4" t="n"/>
    </row>
    <row r="241">
      <c r="A241" s="3" t="n"/>
      <c r="B241" s="12" t="n"/>
      <c r="C241" s="12" t="n"/>
      <c r="D241" s="12" t="n"/>
      <c r="E241" s="3" t="n"/>
      <c r="F241" s="12" t="n"/>
      <c r="G241" s="12" t="n"/>
      <c r="H241" s="12" t="n"/>
      <c r="I241" s="3" t="n"/>
      <c r="J241" s="7" t="n">
        <v>15</v>
      </c>
      <c r="K241" s="8">
        <f>IF(I241="","",I241*(1+J241/100))</f>
        <v/>
      </c>
      <c r="L241" s="3" t="n"/>
      <c r="M241" s="10">
        <f>IF(OR(L241="",K241="",L241=0),"",
  (L241-K241)/L241*100)</f>
        <v/>
      </c>
      <c r="N241" s="3" t="n"/>
      <c r="O241" s="12" t="n"/>
      <c r="P241" s="12" t="n"/>
      <c r="Q241" s="12" t="n"/>
      <c r="R241" s="12" t="n"/>
      <c r="S241" s="12" t="n"/>
    </row>
    <row r="242">
      <c r="A242" s="3" t="n"/>
      <c r="B242" s="4" t="n"/>
      <c r="C242" s="4" t="n"/>
      <c r="D242" s="4" t="n"/>
      <c r="E242" s="3" t="n"/>
      <c r="F242" s="4" t="n"/>
      <c r="G242" s="4" t="n"/>
      <c r="H242" s="4" t="n"/>
      <c r="I242" s="3" t="n"/>
      <c r="J242" s="7" t="n">
        <v>15</v>
      </c>
      <c r="K242" s="8">
        <f>IF(I242="","",I242*(1+J242/100))</f>
        <v/>
      </c>
      <c r="L242" s="3" t="n"/>
      <c r="M242" s="10">
        <f>IF(OR(L242="",K242="",L242=0),"",
  (L242-K242)/L242*100)</f>
        <v/>
      </c>
      <c r="N242" s="3" t="n"/>
      <c r="O242" s="4" t="n"/>
      <c r="P242" s="4" t="n"/>
      <c r="Q242" s="4" t="n"/>
      <c r="R242" s="4" t="n"/>
      <c r="S242" s="4" t="n"/>
    </row>
    <row r="243">
      <c r="A243" s="3" t="n"/>
      <c r="B243" s="12" t="n"/>
      <c r="C243" s="12" t="n"/>
      <c r="D243" s="12" t="n"/>
      <c r="E243" s="3" t="n"/>
      <c r="F243" s="12" t="n"/>
      <c r="G243" s="12" t="n"/>
      <c r="H243" s="12" t="n"/>
      <c r="I243" s="3" t="n"/>
      <c r="J243" s="7" t="n">
        <v>15</v>
      </c>
      <c r="K243" s="8">
        <f>IF(I243="","",I243*(1+J243/100))</f>
        <v/>
      </c>
      <c r="L243" s="3" t="n"/>
      <c r="M243" s="10">
        <f>IF(OR(L243="",K243="",L243=0),"",
  (L243-K243)/L243*100)</f>
        <v/>
      </c>
      <c r="N243" s="3" t="n"/>
      <c r="O243" s="12" t="n"/>
      <c r="P243" s="12" t="n"/>
      <c r="Q243" s="12" t="n"/>
      <c r="R243" s="12" t="n"/>
      <c r="S243" s="12" t="n"/>
    </row>
    <row r="244">
      <c r="A244" s="3" t="n"/>
      <c r="B244" s="4" t="n"/>
      <c r="C244" s="4" t="n"/>
      <c r="D244" s="4" t="n"/>
      <c r="E244" s="3" t="n"/>
      <c r="F244" s="4" t="n"/>
      <c r="G244" s="4" t="n"/>
      <c r="H244" s="4" t="n"/>
      <c r="I244" s="3" t="n"/>
      <c r="J244" s="7" t="n">
        <v>15</v>
      </c>
      <c r="K244" s="8">
        <f>IF(I244="","",I244*(1+J244/100))</f>
        <v/>
      </c>
      <c r="L244" s="3" t="n"/>
      <c r="M244" s="10">
        <f>IF(OR(L244="",K244="",L244=0),"",
  (L244-K244)/L244*100)</f>
        <v/>
      </c>
      <c r="N244" s="3" t="n"/>
      <c r="O244" s="4" t="n"/>
      <c r="P244" s="4" t="n"/>
      <c r="Q244" s="4" t="n"/>
      <c r="R244" s="4" t="n"/>
      <c r="S244" s="4" t="n"/>
    </row>
    <row r="245">
      <c r="A245" s="3" t="n"/>
      <c r="B245" s="12" t="n"/>
      <c r="C245" s="12" t="n"/>
      <c r="D245" s="12" t="n"/>
      <c r="E245" s="3" t="n"/>
      <c r="F245" s="12" t="n"/>
      <c r="G245" s="12" t="n"/>
      <c r="H245" s="12" t="n"/>
      <c r="I245" s="3" t="n"/>
      <c r="J245" s="7" t="n">
        <v>15</v>
      </c>
      <c r="K245" s="8">
        <f>IF(I245="","",I245*(1+J245/100))</f>
        <v/>
      </c>
      <c r="L245" s="3" t="n"/>
      <c r="M245" s="10">
        <f>IF(OR(L245="",K245="",L245=0),"",
  (L245-K245)/L245*100)</f>
        <v/>
      </c>
      <c r="N245" s="3" t="n"/>
      <c r="O245" s="12" t="n"/>
      <c r="P245" s="12" t="n"/>
      <c r="Q245" s="12" t="n"/>
      <c r="R245" s="12" t="n"/>
      <c r="S245" s="12" t="n"/>
    </row>
  </sheetData>
  <autoFilter ref="A2:S2"/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18" customHeight="1">
      <c r="A1" s="14" t="inlineStr">
        <is>
          <t>COLOUR KEY</t>
        </is>
      </c>
      <c r="B1" s="15" t="inlineStr"/>
    </row>
    <row r="2" ht="18" customHeight="1">
      <c r="A2" s="16" t="inlineStr">
        <is>
          <t>Orange background</t>
        </is>
      </c>
      <c r="B2" s="15" t="inlineStr">
        <is>
          <t>Required field — must be filled in</t>
        </is>
      </c>
    </row>
    <row r="3" ht="18" customHeight="1">
      <c r="A3" s="16" t="inlineStr">
        <is>
          <t>Yellow background</t>
        </is>
      </c>
      <c r="B3" s="15" t="inlineStr">
        <is>
          <t>Auto-calculated — do not edit manually</t>
        </is>
      </c>
    </row>
    <row r="4" ht="18" customHeight="1">
      <c r="A4" s="16" t="inlineStr">
        <is>
          <t>Blue tint rows</t>
        </is>
      </c>
      <c r="B4" s="15" t="inlineStr">
        <is>
          <t>Alternating row shading for readability</t>
        </is>
      </c>
    </row>
    <row r="5" ht="18" customHeight="1">
      <c r="A5" s="16" t="inlineStr"/>
      <c r="B5" s="15" t="inlineStr"/>
    </row>
    <row r="6" ht="18" customHeight="1">
      <c r="A6" s="14" t="inlineStr">
        <is>
          <t>COLUMN GUIDE</t>
        </is>
      </c>
      <c r="B6" s="15" t="inlineStr"/>
    </row>
    <row r="7" ht="18" customHeight="1">
      <c r="A7" s="16" t="inlineStr">
        <is>
          <t>Supplier SKU</t>
        </is>
      </c>
      <c r="B7" s="15" t="inlineStr">
        <is>
          <t>Supplier's own product code</t>
        </is>
      </c>
    </row>
    <row r="8" ht="18" customHeight="1">
      <c r="A8" s="16" t="inlineStr">
        <is>
          <t>WC SKU</t>
        </is>
      </c>
      <c r="B8" s="15" t="inlineStr">
        <is>
          <t>WooCommerce SKU (auto-matched)</t>
        </is>
      </c>
    </row>
    <row r="9" ht="18" customHeight="1">
      <c r="A9" s="16" t="inlineStr">
        <is>
          <t>WC ID</t>
        </is>
      </c>
      <c r="B9" s="15" t="inlineStr">
        <is>
          <t>WooCommerce product ID</t>
        </is>
      </c>
    </row>
    <row r="10" ht="18" customHeight="1">
      <c r="A10" s="16" t="inlineStr">
        <is>
          <t>Barcode / EAN</t>
        </is>
      </c>
      <c r="B10" s="15" t="inlineStr">
        <is>
          <t>EAN-13, UPC or internal barcode</t>
        </is>
      </c>
    </row>
    <row r="11" ht="18" customHeight="1">
      <c r="A11" s="16" t="inlineStr">
        <is>
          <t>Product Name</t>
        </is>
      </c>
      <c r="B11" s="15" t="inlineStr">
        <is>
          <t>Full product name as it appears on the store</t>
        </is>
      </c>
    </row>
    <row r="12" ht="18" customHeight="1">
      <c r="A12" s="16" t="inlineStr">
        <is>
          <t>Brand</t>
        </is>
      </c>
      <c r="B12" s="15" t="inlineStr">
        <is>
          <t>Brand / manufacturer</t>
        </is>
      </c>
    </row>
    <row r="13" ht="18" customHeight="1">
      <c r="A13" s="16" t="inlineStr">
        <is>
          <t>Category</t>
        </is>
      </c>
      <c r="B13" s="15" t="inlineStr">
        <is>
          <t>e.g. Homeware &gt; Kitchenware</t>
        </is>
      </c>
    </row>
    <row r="14" ht="18" customHeight="1">
      <c r="A14" s="16" t="inlineStr">
        <is>
          <t>Description</t>
        </is>
      </c>
      <c r="B14" s="15" t="inlineStr">
        <is>
          <t>Short product description</t>
        </is>
      </c>
    </row>
    <row r="15" ht="18" customHeight="1">
      <c r="A15" s="16" t="inlineStr">
        <is>
          <t>Cost Price (ex VAT)</t>
        </is>
      </c>
      <c r="B15" s="15" t="inlineStr">
        <is>
          <t>What you pay the supplier, before VAT (R)</t>
        </is>
      </c>
    </row>
    <row r="16" ht="18" customHeight="1">
      <c r="A16" s="16" t="inlineStr">
        <is>
          <t>VAT Rate %</t>
        </is>
      </c>
      <c r="B16" s="15" t="inlineStr">
        <is>
          <t>0 or 15 (auto-applied below)</t>
        </is>
      </c>
    </row>
    <row r="17" ht="18" customHeight="1">
      <c r="A17" s="16" t="inlineStr">
        <is>
          <t>Cost Price (incl VAT)</t>
        </is>
      </c>
      <c r="B17" s="15">
        <f>Cost*(1+VAT/100) — auto-calculated</f>
        <v/>
      </c>
    </row>
    <row r="18" ht="18" customHeight="1">
      <c r="A18" s="16" t="inlineStr">
        <is>
          <t>Selling Price (R)</t>
        </is>
      </c>
      <c r="B18" s="15" t="inlineStr">
        <is>
          <t>Your retail price including VAT</t>
        </is>
      </c>
    </row>
    <row r="19" ht="18" customHeight="1">
      <c r="A19" s="16" t="inlineStr">
        <is>
          <t>Margin %</t>
        </is>
      </c>
      <c r="B19" s="15">
        <f>(Selling-Cost_incl)/Selling*100 — auto</f>
        <v/>
      </c>
    </row>
    <row r="20" ht="18" customHeight="1">
      <c r="A20" s="16" t="inlineStr">
        <is>
          <t>Qty On Hand</t>
        </is>
      </c>
      <c r="B20" s="15" t="inlineStr">
        <is>
          <t>Current physical stock count</t>
        </is>
      </c>
    </row>
    <row r="21" ht="18" customHeight="1">
      <c r="A21" s="16" t="inlineStr">
        <is>
          <t>Reorder Level</t>
        </is>
      </c>
      <c r="B21" s="15" t="inlineStr">
        <is>
          <t>Alert when stock falls below this number</t>
        </is>
      </c>
    </row>
    <row r="22" ht="18" customHeight="1">
      <c r="A22" s="16" t="inlineStr">
        <is>
          <t>Location / Bay</t>
        </is>
      </c>
      <c r="B22" s="15" t="inlineStr">
        <is>
          <t>Shelf, bay or bin reference in store</t>
        </is>
      </c>
    </row>
    <row r="23" ht="18" customHeight="1">
      <c r="A23" s="16" t="inlineStr">
        <is>
          <t>Image URL</t>
        </is>
      </c>
      <c r="B23" s="15" t="inlineStr">
        <is>
          <t>Direct URL or Drive link to product image</t>
        </is>
      </c>
    </row>
    <row r="24" ht="18" customHeight="1">
      <c r="A24" s="16" t="inlineStr">
        <is>
          <t>Last Updated</t>
        </is>
      </c>
      <c r="B24" s="15" t="inlineStr">
        <is>
          <t>Date this row was last updated</t>
        </is>
      </c>
    </row>
    <row r="25" ht="18" customHeight="1">
      <c r="A25" s="16" t="inlineStr">
        <is>
          <t>Notes</t>
        </is>
      </c>
      <c r="B25" s="15" t="inlineStr">
        <is>
          <t>Any supplier notes, variants,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2026-03-12T15:32:11Z</dcterms:created>
  <dcterms:modified xmlns:dcterms="http://purl.org/dc/terms/" xmlns:xsi="http://www.w3.org/2001/XMLSchema-instance" xsi:type="dcterms:W3CDTF">2026-03-12T15:32:12Z</dcterms:modified>
</cp:coreProperties>
</file>