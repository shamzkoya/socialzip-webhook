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Impulse Imports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>
        <is>
          <t>F00002</t>
        </is>
      </c>
      <c r="B3" s="4" t="inlineStr">
        <is>
          <t>F00002</t>
        </is>
      </c>
      <c r="C3" s="4" t="inlineStr">
        <is>
          <t>9601</t>
        </is>
      </c>
      <c r="D3" s="4" t="inlineStr">
        <is>
          <t>6004049014107</t>
        </is>
      </c>
      <c r="E3" s="3" t="inlineStr">
        <is>
          <t>PEGS BAMBOO 20 PACK</t>
        </is>
      </c>
      <c r="F3" s="4" t="inlineStr"/>
      <c r="G3" s="4" t="inlineStr"/>
      <c r="H3" s="4" t="inlineStr"/>
      <c r="I3" s="5" t="n">
        <v>3.29</v>
      </c>
      <c r="J3" s="6" t="n">
        <v>15</v>
      </c>
      <c r="K3" s="7">
        <f>IF(I3="","",I3*(1+J3/100))</f>
        <v/>
      </c>
      <c r="L3" s="5" t="n">
        <v>60</v>
      </c>
      <c r="M3" s="8">
        <f>IF(OR(L3="",K3="",L3=0),"",
  (L3-K3)/L3*100)</f>
        <v/>
      </c>
      <c r="N3" s="9" t="inlineStr"/>
      <c r="O3" s="4" t="inlineStr"/>
      <c r="P3" s="4" t="inlineStr"/>
      <c r="Q3" s="4" t="inlineStr"/>
      <c r="R3" s="4" t="inlineStr">
        <is>
          <t>2026-03-12</t>
        </is>
      </c>
      <c r="S3" s="4" t="inlineStr"/>
    </row>
    <row r="4">
      <c r="A4" s="10" t="inlineStr">
        <is>
          <t>F00003</t>
        </is>
      </c>
      <c r="B4" s="10" t="inlineStr">
        <is>
          <t>F00003</t>
        </is>
      </c>
      <c r="C4" s="10" t="inlineStr"/>
      <c r="D4" s="10" t="inlineStr"/>
      <c r="E4" s="10" t="inlineStr">
        <is>
          <t>OFF-CUT VINYL 4.5 TO 5 MT ASST</t>
        </is>
      </c>
      <c r="F4" s="10" t="inlineStr"/>
      <c r="G4" s="10" t="inlineStr"/>
      <c r="H4" s="10" t="inlineStr"/>
      <c r="I4" s="11" t="n">
        <v>35.95</v>
      </c>
      <c r="J4" s="6" t="n">
        <v>15</v>
      </c>
      <c r="K4" s="7">
        <f>IF(I4="","",I4*(1+J4/100))</f>
        <v/>
      </c>
      <c r="L4" s="12" t="inlineStr"/>
      <c r="M4" s="8">
        <f>IF(OR(L4="",K4="",L4=0),"",
  (L4-K4)/L4*100)</f>
        <v/>
      </c>
      <c r="N4" s="9" t="inlineStr"/>
      <c r="O4" s="10" t="inlineStr"/>
      <c r="P4" s="10" t="inlineStr"/>
      <c r="Q4" s="10" t="inlineStr"/>
      <c r="R4" s="10" t="inlineStr">
        <is>
          <t>2026-03-12</t>
        </is>
      </c>
      <c r="S4" s="10" t="inlineStr"/>
    </row>
    <row r="5">
      <c r="A5" s="3" t="inlineStr">
        <is>
          <t>F00004</t>
        </is>
      </c>
      <c r="B5" s="4" t="inlineStr">
        <is>
          <t>F00004</t>
        </is>
      </c>
      <c r="C5" s="4" t="inlineStr"/>
      <c r="D5" s="4" t="inlineStr"/>
      <c r="E5" s="3" t="inlineStr">
        <is>
          <t>OFF-CUT VINYL 4 TO 4.5 MT ASST</t>
        </is>
      </c>
      <c r="F5" s="4" t="inlineStr"/>
      <c r="G5" s="4" t="inlineStr"/>
      <c r="H5" s="4" t="inlineStr"/>
      <c r="I5" s="5" t="n">
        <v>31.95</v>
      </c>
      <c r="J5" s="6" t="n">
        <v>15</v>
      </c>
      <c r="K5" s="7">
        <f>IF(I5="","",I5*(1+J5/100))</f>
        <v/>
      </c>
      <c r="L5" s="12" t="inlineStr"/>
      <c r="M5" s="8">
        <f>IF(OR(L5="",K5="",L5=0),"",
  (L5-K5)/L5*100)</f>
        <v/>
      </c>
      <c r="N5" s="9" t="inlineStr"/>
      <c r="O5" s="4" t="inlineStr"/>
      <c r="P5" s="4" t="inlineStr"/>
      <c r="Q5" s="4" t="inlineStr"/>
      <c r="R5" s="4" t="inlineStr">
        <is>
          <t>2026-03-12</t>
        </is>
      </c>
      <c r="S5" s="4" t="inlineStr"/>
    </row>
    <row r="6">
      <c r="A6" s="10" t="inlineStr">
        <is>
          <t>F00005</t>
        </is>
      </c>
      <c r="B6" s="10" t="inlineStr">
        <is>
          <t>F00005</t>
        </is>
      </c>
      <c r="C6" s="10" t="inlineStr"/>
      <c r="D6" s="10" t="inlineStr"/>
      <c r="E6" s="10" t="inlineStr">
        <is>
          <t>OFF-CUT VINYL 3.5 TO 4 MT ASST</t>
        </is>
      </c>
      <c r="F6" s="10" t="inlineStr"/>
      <c r="G6" s="10" t="inlineStr"/>
      <c r="H6" s="10" t="inlineStr"/>
      <c r="I6" s="11" t="n">
        <v>27.95</v>
      </c>
      <c r="J6" s="6" t="n">
        <v>15</v>
      </c>
      <c r="K6" s="7">
        <f>IF(I6="","",I6*(1+J6/100))</f>
        <v/>
      </c>
      <c r="L6" s="12" t="inlineStr"/>
      <c r="M6" s="8">
        <f>IF(OR(L6="",K6="",L6=0),"",
  (L6-K6)/L6*100)</f>
        <v/>
      </c>
      <c r="N6" s="9" t="inlineStr"/>
      <c r="O6" s="10" t="inlineStr"/>
      <c r="P6" s="10" t="inlineStr"/>
      <c r="Q6" s="10" t="inlineStr"/>
      <c r="R6" s="10" t="inlineStr">
        <is>
          <t>2026-03-12</t>
        </is>
      </c>
      <c r="S6" s="10" t="inlineStr"/>
    </row>
    <row r="7">
      <c r="A7" s="3" t="inlineStr">
        <is>
          <t>F00006</t>
        </is>
      </c>
      <c r="B7" s="4" t="inlineStr">
        <is>
          <t>F00006</t>
        </is>
      </c>
      <c r="C7" s="4" t="inlineStr"/>
      <c r="D7" s="4" t="inlineStr"/>
      <c r="E7" s="3" t="inlineStr">
        <is>
          <t>OFF-CUT VINYL 3 TO 3.5 MT ASST</t>
        </is>
      </c>
      <c r="F7" s="4" t="inlineStr"/>
      <c r="G7" s="4" t="inlineStr"/>
      <c r="H7" s="4" t="inlineStr"/>
      <c r="I7" s="5" t="n">
        <v>23.95</v>
      </c>
      <c r="J7" s="6" t="n">
        <v>15</v>
      </c>
      <c r="K7" s="7">
        <f>IF(I7="","",I7*(1+J7/100))</f>
        <v/>
      </c>
      <c r="L7" s="12" t="inlineStr"/>
      <c r="M7" s="8">
        <f>IF(OR(L7="",K7="",L7=0),"",
  (L7-K7)/L7*100)</f>
        <v/>
      </c>
      <c r="N7" s="9" t="inlineStr"/>
      <c r="O7" s="4" t="inlineStr"/>
      <c r="P7" s="4" t="inlineStr"/>
      <c r="Q7" s="4" t="inlineStr"/>
      <c r="R7" s="4" t="inlineStr">
        <is>
          <t>2026-03-12</t>
        </is>
      </c>
      <c r="S7" s="4" t="inlineStr"/>
    </row>
    <row r="8">
      <c r="A8" s="10" t="inlineStr">
        <is>
          <t>F00007</t>
        </is>
      </c>
      <c r="B8" s="10" t="inlineStr">
        <is>
          <t>F00007</t>
        </is>
      </c>
      <c r="C8" s="10" t="inlineStr"/>
      <c r="D8" s="10" t="inlineStr"/>
      <c r="E8" s="10" t="inlineStr">
        <is>
          <t>OFF-CUT VINYL 2.5 TO 3 MT ASST</t>
        </is>
      </c>
      <c r="F8" s="10" t="inlineStr"/>
      <c r="G8" s="10" t="inlineStr"/>
      <c r="H8" s="10" t="inlineStr"/>
      <c r="I8" s="11" t="n">
        <v>19.95</v>
      </c>
      <c r="J8" s="6" t="n">
        <v>15</v>
      </c>
      <c r="K8" s="7">
        <f>IF(I8="","",I8*(1+J8/100))</f>
        <v/>
      </c>
      <c r="L8" s="12" t="inlineStr"/>
      <c r="M8" s="8">
        <f>IF(OR(L8="",K8="",L8=0),"",
  (L8-K8)/L8*100)</f>
        <v/>
      </c>
      <c r="N8" s="9" t="inlineStr"/>
      <c r="O8" s="10" t="inlineStr"/>
      <c r="P8" s="10" t="inlineStr"/>
      <c r="Q8" s="10" t="inlineStr"/>
      <c r="R8" s="10" t="inlineStr">
        <is>
          <t>2026-03-12</t>
        </is>
      </c>
      <c r="S8" s="10" t="inlineStr"/>
    </row>
    <row r="9">
      <c r="A9" s="3" t="inlineStr">
        <is>
          <t>F00008</t>
        </is>
      </c>
      <c r="B9" s="4" t="inlineStr">
        <is>
          <t>F00008</t>
        </is>
      </c>
      <c r="C9" s="4" t="inlineStr"/>
      <c r="D9" s="4" t="inlineStr"/>
      <c r="E9" s="3" t="inlineStr">
        <is>
          <t>OFF-CUT VINYL 2 TO 2.5 MT ASST</t>
        </is>
      </c>
      <c r="F9" s="4" t="inlineStr"/>
      <c r="G9" s="4" t="inlineStr"/>
      <c r="H9" s="4" t="inlineStr"/>
      <c r="I9" s="5" t="n">
        <v>15.95</v>
      </c>
      <c r="J9" s="6" t="n">
        <v>15</v>
      </c>
      <c r="K9" s="7">
        <f>IF(I9="","",I9*(1+J9/100))</f>
        <v/>
      </c>
      <c r="L9" s="12" t="inlineStr"/>
      <c r="M9" s="8">
        <f>IF(OR(L9="",K9="",L9=0),"",
  (L9-K9)/L9*100)</f>
        <v/>
      </c>
      <c r="N9" s="9" t="inlineStr"/>
      <c r="O9" s="4" t="inlineStr"/>
      <c r="P9" s="4" t="inlineStr"/>
      <c r="Q9" s="4" t="inlineStr"/>
      <c r="R9" s="4" t="inlineStr">
        <is>
          <t>2026-03-12</t>
        </is>
      </c>
      <c r="S9" s="4" t="inlineStr"/>
    </row>
    <row r="10">
      <c r="A10" s="10" t="inlineStr">
        <is>
          <t>F00009</t>
        </is>
      </c>
      <c r="B10" s="10" t="inlineStr">
        <is>
          <t>F00009</t>
        </is>
      </c>
      <c r="C10" s="10" t="inlineStr"/>
      <c r="D10" s="10" t="inlineStr"/>
      <c r="E10" s="10" t="inlineStr">
        <is>
          <t>OFF CUT VINYL 1.5 TO 2 MT ASST</t>
        </is>
      </c>
      <c r="F10" s="10" t="inlineStr"/>
      <c r="G10" s="10" t="inlineStr"/>
      <c r="H10" s="10" t="inlineStr"/>
      <c r="I10" s="11" t="n">
        <v>10.95</v>
      </c>
      <c r="J10" s="6" t="n">
        <v>15</v>
      </c>
      <c r="K10" s="7">
        <f>IF(I10="","",I10*(1+J10/100))</f>
        <v/>
      </c>
      <c r="L10" s="12" t="inlineStr"/>
      <c r="M10" s="8">
        <f>IF(OR(L10="",K10="",L10=0),"",
  (L10-K10)/L10*100)</f>
        <v/>
      </c>
      <c r="N10" s="9" t="inlineStr"/>
      <c r="O10" s="10" t="inlineStr"/>
      <c r="P10" s="10" t="inlineStr"/>
      <c r="Q10" s="10" t="inlineStr"/>
      <c r="R10" s="10" t="inlineStr">
        <is>
          <t>2026-03-12</t>
        </is>
      </c>
      <c r="S10" s="10" t="inlineStr"/>
    </row>
    <row r="11">
      <c r="A11" s="3" t="inlineStr">
        <is>
          <t>F00010</t>
        </is>
      </c>
      <c r="B11" s="4" t="inlineStr">
        <is>
          <t>F00010</t>
        </is>
      </c>
      <c r="C11" s="4" t="inlineStr"/>
      <c r="D11" s="4" t="inlineStr"/>
      <c r="E11" s="3" t="inlineStr">
        <is>
          <t>OFF CUT VINYL 1 TO 1.5 MT ASST</t>
        </is>
      </c>
      <c r="F11" s="4" t="inlineStr"/>
      <c r="G11" s="4" t="inlineStr"/>
      <c r="H11" s="4" t="inlineStr"/>
      <c r="I11" s="5" t="n">
        <v>11.2</v>
      </c>
      <c r="J11" s="6" t="n">
        <v>15</v>
      </c>
      <c r="K11" s="7">
        <f>IF(I11="","",I11*(1+J11/100))</f>
        <v/>
      </c>
      <c r="L11" s="12" t="inlineStr"/>
      <c r="M11" s="8">
        <f>IF(OR(L11="",K11="",L11=0),"",
  (L11-K11)/L11*100)</f>
        <v/>
      </c>
      <c r="N11" s="9" t="inlineStr"/>
      <c r="O11" s="4" t="inlineStr"/>
      <c r="P11" s="4" t="inlineStr"/>
      <c r="Q11" s="4" t="inlineStr"/>
      <c r="R11" s="4" t="inlineStr">
        <is>
          <t>2026-03-12</t>
        </is>
      </c>
      <c r="S11" s="4" t="inlineStr"/>
    </row>
    <row r="12">
      <c r="A12" s="10" t="inlineStr">
        <is>
          <t>F00011</t>
        </is>
      </c>
      <c r="B12" s="10" t="inlineStr">
        <is>
          <t>F00011</t>
        </is>
      </c>
      <c r="C12" s="10" t="inlineStr"/>
      <c r="D12" s="10" t="inlineStr">
        <is>
          <t>6009697452998</t>
        </is>
      </c>
      <c r="E12" s="10" t="inlineStr">
        <is>
          <t>PLATE 10.5" HAND PAINTED</t>
        </is>
      </c>
      <c r="F12" s="10" t="inlineStr"/>
      <c r="G12" s="10" t="inlineStr"/>
      <c r="H12" s="10" t="inlineStr"/>
      <c r="I12" s="11" t="n">
        <v>10.95</v>
      </c>
      <c r="J12" s="6" t="n">
        <v>15</v>
      </c>
      <c r="K12" s="7">
        <f>IF(I12="","",I12*(1+J12/100))</f>
        <v/>
      </c>
      <c r="L12" s="12" t="inlineStr"/>
      <c r="M12" s="8">
        <f>IF(OR(L12="",K12="",L12=0),"",
  (L12-K12)/L12*100)</f>
        <v/>
      </c>
      <c r="N12" s="13" t="n">
        <v>2741</v>
      </c>
      <c r="O12" s="10" t="inlineStr"/>
      <c r="P12" s="10" t="inlineStr"/>
      <c r="Q12" s="10" t="inlineStr"/>
      <c r="R12" s="10" t="inlineStr">
        <is>
          <t>2026-03-12</t>
        </is>
      </c>
      <c r="S12" s="10" t="inlineStr"/>
    </row>
    <row r="13">
      <c r="A13" s="3" t="inlineStr">
        <is>
          <t>F00015</t>
        </is>
      </c>
      <c r="B13" s="4" t="inlineStr">
        <is>
          <t>F00015</t>
        </is>
      </c>
      <c r="C13" s="4" t="inlineStr"/>
      <c r="D13" s="4" t="inlineStr">
        <is>
          <t>6005245001229</t>
        </is>
      </c>
      <c r="E13" s="3" t="inlineStr">
        <is>
          <t>HURRICANE LANTERN BIG HM200</t>
        </is>
      </c>
      <c r="F13" s="4" t="inlineStr"/>
      <c r="G13" s="4" t="inlineStr"/>
      <c r="H13" s="4" t="inlineStr"/>
      <c r="I13" s="5" t="n">
        <v>76.95</v>
      </c>
      <c r="J13" s="6" t="n">
        <v>15</v>
      </c>
      <c r="K13" s="7">
        <f>IF(I13="","",I13*(1+J13/100))</f>
        <v/>
      </c>
      <c r="L13" s="12" t="inlineStr"/>
      <c r="M13" s="8">
        <f>IF(OR(L13="",K13="",L13=0),"",
  (L13-K13)/L13*100)</f>
        <v/>
      </c>
      <c r="N13" s="14" t="n">
        <v>2</v>
      </c>
      <c r="O13" s="4" t="inlineStr"/>
      <c r="P13" s="4" t="inlineStr"/>
      <c r="Q13" s="4" t="inlineStr"/>
      <c r="R13" s="4" t="inlineStr">
        <is>
          <t>2026-03-12</t>
        </is>
      </c>
      <c r="S13" s="4" t="inlineStr"/>
    </row>
    <row r="14">
      <c r="A14" s="10" t="inlineStr">
        <is>
          <t>F00016</t>
        </is>
      </c>
      <c r="B14" s="10" t="inlineStr">
        <is>
          <t>F00016</t>
        </is>
      </c>
      <c r="C14" s="10" t="inlineStr">
        <is>
          <t>32128</t>
        </is>
      </c>
      <c r="D14" s="10" t="inlineStr">
        <is>
          <t>6005245001366</t>
        </is>
      </c>
      <c r="E14" s="10" t="inlineStr">
        <is>
          <t>HURRICANE LANTERN SMALL HM102</t>
        </is>
      </c>
      <c r="F14" s="10" t="inlineStr"/>
      <c r="G14" s="10" t="inlineStr"/>
      <c r="H14" s="10" t="inlineStr"/>
      <c r="I14" s="11" t="n">
        <v>53.95</v>
      </c>
      <c r="J14" s="6" t="n">
        <v>15</v>
      </c>
      <c r="K14" s="7">
        <f>IF(I14="","",I14*(1+J14/100))</f>
        <v/>
      </c>
      <c r="L14" s="12" t="inlineStr"/>
      <c r="M14" s="8">
        <f>IF(OR(L14="",K14="",L14=0),"",
  (L14-K14)/L14*100)</f>
        <v/>
      </c>
      <c r="N14" s="9" t="inlineStr"/>
      <c r="O14" s="10" t="inlineStr"/>
      <c r="P14" s="10" t="inlineStr"/>
      <c r="Q14" s="10" t="inlineStr"/>
      <c r="R14" s="10" t="inlineStr">
        <is>
          <t>2026-03-12</t>
        </is>
      </c>
      <c r="S14" s="10" t="inlineStr"/>
    </row>
    <row r="15">
      <c r="A15" s="3" t="inlineStr">
        <is>
          <t>F00017</t>
        </is>
      </c>
      <c r="B15" s="4" t="inlineStr">
        <is>
          <t>F00017</t>
        </is>
      </c>
      <c r="C15" s="4" t="inlineStr"/>
      <c r="D15" s="4" t="inlineStr"/>
      <c r="E15" s="3" t="inlineStr">
        <is>
          <t>SPARE GLASS FOR HM200 LANTERN</t>
        </is>
      </c>
      <c r="F15" s="4" t="inlineStr"/>
      <c r="G15" s="4" t="inlineStr"/>
      <c r="H15" s="4" t="inlineStr"/>
      <c r="I15" s="5" t="n">
        <v>8.99</v>
      </c>
      <c r="J15" s="6" t="n">
        <v>15</v>
      </c>
      <c r="K15" s="7">
        <f>IF(I15="","",I15*(1+J15/100))</f>
        <v/>
      </c>
      <c r="L15" s="12" t="inlineStr"/>
      <c r="M15" s="8">
        <f>IF(OR(L15="",K15="",L15=0),"",
  (L15-K15)/L15*100)</f>
        <v/>
      </c>
      <c r="N15" s="9" t="inlineStr"/>
      <c r="O15" s="4" t="inlineStr"/>
      <c r="P15" s="4" t="inlineStr"/>
      <c r="Q15" s="4" t="inlineStr"/>
      <c r="R15" s="4" t="inlineStr">
        <is>
          <t>2026-03-12</t>
        </is>
      </c>
      <c r="S15" s="4" t="inlineStr"/>
    </row>
    <row r="16">
      <c r="A16" s="10" t="inlineStr">
        <is>
          <t>F00018</t>
        </is>
      </c>
      <c r="B16" s="10" t="inlineStr">
        <is>
          <t>F00018</t>
        </is>
      </c>
      <c r="C16" s="10" t="inlineStr"/>
      <c r="D16" s="10" t="inlineStr"/>
      <c r="E16" s="10" t="inlineStr">
        <is>
          <t>SPARE GLASS FOR HM102 LANTERN</t>
        </is>
      </c>
      <c r="F16" s="10" t="inlineStr"/>
      <c r="G16" s="10" t="inlineStr"/>
      <c r="H16" s="10" t="inlineStr"/>
      <c r="I16" s="11" t="n">
        <v>4.19</v>
      </c>
      <c r="J16" s="6" t="n">
        <v>15</v>
      </c>
      <c r="K16" s="7">
        <f>IF(I16="","",I16*(1+J16/100))</f>
        <v/>
      </c>
      <c r="L16" s="12" t="inlineStr"/>
      <c r="M16" s="8">
        <f>IF(OR(L16="",K16="",L16=0),"",
  (L16-K16)/L16*100)</f>
        <v/>
      </c>
      <c r="N16" s="9" t="inlineStr"/>
      <c r="O16" s="10" t="inlineStr"/>
      <c r="P16" s="10" t="inlineStr"/>
      <c r="Q16" s="10" t="inlineStr"/>
      <c r="R16" s="10" t="inlineStr">
        <is>
          <t>2026-03-12</t>
        </is>
      </c>
      <c r="S16" s="10" t="inlineStr"/>
    </row>
    <row r="17">
      <c r="A17" s="3" t="inlineStr">
        <is>
          <t>F00019</t>
        </is>
      </c>
      <c r="B17" s="4" t="inlineStr">
        <is>
          <t>F00019</t>
        </is>
      </c>
      <c r="C17" s="4" t="inlineStr"/>
      <c r="D17" s="4" t="inlineStr">
        <is>
          <t>4895108563351</t>
        </is>
      </c>
      <c r="E17" s="3" t="inlineStr">
        <is>
          <t>IRON/BRD 42"DC-622 12MM WOODEN / 16MM TU</t>
        </is>
      </c>
      <c r="F17" s="4" t="inlineStr"/>
      <c r="G17" s="4" t="inlineStr"/>
      <c r="H17" s="4" t="inlineStr"/>
      <c r="I17" s="5" t="n">
        <v>64.5</v>
      </c>
      <c r="J17" s="6" t="n">
        <v>15</v>
      </c>
      <c r="K17" s="7">
        <f>IF(I17="","",I17*(1+J17/100))</f>
        <v/>
      </c>
      <c r="L17" s="12" t="inlineStr"/>
      <c r="M17" s="8">
        <f>IF(OR(L17="",K17="",L17=0),"",
  (L17-K17)/L17*100)</f>
        <v/>
      </c>
      <c r="N17" s="9" t="inlineStr"/>
      <c r="O17" s="4" t="inlineStr"/>
      <c r="P17" s="4" t="inlineStr"/>
      <c r="Q17" s="4" t="inlineStr"/>
      <c r="R17" s="4" t="inlineStr">
        <is>
          <t>2026-03-12</t>
        </is>
      </c>
      <c r="S17" s="4" t="inlineStr"/>
    </row>
    <row r="18">
      <c r="A18" s="10" t="inlineStr">
        <is>
          <t>F00020</t>
        </is>
      </c>
      <c r="B18" s="10" t="inlineStr">
        <is>
          <t>F00020</t>
        </is>
      </c>
      <c r="C18" s="10" t="inlineStr"/>
      <c r="D18" s="10" t="inlineStr">
        <is>
          <t>6009677016059</t>
        </is>
      </c>
      <c r="E18" s="10" t="inlineStr">
        <is>
          <t>TUMBLER VILLAGE 6s TRAY1238/PH6-P4 - 8OZ</t>
        </is>
      </c>
      <c r="F18" s="10" t="inlineStr"/>
      <c r="G18" s="10" t="inlineStr"/>
      <c r="H18" s="10" t="inlineStr"/>
      <c r="I18" s="11" t="n">
        <v>13.64</v>
      </c>
      <c r="J18" s="6" t="n">
        <v>15</v>
      </c>
      <c r="K18" s="7">
        <f>IF(I18="","",I18*(1+J18/100))</f>
        <v/>
      </c>
      <c r="L18" s="12" t="inlineStr"/>
      <c r="M18" s="8">
        <f>IF(OR(L18="",K18="",L18=0),"",
  (L18-K18)/L18*100)</f>
        <v/>
      </c>
      <c r="N18" s="9" t="inlineStr"/>
      <c r="O18" s="10" t="inlineStr"/>
      <c r="P18" s="10" t="inlineStr"/>
      <c r="Q18" s="10" t="inlineStr"/>
      <c r="R18" s="10" t="inlineStr">
        <is>
          <t>2026-03-12</t>
        </is>
      </c>
      <c r="S18" s="10" t="inlineStr"/>
    </row>
    <row r="19">
      <c r="A19" s="3" t="inlineStr">
        <is>
          <t>F00021</t>
        </is>
      </c>
      <c r="B19" s="4" t="inlineStr">
        <is>
          <t>F00021</t>
        </is>
      </c>
      <c r="C19" s="4" t="inlineStr"/>
      <c r="D19" s="4" t="inlineStr"/>
      <c r="E19" s="3" t="inlineStr">
        <is>
          <t>VINYL KOR 0.3/0.35MM 30MTR</t>
        </is>
      </c>
      <c r="F19" s="4" t="inlineStr"/>
      <c r="G19" s="4" t="inlineStr"/>
      <c r="H19" s="4" t="inlineStr"/>
      <c r="I19" s="5" t="n">
        <v>429</v>
      </c>
      <c r="J19" s="6" t="n">
        <v>15</v>
      </c>
      <c r="K19" s="7">
        <f>IF(I19="","",I19*(1+J19/100))</f>
        <v/>
      </c>
      <c r="L19" s="12" t="inlineStr"/>
      <c r="M19" s="8">
        <f>IF(OR(L19="",K19="",L19=0),"",
  (L19-K19)/L19*100)</f>
        <v/>
      </c>
      <c r="N19" s="14" t="n">
        <v>3756</v>
      </c>
      <c r="O19" s="4" t="inlineStr"/>
      <c r="P19" s="4" t="inlineStr"/>
      <c r="Q19" s="4" t="inlineStr"/>
      <c r="R19" s="4" t="inlineStr">
        <is>
          <t>2026-03-12</t>
        </is>
      </c>
      <c r="S19" s="4" t="inlineStr"/>
    </row>
    <row r="20">
      <c r="A20" s="10" t="inlineStr">
        <is>
          <t>F00022</t>
        </is>
      </c>
      <c r="B20" s="10" t="inlineStr">
        <is>
          <t>F00022</t>
        </is>
      </c>
      <c r="C20" s="10" t="inlineStr"/>
      <c r="D20" s="10" t="inlineStr">
        <is>
          <t>6009677011108</t>
        </is>
      </c>
      <c r="E20" s="10" t="inlineStr">
        <is>
          <t>VINYL KOR 0.3/0.35MM 5MTR</t>
        </is>
      </c>
      <c r="F20" s="10" t="inlineStr"/>
      <c r="G20" s="10" t="inlineStr"/>
      <c r="H20" s="10" t="inlineStr"/>
      <c r="I20" s="11" t="n">
        <v>66.95</v>
      </c>
      <c r="J20" s="6" t="n">
        <v>15</v>
      </c>
      <c r="K20" s="7">
        <f>IF(I20="","",I20*(1+J20/100))</f>
        <v/>
      </c>
      <c r="L20" s="12" t="inlineStr"/>
      <c r="M20" s="8">
        <f>IF(OR(L20="",K20="",L20=0),"",
  (L20-K20)/L20*100)</f>
        <v/>
      </c>
      <c r="N20" s="9" t="inlineStr"/>
      <c r="O20" s="10" t="inlineStr"/>
      <c r="P20" s="10" t="inlineStr"/>
      <c r="Q20" s="10" t="inlineStr"/>
      <c r="R20" s="10" t="inlineStr">
        <is>
          <t>2026-03-12</t>
        </is>
      </c>
      <c r="S20" s="10" t="inlineStr"/>
    </row>
    <row r="21">
      <c r="A21" s="3" t="inlineStr">
        <is>
          <t>F00023</t>
        </is>
      </c>
      <c r="B21" s="4" t="inlineStr">
        <is>
          <t>F00023</t>
        </is>
      </c>
      <c r="C21" s="4" t="inlineStr"/>
      <c r="D21" s="4" t="inlineStr">
        <is>
          <t>6009677011108</t>
        </is>
      </c>
      <c r="E21" s="3" t="inlineStr">
        <is>
          <t>VINYL KOR 0.3/0.35MM 5MTR SHRINK</t>
        </is>
      </c>
      <c r="F21" s="4" t="inlineStr"/>
      <c r="G21" s="4" t="inlineStr"/>
      <c r="H21" s="4" t="inlineStr"/>
      <c r="I21" s="5" t="n">
        <v>81.95</v>
      </c>
      <c r="J21" s="6" t="n">
        <v>15</v>
      </c>
      <c r="K21" s="7">
        <f>IF(I21="","",I21*(1+J21/100))</f>
        <v/>
      </c>
      <c r="L21" s="12" t="inlineStr"/>
      <c r="M21" s="8">
        <f>IF(OR(L21="",K21="",L21=0),"",
  (L21-K21)/L21*100)</f>
        <v/>
      </c>
      <c r="N21" s="9" t="inlineStr"/>
      <c r="O21" s="4" t="inlineStr"/>
      <c r="P21" s="4" t="inlineStr"/>
      <c r="Q21" s="4" t="inlineStr"/>
      <c r="R21" s="4" t="inlineStr">
        <is>
          <t>2026-03-12</t>
        </is>
      </c>
      <c r="S21" s="4" t="inlineStr"/>
    </row>
    <row r="22">
      <c r="A22" s="10" t="inlineStr">
        <is>
          <t>F00024</t>
        </is>
      </c>
      <c r="B22" s="10" t="inlineStr">
        <is>
          <t>F00024</t>
        </is>
      </c>
      <c r="C22" s="10" t="inlineStr"/>
      <c r="D22" s="10" t="inlineStr">
        <is>
          <t>6009708400048</t>
        </is>
      </c>
      <c r="E22" s="10" t="inlineStr">
        <is>
          <t>VINYL CHN 0.50MM 30MTR</t>
        </is>
      </c>
      <c r="F22" s="10" t="inlineStr"/>
      <c r="G22" s="10" t="inlineStr"/>
      <c r="H22" s="10" t="inlineStr"/>
      <c r="I22" s="11" t="n">
        <v>649</v>
      </c>
      <c r="J22" s="6" t="n">
        <v>15</v>
      </c>
      <c r="K22" s="7">
        <f>IF(I22="","",I22*(1+J22/100))</f>
        <v/>
      </c>
      <c r="L22" s="12" t="inlineStr"/>
      <c r="M22" s="8">
        <f>IF(OR(L22="",K22="",L22=0),"",
  (L22-K22)/L22*100)</f>
        <v/>
      </c>
      <c r="N22" s="13" t="n">
        <v>1013</v>
      </c>
      <c r="O22" s="10" t="inlineStr"/>
      <c r="P22" s="10" t="inlineStr"/>
      <c r="Q22" s="10" t="inlineStr"/>
      <c r="R22" s="10" t="inlineStr">
        <is>
          <t>2026-03-12</t>
        </is>
      </c>
      <c r="S22" s="10" t="inlineStr"/>
    </row>
    <row r="23">
      <c r="A23" s="3" t="inlineStr">
        <is>
          <t>F00025</t>
        </is>
      </c>
      <c r="B23" s="4" t="inlineStr">
        <is>
          <t>F00025</t>
        </is>
      </c>
      <c r="C23" s="4" t="inlineStr"/>
      <c r="D23" s="4" t="inlineStr"/>
      <c r="E23" s="3" t="inlineStr">
        <is>
          <t>VINYL CHN 0.50MM 5MTRS</t>
        </is>
      </c>
      <c r="F23" s="4" t="inlineStr"/>
      <c r="G23" s="4" t="inlineStr"/>
      <c r="H23" s="4" t="inlineStr"/>
      <c r="I23" s="5" t="n">
        <v>117</v>
      </c>
      <c r="J23" s="6" t="n">
        <v>15</v>
      </c>
      <c r="K23" s="7">
        <f>IF(I23="","",I23*(1+J23/100))</f>
        <v/>
      </c>
      <c r="L23" s="12" t="inlineStr"/>
      <c r="M23" s="8">
        <f>IF(OR(L23="",K23="",L23=0),"",
  (L23-K23)/L23*100)</f>
        <v/>
      </c>
      <c r="N23" s="9" t="inlineStr"/>
      <c r="O23" s="4" t="inlineStr"/>
      <c r="P23" s="4" t="inlineStr"/>
      <c r="Q23" s="4" t="inlineStr"/>
      <c r="R23" s="4" t="inlineStr">
        <is>
          <t>2026-03-12</t>
        </is>
      </c>
      <c r="S23" s="4" t="inlineStr"/>
    </row>
    <row r="24">
      <c r="A24" s="10" t="inlineStr">
        <is>
          <t>F00026</t>
        </is>
      </c>
      <c r="B24" s="10" t="inlineStr">
        <is>
          <t>F00026</t>
        </is>
      </c>
      <c r="C24" s="10" t="inlineStr"/>
      <c r="D24" s="10" t="inlineStr">
        <is>
          <t>6009677011115</t>
        </is>
      </c>
      <c r="E24" s="10" t="inlineStr">
        <is>
          <t>VINYL CHN 0.50MM 5M SHRINK</t>
        </is>
      </c>
      <c r="F24" s="10" t="inlineStr"/>
      <c r="G24" s="10" t="inlineStr"/>
      <c r="H24" s="10" t="inlineStr"/>
      <c r="I24" s="11" t="n">
        <v>125</v>
      </c>
      <c r="J24" s="6" t="n">
        <v>15</v>
      </c>
      <c r="K24" s="7">
        <f>IF(I24="","",I24*(1+J24/100))</f>
        <v/>
      </c>
      <c r="L24" s="12" t="inlineStr"/>
      <c r="M24" s="8">
        <f>IF(OR(L24="",K24="",L24=0),"",
  (L24-K24)/L24*100)</f>
        <v/>
      </c>
      <c r="N24" s="9" t="inlineStr"/>
      <c r="O24" s="10" t="inlineStr"/>
      <c r="P24" s="10" t="inlineStr"/>
      <c r="Q24" s="10" t="inlineStr"/>
      <c r="R24" s="10" t="inlineStr">
        <is>
          <t>2026-03-12</t>
        </is>
      </c>
      <c r="S24" s="10" t="inlineStr"/>
    </row>
    <row r="25">
      <c r="A25" s="3" t="inlineStr">
        <is>
          <t>F00027</t>
        </is>
      </c>
      <c r="B25" s="4" t="inlineStr">
        <is>
          <t>F00027</t>
        </is>
      </c>
      <c r="C25" s="4" t="inlineStr"/>
      <c r="D25" s="4" t="inlineStr"/>
      <c r="E25" s="3" t="inlineStr">
        <is>
          <t>VINYL KOR 0.3/0.35MM 4.28MTR</t>
        </is>
      </c>
      <c r="F25" s="4" t="inlineStr"/>
      <c r="G25" s="4" t="inlineStr"/>
      <c r="H25" s="4" t="inlineStr"/>
      <c r="I25" s="5" t="n">
        <v>57.95</v>
      </c>
      <c r="J25" s="6" t="n">
        <v>15</v>
      </c>
      <c r="K25" s="7">
        <f>IF(I25="","",I25*(1+J25/100))</f>
        <v/>
      </c>
      <c r="L25" s="12" t="inlineStr"/>
      <c r="M25" s="8">
        <f>IF(OR(L25="",K25="",L25=0),"",
  (L25-K25)/L25*100)</f>
        <v/>
      </c>
      <c r="N25" s="9" t="inlineStr"/>
      <c r="O25" s="4" t="inlineStr"/>
      <c r="P25" s="4" t="inlineStr"/>
      <c r="Q25" s="4" t="inlineStr"/>
      <c r="R25" s="4" t="inlineStr">
        <is>
          <t>2026-03-12</t>
        </is>
      </c>
      <c r="S25" s="4" t="inlineStr"/>
    </row>
    <row r="26">
      <c r="A26" s="10" t="inlineStr">
        <is>
          <t>F00030</t>
        </is>
      </c>
      <c r="B26" s="10" t="inlineStr">
        <is>
          <t>F00030</t>
        </is>
      </c>
      <c r="C26" s="10" t="inlineStr"/>
      <c r="D26" s="10" t="inlineStr">
        <is>
          <t>6009677015038</t>
        </is>
      </c>
      <c r="E26" s="10" t="inlineStr">
        <is>
          <t>MATHEMATICAL SETS</t>
        </is>
      </c>
      <c r="F26" s="10" t="inlineStr"/>
      <c r="G26" s="10" t="inlineStr"/>
      <c r="H26" s="10" t="inlineStr"/>
      <c r="I26" s="11" t="n">
        <v>3.99</v>
      </c>
      <c r="J26" s="6" t="n">
        <v>15</v>
      </c>
      <c r="K26" s="7">
        <f>IF(I26="","",I26*(1+J26/100))</f>
        <v/>
      </c>
      <c r="L26" s="12" t="inlineStr"/>
      <c r="M26" s="8">
        <f>IF(OR(L26="",K26="",L26=0),"",
  (L26-K26)/L26*100)</f>
        <v/>
      </c>
      <c r="N26" s="9" t="inlineStr"/>
      <c r="O26" s="10" t="inlineStr"/>
      <c r="P26" s="10" t="inlineStr"/>
      <c r="Q26" s="10" t="inlineStr"/>
      <c r="R26" s="10" t="inlineStr">
        <is>
          <t>2026-03-12</t>
        </is>
      </c>
      <c r="S26" s="10" t="inlineStr"/>
    </row>
    <row r="27">
      <c r="A27" s="3" t="inlineStr">
        <is>
          <t>F00031</t>
        </is>
      </c>
      <c r="B27" s="4" t="inlineStr">
        <is>
          <t>F00031</t>
        </is>
      </c>
      <c r="C27" s="4" t="inlineStr"/>
      <c r="D27" s="4" t="inlineStr"/>
      <c r="E27" s="3" t="inlineStr">
        <is>
          <t>VINYL CHN 0.50MM 6MTR SHRINK</t>
        </is>
      </c>
      <c r="F27" s="4" t="inlineStr"/>
      <c r="G27" s="4" t="inlineStr"/>
      <c r="H27" s="4" t="inlineStr"/>
      <c r="I27" s="5" t="n">
        <v>73.15000000000001</v>
      </c>
      <c r="J27" s="6" t="n">
        <v>15</v>
      </c>
      <c r="K27" s="7">
        <f>IF(I27="","",I27*(1+J27/100))</f>
        <v/>
      </c>
      <c r="L27" s="12" t="inlineStr"/>
      <c r="M27" s="8">
        <f>IF(OR(L27="",K27="",L27=0),"",
  (L27-K27)/L27*100)</f>
        <v/>
      </c>
      <c r="N27" s="9" t="inlineStr"/>
      <c r="O27" s="4" t="inlineStr"/>
      <c r="P27" s="4" t="inlineStr"/>
      <c r="Q27" s="4" t="inlineStr"/>
      <c r="R27" s="4" t="inlineStr">
        <is>
          <t>2026-03-12</t>
        </is>
      </c>
      <c r="S27" s="4" t="inlineStr"/>
    </row>
    <row r="28">
      <c r="A28" s="10" t="inlineStr">
        <is>
          <t>F00032</t>
        </is>
      </c>
      <c r="B28" s="10" t="inlineStr">
        <is>
          <t>F00032</t>
        </is>
      </c>
      <c r="C28" s="10" t="inlineStr"/>
      <c r="D28" s="10" t="inlineStr"/>
      <c r="E28" s="10" t="inlineStr">
        <is>
          <t>VINYL KOR 0.3/0.35MM 4MTR</t>
        </is>
      </c>
      <c r="F28" s="10" t="inlineStr"/>
      <c r="G28" s="10" t="inlineStr"/>
      <c r="H28" s="10" t="inlineStr"/>
      <c r="I28" s="11" t="n">
        <v>35.8</v>
      </c>
      <c r="J28" s="6" t="n">
        <v>15</v>
      </c>
      <c r="K28" s="7">
        <f>IF(I28="","",I28*(1+J28/100))</f>
        <v/>
      </c>
      <c r="L28" s="12" t="inlineStr"/>
      <c r="M28" s="8">
        <f>IF(OR(L28="",K28="",L28=0),"",
  (L28-K28)/L28*100)</f>
        <v/>
      </c>
      <c r="N28" s="9" t="inlineStr"/>
      <c r="O28" s="10" t="inlineStr"/>
      <c r="P28" s="10" t="inlineStr"/>
      <c r="Q28" s="10" t="inlineStr"/>
      <c r="R28" s="10" t="inlineStr">
        <is>
          <t>2026-03-12</t>
        </is>
      </c>
      <c r="S28" s="10" t="inlineStr"/>
    </row>
    <row r="29">
      <c r="A29" s="3" t="inlineStr">
        <is>
          <t>F00033</t>
        </is>
      </c>
      <c r="B29" s="4" t="inlineStr">
        <is>
          <t>F00033</t>
        </is>
      </c>
      <c r="C29" s="4" t="inlineStr"/>
      <c r="D29" s="4" t="inlineStr">
        <is>
          <t>6004049001787</t>
        </is>
      </c>
      <c r="E29" s="3" t="inlineStr">
        <is>
          <t>PEGS SUPA STRONG PLS 20S(8.8CM</t>
        </is>
      </c>
      <c r="F29" s="4" t="inlineStr"/>
      <c r="G29" s="4" t="inlineStr"/>
      <c r="H29" s="4" t="inlineStr"/>
      <c r="I29" s="5" t="n">
        <v>4.69</v>
      </c>
      <c r="J29" s="6" t="n">
        <v>15</v>
      </c>
      <c r="K29" s="7">
        <f>IF(I29="","",I29*(1+J29/100))</f>
        <v/>
      </c>
      <c r="L29" s="12" t="inlineStr"/>
      <c r="M29" s="8">
        <f>IF(OR(L29="",K29="",L29=0),"",
  (L29-K29)/L29*100)</f>
        <v/>
      </c>
      <c r="N29" s="9" t="inlineStr"/>
      <c r="O29" s="4" t="inlineStr"/>
      <c r="P29" s="4" t="inlineStr"/>
      <c r="Q29" s="4" t="inlineStr"/>
      <c r="R29" s="4" t="inlineStr">
        <is>
          <t>2026-03-12</t>
        </is>
      </c>
      <c r="S29" s="4" t="inlineStr"/>
    </row>
    <row r="30">
      <c r="A30" s="10" t="inlineStr">
        <is>
          <t>F00034</t>
        </is>
      </c>
      <c r="B30" s="10" t="inlineStr">
        <is>
          <t>F00034</t>
        </is>
      </c>
      <c r="C30" s="10" t="inlineStr"/>
      <c r="D30" s="10" t="inlineStr">
        <is>
          <t>6004049001749</t>
        </is>
      </c>
      <c r="E30" s="10" t="inlineStr">
        <is>
          <t>PEGS XTRA STRONG SUPER BRIGHT PLS 342</t>
        </is>
      </c>
      <c r="F30" s="10" t="inlineStr"/>
      <c r="G30" s="10" t="inlineStr"/>
      <c r="H30" s="10" t="inlineStr"/>
      <c r="I30" s="11" t="n">
        <v>12.5</v>
      </c>
      <c r="J30" s="6" t="n">
        <v>15</v>
      </c>
      <c r="K30" s="7">
        <f>IF(I30="","",I30*(1+J30/100))</f>
        <v/>
      </c>
      <c r="L30" s="12" t="inlineStr"/>
      <c r="M30" s="8">
        <f>IF(OR(L30="",K30="",L30=0),"",
  (L30-K30)/L30*100)</f>
        <v/>
      </c>
      <c r="N30" s="9" t="inlineStr"/>
      <c r="O30" s="10" t="inlineStr"/>
      <c r="P30" s="10" t="inlineStr"/>
      <c r="Q30" s="10" t="inlineStr"/>
      <c r="R30" s="10" t="inlineStr">
        <is>
          <t>2026-03-12</t>
        </is>
      </c>
      <c r="S30" s="10" t="inlineStr"/>
    </row>
    <row r="31">
      <c r="A31" s="3" t="inlineStr">
        <is>
          <t>F00039</t>
        </is>
      </c>
      <c r="B31" s="4" t="inlineStr">
        <is>
          <t>F00039</t>
        </is>
      </c>
      <c r="C31" s="4" t="inlineStr"/>
      <c r="D31" s="4" t="inlineStr">
        <is>
          <t>6009705651016</t>
        </is>
      </c>
      <c r="E31" s="3" t="inlineStr">
        <is>
          <t>PLATE 10"/10.5" LINE EDGE</t>
        </is>
      </c>
      <c r="F31" s="4" t="inlineStr"/>
      <c r="G31" s="4" t="inlineStr"/>
      <c r="H31" s="4" t="inlineStr"/>
      <c r="I31" s="5" t="n">
        <v>7.18</v>
      </c>
      <c r="J31" s="6" t="n">
        <v>15</v>
      </c>
      <c r="K31" s="7">
        <f>IF(I31="","",I31*(1+J31/100))</f>
        <v/>
      </c>
      <c r="L31" s="12" t="inlineStr"/>
      <c r="M31" s="8">
        <f>IF(OR(L31="",K31="",L31=0),"",
  (L31-K31)/L31*100)</f>
        <v/>
      </c>
      <c r="N31" s="9" t="inlineStr"/>
      <c r="O31" s="4" t="inlineStr"/>
      <c r="P31" s="4" t="inlineStr"/>
      <c r="Q31" s="4" t="inlineStr"/>
      <c r="R31" s="4" t="inlineStr">
        <is>
          <t>2026-03-12</t>
        </is>
      </c>
      <c r="S31" s="4" t="inlineStr"/>
    </row>
    <row r="32">
      <c r="A32" s="10" t="inlineStr">
        <is>
          <t>F00041</t>
        </is>
      </c>
      <c r="B32" s="10" t="inlineStr">
        <is>
          <t>F00041</t>
        </is>
      </c>
      <c r="C32" s="10" t="inlineStr"/>
      <c r="D32" s="10" t="inlineStr">
        <is>
          <t>6009705652877</t>
        </is>
      </c>
      <c r="E32" s="10" t="inlineStr">
        <is>
          <t>VINYL KOR 0.3/0.35MM 5MTR SMALL COR</t>
        </is>
      </c>
      <c r="F32" s="10" t="inlineStr"/>
      <c r="G32" s="10" t="inlineStr"/>
      <c r="H32" s="10" t="inlineStr"/>
      <c r="I32" s="11" t="n">
        <v>66.95</v>
      </c>
      <c r="J32" s="6" t="n">
        <v>15</v>
      </c>
      <c r="K32" s="7">
        <f>IF(I32="","",I32*(1+J32/100))</f>
        <v/>
      </c>
      <c r="L32" s="12" t="inlineStr"/>
      <c r="M32" s="8">
        <f>IF(OR(L32="",K32="",L32=0),"",
  (L32-K32)/L32*100)</f>
        <v/>
      </c>
      <c r="N32" s="9" t="inlineStr"/>
      <c r="O32" s="10" t="inlineStr"/>
      <c r="P32" s="10" t="inlineStr"/>
      <c r="Q32" s="10" t="inlineStr"/>
      <c r="R32" s="10" t="inlineStr">
        <is>
          <t>2026-03-12</t>
        </is>
      </c>
      <c r="S32" s="10" t="inlineStr"/>
    </row>
    <row r="33">
      <c r="A33" s="3" t="inlineStr">
        <is>
          <t>F00042</t>
        </is>
      </c>
      <c r="B33" s="4" t="inlineStr">
        <is>
          <t>F00042</t>
        </is>
      </c>
      <c r="C33" s="4" t="inlineStr">
        <is>
          <t>18965</t>
        </is>
      </c>
      <c r="D33" s="4" t="inlineStr">
        <is>
          <t>6009677015458</t>
        </is>
      </c>
      <c r="E33" s="3" t="inlineStr">
        <is>
          <t>HOT WATER BOTTLE 2L - A2000-3</t>
        </is>
      </c>
      <c r="F33" s="4" t="inlineStr"/>
      <c r="G33" s="4" t="inlineStr"/>
      <c r="H33" s="4" t="inlineStr"/>
      <c r="I33" s="5" t="n">
        <v>22.95</v>
      </c>
      <c r="J33" s="6" t="n">
        <v>15</v>
      </c>
      <c r="K33" s="7">
        <f>IF(I33="","",I33*(1+J33/100))</f>
        <v/>
      </c>
      <c r="L33" s="5" t="n">
        <v>190</v>
      </c>
      <c r="M33" s="8">
        <f>IF(OR(L33="",K33="",L33=0),"",
  (L33-K33)/L33*100)</f>
        <v/>
      </c>
      <c r="N33" s="14" t="n">
        <v>2333</v>
      </c>
      <c r="O33" s="4" t="inlineStr"/>
      <c r="P33" s="4" t="inlineStr"/>
      <c r="Q33" s="4" t="inlineStr"/>
      <c r="R33" s="4" t="inlineStr">
        <is>
          <t>2026-03-12</t>
        </is>
      </c>
      <c r="S33" s="4" t="inlineStr"/>
    </row>
    <row r="34">
      <c r="A34" s="10" t="inlineStr">
        <is>
          <t>F00043</t>
        </is>
      </c>
      <c r="B34" s="10" t="inlineStr">
        <is>
          <t>F00043</t>
        </is>
      </c>
      <c r="C34" s="10" t="inlineStr">
        <is>
          <t>10239</t>
        </is>
      </c>
      <c r="D34" s="10" t="inlineStr">
        <is>
          <t>6009677015465</t>
        </is>
      </c>
      <c r="E34" s="10" t="inlineStr">
        <is>
          <t>HOT WATER BOTTLE 2L FABRIC - A2000-C1</t>
        </is>
      </c>
      <c r="F34" s="10" t="inlineStr"/>
      <c r="G34" s="10" t="inlineStr"/>
      <c r="H34" s="10" t="inlineStr"/>
      <c r="I34" s="11" t="n">
        <v>24.95</v>
      </c>
      <c r="J34" s="6" t="n">
        <v>15</v>
      </c>
      <c r="K34" s="7">
        <f>IF(I34="","",I34*(1+J34/100))</f>
        <v/>
      </c>
      <c r="L34" s="11" t="n">
        <v>190</v>
      </c>
      <c r="M34" s="8">
        <f>IF(OR(L34="",K34="",L34=0),"",
  (L34-K34)/L34*100)</f>
        <v/>
      </c>
      <c r="N34" s="13" t="n">
        <v>3425</v>
      </c>
      <c r="O34" s="10" t="inlineStr"/>
      <c r="P34" s="10" t="inlineStr"/>
      <c r="Q34" s="10" t="inlineStr"/>
      <c r="R34" s="10" t="inlineStr">
        <is>
          <t>2026-03-12</t>
        </is>
      </c>
      <c r="S34" s="10" t="inlineStr"/>
    </row>
    <row r="35">
      <c r="A35" s="3" t="inlineStr">
        <is>
          <t>F00044</t>
        </is>
      </c>
      <c r="B35" s="4" t="inlineStr">
        <is>
          <t>F00044</t>
        </is>
      </c>
      <c r="C35" s="4" t="inlineStr"/>
      <c r="D35" s="4" t="inlineStr">
        <is>
          <t>6009677013676</t>
        </is>
      </c>
      <c r="E35" s="3" t="inlineStr">
        <is>
          <t>CALCULATOR SCIENTIFIC F/BACK - FX82LB</t>
        </is>
      </c>
      <c r="F35" s="4" t="inlineStr"/>
      <c r="G35" s="4" t="inlineStr"/>
      <c r="H35" s="4" t="inlineStr"/>
      <c r="I35" s="5" t="n">
        <v>9.949999999999999</v>
      </c>
      <c r="J35" s="6" t="n">
        <v>15</v>
      </c>
      <c r="K35" s="7">
        <f>IF(I35="","",I35*(1+J35/100))</f>
        <v/>
      </c>
      <c r="L35" s="12" t="inlineStr"/>
      <c r="M35" s="8">
        <f>IF(OR(L35="",K35="",L35=0),"",
  (L35-K35)/L35*100)</f>
        <v/>
      </c>
      <c r="N35" s="9" t="inlineStr"/>
      <c r="O35" s="4" t="inlineStr"/>
      <c r="P35" s="4" t="inlineStr"/>
      <c r="Q35" s="4" t="inlineStr"/>
      <c r="R35" s="4" t="inlineStr">
        <is>
          <t>2026-03-12</t>
        </is>
      </c>
      <c r="S35" s="4" t="inlineStr"/>
    </row>
    <row r="36">
      <c r="A36" s="10" t="inlineStr">
        <is>
          <t>F00048</t>
        </is>
      </c>
      <c r="B36" s="10" t="inlineStr">
        <is>
          <t>F00048</t>
        </is>
      </c>
      <c r="C36" s="10" t="inlineStr">
        <is>
          <t>32153</t>
        </is>
      </c>
      <c r="D36" s="10" t="inlineStr">
        <is>
          <t>6009677015496</t>
        </is>
      </c>
      <c r="E36" s="10" t="inlineStr">
        <is>
          <t>FLASK VACUUM 1LT MIXED COL/CTN - AA100T</t>
        </is>
      </c>
      <c r="F36" s="10" t="inlineStr"/>
      <c r="G36" s="10" t="inlineStr"/>
      <c r="H36" s="10" t="inlineStr"/>
      <c r="I36" s="11" t="n">
        <v>42.95</v>
      </c>
      <c r="J36" s="6" t="n">
        <v>15</v>
      </c>
      <c r="K36" s="7">
        <f>IF(I36="","",I36*(1+J36/100))</f>
        <v/>
      </c>
      <c r="L36" s="12" t="inlineStr"/>
      <c r="M36" s="8">
        <f>IF(OR(L36="",K36="",L36=0),"",
  (L36-K36)/L36*100)</f>
        <v/>
      </c>
      <c r="N36" s="13" t="n">
        <v>5827</v>
      </c>
      <c r="O36" s="10" t="inlineStr"/>
      <c r="P36" s="10" t="inlineStr"/>
      <c r="Q36" s="10" t="inlineStr"/>
      <c r="R36" s="10" t="inlineStr">
        <is>
          <t>2026-03-12</t>
        </is>
      </c>
      <c r="S36" s="10" t="inlineStr"/>
    </row>
    <row r="37">
      <c r="A37" s="3" t="inlineStr">
        <is>
          <t>F00049</t>
        </is>
      </c>
      <c r="B37" s="4" t="inlineStr">
        <is>
          <t>F00049</t>
        </is>
      </c>
      <c r="C37" s="4" t="inlineStr">
        <is>
          <t>32154</t>
        </is>
      </c>
      <c r="D37" s="4" t="inlineStr">
        <is>
          <t>6009677015502</t>
        </is>
      </c>
      <c r="E37" s="3" t="inlineStr">
        <is>
          <t>FLASK VACUUM 1.8LT MIX COL/CTN - AA180T</t>
        </is>
      </c>
      <c r="F37" s="4" t="inlineStr"/>
      <c r="G37" s="4" t="inlineStr"/>
      <c r="H37" s="4" t="inlineStr"/>
      <c r="I37" s="5" t="n">
        <v>52.95</v>
      </c>
      <c r="J37" s="6" t="n">
        <v>15</v>
      </c>
      <c r="K37" s="7">
        <f>IF(I37="","",I37*(1+J37/100))</f>
        <v/>
      </c>
      <c r="L37" s="12" t="inlineStr"/>
      <c r="M37" s="8">
        <f>IF(OR(L37="",K37="",L37=0),"",
  (L37-K37)/L37*100)</f>
        <v/>
      </c>
      <c r="N37" s="14" t="n">
        <v>8198</v>
      </c>
      <c r="O37" s="4" t="inlineStr"/>
      <c r="P37" s="4" t="inlineStr"/>
      <c r="Q37" s="4" t="inlineStr"/>
      <c r="R37" s="4" t="inlineStr">
        <is>
          <t>2026-03-12</t>
        </is>
      </c>
      <c r="S37" s="4" t="inlineStr"/>
    </row>
    <row r="38">
      <c r="A38" s="10" t="inlineStr">
        <is>
          <t>F00050</t>
        </is>
      </c>
      <c r="B38" s="10" t="inlineStr">
        <is>
          <t>F00050</t>
        </is>
      </c>
      <c r="C38" s="10" t="inlineStr">
        <is>
          <t>32152</t>
        </is>
      </c>
      <c r="D38" s="10" t="inlineStr">
        <is>
          <t>6009677015484</t>
        </is>
      </c>
      <c r="E38" s="10" t="inlineStr">
        <is>
          <t>FLASK VACUUM .45LT MIX COL/CTN - 1044HT</t>
        </is>
      </c>
      <c r="F38" s="10" t="inlineStr"/>
      <c r="G38" s="10" t="inlineStr"/>
      <c r="H38" s="10" t="inlineStr"/>
      <c r="I38" s="11" t="n">
        <v>33.95</v>
      </c>
      <c r="J38" s="6" t="n">
        <v>15</v>
      </c>
      <c r="K38" s="7">
        <f>IF(I38="","",I38*(1+J38/100))</f>
        <v/>
      </c>
      <c r="L38" s="12" t="inlineStr"/>
      <c r="M38" s="8">
        <f>IF(OR(L38="",K38="",L38=0),"",
  (L38-K38)/L38*100)</f>
        <v/>
      </c>
      <c r="N38" s="13" t="n">
        <v>6517</v>
      </c>
      <c r="O38" s="10" t="inlineStr"/>
      <c r="P38" s="10" t="inlineStr"/>
      <c r="Q38" s="10" t="inlineStr"/>
      <c r="R38" s="10" t="inlineStr">
        <is>
          <t>2026-03-12</t>
        </is>
      </c>
      <c r="S38" s="10" t="inlineStr"/>
    </row>
    <row r="39">
      <c r="A39" s="3" t="inlineStr">
        <is>
          <t>F00054</t>
        </is>
      </c>
      <c r="B39" s="4" t="inlineStr">
        <is>
          <t>F00054</t>
        </is>
      </c>
      <c r="C39" s="4" t="inlineStr"/>
      <c r="D39" s="4" t="inlineStr">
        <is>
          <t>6009677018169</t>
        </is>
      </c>
      <c r="E39" s="3" t="inlineStr">
        <is>
          <t>HOT WATER BOTTLE 1L - A1000-1</t>
        </is>
      </c>
      <c r="F39" s="4" t="inlineStr"/>
      <c r="G39" s="4" t="inlineStr"/>
      <c r="H39" s="4" t="inlineStr"/>
      <c r="I39" s="5" t="n">
        <v>19.95</v>
      </c>
      <c r="J39" s="6" t="n">
        <v>15</v>
      </c>
      <c r="K39" s="7">
        <f>IF(I39="","",I39*(1+J39/100))</f>
        <v/>
      </c>
      <c r="L39" s="12" t="inlineStr"/>
      <c r="M39" s="8">
        <f>IF(OR(L39="",K39="",L39=0),"",
  (L39-K39)/L39*100)</f>
        <v/>
      </c>
      <c r="N39" s="9" t="inlineStr"/>
      <c r="O39" s="4" t="inlineStr"/>
      <c r="P39" s="4" t="inlineStr"/>
      <c r="Q39" s="4" t="inlineStr"/>
      <c r="R39" s="4" t="inlineStr">
        <is>
          <t>2026-03-12</t>
        </is>
      </c>
      <c r="S39" s="4" t="inlineStr"/>
    </row>
    <row r="40">
      <c r="A40" s="10" t="inlineStr">
        <is>
          <t>F00059</t>
        </is>
      </c>
      <c r="B40" s="10" t="inlineStr">
        <is>
          <t>F00059</t>
        </is>
      </c>
      <c r="C40" s="10" t="inlineStr"/>
      <c r="D40" s="10" t="inlineStr">
        <is>
          <t>6009677013737</t>
        </is>
      </c>
      <c r="E40" s="10" t="inlineStr">
        <is>
          <t>CALCULATOR 8 DIGIT 200/100PK - EL-231</t>
        </is>
      </c>
      <c r="F40" s="10" t="inlineStr"/>
      <c r="G40" s="10" t="inlineStr"/>
      <c r="H40" s="10" t="inlineStr"/>
      <c r="I40" s="11" t="n">
        <v>4.89</v>
      </c>
      <c r="J40" s="6" t="n">
        <v>15</v>
      </c>
      <c r="K40" s="7">
        <f>IF(I40="","",I40*(1+J40/100))</f>
        <v/>
      </c>
      <c r="L40" s="12" t="inlineStr"/>
      <c r="M40" s="8">
        <f>IF(OR(L40="",K40="",L40=0),"",
  (L40-K40)/L40*100)</f>
        <v/>
      </c>
      <c r="N40" s="9" t="inlineStr"/>
      <c r="O40" s="10" t="inlineStr"/>
      <c r="P40" s="10" t="inlineStr"/>
      <c r="Q40" s="10" t="inlineStr"/>
      <c r="R40" s="10" t="inlineStr">
        <is>
          <t>2026-03-12</t>
        </is>
      </c>
      <c r="S40" s="10" t="inlineStr"/>
    </row>
    <row r="41">
      <c r="A41" s="3" t="inlineStr">
        <is>
          <t>F00064</t>
        </is>
      </c>
      <c r="B41" s="4" t="inlineStr">
        <is>
          <t>F00064</t>
        </is>
      </c>
      <c r="C41" s="4" t="inlineStr"/>
      <c r="D41" s="4" t="inlineStr"/>
      <c r="E41" s="3" t="inlineStr">
        <is>
          <t>FLASH ELECTRONIC UNIT - AR-201</t>
        </is>
      </c>
      <c r="F41" s="4" t="inlineStr"/>
      <c r="G41" s="4" t="inlineStr"/>
      <c r="H41" s="4" t="inlineStr"/>
      <c r="I41" s="5" t="n">
        <v>2</v>
      </c>
      <c r="J41" s="6" t="n">
        <v>15</v>
      </c>
      <c r="K41" s="7">
        <f>IF(I41="","",I41*(1+J41/100))</f>
        <v/>
      </c>
      <c r="L41" s="12" t="inlineStr"/>
      <c r="M41" s="8">
        <f>IF(OR(L41="",K41="",L41=0),"",
  (L41-K41)/L41*100)</f>
        <v/>
      </c>
      <c r="N41" s="14" t="n">
        <v>3576</v>
      </c>
      <c r="O41" s="4" t="inlineStr"/>
      <c r="P41" s="4" t="inlineStr"/>
      <c r="Q41" s="4" t="inlineStr"/>
      <c r="R41" s="4" t="inlineStr">
        <is>
          <t>2026-03-12</t>
        </is>
      </c>
      <c r="S41" s="4" t="inlineStr"/>
    </row>
    <row r="42">
      <c r="A42" s="10" t="inlineStr">
        <is>
          <t>F00067</t>
        </is>
      </c>
      <c r="B42" s="10" t="inlineStr">
        <is>
          <t>F00067</t>
        </is>
      </c>
      <c r="C42" s="10" t="inlineStr"/>
      <c r="D42" s="10" t="inlineStr">
        <is>
          <t>6009677015311</t>
        </is>
      </c>
      <c r="E42" s="10" t="inlineStr">
        <is>
          <t>DRINK SET 7PC(gold rim)blu box - C1390G</t>
        </is>
      </c>
      <c r="F42" s="10" t="inlineStr"/>
      <c r="G42" s="10" t="inlineStr"/>
      <c r="H42" s="10" t="inlineStr"/>
      <c r="I42" s="11" t="n">
        <v>40.95</v>
      </c>
      <c r="J42" s="6" t="n">
        <v>15</v>
      </c>
      <c r="K42" s="7">
        <f>IF(I42="","",I42*(1+J42/100))</f>
        <v/>
      </c>
      <c r="L42" s="12" t="inlineStr"/>
      <c r="M42" s="8">
        <f>IF(OR(L42="",K42="",L42=0),"",
  (L42-K42)/L42*100)</f>
        <v/>
      </c>
      <c r="N42" s="9" t="inlineStr"/>
      <c r="O42" s="10" t="inlineStr"/>
      <c r="P42" s="10" t="inlineStr"/>
      <c r="Q42" s="10" t="inlineStr"/>
      <c r="R42" s="10" t="inlineStr">
        <is>
          <t>2026-03-12</t>
        </is>
      </c>
      <c r="S42" s="10" t="inlineStr"/>
    </row>
    <row r="43">
      <c r="A43" s="3" t="inlineStr">
        <is>
          <t>F00076</t>
        </is>
      </c>
      <c r="B43" s="4" t="inlineStr">
        <is>
          <t>F00076</t>
        </is>
      </c>
      <c r="C43" s="4" t="inlineStr"/>
      <c r="D43" s="4" t="inlineStr">
        <is>
          <t>6009677018091</t>
        </is>
      </c>
      <c r="E43" s="3" t="inlineStr">
        <is>
          <t>GLASS CHIMNEY 48s</t>
        </is>
      </c>
      <c r="F43" s="4" t="inlineStr"/>
      <c r="G43" s="4" t="inlineStr"/>
      <c r="H43" s="4" t="inlineStr"/>
      <c r="I43" s="5" t="n">
        <v>4.69</v>
      </c>
      <c r="J43" s="6" t="n">
        <v>15</v>
      </c>
      <c r="K43" s="7">
        <f>IF(I43="","",I43*(1+J43/100))</f>
        <v/>
      </c>
      <c r="L43" s="12" t="inlineStr"/>
      <c r="M43" s="8">
        <f>IF(OR(L43="",K43="",L43=0),"",
  (L43-K43)/L43*100)</f>
        <v/>
      </c>
      <c r="N43" s="9" t="inlineStr"/>
      <c r="O43" s="4" t="inlineStr"/>
      <c r="P43" s="4" t="inlineStr"/>
      <c r="Q43" s="4" t="inlineStr"/>
      <c r="R43" s="4" t="inlineStr">
        <is>
          <t>2026-03-12</t>
        </is>
      </c>
      <c r="S43" s="4" t="inlineStr"/>
    </row>
    <row r="44">
      <c r="A44" s="10" t="inlineStr">
        <is>
          <t>F00078</t>
        </is>
      </c>
      <c r="B44" s="10" t="inlineStr">
        <is>
          <t>F00078</t>
        </is>
      </c>
      <c r="C44" s="10" t="inlineStr"/>
      <c r="D44" s="10" t="inlineStr">
        <is>
          <t>6009677014444</t>
        </is>
      </c>
      <c r="E44" s="10" t="inlineStr">
        <is>
          <t>MUG ENAMEL 8CM PER DOZEN</t>
        </is>
      </c>
      <c r="F44" s="10" t="inlineStr"/>
      <c r="G44" s="10" t="inlineStr"/>
      <c r="H44" s="10" t="inlineStr"/>
      <c r="I44" s="11" t="n">
        <v>33.57</v>
      </c>
      <c r="J44" s="6" t="n">
        <v>15</v>
      </c>
      <c r="K44" s="7">
        <f>IF(I44="","",I44*(1+J44/100))</f>
        <v/>
      </c>
      <c r="L44" s="12" t="inlineStr"/>
      <c r="M44" s="8">
        <f>IF(OR(L44="",K44="",L44=0),"",
  (L44-K44)/L44*100)</f>
        <v/>
      </c>
      <c r="N44" s="9" t="inlineStr"/>
      <c r="O44" s="10" t="inlineStr"/>
      <c r="P44" s="10" t="inlineStr"/>
      <c r="Q44" s="10" t="inlineStr"/>
      <c r="R44" s="10" t="inlineStr">
        <is>
          <t>2026-03-12</t>
        </is>
      </c>
      <c r="S44" s="10" t="inlineStr"/>
    </row>
    <row r="45">
      <c r="A45" s="3" t="inlineStr">
        <is>
          <t>F00079</t>
        </is>
      </c>
      <c r="B45" s="4" t="inlineStr">
        <is>
          <t>F00079</t>
        </is>
      </c>
      <c r="C45" s="4" t="inlineStr">
        <is>
          <t>19366</t>
        </is>
      </c>
      <c r="D45" s="4" t="inlineStr">
        <is>
          <t>6009677017964</t>
        </is>
      </c>
      <c r="E45" s="3" t="inlineStr">
        <is>
          <t>MAT WELCOME PVC 4 CLRS 40X60CM PLS3858</t>
        </is>
      </c>
      <c r="F45" s="4" t="inlineStr"/>
      <c r="G45" s="4" t="inlineStr"/>
      <c r="H45" s="4" t="inlineStr"/>
      <c r="I45" s="5" t="n">
        <v>28.95</v>
      </c>
      <c r="J45" s="6" t="n">
        <v>15</v>
      </c>
      <c r="K45" s="7">
        <f>IF(I45="","",I45*(1+J45/100))</f>
        <v/>
      </c>
      <c r="L45" s="12" t="inlineStr"/>
      <c r="M45" s="8">
        <f>IF(OR(L45="",K45="",L45=0),"",
  (L45-K45)/L45*100)</f>
        <v/>
      </c>
      <c r="N45" s="9" t="inlineStr"/>
      <c r="O45" s="4" t="inlineStr"/>
      <c r="P45" s="4" t="inlineStr"/>
      <c r="Q45" s="4" t="inlineStr"/>
      <c r="R45" s="4" t="inlineStr">
        <is>
          <t>2026-03-12</t>
        </is>
      </c>
      <c r="S45" s="4" t="inlineStr"/>
    </row>
    <row r="46">
      <c r="A46" s="10" t="inlineStr">
        <is>
          <t>F00084</t>
        </is>
      </c>
      <c r="B46" s="10" t="inlineStr">
        <is>
          <t>F00084</t>
        </is>
      </c>
      <c r="C46" s="10" t="inlineStr"/>
      <c r="D46" s="10" t="inlineStr"/>
      <c r="E46" s="10" t="inlineStr">
        <is>
          <t>VINYL KOR 0.3/0.35MM 3.75MTR</t>
        </is>
      </c>
      <c r="F46" s="10" t="inlineStr"/>
      <c r="G46" s="10" t="inlineStr"/>
      <c r="H46" s="10" t="inlineStr"/>
      <c r="I46" s="11" t="n">
        <v>33.7</v>
      </c>
      <c r="J46" s="6" t="n">
        <v>15</v>
      </c>
      <c r="K46" s="7">
        <f>IF(I46="","",I46*(1+J46/100))</f>
        <v/>
      </c>
      <c r="L46" s="12" t="inlineStr"/>
      <c r="M46" s="8">
        <f>IF(OR(L46="",K46="",L46=0),"",
  (L46-K46)/L46*100)</f>
        <v/>
      </c>
      <c r="N46" s="9" t="inlineStr"/>
      <c r="O46" s="10" t="inlineStr"/>
      <c r="P46" s="10" t="inlineStr"/>
      <c r="Q46" s="10" t="inlineStr"/>
      <c r="R46" s="10" t="inlineStr">
        <is>
          <t>2026-03-12</t>
        </is>
      </c>
      <c r="S46" s="10" t="inlineStr"/>
    </row>
    <row r="47">
      <c r="A47" s="3" t="inlineStr">
        <is>
          <t>F00085</t>
        </is>
      </c>
      <c r="B47" s="4" t="inlineStr">
        <is>
          <t>F00085</t>
        </is>
      </c>
      <c r="C47" s="4" t="inlineStr"/>
      <c r="D47" s="4" t="inlineStr"/>
      <c r="E47" s="3" t="inlineStr">
        <is>
          <t>VINYL CHN 0.50MM 4.28M</t>
        </is>
      </c>
      <c r="F47" s="4" t="inlineStr"/>
      <c r="G47" s="4" t="inlineStr"/>
      <c r="H47" s="4" t="inlineStr"/>
      <c r="I47" s="5" t="n">
        <v>46</v>
      </c>
      <c r="J47" s="6" t="n">
        <v>15</v>
      </c>
      <c r="K47" s="7">
        <f>IF(I47="","",I47*(1+J47/100))</f>
        <v/>
      </c>
      <c r="L47" s="12" t="inlineStr"/>
      <c r="M47" s="8">
        <f>IF(OR(L47="",K47="",L47=0),"",
  (L47-K47)/L47*100)</f>
        <v/>
      </c>
      <c r="N47" s="9" t="inlineStr"/>
      <c r="O47" s="4" t="inlineStr"/>
      <c r="P47" s="4" t="inlineStr"/>
      <c r="Q47" s="4" t="inlineStr"/>
      <c r="R47" s="4" t="inlineStr">
        <is>
          <t>2026-03-12</t>
        </is>
      </c>
      <c r="S47" s="4" t="inlineStr"/>
    </row>
    <row r="48">
      <c r="A48" s="10" t="inlineStr">
        <is>
          <t>F00087</t>
        </is>
      </c>
      <c r="B48" s="10" t="inlineStr">
        <is>
          <t>F00087</t>
        </is>
      </c>
      <c r="C48" s="10" t="inlineStr">
        <is>
          <t>32129</t>
        </is>
      </c>
      <c r="D48" s="10" t="inlineStr">
        <is>
          <t>6005245001373</t>
        </is>
      </c>
      <c r="E48" s="10" t="inlineStr">
        <is>
          <t>HURRICANE LANTERN MEDIUM HM100</t>
        </is>
      </c>
      <c r="F48" s="10" t="inlineStr"/>
      <c r="G48" s="10" t="inlineStr"/>
      <c r="H48" s="10" t="inlineStr"/>
      <c r="I48" s="11" t="n">
        <v>64.95</v>
      </c>
      <c r="J48" s="6" t="n">
        <v>15</v>
      </c>
      <c r="K48" s="7">
        <f>IF(I48="","",I48*(1+J48/100))</f>
        <v/>
      </c>
      <c r="L48" s="12" t="inlineStr"/>
      <c r="M48" s="8">
        <f>IF(OR(L48="",K48="",L48=0),"",
  (L48-K48)/L48*100)</f>
        <v/>
      </c>
      <c r="N48" s="13" t="n">
        <v>4</v>
      </c>
      <c r="O48" s="10" t="inlineStr"/>
      <c r="P48" s="10" t="inlineStr"/>
      <c r="Q48" s="10" t="inlineStr"/>
      <c r="R48" s="10" t="inlineStr">
        <is>
          <t>2026-03-12</t>
        </is>
      </c>
      <c r="S48" s="10" t="inlineStr"/>
    </row>
    <row r="49">
      <c r="A49" s="3" t="inlineStr">
        <is>
          <t>F00088</t>
        </is>
      </c>
      <c r="B49" s="4" t="inlineStr">
        <is>
          <t>F00088</t>
        </is>
      </c>
      <c r="C49" s="4" t="inlineStr"/>
      <c r="D49" s="4" t="inlineStr">
        <is>
          <t>6009677016066</t>
        </is>
      </c>
      <c r="E49" s="3" t="inlineStr">
        <is>
          <t>TUMBLER VILLAGE 3s PH4 -  8OZ 3PCE</t>
        </is>
      </c>
      <c r="F49" s="4" t="inlineStr"/>
      <c r="G49" s="4" t="inlineStr"/>
      <c r="H49" s="4" t="inlineStr"/>
      <c r="I49" s="5" t="n">
        <v>6.9</v>
      </c>
      <c r="J49" s="6" t="n">
        <v>15</v>
      </c>
      <c r="K49" s="7">
        <f>IF(I49="","",I49*(1+J49/100))</f>
        <v/>
      </c>
      <c r="L49" s="12" t="inlineStr"/>
      <c r="M49" s="8">
        <f>IF(OR(L49="",K49="",L49=0),"",
  (L49-K49)/L49*100)</f>
        <v/>
      </c>
      <c r="N49" s="9" t="inlineStr"/>
      <c r="O49" s="4" t="inlineStr"/>
      <c r="P49" s="4" t="inlineStr"/>
      <c r="Q49" s="4" t="inlineStr"/>
      <c r="R49" s="4" t="inlineStr">
        <is>
          <t>2026-03-12</t>
        </is>
      </c>
      <c r="S49" s="4" t="inlineStr"/>
    </row>
    <row r="50">
      <c r="A50" s="10" t="inlineStr">
        <is>
          <t>F00095</t>
        </is>
      </c>
      <c r="B50" s="10" t="inlineStr">
        <is>
          <t>F00095</t>
        </is>
      </c>
      <c r="C50" s="10" t="inlineStr"/>
      <c r="D50" s="10" t="inlineStr">
        <is>
          <t>6009677019517</t>
        </is>
      </c>
      <c r="E50" s="10" t="inlineStr">
        <is>
          <t>VINYL KOR 0.3/0.35MM 4.28M SHRINK</t>
        </is>
      </c>
      <c r="F50" s="10" t="inlineStr"/>
      <c r="G50" s="10" t="inlineStr"/>
      <c r="H50" s="10" t="inlineStr"/>
      <c r="I50" s="11" t="n">
        <v>74.95</v>
      </c>
      <c r="J50" s="6" t="n">
        <v>15</v>
      </c>
      <c r="K50" s="7">
        <f>IF(I50="","",I50*(1+J50/100))</f>
        <v/>
      </c>
      <c r="L50" s="12" t="inlineStr"/>
      <c r="M50" s="8">
        <f>IF(OR(L50="",K50="",L50=0),"",
  (L50-K50)/L50*100)</f>
        <v/>
      </c>
      <c r="N50" s="9" t="inlineStr"/>
      <c r="O50" s="10" t="inlineStr"/>
      <c r="P50" s="10" t="inlineStr"/>
      <c r="Q50" s="10" t="inlineStr"/>
      <c r="R50" s="10" t="inlineStr">
        <is>
          <t>2026-03-12</t>
        </is>
      </c>
      <c r="S50" s="10" t="inlineStr"/>
    </row>
    <row r="51">
      <c r="A51" s="3" t="inlineStr">
        <is>
          <t>F00096</t>
        </is>
      </c>
      <c r="B51" s="4" t="inlineStr">
        <is>
          <t>F00096</t>
        </is>
      </c>
      <c r="C51" s="4" t="inlineStr"/>
      <c r="D51" s="4" t="inlineStr">
        <is>
          <t>6009708400024</t>
        </is>
      </c>
      <c r="E51" s="3" t="inlineStr">
        <is>
          <t>VINYL CHN 0.50MM 4.28MT SHRINK</t>
        </is>
      </c>
      <c r="F51" s="4" t="inlineStr"/>
      <c r="G51" s="4" t="inlineStr"/>
      <c r="H51" s="4" t="inlineStr"/>
      <c r="I51" s="5" t="n">
        <v>115</v>
      </c>
      <c r="J51" s="6" t="n">
        <v>15</v>
      </c>
      <c r="K51" s="7">
        <f>IF(I51="","",I51*(1+J51/100))</f>
        <v/>
      </c>
      <c r="L51" s="12" t="inlineStr"/>
      <c r="M51" s="8">
        <f>IF(OR(L51="",K51="",L51=0),"",
  (L51-K51)/L51*100)</f>
        <v/>
      </c>
      <c r="N51" s="9" t="inlineStr"/>
      <c r="O51" s="4" t="inlineStr"/>
      <c r="P51" s="4" t="inlineStr"/>
      <c r="Q51" s="4" t="inlineStr"/>
      <c r="R51" s="4" t="inlineStr">
        <is>
          <t>2026-03-12</t>
        </is>
      </c>
      <c r="S51" s="4" t="inlineStr"/>
    </row>
    <row r="52">
      <c r="A52" s="10" t="inlineStr">
        <is>
          <t>F00097</t>
        </is>
      </c>
      <c r="B52" s="10" t="inlineStr">
        <is>
          <t>F00097</t>
        </is>
      </c>
      <c r="C52" s="10" t="inlineStr"/>
      <c r="D52" s="10" t="inlineStr"/>
      <c r="E52" s="10" t="inlineStr">
        <is>
          <t>VINYL KOR 0.3/0.35MM 4.28M SML CORE</t>
        </is>
      </c>
      <c r="F52" s="10" t="inlineStr"/>
      <c r="G52" s="10" t="inlineStr"/>
      <c r="H52" s="10" t="inlineStr"/>
      <c r="I52" s="11" t="n">
        <v>57.95</v>
      </c>
      <c r="J52" s="6" t="n">
        <v>15</v>
      </c>
      <c r="K52" s="7">
        <f>IF(I52="","",I52*(1+J52/100))</f>
        <v/>
      </c>
      <c r="L52" s="12" t="inlineStr"/>
      <c r="M52" s="8">
        <f>IF(OR(L52="",K52="",L52=0),"",
  (L52-K52)/L52*100)</f>
        <v/>
      </c>
      <c r="N52" s="9" t="inlineStr"/>
      <c r="O52" s="10" t="inlineStr"/>
      <c r="P52" s="10" t="inlineStr"/>
      <c r="Q52" s="10" t="inlineStr"/>
      <c r="R52" s="10" t="inlineStr">
        <is>
          <t>2026-03-12</t>
        </is>
      </c>
      <c r="S52" s="10" t="inlineStr"/>
    </row>
    <row r="53">
      <c r="A53" s="3" t="inlineStr">
        <is>
          <t>F00099</t>
        </is>
      </c>
      <c r="B53" s="4" t="inlineStr">
        <is>
          <t>F00099</t>
        </is>
      </c>
      <c r="C53" s="4" t="inlineStr"/>
      <c r="D53" s="4" t="inlineStr">
        <is>
          <t>6009677017629</t>
        </is>
      </c>
      <c r="E53" s="3" t="inlineStr">
        <is>
          <t>CLEANER KIT 4IN1 CD/DVD# - PLS401B</t>
        </is>
      </c>
      <c r="F53" s="4" t="inlineStr"/>
      <c r="G53" s="4" t="inlineStr"/>
      <c r="H53" s="4" t="inlineStr"/>
      <c r="I53" s="5" t="n">
        <v>11.29</v>
      </c>
      <c r="J53" s="6" t="n">
        <v>15</v>
      </c>
      <c r="K53" s="7">
        <f>IF(I53="","",I53*(1+J53/100))</f>
        <v/>
      </c>
      <c r="L53" s="12" t="inlineStr"/>
      <c r="M53" s="8">
        <f>IF(OR(L53="",K53="",L53=0),"",
  (L53-K53)/L53*100)</f>
        <v/>
      </c>
      <c r="N53" s="9" t="inlineStr"/>
      <c r="O53" s="4" t="inlineStr"/>
      <c r="P53" s="4" t="inlineStr"/>
      <c r="Q53" s="4" t="inlineStr"/>
      <c r="R53" s="4" t="inlineStr">
        <is>
          <t>2026-03-12</t>
        </is>
      </c>
      <c r="S53" s="4" t="inlineStr"/>
    </row>
    <row r="54">
      <c r="A54" s="10" t="inlineStr">
        <is>
          <t>F00105</t>
        </is>
      </c>
      <c r="B54" s="10" t="inlineStr">
        <is>
          <t>F00105</t>
        </is>
      </c>
      <c r="C54" s="10" t="inlineStr"/>
      <c r="D54" s="10" t="inlineStr">
        <is>
          <t>6009677018213</t>
        </is>
      </c>
      <c r="E54" s="10" t="inlineStr">
        <is>
          <t>IRONING BOARD 54" BETTER-MESH - PLS13638</t>
        </is>
      </c>
      <c r="F54" s="10" t="inlineStr"/>
      <c r="G54" s="10" t="inlineStr"/>
      <c r="H54" s="10" t="inlineStr"/>
      <c r="I54" s="11" t="n">
        <v>129</v>
      </c>
      <c r="J54" s="6" t="n">
        <v>15</v>
      </c>
      <c r="K54" s="7">
        <f>IF(I54="","",I54*(1+J54/100))</f>
        <v/>
      </c>
      <c r="L54" s="12" t="inlineStr"/>
      <c r="M54" s="8">
        <f>IF(OR(L54="",K54="",L54=0),"",
  (L54-K54)/L54*100)</f>
        <v/>
      </c>
      <c r="N54" s="9" t="inlineStr"/>
      <c r="O54" s="10" t="inlineStr"/>
      <c r="P54" s="10" t="inlineStr"/>
      <c r="Q54" s="10" t="inlineStr"/>
      <c r="R54" s="10" t="inlineStr">
        <is>
          <t>2026-03-12</t>
        </is>
      </c>
      <c r="S54" s="10" t="inlineStr"/>
    </row>
    <row r="55">
      <c r="A55" s="3" t="inlineStr">
        <is>
          <t>F00108</t>
        </is>
      </c>
      <c r="B55" s="4" t="inlineStr">
        <is>
          <t>F00108</t>
        </is>
      </c>
      <c r="C55" s="4" t="inlineStr"/>
      <c r="D55" s="4" t="inlineStr"/>
      <c r="E55" s="3" t="inlineStr">
        <is>
          <t>SPARE GLASS FOR HM100 LANTERN - GLASS HM</t>
        </is>
      </c>
      <c r="F55" s="4" t="inlineStr"/>
      <c r="G55" s="4" t="inlineStr"/>
      <c r="H55" s="4" t="inlineStr"/>
      <c r="I55" s="5" t="n">
        <v>7.99</v>
      </c>
      <c r="J55" s="6" t="n">
        <v>15</v>
      </c>
      <c r="K55" s="7">
        <f>IF(I55="","",I55*(1+J55/100))</f>
        <v/>
      </c>
      <c r="L55" s="12" t="inlineStr"/>
      <c r="M55" s="8">
        <f>IF(OR(L55="",K55="",L55=0),"",
  (L55-K55)/L55*100)</f>
        <v/>
      </c>
      <c r="N55" s="9" t="inlineStr"/>
      <c r="O55" s="4" t="inlineStr"/>
      <c r="P55" s="4" t="inlineStr"/>
      <c r="Q55" s="4" t="inlineStr"/>
      <c r="R55" s="4" t="inlineStr">
        <is>
          <t>2026-03-12</t>
        </is>
      </c>
      <c r="S55" s="4" t="inlineStr"/>
    </row>
    <row r="56">
      <c r="A56" s="10" t="inlineStr">
        <is>
          <t>F00109</t>
        </is>
      </c>
      <c r="B56" s="10" t="inlineStr">
        <is>
          <t>F00109</t>
        </is>
      </c>
      <c r="C56" s="10" t="inlineStr">
        <is>
          <t>19148</t>
        </is>
      </c>
      <c r="D56" s="10" t="inlineStr">
        <is>
          <t>6934761810070</t>
        </is>
      </c>
      <c r="E56" s="10" t="inlineStr">
        <is>
          <t>PEEL &amp; STICK TILES (8PC / 5PK) CL7342</t>
        </is>
      </c>
      <c r="F56" s="10" t="inlineStr"/>
      <c r="G56" s="10" t="inlineStr"/>
      <c r="H56" s="10" t="inlineStr"/>
      <c r="I56" s="11" t="n">
        <v>204.95</v>
      </c>
      <c r="J56" s="6" t="n">
        <v>15</v>
      </c>
      <c r="K56" s="7">
        <f>IF(I56="","",I56*(1+J56/100))</f>
        <v/>
      </c>
      <c r="L56" s="11" t="n">
        <v>580</v>
      </c>
      <c r="M56" s="8">
        <f>IF(OR(L56="",K56="",L56=0),"",
  (L56-K56)/L56*100)</f>
        <v/>
      </c>
      <c r="N56" s="13" t="n">
        <v>283</v>
      </c>
      <c r="O56" s="10" t="inlineStr"/>
      <c r="P56" s="10" t="inlineStr"/>
      <c r="Q56" s="10" t="inlineStr"/>
      <c r="R56" s="10" t="inlineStr">
        <is>
          <t>2026-03-12</t>
        </is>
      </c>
      <c r="S56" s="10" t="inlineStr"/>
    </row>
    <row r="57">
      <c r="A57" s="3" t="inlineStr">
        <is>
          <t>F00110</t>
        </is>
      </c>
      <c r="B57" s="4" t="inlineStr">
        <is>
          <t>F00110</t>
        </is>
      </c>
      <c r="C57" s="4" t="inlineStr">
        <is>
          <t>19157</t>
        </is>
      </c>
      <c r="D57" s="4" t="inlineStr">
        <is>
          <t>6934761820024</t>
        </is>
      </c>
      <c r="E57" s="3" t="inlineStr">
        <is>
          <t>PEEL &amp; STICK TILES (8PC / 5PK) CL7403</t>
        </is>
      </c>
      <c r="F57" s="4" t="inlineStr"/>
      <c r="G57" s="4" t="inlineStr"/>
      <c r="H57" s="4" t="inlineStr"/>
      <c r="I57" s="5" t="n">
        <v>214.95</v>
      </c>
      <c r="J57" s="6" t="n">
        <v>15</v>
      </c>
      <c r="K57" s="7">
        <f>IF(I57="","",I57*(1+J57/100))</f>
        <v/>
      </c>
      <c r="L57" s="5" t="n">
        <v>580</v>
      </c>
      <c r="M57" s="8">
        <f>IF(OR(L57="",K57="",L57=0),"",
  (L57-K57)/L57*100)</f>
        <v/>
      </c>
      <c r="N57" s="9" t="inlineStr"/>
      <c r="O57" s="4" t="inlineStr"/>
      <c r="P57" s="4" t="inlineStr"/>
      <c r="Q57" s="4" t="inlineStr"/>
      <c r="R57" s="4" t="inlineStr">
        <is>
          <t>2026-03-12</t>
        </is>
      </c>
      <c r="S57" s="4" t="inlineStr"/>
    </row>
    <row r="58">
      <c r="A58" s="10" t="inlineStr">
        <is>
          <t>F00111</t>
        </is>
      </c>
      <c r="B58" s="10" t="inlineStr">
        <is>
          <t>F00111</t>
        </is>
      </c>
      <c r="C58" s="10" t="inlineStr">
        <is>
          <t>16671</t>
        </is>
      </c>
      <c r="D58" s="10" t="inlineStr">
        <is>
          <t>6934761810049</t>
        </is>
      </c>
      <c r="E58" s="10" t="inlineStr">
        <is>
          <t>PEEL &amp; STICK TILES (8PC /5PK) CL7027</t>
        </is>
      </c>
      <c r="F58" s="10" t="inlineStr"/>
      <c r="G58" s="10" t="inlineStr"/>
      <c r="H58" s="10" t="inlineStr"/>
      <c r="I58" s="11" t="n">
        <v>204.95</v>
      </c>
      <c r="J58" s="6" t="n">
        <v>15</v>
      </c>
      <c r="K58" s="7">
        <f>IF(I58="","",I58*(1+J58/100))</f>
        <v/>
      </c>
      <c r="L58" s="11" t="n">
        <v>580</v>
      </c>
      <c r="M58" s="8">
        <f>IF(OR(L58="",K58="",L58=0),"",
  (L58-K58)/L58*100)</f>
        <v/>
      </c>
      <c r="N58" s="13" t="n">
        <v>609</v>
      </c>
      <c r="O58" s="10" t="inlineStr"/>
      <c r="P58" s="10" t="inlineStr"/>
      <c r="Q58" s="10" t="inlineStr"/>
      <c r="R58" s="10" t="inlineStr">
        <is>
          <t>2026-03-12</t>
        </is>
      </c>
      <c r="S58" s="10" t="inlineStr"/>
    </row>
    <row r="59">
      <c r="A59" s="3" t="inlineStr">
        <is>
          <t>F00112</t>
        </is>
      </c>
      <c r="B59" s="4" t="inlineStr">
        <is>
          <t>F00112</t>
        </is>
      </c>
      <c r="C59" s="4" t="inlineStr"/>
      <c r="D59" s="4" t="inlineStr">
        <is>
          <t>6009677019302</t>
        </is>
      </c>
      <c r="E59" s="3" t="inlineStr">
        <is>
          <t>SUPERIOR 0.50MM 5MT SHRINK</t>
        </is>
      </c>
      <c r="F59" s="4" t="inlineStr"/>
      <c r="G59" s="4" t="inlineStr"/>
      <c r="H59" s="4" t="inlineStr"/>
      <c r="I59" s="5" t="n">
        <v>67.95</v>
      </c>
      <c r="J59" s="6" t="n">
        <v>15</v>
      </c>
      <c r="K59" s="7">
        <f>IF(I59="","",I59*(1+J59/100))</f>
        <v/>
      </c>
      <c r="L59" s="12" t="inlineStr"/>
      <c r="M59" s="8">
        <f>IF(OR(L59="",K59="",L59=0),"",
  (L59-K59)/L59*100)</f>
        <v/>
      </c>
      <c r="N59" s="9" t="inlineStr"/>
      <c r="O59" s="4" t="inlineStr"/>
      <c r="P59" s="4" t="inlineStr"/>
      <c r="Q59" s="4" t="inlineStr"/>
      <c r="R59" s="4" t="inlineStr">
        <is>
          <t>2026-03-12</t>
        </is>
      </c>
      <c r="S59" s="4" t="inlineStr"/>
    </row>
    <row r="60">
      <c r="A60" s="10" t="inlineStr">
        <is>
          <t>F00113</t>
        </is>
      </c>
      <c r="B60" s="10" t="inlineStr">
        <is>
          <t>F00113</t>
        </is>
      </c>
      <c r="C60" s="10" t="inlineStr"/>
      <c r="D60" s="10" t="inlineStr"/>
      <c r="E60" s="10" t="inlineStr">
        <is>
          <t>SUPERIOR 0.50MM 30MT</t>
        </is>
      </c>
      <c r="F60" s="10" t="inlineStr"/>
      <c r="G60" s="10" t="inlineStr"/>
      <c r="H60" s="10" t="inlineStr"/>
      <c r="I60" s="11" t="n">
        <v>395</v>
      </c>
      <c r="J60" s="6" t="n">
        <v>15</v>
      </c>
      <c r="K60" s="7">
        <f>IF(I60="","",I60*(1+J60/100))</f>
        <v/>
      </c>
      <c r="L60" s="12" t="inlineStr"/>
      <c r="M60" s="8">
        <f>IF(OR(L60="",K60="",L60=0),"",
  (L60-K60)/L60*100)</f>
        <v/>
      </c>
      <c r="N60" s="9" t="inlineStr"/>
      <c r="O60" s="10" t="inlineStr"/>
      <c r="P60" s="10" t="inlineStr"/>
      <c r="Q60" s="10" t="inlineStr"/>
      <c r="R60" s="10" t="inlineStr">
        <is>
          <t>2026-03-12</t>
        </is>
      </c>
      <c r="S60" s="10" t="inlineStr"/>
    </row>
    <row r="61">
      <c r="A61" s="3" t="inlineStr">
        <is>
          <t>F00114</t>
        </is>
      </c>
      <c r="B61" s="4" t="inlineStr">
        <is>
          <t>F00114</t>
        </is>
      </c>
      <c r="C61" s="4" t="inlineStr"/>
      <c r="D61" s="4" t="inlineStr">
        <is>
          <t>4895108356427</t>
        </is>
      </c>
      <c r="E61" s="3" t="inlineStr">
        <is>
          <t>IRONING BOARD 42" MESH - DC-642B</t>
        </is>
      </c>
      <c r="F61" s="4" t="inlineStr"/>
      <c r="G61" s="4" t="inlineStr"/>
      <c r="H61" s="4" t="inlineStr"/>
      <c r="I61" s="5" t="n">
        <v>95</v>
      </c>
      <c r="J61" s="6" t="n">
        <v>15</v>
      </c>
      <c r="K61" s="7">
        <f>IF(I61="","",I61*(1+J61/100))</f>
        <v/>
      </c>
      <c r="L61" s="12" t="inlineStr"/>
      <c r="M61" s="8">
        <f>IF(OR(L61="",K61="",L61=0),"",
  (L61-K61)/L61*100)</f>
        <v/>
      </c>
      <c r="N61" s="9" t="inlineStr"/>
      <c r="O61" s="4" t="inlineStr"/>
      <c r="P61" s="4" t="inlineStr"/>
      <c r="Q61" s="4" t="inlineStr"/>
      <c r="R61" s="4" t="inlineStr">
        <is>
          <t>2026-03-12</t>
        </is>
      </c>
      <c r="S61" s="4" t="inlineStr"/>
    </row>
    <row r="62">
      <c r="A62" s="10" t="inlineStr">
        <is>
          <t>F00116</t>
        </is>
      </c>
      <c r="B62" s="10" t="inlineStr">
        <is>
          <t>F00116</t>
        </is>
      </c>
      <c r="C62" s="10" t="inlineStr"/>
      <c r="D62" s="10" t="inlineStr"/>
      <c r="E62" s="10" t="inlineStr">
        <is>
          <t>SUPERIOR 0.50MM 4.28M SHRINK</t>
        </is>
      </c>
      <c r="F62" s="10" t="inlineStr"/>
      <c r="G62" s="10" t="inlineStr"/>
      <c r="H62" s="10" t="inlineStr"/>
      <c r="I62" s="11" t="n">
        <v>52.55</v>
      </c>
      <c r="J62" s="6" t="n">
        <v>15</v>
      </c>
      <c r="K62" s="7">
        <f>IF(I62="","",I62*(1+J62/100))</f>
        <v/>
      </c>
      <c r="L62" s="12" t="inlineStr"/>
      <c r="M62" s="8">
        <f>IF(OR(L62="",K62="",L62=0),"",
  (L62-K62)/L62*100)</f>
        <v/>
      </c>
      <c r="N62" s="9" t="inlineStr"/>
      <c r="O62" s="10" t="inlineStr"/>
      <c r="P62" s="10" t="inlineStr"/>
      <c r="Q62" s="10" t="inlineStr"/>
      <c r="R62" s="10" t="inlineStr">
        <is>
          <t>2026-03-12</t>
        </is>
      </c>
      <c r="S62" s="10" t="inlineStr"/>
    </row>
    <row r="63">
      <c r="A63" s="3" t="inlineStr">
        <is>
          <t>F00118</t>
        </is>
      </c>
      <c r="B63" s="4" t="inlineStr">
        <is>
          <t>F00118</t>
        </is>
      </c>
      <c r="C63" s="4" t="inlineStr">
        <is>
          <t>16657</t>
        </is>
      </c>
      <c r="D63" s="4" t="inlineStr">
        <is>
          <t>6934761820079</t>
        </is>
      </c>
      <c r="E63" s="3" t="inlineStr">
        <is>
          <t>PEEL &amp; STICK TILES (8PC / 5PK) CL7014</t>
        </is>
      </c>
      <c r="F63" s="4" t="inlineStr"/>
      <c r="G63" s="4" t="inlineStr"/>
      <c r="H63" s="4" t="inlineStr"/>
      <c r="I63" s="5" t="n">
        <v>204.95</v>
      </c>
      <c r="J63" s="6" t="n">
        <v>15</v>
      </c>
      <c r="K63" s="7">
        <f>IF(I63="","",I63*(1+J63/100))</f>
        <v/>
      </c>
      <c r="L63" s="5" t="n">
        <v>580</v>
      </c>
      <c r="M63" s="8">
        <f>IF(OR(L63="",K63="",L63=0),"",
  (L63-K63)/L63*100)</f>
        <v/>
      </c>
      <c r="N63" s="14" t="n">
        <v>245</v>
      </c>
      <c r="O63" s="4" t="inlineStr"/>
      <c r="P63" s="4" t="inlineStr"/>
      <c r="Q63" s="4" t="inlineStr"/>
      <c r="R63" s="4" t="inlineStr">
        <is>
          <t>2026-03-12</t>
        </is>
      </c>
      <c r="S63" s="4" t="inlineStr"/>
    </row>
    <row r="64">
      <c r="A64" s="10" t="inlineStr">
        <is>
          <t>F00119</t>
        </is>
      </c>
      <c r="B64" s="10" t="inlineStr">
        <is>
          <t>F00119</t>
        </is>
      </c>
      <c r="C64" s="10" t="inlineStr">
        <is>
          <t>16658</t>
        </is>
      </c>
      <c r="D64" s="10" t="inlineStr">
        <is>
          <t>69347618100313</t>
        </is>
      </c>
      <c r="E64" s="10" t="inlineStr">
        <is>
          <t>PEEL &amp; STICK TILES (8PC / 5PK) CL3586</t>
        </is>
      </c>
      <c r="F64" s="10" t="inlineStr"/>
      <c r="G64" s="10" t="inlineStr"/>
      <c r="H64" s="10" t="inlineStr"/>
      <c r="I64" s="11" t="n">
        <v>204.95</v>
      </c>
      <c r="J64" s="6" t="n">
        <v>15</v>
      </c>
      <c r="K64" s="7">
        <f>IF(I64="","",I64*(1+J64/100))</f>
        <v/>
      </c>
      <c r="L64" s="11" t="n">
        <v>580</v>
      </c>
      <c r="M64" s="8">
        <f>IF(OR(L64="",K64="",L64=0),"",
  (L64-K64)/L64*100)</f>
        <v/>
      </c>
      <c r="N64" s="13" t="n">
        <v>17</v>
      </c>
      <c r="O64" s="10" t="inlineStr"/>
      <c r="P64" s="10" t="inlineStr"/>
      <c r="Q64" s="10" t="inlineStr"/>
      <c r="R64" s="10" t="inlineStr">
        <is>
          <t>2026-03-12</t>
        </is>
      </c>
      <c r="S64" s="10" t="inlineStr"/>
    </row>
    <row r="65">
      <c r="A65" s="3" t="inlineStr">
        <is>
          <t>F00120</t>
        </is>
      </c>
      <c r="B65" s="4" t="inlineStr">
        <is>
          <t>F00120</t>
        </is>
      </c>
      <c r="C65" s="4" t="inlineStr">
        <is>
          <t>16660</t>
        </is>
      </c>
      <c r="D65" s="4" t="inlineStr">
        <is>
          <t>69347618100511</t>
        </is>
      </c>
      <c r="E65" s="3" t="inlineStr">
        <is>
          <t>PEEL &amp; STICK TILES (8PC / 5PK) CL2042</t>
        </is>
      </c>
      <c r="F65" s="4" t="inlineStr"/>
      <c r="G65" s="4" t="inlineStr"/>
      <c r="H65" s="4" t="inlineStr"/>
      <c r="I65" s="5" t="n">
        <v>214.95</v>
      </c>
      <c r="J65" s="6" t="n">
        <v>15</v>
      </c>
      <c r="K65" s="7">
        <f>IF(I65="","",I65*(1+J65/100))</f>
        <v/>
      </c>
      <c r="L65" s="5" t="n">
        <v>580</v>
      </c>
      <c r="M65" s="8">
        <f>IF(OR(L65="",K65="",L65=0),"",
  (L65-K65)/L65*100)</f>
        <v/>
      </c>
      <c r="N65" s="14" t="n">
        <v>1</v>
      </c>
      <c r="O65" s="4" t="inlineStr"/>
      <c r="P65" s="4" t="inlineStr"/>
      <c r="Q65" s="4" t="inlineStr"/>
      <c r="R65" s="4" t="inlineStr">
        <is>
          <t>2026-03-12</t>
        </is>
      </c>
      <c r="S65" s="4" t="inlineStr"/>
    </row>
    <row r="66">
      <c r="A66" s="10" t="inlineStr">
        <is>
          <t>F00121</t>
        </is>
      </c>
      <c r="B66" s="10" t="inlineStr">
        <is>
          <t>F00121</t>
        </is>
      </c>
      <c r="C66" s="10" t="inlineStr"/>
      <c r="D66" s="10" t="inlineStr">
        <is>
          <t>6009677019128</t>
        </is>
      </c>
      <c r="E66" s="10" t="inlineStr">
        <is>
          <t>DVD-R PRINTABLE 100'S SP# - YD100-8 DVD-</t>
        </is>
      </c>
      <c r="F66" s="10" t="inlineStr"/>
      <c r="G66" s="10" t="inlineStr"/>
      <c r="H66" s="10" t="inlineStr"/>
      <c r="I66" s="11" t="n">
        <v>139.95</v>
      </c>
      <c r="J66" s="6" t="n">
        <v>15</v>
      </c>
      <c r="K66" s="7">
        <f>IF(I66="","",I66*(1+J66/100))</f>
        <v/>
      </c>
      <c r="L66" s="12" t="inlineStr"/>
      <c r="M66" s="8">
        <f>IF(OR(L66="",K66="",L66=0),"",
  (L66-K66)/L66*100)</f>
        <v/>
      </c>
      <c r="N66" s="9" t="inlineStr"/>
      <c r="O66" s="10" t="inlineStr"/>
      <c r="P66" s="10" t="inlineStr"/>
      <c r="Q66" s="10" t="inlineStr"/>
      <c r="R66" s="10" t="inlineStr">
        <is>
          <t>2026-03-12</t>
        </is>
      </c>
      <c r="S66" s="10" t="inlineStr"/>
    </row>
    <row r="67">
      <c r="A67" s="3" t="inlineStr">
        <is>
          <t>F00122</t>
        </is>
      </c>
      <c r="B67" s="4" t="inlineStr">
        <is>
          <t>F00122</t>
        </is>
      </c>
      <c r="C67" s="4" t="inlineStr"/>
      <c r="D67" s="4" t="inlineStr"/>
      <c r="E67" s="3" t="inlineStr">
        <is>
          <t>DVD+R PRINTABLE 100'S SHRINK - YD100-8 D</t>
        </is>
      </c>
      <c r="F67" s="4" t="inlineStr"/>
      <c r="G67" s="4" t="inlineStr"/>
      <c r="H67" s="4" t="inlineStr"/>
      <c r="I67" s="5" t="n">
        <v>133.66</v>
      </c>
      <c r="J67" s="6" t="n">
        <v>15</v>
      </c>
      <c r="K67" s="7">
        <f>IF(I67="","",I67*(1+J67/100))</f>
        <v/>
      </c>
      <c r="L67" s="12" t="inlineStr"/>
      <c r="M67" s="8">
        <f>IF(OR(L67="",K67="",L67=0),"",
  (L67-K67)/L67*100)</f>
        <v/>
      </c>
      <c r="N67" s="9" t="inlineStr"/>
      <c r="O67" s="4" t="inlineStr"/>
      <c r="P67" s="4" t="inlineStr"/>
      <c r="Q67" s="4" t="inlineStr"/>
      <c r="R67" s="4" t="inlineStr">
        <is>
          <t>2026-03-12</t>
        </is>
      </c>
      <c r="S67" s="4" t="inlineStr"/>
    </row>
    <row r="68">
      <c r="A68" s="10" t="inlineStr">
        <is>
          <t>F00124</t>
        </is>
      </c>
      <c r="B68" s="10" t="inlineStr">
        <is>
          <t>F00124</t>
        </is>
      </c>
      <c r="C68" s="10" t="inlineStr"/>
      <c r="D68" s="10" t="inlineStr"/>
      <c r="E68" s="10" t="inlineStr">
        <is>
          <t>VINYL KOR 0.3/0/35MM 5MT SML COR SHR</t>
        </is>
      </c>
      <c r="F68" s="10" t="inlineStr"/>
      <c r="G68" s="10" t="inlineStr"/>
      <c r="H68" s="10" t="inlineStr"/>
      <c r="I68" s="11" t="n">
        <v>67.5</v>
      </c>
      <c r="J68" s="6" t="n">
        <v>15</v>
      </c>
      <c r="K68" s="7">
        <f>IF(I68="","",I68*(1+J68/100))</f>
        <v/>
      </c>
      <c r="L68" s="12" t="inlineStr"/>
      <c r="M68" s="8">
        <f>IF(OR(L68="",K68="",L68=0),"",
  (L68-K68)/L68*100)</f>
        <v/>
      </c>
      <c r="N68" s="9" t="inlineStr"/>
      <c r="O68" s="10" t="inlineStr"/>
      <c r="P68" s="10" t="inlineStr"/>
      <c r="Q68" s="10" t="inlineStr"/>
      <c r="R68" s="10" t="inlineStr">
        <is>
          <t>2026-03-12</t>
        </is>
      </c>
      <c r="S68" s="10" t="inlineStr"/>
    </row>
    <row r="69">
      <c r="A69" s="3" t="inlineStr">
        <is>
          <t>F00125</t>
        </is>
      </c>
      <c r="B69" s="4" t="inlineStr">
        <is>
          <t>F00125</t>
        </is>
      </c>
      <c r="C69" s="4" t="inlineStr">
        <is>
          <t>10237</t>
        </is>
      </c>
      <c r="D69" s="4" t="inlineStr">
        <is>
          <t>4895108356489</t>
        </is>
      </c>
      <c r="E69" s="3" t="inlineStr">
        <is>
          <t>IRONING BOARD PINE LARGE</t>
        </is>
      </c>
      <c r="F69" s="4" t="inlineStr"/>
      <c r="G69" s="4" t="inlineStr"/>
      <c r="H69" s="4" t="inlineStr"/>
      <c r="I69" s="5" t="n">
        <v>145.95</v>
      </c>
      <c r="J69" s="6" t="n">
        <v>15</v>
      </c>
      <c r="K69" s="7">
        <f>IF(I69="","",I69*(1+J69/100))</f>
        <v/>
      </c>
      <c r="L69" s="5" t="n">
        <v>450</v>
      </c>
      <c r="M69" s="8">
        <f>IF(OR(L69="",K69="",L69=0),"",
  (L69-K69)/L69*100)</f>
        <v/>
      </c>
      <c r="N69" s="14" t="n">
        <v>161</v>
      </c>
      <c r="O69" s="4" t="inlineStr"/>
      <c r="P69" s="4" t="inlineStr"/>
      <c r="Q69" s="4" t="inlineStr"/>
      <c r="R69" s="4" t="inlineStr">
        <is>
          <t>2026-03-12</t>
        </is>
      </c>
      <c r="S69" s="4" t="inlineStr"/>
    </row>
    <row r="70">
      <c r="A70" s="10" t="inlineStr">
        <is>
          <t>F00126</t>
        </is>
      </c>
      <c r="B70" s="10" t="inlineStr">
        <is>
          <t>F00126</t>
        </is>
      </c>
      <c r="C70" s="10" t="inlineStr"/>
      <c r="D70" s="10" t="inlineStr">
        <is>
          <t>6009697011423</t>
        </is>
      </c>
      <c r="E70" s="10" t="inlineStr">
        <is>
          <t>MUG 14OZ H/PAINTED</t>
        </is>
      </c>
      <c r="F70" s="10" t="inlineStr"/>
      <c r="G70" s="10" t="inlineStr"/>
      <c r="H70" s="10" t="inlineStr"/>
      <c r="I70" s="11" t="n">
        <v>6.49</v>
      </c>
      <c r="J70" s="6" t="n">
        <v>15</v>
      </c>
      <c r="K70" s="7">
        <f>IF(I70="","",I70*(1+J70/100))</f>
        <v/>
      </c>
      <c r="L70" s="12" t="inlineStr"/>
      <c r="M70" s="8">
        <f>IF(OR(L70="",K70="",L70=0),"",
  (L70-K70)/L70*100)</f>
        <v/>
      </c>
      <c r="N70" s="9" t="inlineStr"/>
      <c r="O70" s="10" t="inlineStr"/>
      <c r="P70" s="10" t="inlineStr"/>
      <c r="Q70" s="10" t="inlineStr"/>
      <c r="R70" s="10" t="inlineStr">
        <is>
          <t>2026-03-12</t>
        </is>
      </c>
      <c r="S70" s="10" t="inlineStr"/>
    </row>
    <row r="71">
      <c r="A71" s="3" t="inlineStr">
        <is>
          <t>F00127</t>
        </is>
      </c>
      <c r="B71" s="4" t="inlineStr">
        <is>
          <t>F00127</t>
        </is>
      </c>
      <c r="C71" s="4" t="inlineStr"/>
      <c r="D71" s="4" t="inlineStr"/>
      <c r="E71" s="3" t="inlineStr">
        <is>
          <t>OFF CUT SPONGE 1 TO 1.5 M</t>
        </is>
      </c>
      <c r="F71" s="4" t="inlineStr"/>
      <c r="G71" s="4" t="inlineStr"/>
      <c r="H71" s="4" t="inlineStr"/>
      <c r="I71" s="5" t="n">
        <v>18.95</v>
      </c>
      <c r="J71" s="6" t="n">
        <v>15</v>
      </c>
      <c r="K71" s="7">
        <f>IF(I71="","",I71*(1+J71/100))</f>
        <v/>
      </c>
      <c r="L71" s="12" t="inlineStr"/>
      <c r="M71" s="8">
        <f>IF(OR(L71="",K71="",L71=0),"",
  (L71-K71)/L71*100)</f>
        <v/>
      </c>
      <c r="N71" s="9" t="inlineStr"/>
      <c r="O71" s="4" t="inlineStr"/>
      <c r="P71" s="4" t="inlineStr"/>
      <c r="Q71" s="4" t="inlineStr"/>
      <c r="R71" s="4" t="inlineStr">
        <is>
          <t>2026-03-12</t>
        </is>
      </c>
      <c r="S71" s="4" t="inlineStr"/>
    </row>
    <row r="72">
      <c r="A72" s="10" t="inlineStr">
        <is>
          <t>F00128</t>
        </is>
      </c>
      <c r="B72" s="10" t="inlineStr">
        <is>
          <t>F00128</t>
        </is>
      </c>
      <c r="C72" s="10" t="inlineStr"/>
      <c r="D72" s="10" t="inlineStr"/>
      <c r="E72" s="10" t="inlineStr">
        <is>
          <t>OFF CUT SPONGE 1.5 TO 2M</t>
        </is>
      </c>
      <c r="F72" s="10" t="inlineStr"/>
      <c r="G72" s="10" t="inlineStr"/>
      <c r="H72" s="10" t="inlineStr"/>
      <c r="I72" s="11" t="n">
        <v>29.95</v>
      </c>
      <c r="J72" s="6" t="n">
        <v>15</v>
      </c>
      <c r="K72" s="7">
        <f>IF(I72="","",I72*(1+J72/100))</f>
        <v/>
      </c>
      <c r="L72" s="12" t="inlineStr"/>
      <c r="M72" s="8">
        <f>IF(OR(L72="",K72="",L72=0),"",
  (L72-K72)/L72*100)</f>
        <v/>
      </c>
      <c r="N72" s="9" t="inlineStr"/>
      <c r="O72" s="10" t="inlineStr"/>
      <c r="P72" s="10" t="inlineStr"/>
      <c r="Q72" s="10" t="inlineStr"/>
      <c r="R72" s="10" t="inlineStr">
        <is>
          <t>2026-03-12</t>
        </is>
      </c>
      <c r="S72" s="10" t="inlineStr"/>
    </row>
    <row r="73">
      <c r="A73" s="3" t="inlineStr">
        <is>
          <t>F00129</t>
        </is>
      </c>
      <c r="B73" s="4" t="inlineStr">
        <is>
          <t>F00129</t>
        </is>
      </c>
      <c r="C73" s="4" t="inlineStr"/>
      <c r="D73" s="4" t="inlineStr"/>
      <c r="E73" s="3" t="inlineStr">
        <is>
          <t>OFF CUT SPONGE 2 TO 2.5M</t>
        </is>
      </c>
      <c r="F73" s="4" t="inlineStr"/>
      <c r="G73" s="4" t="inlineStr"/>
      <c r="H73" s="4" t="inlineStr"/>
      <c r="I73" s="5" t="n">
        <v>39.95</v>
      </c>
      <c r="J73" s="6" t="n">
        <v>15</v>
      </c>
      <c r="K73" s="7">
        <f>IF(I73="","",I73*(1+J73/100))</f>
        <v/>
      </c>
      <c r="L73" s="12" t="inlineStr"/>
      <c r="M73" s="8">
        <f>IF(OR(L73="",K73="",L73=0),"",
  (L73-K73)/L73*100)</f>
        <v/>
      </c>
      <c r="N73" s="9" t="inlineStr"/>
      <c r="O73" s="4" t="inlineStr"/>
      <c r="P73" s="4" t="inlineStr"/>
      <c r="Q73" s="4" t="inlineStr"/>
      <c r="R73" s="4" t="inlineStr">
        <is>
          <t>2026-03-12</t>
        </is>
      </c>
      <c r="S73" s="4" t="inlineStr"/>
    </row>
    <row r="74">
      <c r="A74" s="10" t="inlineStr">
        <is>
          <t>F00130</t>
        </is>
      </c>
      <c r="B74" s="10" t="inlineStr">
        <is>
          <t>F00130</t>
        </is>
      </c>
      <c r="C74" s="10" t="inlineStr"/>
      <c r="D74" s="10" t="inlineStr"/>
      <c r="E74" s="10" t="inlineStr">
        <is>
          <t>OFF CUT SPONGE 2.5 TO 3M</t>
        </is>
      </c>
      <c r="F74" s="10" t="inlineStr"/>
      <c r="G74" s="10" t="inlineStr"/>
      <c r="H74" s="10" t="inlineStr"/>
      <c r="I74" s="11" t="n">
        <v>49.95</v>
      </c>
      <c r="J74" s="6" t="n">
        <v>15</v>
      </c>
      <c r="K74" s="7">
        <f>IF(I74="","",I74*(1+J74/100))</f>
        <v/>
      </c>
      <c r="L74" s="12" t="inlineStr"/>
      <c r="M74" s="8">
        <f>IF(OR(L74="",K74="",L74=0),"",
  (L74-K74)/L74*100)</f>
        <v/>
      </c>
      <c r="N74" s="9" t="inlineStr"/>
      <c r="O74" s="10" t="inlineStr"/>
      <c r="P74" s="10" t="inlineStr"/>
      <c r="Q74" s="10" t="inlineStr"/>
      <c r="R74" s="10" t="inlineStr">
        <is>
          <t>2026-03-12</t>
        </is>
      </c>
      <c r="S74" s="10" t="inlineStr"/>
    </row>
    <row r="75">
      <c r="A75" s="3" t="inlineStr">
        <is>
          <t>F00131</t>
        </is>
      </c>
      <c r="B75" s="4" t="inlineStr">
        <is>
          <t>F00131</t>
        </is>
      </c>
      <c r="C75" s="4" t="inlineStr"/>
      <c r="D75" s="4" t="inlineStr"/>
      <c r="E75" s="3" t="inlineStr">
        <is>
          <t>OFF CUT SPONGE 3 TO 3.5M</t>
        </is>
      </c>
      <c r="F75" s="4" t="inlineStr"/>
      <c r="G75" s="4" t="inlineStr"/>
      <c r="H75" s="4" t="inlineStr"/>
      <c r="I75" s="5" t="n">
        <v>59.95</v>
      </c>
      <c r="J75" s="6" t="n">
        <v>15</v>
      </c>
      <c r="K75" s="7">
        <f>IF(I75="","",I75*(1+J75/100))</f>
        <v/>
      </c>
      <c r="L75" s="12" t="inlineStr"/>
      <c r="M75" s="8">
        <f>IF(OR(L75="",K75="",L75=0),"",
  (L75-K75)/L75*100)</f>
        <v/>
      </c>
      <c r="N75" s="9" t="inlineStr"/>
      <c r="O75" s="4" t="inlineStr"/>
      <c r="P75" s="4" t="inlineStr"/>
      <c r="Q75" s="4" t="inlineStr"/>
      <c r="R75" s="4" t="inlineStr">
        <is>
          <t>2026-03-12</t>
        </is>
      </c>
      <c r="S75" s="4" t="inlineStr"/>
    </row>
    <row r="76">
      <c r="A76" s="10" t="inlineStr">
        <is>
          <t>F00132</t>
        </is>
      </c>
      <c r="B76" s="10" t="inlineStr">
        <is>
          <t>F00132</t>
        </is>
      </c>
      <c r="C76" s="10" t="inlineStr"/>
      <c r="D76" s="10" t="inlineStr"/>
      <c r="E76" s="10" t="inlineStr">
        <is>
          <t>OFF CUT SPONGE 3.5 TO 4M</t>
        </is>
      </c>
      <c r="F76" s="10" t="inlineStr"/>
      <c r="G76" s="10" t="inlineStr"/>
      <c r="H76" s="10" t="inlineStr"/>
      <c r="I76" s="11" t="n">
        <v>69.95</v>
      </c>
      <c r="J76" s="6" t="n">
        <v>15</v>
      </c>
      <c r="K76" s="7">
        <f>IF(I76="","",I76*(1+J76/100))</f>
        <v/>
      </c>
      <c r="L76" s="12" t="inlineStr"/>
      <c r="M76" s="8">
        <f>IF(OR(L76="",K76="",L76=0),"",
  (L76-K76)/L76*100)</f>
        <v/>
      </c>
      <c r="N76" s="9" t="inlineStr"/>
      <c r="O76" s="10" t="inlineStr"/>
      <c r="P76" s="10" t="inlineStr"/>
      <c r="Q76" s="10" t="inlineStr"/>
      <c r="R76" s="10" t="inlineStr">
        <is>
          <t>2026-03-12</t>
        </is>
      </c>
      <c r="S76" s="10" t="inlineStr"/>
    </row>
    <row r="77">
      <c r="A77" s="3" t="inlineStr">
        <is>
          <t>F00133</t>
        </is>
      </c>
      <c r="B77" s="4" t="inlineStr">
        <is>
          <t>F00133</t>
        </is>
      </c>
      <c r="C77" s="4" t="inlineStr"/>
      <c r="D77" s="4" t="inlineStr"/>
      <c r="E77" s="3" t="inlineStr">
        <is>
          <t>OFF CUT SPONGE 4 TO 4.5M</t>
        </is>
      </c>
      <c r="F77" s="4" t="inlineStr"/>
      <c r="G77" s="4" t="inlineStr"/>
      <c r="H77" s="4" t="inlineStr"/>
      <c r="I77" s="5" t="n">
        <v>79.95</v>
      </c>
      <c r="J77" s="6" t="n">
        <v>15</v>
      </c>
      <c r="K77" s="7">
        <f>IF(I77="","",I77*(1+J77/100))</f>
        <v/>
      </c>
      <c r="L77" s="12" t="inlineStr"/>
      <c r="M77" s="8">
        <f>IF(OR(L77="",K77="",L77=0),"",
  (L77-K77)/L77*100)</f>
        <v/>
      </c>
      <c r="N77" s="9" t="inlineStr"/>
      <c r="O77" s="4" t="inlineStr"/>
      <c r="P77" s="4" t="inlineStr"/>
      <c r="Q77" s="4" t="inlineStr"/>
      <c r="R77" s="4" t="inlineStr">
        <is>
          <t>2026-03-12</t>
        </is>
      </c>
      <c r="S77" s="4" t="inlineStr"/>
    </row>
    <row r="78">
      <c r="A78" s="10" t="inlineStr">
        <is>
          <t>F00134</t>
        </is>
      </c>
      <c r="B78" s="10" t="inlineStr">
        <is>
          <t>F00134</t>
        </is>
      </c>
      <c r="C78" s="10" t="inlineStr"/>
      <c r="D78" s="10" t="inlineStr"/>
      <c r="E78" s="10" t="inlineStr">
        <is>
          <t>OFF CUT SPONGE 4.5 TO 5M</t>
        </is>
      </c>
      <c r="F78" s="10" t="inlineStr"/>
      <c r="G78" s="10" t="inlineStr"/>
      <c r="H78" s="10" t="inlineStr"/>
      <c r="I78" s="11" t="n">
        <v>89.95</v>
      </c>
      <c r="J78" s="6" t="n">
        <v>15</v>
      </c>
      <c r="K78" s="7">
        <f>IF(I78="","",I78*(1+J78/100))</f>
        <v/>
      </c>
      <c r="L78" s="12" t="inlineStr"/>
      <c r="M78" s="8">
        <f>IF(OR(L78="",K78="",L78=0),"",
  (L78-K78)/L78*100)</f>
        <v/>
      </c>
      <c r="N78" s="9" t="inlineStr"/>
      <c r="O78" s="10" t="inlineStr"/>
      <c r="P78" s="10" t="inlineStr"/>
      <c r="Q78" s="10" t="inlineStr"/>
      <c r="R78" s="10" t="inlineStr">
        <is>
          <t>2026-03-12</t>
        </is>
      </c>
      <c r="S78" s="10" t="inlineStr"/>
    </row>
    <row r="79">
      <c r="A79" s="3" t="inlineStr">
        <is>
          <t>F00140</t>
        </is>
      </c>
      <c r="B79" s="4" t="inlineStr">
        <is>
          <t>F00140</t>
        </is>
      </c>
      <c r="C79" s="4" t="inlineStr"/>
      <c r="D79" s="4" t="inlineStr">
        <is>
          <t>6009697450147</t>
        </is>
      </c>
      <c r="E79" s="3" t="inlineStr">
        <is>
          <t>DRINK SET 7PC - PLS1608-7</t>
        </is>
      </c>
      <c r="F79" s="4" t="inlineStr"/>
      <c r="G79" s="4" t="inlineStr"/>
      <c r="H79" s="4" t="inlineStr"/>
      <c r="I79" s="5" t="n">
        <v>47.95</v>
      </c>
      <c r="J79" s="6" t="n">
        <v>15</v>
      </c>
      <c r="K79" s="7">
        <f>IF(I79="","",I79*(1+J79/100))</f>
        <v/>
      </c>
      <c r="L79" s="12" t="inlineStr"/>
      <c r="M79" s="8">
        <f>IF(OR(L79="",K79="",L79=0),"",
  (L79-K79)/L79*100)</f>
        <v/>
      </c>
      <c r="N79" s="9" t="inlineStr"/>
      <c r="O79" s="4" t="inlineStr"/>
      <c r="P79" s="4" t="inlineStr"/>
      <c r="Q79" s="4" t="inlineStr"/>
      <c r="R79" s="4" t="inlineStr">
        <is>
          <t>2026-03-12</t>
        </is>
      </c>
      <c r="S79" s="4" t="inlineStr"/>
    </row>
    <row r="80">
      <c r="A80" s="10" t="inlineStr">
        <is>
          <t>F00141</t>
        </is>
      </c>
      <c r="B80" s="10" t="inlineStr">
        <is>
          <t>F00141</t>
        </is>
      </c>
      <c r="C80" s="10" t="inlineStr"/>
      <c r="D80" s="10" t="inlineStr">
        <is>
          <t>6009697451564</t>
        </is>
      </c>
      <c r="E80" s="10" t="inlineStr">
        <is>
          <t>DRINK SET 7PC - PLS1654-7</t>
        </is>
      </c>
      <c r="F80" s="10" t="inlineStr"/>
      <c r="G80" s="10" t="inlineStr"/>
      <c r="H80" s="10" t="inlineStr"/>
      <c r="I80" s="11" t="n">
        <v>54.95</v>
      </c>
      <c r="J80" s="6" t="n">
        <v>15</v>
      </c>
      <c r="K80" s="7">
        <f>IF(I80="","",I80*(1+J80/100))</f>
        <v/>
      </c>
      <c r="L80" s="12" t="inlineStr"/>
      <c r="M80" s="8">
        <f>IF(OR(L80="",K80="",L80=0),"",
  (L80-K80)/L80*100)</f>
        <v/>
      </c>
      <c r="N80" s="9" t="inlineStr"/>
      <c r="O80" s="10" t="inlineStr"/>
      <c r="P80" s="10" t="inlineStr"/>
      <c r="Q80" s="10" t="inlineStr"/>
      <c r="R80" s="10" t="inlineStr">
        <is>
          <t>2026-03-12</t>
        </is>
      </c>
      <c r="S80" s="10" t="inlineStr"/>
    </row>
    <row r="81">
      <c r="A81" s="3" t="inlineStr">
        <is>
          <t>F00142</t>
        </is>
      </c>
      <c r="B81" s="4" t="inlineStr">
        <is>
          <t>F00142</t>
        </is>
      </c>
      <c r="C81" s="4" t="inlineStr"/>
      <c r="D81" s="4" t="inlineStr">
        <is>
          <t>6009697450208</t>
        </is>
      </c>
      <c r="E81" s="3" t="inlineStr">
        <is>
          <t>DRINK SET 7PC (H209/H216)W/PK - PLS150-H</t>
        </is>
      </c>
      <c r="F81" s="4" t="inlineStr"/>
      <c r="G81" s="4" t="inlineStr"/>
      <c r="H81" s="4" t="inlineStr"/>
      <c r="I81" s="5" t="n">
        <v>61.95</v>
      </c>
      <c r="J81" s="6" t="n">
        <v>15</v>
      </c>
      <c r="K81" s="7">
        <f>IF(I81="","",I81*(1+J81/100))</f>
        <v/>
      </c>
      <c r="L81" s="12" t="inlineStr"/>
      <c r="M81" s="8">
        <f>IF(OR(L81="",K81="",L81=0),"",
  (L81-K81)/L81*100)</f>
        <v/>
      </c>
      <c r="N81" s="9" t="inlineStr"/>
      <c r="O81" s="4" t="inlineStr"/>
      <c r="P81" s="4" t="inlineStr"/>
      <c r="Q81" s="4" t="inlineStr"/>
      <c r="R81" s="4" t="inlineStr">
        <is>
          <t>2026-03-12</t>
        </is>
      </c>
      <c r="S81" s="4" t="inlineStr"/>
    </row>
    <row r="82">
      <c r="A82" s="10" t="inlineStr">
        <is>
          <t>F00143</t>
        </is>
      </c>
      <c r="B82" s="10" t="inlineStr">
        <is>
          <t>F00143</t>
        </is>
      </c>
      <c r="C82" s="10" t="inlineStr"/>
      <c r="D82" s="10" t="inlineStr">
        <is>
          <t>6009697450185</t>
        </is>
      </c>
      <c r="E82" s="10" t="inlineStr">
        <is>
          <t>DRINK SET 7PC (H215/H211)W/PK - PLS123-H</t>
        </is>
      </c>
      <c r="F82" s="10" t="inlineStr"/>
      <c r="G82" s="10" t="inlineStr"/>
      <c r="H82" s="10" t="inlineStr"/>
      <c r="I82" s="11" t="n">
        <v>49.95</v>
      </c>
      <c r="J82" s="6" t="n">
        <v>15</v>
      </c>
      <c r="K82" s="7">
        <f>IF(I82="","",I82*(1+J82/100))</f>
        <v/>
      </c>
      <c r="L82" s="12" t="inlineStr"/>
      <c r="M82" s="8">
        <f>IF(OR(L82="",K82="",L82=0),"",
  (L82-K82)/L82*100)</f>
        <v/>
      </c>
      <c r="N82" s="9" t="inlineStr"/>
      <c r="O82" s="10" t="inlineStr"/>
      <c r="P82" s="10" t="inlineStr"/>
      <c r="Q82" s="10" t="inlineStr"/>
      <c r="R82" s="10" t="inlineStr">
        <is>
          <t>2026-03-12</t>
        </is>
      </c>
      <c r="S82" s="10" t="inlineStr"/>
    </row>
    <row r="83">
      <c r="A83" s="3" t="inlineStr">
        <is>
          <t>F00144</t>
        </is>
      </c>
      <c r="B83" s="4" t="inlineStr">
        <is>
          <t>F00144</t>
        </is>
      </c>
      <c r="C83" s="4" t="inlineStr"/>
      <c r="D83" s="4" t="inlineStr">
        <is>
          <t>6009697450192</t>
        </is>
      </c>
      <c r="E83" s="3" t="inlineStr">
        <is>
          <t>DRINK SET 7PC (H246/H247)</t>
        </is>
      </c>
      <c r="F83" s="4" t="inlineStr"/>
      <c r="G83" s="4" t="inlineStr"/>
      <c r="H83" s="4" t="inlineStr"/>
      <c r="I83" s="5" t="n">
        <v>48.95</v>
      </c>
      <c r="J83" s="6" t="n">
        <v>15</v>
      </c>
      <c r="K83" s="7">
        <f>IF(I83="","",I83*(1+J83/100))</f>
        <v/>
      </c>
      <c r="L83" s="12" t="inlineStr"/>
      <c r="M83" s="8">
        <f>IF(OR(L83="",K83="",L83=0),"",
  (L83-K83)/L83*100)</f>
        <v/>
      </c>
      <c r="N83" s="9" t="inlineStr"/>
      <c r="O83" s="4" t="inlineStr"/>
      <c r="P83" s="4" t="inlineStr"/>
      <c r="Q83" s="4" t="inlineStr"/>
      <c r="R83" s="4" t="inlineStr">
        <is>
          <t>2026-03-12</t>
        </is>
      </c>
      <c r="S83" s="4" t="inlineStr"/>
    </row>
    <row r="84">
      <c r="A84" s="10" t="inlineStr">
        <is>
          <t>F00145</t>
        </is>
      </c>
      <c r="B84" s="10" t="inlineStr">
        <is>
          <t>F00145</t>
        </is>
      </c>
      <c r="C84" s="10" t="inlineStr"/>
      <c r="D84" s="10" t="inlineStr">
        <is>
          <t>6009697450215</t>
        </is>
      </c>
      <c r="E84" s="10" t="inlineStr">
        <is>
          <t>DRINK SET 7PC (H359/H255)W/PK</t>
        </is>
      </c>
      <c r="F84" s="10" t="inlineStr"/>
      <c r="G84" s="10" t="inlineStr"/>
      <c r="H84" s="10" t="inlineStr"/>
      <c r="I84" s="11" t="n">
        <v>43.95</v>
      </c>
      <c r="J84" s="6" t="n">
        <v>15</v>
      </c>
      <c r="K84" s="7">
        <f>IF(I84="","",I84*(1+J84/100))</f>
        <v/>
      </c>
      <c r="L84" s="12" t="inlineStr"/>
      <c r="M84" s="8">
        <f>IF(OR(L84="",K84="",L84=0),"",
  (L84-K84)/L84*100)</f>
        <v/>
      </c>
      <c r="N84" s="9" t="inlineStr"/>
      <c r="O84" s="10" t="inlineStr"/>
      <c r="P84" s="10" t="inlineStr"/>
      <c r="Q84" s="10" t="inlineStr"/>
      <c r="R84" s="10" t="inlineStr">
        <is>
          <t>2026-03-12</t>
        </is>
      </c>
      <c r="S84" s="10" t="inlineStr"/>
    </row>
    <row r="85">
      <c r="A85" s="3" t="inlineStr">
        <is>
          <t>F00146</t>
        </is>
      </c>
      <c r="B85" s="4" t="inlineStr">
        <is>
          <t>F00146</t>
        </is>
      </c>
      <c r="C85" s="4" t="inlineStr"/>
      <c r="D85" s="4" t="inlineStr">
        <is>
          <t>6009697450178</t>
        </is>
      </c>
      <c r="E85" s="3" t="inlineStr">
        <is>
          <t>DRINK SET 7PC FRUIT DSGN(263/4 - PLS801-</t>
        </is>
      </c>
      <c r="F85" s="4" t="inlineStr"/>
      <c r="G85" s="4" t="inlineStr"/>
      <c r="H85" s="4" t="inlineStr"/>
      <c r="I85" s="5" t="n">
        <v>59.95</v>
      </c>
      <c r="J85" s="6" t="n">
        <v>15</v>
      </c>
      <c r="K85" s="7">
        <f>IF(I85="","",I85*(1+J85/100))</f>
        <v/>
      </c>
      <c r="L85" s="12" t="inlineStr"/>
      <c r="M85" s="8">
        <f>IF(OR(L85="",K85="",L85=0),"",
  (L85-K85)/L85*100)</f>
        <v/>
      </c>
      <c r="N85" s="9" t="inlineStr"/>
      <c r="O85" s="4" t="inlineStr"/>
      <c r="P85" s="4" t="inlineStr"/>
      <c r="Q85" s="4" t="inlineStr"/>
      <c r="R85" s="4" t="inlineStr">
        <is>
          <t>2026-03-12</t>
        </is>
      </c>
      <c r="S85" s="4" t="inlineStr"/>
    </row>
    <row r="86">
      <c r="A86" s="10" t="inlineStr">
        <is>
          <t>F00147</t>
        </is>
      </c>
      <c r="B86" s="10" t="inlineStr">
        <is>
          <t>F00147</t>
        </is>
      </c>
      <c r="C86" s="10" t="inlineStr"/>
      <c r="D86" s="10" t="inlineStr">
        <is>
          <t>6009697450239</t>
        </is>
      </c>
      <c r="E86" s="10" t="inlineStr">
        <is>
          <t>DRINK SET 7PC FULL GLD(290)</t>
        </is>
      </c>
      <c r="F86" s="10" t="inlineStr"/>
      <c r="G86" s="10" t="inlineStr"/>
      <c r="H86" s="10" t="inlineStr"/>
      <c r="I86" s="11" t="n">
        <v>59.95</v>
      </c>
      <c r="J86" s="6" t="n">
        <v>15</v>
      </c>
      <c r="K86" s="7">
        <f>IF(I86="","",I86*(1+J86/100))</f>
        <v/>
      </c>
      <c r="L86" s="12" t="inlineStr"/>
      <c r="M86" s="8">
        <f>IF(OR(L86="",K86="",L86=0),"",
  (L86-K86)/L86*100)</f>
        <v/>
      </c>
      <c r="N86" s="9" t="inlineStr"/>
      <c r="O86" s="10" t="inlineStr"/>
      <c r="P86" s="10" t="inlineStr"/>
      <c r="Q86" s="10" t="inlineStr"/>
      <c r="R86" s="10" t="inlineStr">
        <is>
          <t>2026-03-12</t>
        </is>
      </c>
      <c r="S86" s="10" t="inlineStr"/>
    </row>
    <row r="87">
      <c r="A87" s="3" t="inlineStr">
        <is>
          <t>F00148</t>
        </is>
      </c>
      <c r="B87" s="4" t="inlineStr">
        <is>
          <t>F00148</t>
        </is>
      </c>
      <c r="C87" s="4" t="inlineStr"/>
      <c r="D87" s="4" t="inlineStr">
        <is>
          <t>6009697450246</t>
        </is>
      </c>
      <c r="E87" s="3" t="inlineStr">
        <is>
          <t>PLS801G-H287 DRINK SET 7PC GOLD DSGN(286</t>
        </is>
      </c>
      <c r="F87" s="4" t="inlineStr"/>
      <c r="G87" s="4" t="inlineStr"/>
      <c r="H87" s="4" t="inlineStr"/>
      <c r="I87" s="5" t="n">
        <v>55.95</v>
      </c>
      <c r="J87" s="6" t="n">
        <v>15</v>
      </c>
      <c r="K87" s="7">
        <f>IF(I87="","",I87*(1+J87/100))</f>
        <v/>
      </c>
      <c r="L87" s="12" t="inlineStr"/>
      <c r="M87" s="8">
        <f>IF(OR(L87="",K87="",L87=0),"",
  (L87-K87)/L87*100)</f>
        <v/>
      </c>
      <c r="N87" s="9" t="inlineStr"/>
      <c r="O87" s="4" t="inlineStr"/>
      <c r="P87" s="4" t="inlineStr"/>
      <c r="Q87" s="4" t="inlineStr"/>
      <c r="R87" s="4" t="inlineStr">
        <is>
          <t>2026-03-12</t>
        </is>
      </c>
      <c r="S87" s="4" t="inlineStr"/>
    </row>
    <row r="88">
      <c r="A88" s="10" t="inlineStr">
        <is>
          <t>F00149</t>
        </is>
      </c>
      <c r="B88" s="10" t="inlineStr">
        <is>
          <t>F00149</t>
        </is>
      </c>
      <c r="C88" s="10" t="inlineStr"/>
      <c r="D88" s="10" t="inlineStr">
        <is>
          <t>6009697450154</t>
        </is>
      </c>
      <c r="E88" s="10" t="inlineStr">
        <is>
          <t>DRINK SET 7PC THICK GOLD DESIG</t>
        </is>
      </c>
      <c r="F88" s="10" t="inlineStr"/>
      <c r="G88" s="10" t="inlineStr"/>
      <c r="H88" s="10" t="inlineStr"/>
      <c r="I88" s="11" t="n">
        <v>48.95</v>
      </c>
      <c r="J88" s="6" t="n">
        <v>15</v>
      </c>
      <c r="K88" s="7">
        <f>IF(I88="","",I88*(1+J88/100))</f>
        <v/>
      </c>
      <c r="L88" s="12" t="inlineStr"/>
      <c r="M88" s="8">
        <f>IF(OR(L88="",K88="",L88=0),"",
  (L88-K88)/L88*100)</f>
        <v/>
      </c>
      <c r="N88" s="9" t="inlineStr"/>
      <c r="O88" s="10" t="inlineStr"/>
      <c r="P88" s="10" t="inlineStr"/>
      <c r="Q88" s="10" t="inlineStr"/>
      <c r="R88" s="10" t="inlineStr">
        <is>
          <t>2026-03-12</t>
        </is>
      </c>
      <c r="S88" s="10" t="inlineStr"/>
    </row>
    <row r="89">
      <c r="A89" s="3" t="inlineStr">
        <is>
          <t>F00150</t>
        </is>
      </c>
      <c r="B89" s="4" t="inlineStr">
        <is>
          <t>F00150</t>
        </is>
      </c>
      <c r="C89" s="4" t="inlineStr"/>
      <c r="D89" s="4" t="inlineStr"/>
      <c r="E89" s="3" t="inlineStr">
        <is>
          <t>VINYL KOR 0.35MM 4.28M SML CORE SHR</t>
        </is>
      </c>
      <c r="F89" s="4" t="inlineStr"/>
      <c r="G89" s="4" t="inlineStr"/>
      <c r="H89" s="4" t="inlineStr"/>
      <c r="I89" s="5" t="n">
        <v>58.5</v>
      </c>
      <c r="J89" s="6" t="n">
        <v>15</v>
      </c>
      <c r="K89" s="7">
        <f>IF(I89="","",I89*(1+J89/100))</f>
        <v/>
      </c>
      <c r="L89" s="12" t="inlineStr"/>
      <c r="M89" s="8">
        <f>IF(OR(L89="",K89="",L89=0),"",
  (L89-K89)/L89*100)</f>
        <v/>
      </c>
      <c r="N89" s="9" t="inlineStr"/>
      <c r="O89" s="4" t="inlineStr"/>
      <c r="P89" s="4" t="inlineStr"/>
      <c r="Q89" s="4" t="inlineStr"/>
      <c r="R89" s="4" t="inlineStr">
        <is>
          <t>2026-03-12</t>
        </is>
      </c>
      <c r="S89" s="4" t="inlineStr"/>
    </row>
    <row r="90">
      <c r="A90" s="10" t="inlineStr">
        <is>
          <t>F00152</t>
        </is>
      </c>
      <c r="B90" s="10" t="inlineStr">
        <is>
          <t>F00152</t>
        </is>
      </c>
      <c r="C90" s="10" t="inlineStr"/>
      <c r="D90" s="10" t="inlineStr"/>
      <c r="E90" s="10" t="inlineStr">
        <is>
          <t>SUPERIOR 0.50MM 5MT</t>
        </is>
      </c>
      <c r="F90" s="10" t="inlineStr"/>
      <c r="G90" s="10" t="inlineStr"/>
      <c r="H90" s="10" t="inlineStr"/>
      <c r="I90" s="11" t="n">
        <v>61.4</v>
      </c>
      <c r="J90" s="6" t="n">
        <v>15</v>
      </c>
      <c r="K90" s="7">
        <f>IF(I90="","",I90*(1+J90/100))</f>
        <v/>
      </c>
      <c r="L90" s="12" t="inlineStr"/>
      <c r="M90" s="8">
        <f>IF(OR(L90="",K90="",L90=0),"",
  (L90-K90)/L90*100)</f>
        <v/>
      </c>
      <c r="N90" s="9" t="inlineStr"/>
      <c r="O90" s="10" t="inlineStr"/>
      <c r="P90" s="10" t="inlineStr"/>
      <c r="Q90" s="10" t="inlineStr"/>
      <c r="R90" s="10" t="inlineStr">
        <is>
          <t>2026-03-12</t>
        </is>
      </c>
      <c r="S90" s="10" t="inlineStr"/>
    </row>
    <row r="91">
      <c r="A91" s="3" t="inlineStr">
        <is>
          <t>F00153</t>
        </is>
      </c>
      <c r="B91" s="4" t="inlineStr">
        <is>
          <t>F00153</t>
        </is>
      </c>
      <c r="C91" s="4" t="inlineStr"/>
      <c r="D91" s="4" t="inlineStr"/>
      <c r="E91" s="3" t="inlineStr">
        <is>
          <t>VINYL  SPONGE BAK-30M XTRA THIK</t>
        </is>
      </c>
      <c r="F91" s="4" t="inlineStr"/>
      <c r="G91" s="4" t="inlineStr"/>
      <c r="H91" s="4" t="inlineStr"/>
      <c r="I91" s="5" t="n">
        <v>687</v>
      </c>
      <c r="J91" s="6" t="n">
        <v>15</v>
      </c>
      <c r="K91" s="7">
        <f>IF(I91="","",I91*(1+J91/100))</f>
        <v/>
      </c>
      <c r="L91" s="12" t="inlineStr"/>
      <c r="M91" s="8">
        <f>IF(OR(L91="",K91="",L91=0),"",
  (L91-K91)/L91*100)</f>
        <v/>
      </c>
      <c r="N91" s="9" t="inlineStr"/>
      <c r="O91" s="4" t="inlineStr"/>
      <c r="P91" s="4" t="inlineStr"/>
      <c r="Q91" s="4" t="inlineStr"/>
      <c r="R91" s="4" t="inlineStr">
        <is>
          <t>2026-03-12</t>
        </is>
      </c>
      <c r="S91" s="4" t="inlineStr"/>
    </row>
    <row r="92">
      <c r="A92" s="10" t="inlineStr">
        <is>
          <t>F00154</t>
        </is>
      </c>
      <c r="B92" s="10" t="inlineStr">
        <is>
          <t>F00154</t>
        </is>
      </c>
      <c r="C92" s="10" t="inlineStr"/>
      <c r="D92" s="10" t="inlineStr">
        <is>
          <t>6009677011078</t>
        </is>
      </c>
      <c r="E92" s="10" t="inlineStr">
        <is>
          <t>VINYL SPONGE BAK-5MT XTRA THIK</t>
        </is>
      </c>
      <c r="F92" s="10" t="inlineStr"/>
      <c r="G92" s="10" t="inlineStr"/>
      <c r="H92" s="10" t="inlineStr"/>
      <c r="I92" s="11" t="n">
        <v>119.5</v>
      </c>
      <c r="J92" s="6" t="n">
        <v>15</v>
      </c>
      <c r="K92" s="7">
        <f>IF(I92="","",I92*(1+J92/100))</f>
        <v/>
      </c>
      <c r="L92" s="12" t="inlineStr"/>
      <c r="M92" s="8">
        <f>IF(OR(L92="",K92="",L92=0),"",
  (L92-K92)/L92*100)</f>
        <v/>
      </c>
      <c r="N92" s="9" t="inlineStr"/>
      <c r="O92" s="10" t="inlineStr"/>
      <c r="P92" s="10" t="inlineStr"/>
      <c r="Q92" s="10" t="inlineStr"/>
      <c r="R92" s="10" t="inlineStr">
        <is>
          <t>2026-03-12</t>
        </is>
      </c>
      <c r="S92" s="10" t="inlineStr"/>
    </row>
    <row r="93">
      <c r="A93" s="3" t="inlineStr">
        <is>
          <t>F00155</t>
        </is>
      </c>
      <c r="B93" s="4" t="inlineStr">
        <is>
          <t>F00155</t>
        </is>
      </c>
      <c r="C93" s="4" t="inlineStr"/>
      <c r="D93" s="4" t="inlineStr"/>
      <c r="E93" s="3" t="inlineStr">
        <is>
          <t>VINYL CHN 0.50MM 3MTRS</t>
        </is>
      </c>
      <c r="F93" s="4" t="inlineStr"/>
      <c r="G93" s="4" t="inlineStr"/>
      <c r="H93" s="4" t="inlineStr"/>
      <c r="I93" s="5" t="n">
        <v>46.2</v>
      </c>
      <c r="J93" s="6" t="n">
        <v>15</v>
      </c>
      <c r="K93" s="7">
        <f>IF(I93="","",I93*(1+J93/100))</f>
        <v/>
      </c>
      <c r="L93" s="12" t="inlineStr"/>
      <c r="M93" s="8">
        <f>IF(OR(L93="",K93="",L93=0),"",
  (L93-K93)/L93*100)</f>
        <v/>
      </c>
      <c r="N93" s="9" t="inlineStr"/>
      <c r="O93" s="4" t="inlineStr"/>
      <c r="P93" s="4" t="inlineStr"/>
      <c r="Q93" s="4" t="inlineStr"/>
      <c r="R93" s="4" t="inlineStr">
        <is>
          <t>2026-03-12</t>
        </is>
      </c>
      <c r="S93" s="4" t="inlineStr"/>
    </row>
    <row r="94">
      <c r="A94" s="10" t="inlineStr">
        <is>
          <t>F00156</t>
        </is>
      </c>
      <c r="B94" s="10" t="inlineStr">
        <is>
          <t>F00156</t>
        </is>
      </c>
      <c r="C94" s="10" t="inlineStr"/>
      <c r="D94" s="10" t="inlineStr"/>
      <c r="E94" s="10" t="inlineStr">
        <is>
          <t>VINYL CHN 0.50MM 3.75MTR</t>
        </is>
      </c>
      <c r="F94" s="10" t="inlineStr"/>
      <c r="G94" s="10" t="inlineStr"/>
      <c r="H94" s="10" t="inlineStr"/>
      <c r="I94" s="11" t="n">
        <v>44.95</v>
      </c>
      <c r="J94" s="6" t="n">
        <v>15</v>
      </c>
      <c r="K94" s="7">
        <f>IF(I94="","",I94*(1+J94/100))</f>
        <v/>
      </c>
      <c r="L94" s="12" t="inlineStr"/>
      <c r="M94" s="8">
        <f>IF(OR(L94="",K94="",L94=0),"",
  (L94-K94)/L94*100)</f>
        <v/>
      </c>
      <c r="N94" s="9" t="inlineStr"/>
      <c r="O94" s="10" t="inlineStr"/>
      <c r="P94" s="10" t="inlineStr"/>
      <c r="Q94" s="10" t="inlineStr"/>
      <c r="R94" s="10" t="inlineStr">
        <is>
          <t>2026-03-12</t>
        </is>
      </c>
      <c r="S94" s="10" t="inlineStr"/>
    </row>
    <row r="95">
      <c r="A95" s="3" t="inlineStr">
        <is>
          <t>F00159</t>
        </is>
      </c>
      <c r="B95" s="4" t="inlineStr">
        <is>
          <t>F00159</t>
        </is>
      </c>
      <c r="C95" s="4" t="inlineStr"/>
      <c r="D95" s="4" t="inlineStr">
        <is>
          <t>6009697451984</t>
        </is>
      </c>
      <c r="E95" s="3" t="inlineStr">
        <is>
          <t>VINYL KOR 0.35MM 3 MTR SHRINK</t>
        </is>
      </c>
      <c r="F95" s="4" t="inlineStr"/>
      <c r="G95" s="4" t="inlineStr"/>
      <c r="H95" s="4" t="inlineStr"/>
      <c r="I95" s="5" t="n">
        <v>58.95</v>
      </c>
      <c r="J95" s="6" t="n">
        <v>15</v>
      </c>
      <c r="K95" s="7">
        <f>IF(I95="","",I95*(1+J95/100))</f>
        <v/>
      </c>
      <c r="L95" s="12" t="inlineStr"/>
      <c r="M95" s="8">
        <f>IF(OR(L95="",K95="",L95=0),"",
  (L95-K95)/L95*100)</f>
        <v/>
      </c>
      <c r="N95" s="9" t="inlineStr"/>
      <c r="O95" s="4" t="inlineStr"/>
      <c r="P95" s="4" t="inlineStr"/>
      <c r="Q95" s="4" t="inlineStr"/>
      <c r="R95" s="4" t="inlineStr">
        <is>
          <t>2026-03-12</t>
        </is>
      </c>
      <c r="S95" s="4" t="inlineStr"/>
    </row>
    <row r="96">
      <c r="A96" s="10" t="inlineStr">
        <is>
          <t>F00160</t>
        </is>
      </c>
      <c r="B96" s="10" t="inlineStr">
        <is>
          <t>F00160</t>
        </is>
      </c>
      <c r="C96" s="10" t="inlineStr"/>
      <c r="D96" s="10" t="inlineStr"/>
      <c r="E96" s="10" t="inlineStr">
        <is>
          <t>VINYL SPONGE BAK 4.28MT X 2MTR SHR</t>
        </is>
      </c>
      <c r="F96" s="10" t="inlineStr"/>
      <c r="G96" s="10" t="inlineStr"/>
      <c r="H96" s="10" t="inlineStr"/>
      <c r="I96" s="11" t="n">
        <v>155.95</v>
      </c>
      <c r="J96" s="6" t="n">
        <v>15</v>
      </c>
      <c r="K96" s="7">
        <f>IF(I96="","",I96*(1+J96/100))</f>
        <v/>
      </c>
      <c r="L96" s="12" t="inlineStr"/>
      <c r="M96" s="8">
        <f>IF(OR(L96="",K96="",L96=0),"",
  (L96-K96)/L96*100)</f>
        <v/>
      </c>
      <c r="N96" s="9" t="inlineStr"/>
      <c r="O96" s="10" t="inlineStr"/>
      <c r="P96" s="10" t="inlineStr"/>
      <c r="Q96" s="10" t="inlineStr"/>
      <c r="R96" s="10" t="inlineStr">
        <is>
          <t>2026-03-12</t>
        </is>
      </c>
      <c r="S96" s="10" t="inlineStr"/>
    </row>
    <row r="97">
      <c r="A97" s="3" t="inlineStr">
        <is>
          <t>F00161</t>
        </is>
      </c>
      <c r="B97" s="4" t="inlineStr">
        <is>
          <t>F00161</t>
        </is>
      </c>
      <c r="C97" s="4" t="inlineStr"/>
      <c r="D97" s="4" t="inlineStr">
        <is>
          <t>6009697450536</t>
        </is>
      </c>
      <c r="E97" s="3" t="inlineStr">
        <is>
          <t>TV TROLLEY GD QLTY BEECH TVR20</t>
        </is>
      </c>
      <c r="F97" s="4" t="inlineStr"/>
      <c r="G97" s="4" t="inlineStr"/>
      <c r="H97" s="4" t="inlineStr"/>
      <c r="I97" s="5" t="n">
        <v>58.95</v>
      </c>
      <c r="J97" s="6" t="n">
        <v>15</v>
      </c>
      <c r="K97" s="7">
        <f>IF(I97="","",I97*(1+J97/100))</f>
        <v/>
      </c>
      <c r="L97" s="12" t="inlineStr"/>
      <c r="M97" s="8">
        <f>IF(OR(L97="",K97="",L97=0),"",
  (L97-K97)/L97*100)</f>
        <v/>
      </c>
      <c r="N97" s="9" t="inlineStr"/>
      <c r="O97" s="4" t="inlineStr"/>
      <c r="P97" s="4" t="inlineStr"/>
      <c r="Q97" s="4" t="inlineStr"/>
      <c r="R97" s="4" t="inlineStr">
        <is>
          <t>2026-03-12</t>
        </is>
      </c>
      <c r="S97" s="4" t="inlineStr"/>
    </row>
    <row r="98">
      <c r="A98" s="10" t="inlineStr">
        <is>
          <t>F00162</t>
        </is>
      </c>
      <c r="B98" s="10" t="inlineStr">
        <is>
          <t>F00162</t>
        </is>
      </c>
      <c r="C98" s="10" t="inlineStr"/>
      <c r="D98" s="10" t="inlineStr">
        <is>
          <t>6009697450567</t>
        </is>
      </c>
      <c r="E98" s="10" t="inlineStr">
        <is>
          <t>IRONING BOARD 42"WDN DC-620 12MM WOODEN</t>
        </is>
      </c>
      <c r="F98" s="10" t="inlineStr"/>
      <c r="G98" s="10" t="inlineStr"/>
      <c r="H98" s="10" t="inlineStr"/>
      <c r="I98" s="11" t="n">
        <v>81.95</v>
      </c>
      <c r="J98" s="6" t="n">
        <v>15</v>
      </c>
      <c r="K98" s="7">
        <f>IF(I98="","",I98*(1+J98/100))</f>
        <v/>
      </c>
      <c r="L98" s="12" t="inlineStr"/>
      <c r="M98" s="8">
        <f>IF(OR(L98="",K98="",L98=0),"",
  (L98-K98)/L98*100)</f>
        <v/>
      </c>
      <c r="N98" s="9" t="inlineStr"/>
      <c r="O98" s="10" t="inlineStr"/>
      <c r="P98" s="10" t="inlineStr"/>
      <c r="Q98" s="10" t="inlineStr"/>
      <c r="R98" s="10" t="inlineStr">
        <is>
          <t>2026-03-12</t>
        </is>
      </c>
      <c r="S98" s="10" t="inlineStr"/>
    </row>
    <row r="99">
      <c r="A99" s="3" t="inlineStr">
        <is>
          <t>F00164</t>
        </is>
      </c>
      <c r="B99" s="4" t="inlineStr">
        <is>
          <t>F00164</t>
        </is>
      </c>
      <c r="C99" s="4" t="inlineStr"/>
      <c r="D99" s="4" t="inlineStr">
        <is>
          <t>6946614108883</t>
        </is>
      </c>
      <c r="E99" s="3" t="inlineStr">
        <is>
          <t>GLUE SUPER 12 PER CARD</t>
        </is>
      </c>
      <c r="F99" s="4" t="inlineStr"/>
      <c r="G99" s="4" t="inlineStr"/>
      <c r="H99" s="4" t="inlineStr"/>
      <c r="I99" s="5" t="n">
        <v>6.49</v>
      </c>
      <c r="J99" s="6" t="n">
        <v>15</v>
      </c>
      <c r="K99" s="7">
        <f>IF(I99="","",I99*(1+J99/100))</f>
        <v/>
      </c>
      <c r="L99" s="12" t="inlineStr"/>
      <c r="M99" s="8">
        <f>IF(OR(L99="",K99="",L99=0),"",
  (L99-K99)/L99*100)</f>
        <v/>
      </c>
      <c r="N99" s="9" t="inlineStr"/>
      <c r="O99" s="4" t="inlineStr"/>
      <c r="P99" s="4" t="inlineStr"/>
      <c r="Q99" s="4" t="inlineStr"/>
      <c r="R99" s="4" t="inlineStr">
        <is>
          <t>2026-03-12</t>
        </is>
      </c>
      <c r="S99" s="4" t="inlineStr"/>
    </row>
    <row r="100">
      <c r="A100" s="10" t="inlineStr">
        <is>
          <t>F00176</t>
        </is>
      </c>
      <c r="B100" s="10" t="inlineStr">
        <is>
          <t>F00176</t>
        </is>
      </c>
      <c r="C100" s="10" t="inlineStr"/>
      <c r="D100" s="10" t="inlineStr"/>
      <c r="E100" s="10" t="inlineStr">
        <is>
          <t>FAN 16" STANDING</t>
        </is>
      </c>
      <c r="F100" s="10" t="inlineStr"/>
      <c r="G100" s="10" t="inlineStr"/>
      <c r="H100" s="10" t="inlineStr"/>
      <c r="I100" s="11" t="n">
        <v>87.95</v>
      </c>
      <c r="J100" s="6" t="n">
        <v>15</v>
      </c>
      <c r="K100" s="7">
        <f>IF(I100="","",I100*(1+J100/100))</f>
        <v/>
      </c>
      <c r="L100" s="12" t="inlineStr"/>
      <c r="M100" s="8">
        <f>IF(OR(L100="",K100="",L100=0),"",
  (L100-K100)/L100*100)</f>
        <v/>
      </c>
      <c r="N100" s="9" t="inlineStr"/>
      <c r="O100" s="10" t="inlineStr"/>
      <c r="P100" s="10" t="inlineStr"/>
      <c r="Q100" s="10" t="inlineStr"/>
      <c r="R100" s="10" t="inlineStr">
        <is>
          <t>2026-03-12</t>
        </is>
      </c>
      <c r="S100" s="10" t="inlineStr"/>
    </row>
    <row r="101">
      <c r="A101" s="3" t="inlineStr">
        <is>
          <t>F00182</t>
        </is>
      </c>
      <c r="B101" s="4" t="inlineStr">
        <is>
          <t>F00182</t>
        </is>
      </c>
      <c r="C101" s="4" t="inlineStr"/>
      <c r="D101" s="4" t="inlineStr">
        <is>
          <t>6009697453261</t>
        </is>
      </c>
      <c r="E101" s="3" t="inlineStr">
        <is>
          <t>MUG 10 OZ GLAZED (56/72)</t>
        </is>
      </c>
      <c r="F101" s="4" t="inlineStr"/>
      <c r="G101" s="4" t="inlineStr"/>
      <c r="H101" s="4" t="inlineStr"/>
      <c r="I101" s="5" t="n">
        <v>6.49</v>
      </c>
      <c r="J101" s="6" t="n">
        <v>15</v>
      </c>
      <c r="K101" s="7">
        <f>IF(I101="","",I101*(1+J101/100))</f>
        <v/>
      </c>
      <c r="L101" s="12" t="inlineStr"/>
      <c r="M101" s="8">
        <f>IF(OR(L101="",K101="",L101=0),"",
  (L101-K101)/L101*100)</f>
        <v/>
      </c>
      <c r="N101" s="14" t="n">
        <v>120</v>
      </c>
      <c r="O101" s="4" t="inlineStr"/>
      <c r="P101" s="4" t="inlineStr"/>
      <c r="Q101" s="4" t="inlineStr"/>
      <c r="R101" s="4" t="inlineStr">
        <is>
          <t>2026-03-12</t>
        </is>
      </c>
      <c r="S101" s="4" t="inlineStr"/>
    </row>
    <row r="102">
      <c r="A102" s="10" t="inlineStr">
        <is>
          <t>F00199</t>
        </is>
      </c>
      <c r="B102" s="10" t="inlineStr">
        <is>
          <t>F00199</t>
        </is>
      </c>
      <c r="C102" s="10" t="inlineStr"/>
      <c r="D102" s="10" t="inlineStr">
        <is>
          <t>6009697451069</t>
        </is>
      </c>
      <c r="E102" s="10" t="inlineStr">
        <is>
          <t>SOLAR PANEL 10W MONO C LARGE 750X450X20M</t>
        </is>
      </c>
      <c r="F102" s="10" t="inlineStr"/>
      <c r="G102" s="10" t="inlineStr"/>
      <c r="H102" s="10" t="inlineStr"/>
      <c r="I102" s="11" t="n">
        <v>50</v>
      </c>
      <c r="J102" s="6" t="n">
        <v>15</v>
      </c>
      <c r="K102" s="7">
        <f>IF(I102="","",I102*(1+J102/100))</f>
        <v/>
      </c>
      <c r="L102" s="12" t="inlineStr"/>
      <c r="M102" s="8">
        <f>IF(OR(L102="",K102="",L102=0),"",
  (L102-K102)/L102*100)</f>
        <v/>
      </c>
      <c r="N102" s="9" t="inlineStr"/>
      <c r="O102" s="10" t="inlineStr"/>
      <c r="P102" s="10" t="inlineStr"/>
      <c r="Q102" s="10" t="inlineStr"/>
      <c r="R102" s="10" t="inlineStr">
        <is>
          <t>2026-03-12</t>
        </is>
      </c>
      <c r="S102" s="10" t="inlineStr"/>
    </row>
    <row r="103">
      <c r="A103" s="3" t="inlineStr">
        <is>
          <t>F00201</t>
        </is>
      </c>
      <c r="B103" s="4" t="inlineStr">
        <is>
          <t>F00201</t>
        </is>
      </c>
      <c r="C103" s="4" t="inlineStr">
        <is>
          <t>32169</t>
        </is>
      </c>
      <c r="D103" s="4" t="inlineStr">
        <is>
          <t>6009697451717</t>
        </is>
      </c>
      <c r="E103" s="3" t="inlineStr">
        <is>
          <t>TABLEMAT PERFORATED 3 COLORS(10pc)roll</t>
        </is>
      </c>
      <c r="F103" s="4" t="inlineStr"/>
      <c r="G103" s="4" t="inlineStr"/>
      <c r="H103" s="4" t="inlineStr"/>
      <c r="I103" s="5" t="n">
        <v>85.95</v>
      </c>
      <c r="J103" s="6" t="n">
        <v>15</v>
      </c>
      <c r="K103" s="7">
        <f>IF(I103="","",I103*(1+J103/100))</f>
        <v/>
      </c>
      <c r="L103" s="5" t="n">
        <v>12.95</v>
      </c>
      <c r="M103" s="8">
        <f>IF(OR(L103="",K103="",L103=0),"",
  (L103-K103)/L103*100)</f>
        <v/>
      </c>
      <c r="N103" s="14" t="n">
        <v>1</v>
      </c>
      <c r="O103" s="4" t="inlineStr"/>
      <c r="P103" s="4" t="inlineStr"/>
      <c r="Q103" s="4" t="inlineStr"/>
      <c r="R103" s="4" t="inlineStr">
        <is>
          <t>2026-03-12</t>
        </is>
      </c>
      <c r="S103" s="4" t="inlineStr"/>
    </row>
    <row r="104">
      <c r="A104" s="10" t="inlineStr">
        <is>
          <t>F00202</t>
        </is>
      </c>
      <c r="B104" s="10" t="inlineStr">
        <is>
          <t>F00202</t>
        </is>
      </c>
      <c r="C104" s="10" t="inlineStr"/>
      <c r="D104" s="10" t="inlineStr"/>
      <c r="E104" s="10" t="inlineStr">
        <is>
          <t>SUPA SHINE 0.60MM X30MTX2M</t>
        </is>
      </c>
      <c r="F104" s="10" t="inlineStr"/>
      <c r="G104" s="10" t="inlineStr"/>
      <c r="H104" s="10" t="inlineStr"/>
      <c r="I104" s="11" t="n">
        <v>615</v>
      </c>
      <c r="J104" s="6" t="n">
        <v>15</v>
      </c>
      <c r="K104" s="7">
        <f>IF(I104="","",I104*(1+J104/100))</f>
        <v/>
      </c>
      <c r="L104" s="12" t="inlineStr"/>
      <c r="M104" s="8">
        <f>IF(OR(L104="",K104="",L104=0),"",
  (L104-K104)/L104*100)</f>
        <v/>
      </c>
      <c r="N104" s="9" t="inlineStr"/>
      <c r="O104" s="10" t="inlineStr"/>
      <c r="P104" s="10" t="inlineStr"/>
      <c r="Q104" s="10" t="inlineStr"/>
      <c r="R104" s="10" t="inlineStr">
        <is>
          <t>2026-03-12</t>
        </is>
      </c>
      <c r="S104" s="10" t="inlineStr"/>
    </row>
    <row r="105">
      <c r="A105" s="3" t="inlineStr">
        <is>
          <t>F00203</t>
        </is>
      </c>
      <c r="B105" s="4" t="inlineStr">
        <is>
          <t>F00203</t>
        </is>
      </c>
      <c r="C105" s="4" t="inlineStr"/>
      <c r="D105" s="4" t="inlineStr">
        <is>
          <t>6009677018701</t>
        </is>
      </c>
      <c r="E105" s="3" t="inlineStr">
        <is>
          <t>SUPA SHINE 0.60MMX2MX5M SHRINK</t>
        </is>
      </c>
      <c r="F105" s="4" t="inlineStr"/>
      <c r="G105" s="4" t="inlineStr"/>
      <c r="H105" s="4" t="inlineStr"/>
      <c r="I105" s="5" t="n">
        <v>109.95</v>
      </c>
      <c r="J105" s="6" t="n">
        <v>15</v>
      </c>
      <c r="K105" s="7">
        <f>IF(I105="","",I105*(1+J105/100))</f>
        <v/>
      </c>
      <c r="L105" s="12" t="inlineStr"/>
      <c r="M105" s="8">
        <f>IF(OR(L105="",K105="",L105=0),"",
  (L105-K105)/L105*100)</f>
        <v/>
      </c>
      <c r="N105" s="9" t="inlineStr"/>
      <c r="O105" s="4" t="inlineStr"/>
      <c r="P105" s="4" t="inlineStr"/>
      <c r="Q105" s="4" t="inlineStr"/>
      <c r="R105" s="4" t="inlineStr">
        <is>
          <t>2026-03-12</t>
        </is>
      </c>
      <c r="S105" s="4" t="inlineStr"/>
    </row>
    <row r="106">
      <c r="A106" s="10" t="inlineStr">
        <is>
          <t>F00204</t>
        </is>
      </c>
      <c r="B106" s="10" t="inlineStr">
        <is>
          <t>F00204</t>
        </is>
      </c>
      <c r="C106" s="10" t="inlineStr"/>
      <c r="D106" s="10" t="inlineStr"/>
      <c r="E106" s="10" t="inlineStr">
        <is>
          <t>SUPERIOR SUPER 0.50MM 5M SHRIN</t>
        </is>
      </c>
      <c r="F106" s="10" t="inlineStr"/>
      <c r="G106" s="10" t="inlineStr"/>
      <c r="H106" s="10" t="inlineStr"/>
      <c r="I106" s="11" t="n">
        <v>105</v>
      </c>
      <c r="J106" s="6" t="n">
        <v>15</v>
      </c>
      <c r="K106" s="7">
        <f>IF(I106="","",I106*(1+J106/100))</f>
        <v/>
      </c>
      <c r="L106" s="12" t="inlineStr"/>
      <c r="M106" s="8">
        <f>IF(OR(L106="",K106="",L106=0),"",
  (L106-K106)/L106*100)</f>
        <v/>
      </c>
      <c r="N106" s="9" t="inlineStr"/>
      <c r="O106" s="10" t="inlineStr"/>
      <c r="P106" s="10" t="inlineStr"/>
      <c r="Q106" s="10" t="inlineStr"/>
      <c r="R106" s="10" t="inlineStr">
        <is>
          <t>2026-03-12</t>
        </is>
      </c>
      <c r="S106" s="10" t="inlineStr"/>
    </row>
    <row r="107">
      <c r="A107" s="3" t="inlineStr">
        <is>
          <t>F00205</t>
        </is>
      </c>
      <c r="B107" s="4" t="inlineStr">
        <is>
          <t>F00205</t>
        </is>
      </c>
      <c r="C107" s="4" t="inlineStr"/>
      <c r="D107" s="4" t="inlineStr"/>
      <c r="E107" s="3" t="inlineStr">
        <is>
          <t>SUPERIOR SUPER VINYL 30METRE</t>
        </is>
      </c>
      <c r="F107" s="4" t="inlineStr"/>
      <c r="G107" s="4" t="inlineStr"/>
      <c r="H107" s="4" t="inlineStr"/>
      <c r="I107" s="5" t="n">
        <v>599</v>
      </c>
      <c r="J107" s="6" t="n">
        <v>15</v>
      </c>
      <c r="K107" s="7">
        <f>IF(I107="","",I107*(1+J107/100))</f>
        <v/>
      </c>
      <c r="L107" s="12" t="inlineStr"/>
      <c r="M107" s="8">
        <f>IF(OR(L107="",K107="",L107=0),"",
  (L107-K107)/L107*100)</f>
        <v/>
      </c>
      <c r="N107" s="9" t="inlineStr"/>
      <c r="O107" s="4" t="inlineStr"/>
      <c r="P107" s="4" t="inlineStr"/>
      <c r="Q107" s="4" t="inlineStr"/>
      <c r="R107" s="4" t="inlineStr">
        <is>
          <t>2026-03-12</t>
        </is>
      </c>
      <c r="S107" s="4" t="inlineStr"/>
    </row>
    <row r="108">
      <c r="A108" s="10" t="inlineStr">
        <is>
          <t>F00206</t>
        </is>
      </c>
      <c r="B108" s="10" t="inlineStr">
        <is>
          <t>F00206</t>
        </is>
      </c>
      <c r="C108" s="10" t="inlineStr"/>
      <c r="D108" s="10" t="inlineStr"/>
      <c r="E108" s="10" t="inlineStr">
        <is>
          <t>SUPERIOR SUPER 0.50MM VINYL 5M</t>
        </is>
      </c>
      <c r="F108" s="10" t="inlineStr"/>
      <c r="G108" s="10" t="inlineStr"/>
      <c r="H108" s="10" t="inlineStr"/>
      <c r="I108" s="11" t="n">
        <v>100.95</v>
      </c>
      <c r="J108" s="6" t="n">
        <v>15</v>
      </c>
      <c r="K108" s="7">
        <f>IF(I108="","",I108*(1+J108/100))</f>
        <v/>
      </c>
      <c r="L108" s="12" t="inlineStr"/>
      <c r="M108" s="8">
        <f>IF(OR(L108="",K108="",L108=0),"",
  (L108-K108)/L108*100)</f>
        <v/>
      </c>
      <c r="N108" s="9" t="inlineStr"/>
      <c r="O108" s="10" t="inlineStr"/>
      <c r="P108" s="10" t="inlineStr"/>
      <c r="Q108" s="10" t="inlineStr"/>
      <c r="R108" s="10" t="inlineStr">
        <is>
          <t>2026-03-12</t>
        </is>
      </c>
      <c r="S108" s="10" t="inlineStr"/>
    </row>
    <row r="109">
      <c r="A109" s="3" t="inlineStr">
        <is>
          <t>F00208</t>
        </is>
      </c>
      <c r="B109" s="4" t="inlineStr">
        <is>
          <t>F00208</t>
        </is>
      </c>
      <c r="C109" s="4" t="inlineStr"/>
      <c r="D109" s="4" t="inlineStr">
        <is>
          <t>6009697450130</t>
        </is>
      </c>
      <c r="E109" s="3" t="inlineStr">
        <is>
          <t>DRINK SET 8 PCE</t>
        </is>
      </c>
      <c r="F109" s="4" t="inlineStr"/>
      <c r="G109" s="4" t="inlineStr"/>
      <c r="H109" s="4" t="inlineStr"/>
      <c r="I109" s="5" t="n">
        <v>38.95</v>
      </c>
      <c r="J109" s="6" t="n">
        <v>15</v>
      </c>
      <c r="K109" s="7">
        <f>IF(I109="","",I109*(1+J109/100))</f>
        <v/>
      </c>
      <c r="L109" s="12" t="inlineStr"/>
      <c r="M109" s="8">
        <f>IF(OR(L109="",K109="",L109=0),"",
  (L109-K109)/L109*100)</f>
        <v/>
      </c>
      <c r="N109" s="9" t="inlineStr"/>
      <c r="O109" s="4" t="inlineStr"/>
      <c r="P109" s="4" t="inlineStr"/>
      <c r="Q109" s="4" t="inlineStr"/>
      <c r="R109" s="4" t="inlineStr">
        <is>
          <t>2026-03-12</t>
        </is>
      </c>
      <c r="S109" s="4" t="inlineStr"/>
    </row>
    <row r="110">
      <c r="A110" s="10" t="inlineStr">
        <is>
          <t>F00209</t>
        </is>
      </c>
      <c r="B110" s="10" t="inlineStr">
        <is>
          <t>F00209</t>
        </is>
      </c>
      <c r="C110" s="10" t="inlineStr"/>
      <c r="D110" s="10" t="inlineStr">
        <is>
          <t>6009697450123</t>
        </is>
      </c>
      <c r="E110" s="10" t="inlineStr">
        <is>
          <t>DRINK SET</t>
        </is>
      </c>
      <c r="F110" s="10" t="inlineStr"/>
      <c r="G110" s="10" t="inlineStr"/>
      <c r="H110" s="10" t="inlineStr"/>
      <c r="I110" s="11" t="n">
        <v>36.95</v>
      </c>
      <c r="J110" s="6" t="n">
        <v>15</v>
      </c>
      <c r="K110" s="7">
        <f>IF(I110="","",I110*(1+J110/100))</f>
        <v/>
      </c>
      <c r="L110" s="12" t="inlineStr"/>
      <c r="M110" s="8">
        <f>IF(OR(L110="",K110="",L110=0),"",
  (L110-K110)/L110*100)</f>
        <v/>
      </c>
      <c r="N110" s="9" t="inlineStr"/>
      <c r="O110" s="10" t="inlineStr"/>
      <c r="P110" s="10" t="inlineStr"/>
      <c r="Q110" s="10" t="inlineStr"/>
      <c r="R110" s="10" t="inlineStr">
        <is>
          <t>2026-03-12</t>
        </is>
      </c>
      <c r="S110" s="10" t="inlineStr"/>
    </row>
    <row r="111">
      <c r="A111" s="3" t="inlineStr">
        <is>
          <t>F00210</t>
        </is>
      </c>
      <c r="B111" s="4" t="inlineStr">
        <is>
          <t>F00210</t>
        </is>
      </c>
      <c r="C111" s="4" t="inlineStr"/>
      <c r="D111" s="4" t="inlineStr">
        <is>
          <t>6009697450116</t>
        </is>
      </c>
      <c r="E111" s="3" t="inlineStr">
        <is>
          <t>DRINK SET 7 PCE</t>
        </is>
      </c>
      <c r="F111" s="4" t="inlineStr"/>
      <c r="G111" s="4" t="inlineStr"/>
      <c r="H111" s="4" t="inlineStr"/>
      <c r="I111" s="5" t="n">
        <v>38.95</v>
      </c>
      <c r="J111" s="6" t="n">
        <v>15</v>
      </c>
      <c r="K111" s="7">
        <f>IF(I111="","",I111*(1+J111/100))</f>
        <v/>
      </c>
      <c r="L111" s="12" t="inlineStr"/>
      <c r="M111" s="8">
        <f>IF(OR(L111="",K111="",L111=0),"",
  (L111-K111)/L111*100)</f>
        <v/>
      </c>
      <c r="N111" s="9" t="inlineStr"/>
      <c r="O111" s="4" t="inlineStr"/>
      <c r="P111" s="4" t="inlineStr"/>
      <c r="Q111" s="4" t="inlineStr"/>
      <c r="R111" s="4" t="inlineStr">
        <is>
          <t>2026-03-12</t>
        </is>
      </c>
      <c r="S111" s="4" t="inlineStr"/>
    </row>
    <row r="112">
      <c r="A112" s="10" t="inlineStr">
        <is>
          <t>F00212</t>
        </is>
      </c>
      <c r="B112" s="10" t="inlineStr">
        <is>
          <t>F00212</t>
        </is>
      </c>
      <c r="C112" s="10" t="inlineStr"/>
      <c r="D112" s="10" t="inlineStr">
        <is>
          <t>6009705651184</t>
        </is>
      </c>
      <c r="E112" s="10" t="inlineStr">
        <is>
          <t>DRINK SET 7PC SILVER</t>
        </is>
      </c>
      <c r="F112" s="10" t="inlineStr"/>
      <c r="G112" s="10" t="inlineStr"/>
      <c r="H112" s="10" t="inlineStr"/>
      <c r="I112" s="11" t="n">
        <v>48</v>
      </c>
      <c r="J112" s="6" t="n">
        <v>15</v>
      </c>
      <c r="K112" s="7">
        <f>IF(I112="","",I112*(1+J112/100))</f>
        <v/>
      </c>
      <c r="L112" s="12" t="inlineStr"/>
      <c r="M112" s="8">
        <f>IF(OR(L112="",K112="",L112=0),"",
  (L112-K112)/L112*100)</f>
        <v/>
      </c>
      <c r="N112" s="9" t="inlineStr"/>
      <c r="O112" s="10" t="inlineStr"/>
      <c r="P112" s="10" t="inlineStr"/>
      <c r="Q112" s="10" t="inlineStr"/>
      <c r="R112" s="10" t="inlineStr">
        <is>
          <t>2026-03-12</t>
        </is>
      </c>
      <c r="S112" s="10" t="inlineStr"/>
    </row>
    <row r="113">
      <c r="A113" s="3" t="inlineStr">
        <is>
          <t>F00213</t>
        </is>
      </c>
      <c r="B113" s="4" t="inlineStr">
        <is>
          <t>F00213</t>
        </is>
      </c>
      <c r="C113" s="4" t="inlineStr"/>
      <c r="D113" s="4" t="inlineStr">
        <is>
          <t>6009705651177</t>
        </is>
      </c>
      <c r="E113" s="3" t="inlineStr">
        <is>
          <t>DRINK SET 7PC GOLD</t>
        </is>
      </c>
      <c r="F113" s="4" t="inlineStr"/>
      <c r="G113" s="4" t="inlineStr"/>
      <c r="H113" s="4" t="inlineStr"/>
      <c r="I113" s="5" t="n">
        <v>48.27</v>
      </c>
      <c r="J113" s="6" t="n">
        <v>15</v>
      </c>
      <c r="K113" s="7">
        <f>IF(I113="","",I113*(1+J113/100))</f>
        <v/>
      </c>
      <c r="L113" s="12" t="inlineStr"/>
      <c r="M113" s="8">
        <f>IF(OR(L113="",K113="",L113=0),"",
  (L113-K113)/L113*100)</f>
        <v/>
      </c>
      <c r="N113" s="9" t="inlineStr"/>
      <c r="O113" s="4" t="inlineStr"/>
      <c r="P113" s="4" t="inlineStr"/>
      <c r="Q113" s="4" t="inlineStr"/>
      <c r="R113" s="4" t="inlineStr">
        <is>
          <t>2026-03-12</t>
        </is>
      </c>
      <c r="S113" s="4" t="inlineStr"/>
    </row>
    <row r="114">
      <c r="A114" s="10" t="inlineStr">
        <is>
          <t>F00220</t>
        </is>
      </c>
      <c r="B114" s="10" t="inlineStr">
        <is>
          <t>F00220</t>
        </is>
      </c>
      <c r="C114" s="10" t="inlineStr"/>
      <c r="D114" s="10" t="inlineStr">
        <is>
          <t>6009697450499</t>
        </is>
      </c>
      <c r="E114" s="10" t="inlineStr">
        <is>
          <t>MAT CANDY STRIPE 48x77 LARGE</t>
        </is>
      </c>
      <c r="F114" s="10" t="inlineStr"/>
      <c r="G114" s="10" t="inlineStr"/>
      <c r="H114" s="10" t="inlineStr"/>
      <c r="I114" s="11" t="n">
        <v>17.5</v>
      </c>
      <c r="J114" s="6" t="n">
        <v>15</v>
      </c>
      <c r="K114" s="7">
        <f>IF(I114="","",I114*(1+J114/100))</f>
        <v/>
      </c>
      <c r="L114" s="12" t="inlineStr"/>
      <c r="M114" s="8">
        <f>IF(OR(L114="",K114="",L114=0),"",
  (L114-K114)/L114*100)</f>
        <v/>
      </c>
      <c r="N114" s="9" t="inlineStr"/>
      <c r="O114" s="10" t="inlineStr"/>
      <c r="P114" s="10" t="inlineStr"/>
      <c r="Q114" s="10" t="inlineStr"/>
      <c r="R114" s="10" t="inlineStr">
        <is>
          <t>2026-03-12</t>
        </is>
      </c>
      <c r="S114" s="10" t="inlineStr"/>
    </row>
    <row r="115">
      <c r="A115" s="3" t="inlineStr">
        <is>
          <t>F00224</t>
        </is>
      </c>
      <c r="B115" s="4" t="inlineStr">
        <is>
          <t>F00224</t>
        </is>
      </c>
      <c r="C115" s="4" t="inlineStr"/>
      <c r="D115" s="4" t="inlineStr">
        <is>
          <t>6009697451359</t>
        </is>
      </c>
      <c r="E115" s="3" t="inlineStr">
        <is>
          <t>FAN 16"STAND+WHEEL BASE(2"S)</t>
        </is>
      </c>
      <c r="F115" s="4" t="inlineStr"/>
      <c r="G115" s="4" t="inlineStr"/>
      <c r="H115" s="4" t="inlineStr"/>
      <c r="I115" s="5" t="n">
        <v>129.95</v>
      </c>
      <c r="J115" s="6" t="n">
        <v>15</v>
      </c>
      <c r="K115" s="7">
        <f>IF(I115="","",I115*(1+J115/100))</f>
        <v/>
      </c>
      <c r="L115" s="12" t="inlineStr"/>
      <c r="M115" s="8">
        <f>IF(OR(L115="",K115="",L115=0),"",
  (L115-K115)/L115*100)</f>
        <v/>
      </c>
      <c r="N115" s="9" t="inlineStr"/>
      <c r="O115" s="4" t="inlineStr"/>
      <c r="P115" s="4" t="inlineStr"/>
      <c r="Q115" s="4" t="inlineStr"/>
      <c r="R115" s="4" t="inlineStr">
        <is>
          <t>2026-03-12</t>
        </is>
      </c>
      <c r="S115" s="4" t="inlineStr"/>
    </row>
    <row r="116">
      <c r="A116" s="10" t="inlineStr">
        <is>
          <t>F00225</t>
        </is>
      </c>
      <c r="B116" s="10" t="inlineStr">
        <is>
          <t>F00225</t>
        </is>
      </c>
      <c r="C116" s="10" t="inlineStr"/>
      <c r="D116" s="10" t="inlineStr"/>
      <c r="E116" s="10" t="inlineStr">
        <is>
          <t>FAN-ITEM STOPPED FAN 12" IN BO</t>
        </is>
      </c>
      <c r="F116" s="10" t="inlineStr"/>
      <c r="G116" s="10" t="inlineStr"/>
      <c r="H116" s="10" t="inlineStr"/>
      <c r="I116" s="11" t="n">
        <v>85.95</v>
      </c>
      <c r="J116" s="6" t="n">
        <v>15</v>
      </c>
      <c r="K116" s="7">
        <f>IF(I116="","",I116*(1+J116/100))</f>
        <v/>
      </c>
      <c r="L116" s="12" t="inlineStr"/>
      <c r="M116" s="8">
        <f>IF(OR(L116="",K116="",L116=0),"",
  (L116-K116)/L116*100)</f>
        <v/>
      </c>
      <c r="N116" s="9" t="inlineStr"/>
      <c r="O116" s="10" t="inlineStr"/>
      <c r="P116" s="10" t="inlineStr"/>
      <c r="Q116" s="10" t="inlineStr"/>
      <c r="R116" s="10" t="inlineStr">
        <is>
          <t>2026-03-12</t>
        </is>
      </c>
      <c r="S116" s="10" t="inlineStr"/>
    </row>
    <row r="117">
      <c r="A117" s="3" t="inlineStr">
        <is>
          <t>F00231</t>
        </is>
      </c>
      <c r="B117" s="4" t="inlineStr">
        <is>
          <t>F00231</t>
        </is>
      </c>
      <c r="C117" s="4" t="inlineStr"/>
      <c r="D117" s="4" t="inlineStr">
        <is>
          <t>4971850166979</t>
        </is>
      </c>
      <c r="E117" s="3" t="inlineStr">
        <is>
          <t>CALCULATOR SCIENTIFIC CASIO</t>
        </is>
      </c>
      <c r="F117" s="4" t="inlineStr"/>
      <c r="G117" s="4" t="inlineStr"/>
      <c r="H117" s="4" t="inlineStr"/>
      <c r="I117" s="5" t="n">
        <v>74.95</v>
      </c>
      <c r="J117" s="6" t="n">
        <v>15</v>
      </c>
      <c r="K117" s="7">
        <f>IF(I117="","",I117*(1+J117/100))</f>
        <v/>
      </c>
      <c r="L117" s="12" t="inlineStr"/>
      <c r="M117" s="8">
        <f>IF(OR(L117="",K117="",L117=0),"",
  (L117-K117)/L117*100)</f>
        <v/>
      </c>
      <c r="N117" s="9" t="inlineStr"/>
      <c r="O117" s="4" t="inlineStr"/>
      <c r="P117" s="4" t="inlineStr"/>
      <c r="Q117" s="4" t="inlineStr"/>
      <c r="R117" s="4" t="inlineStr">
        <is>
          <t>2026-03-12</t>
        </is>
      </c>
      <c r="S117" s="4" t="inlineStr"/>
    </row>
    <row r="118">
      <c r="A118" s="10" t="inlineStr">
        <is>
          <t>F00232</t>
        </is>
      </c>
      <c r="B118" s="10" t="inlineStr">
        <is>
          <t>F00232</t>
        </is>
      </c>
      <c r="C118" s="10" t="inlineStr"/>
      <c r="D118" s="10" t="inlineStr">
        <is>
          <t>4974019024028</t>
        </is>
      </c>
      <c r="E118" s="10" t="inlineStr">
        <is>
          <t>CALCULATOR SHARP</t>
        </is>
      </c>
      <c r="F118" s="10" t="inlineStr"/>
      <c r="G118" s="10" t="inlineStr"/>
      <c r="H118" s="10" t="inlineStr"/>
      <c r="I118" s="11" t="n">
        <v>89.95</v>
      </c>
      <c r="J118" s="6" t="n">
        <v>15</v>
      </c>
      <c r="K118" s="7">
        <f>IF(I118="","",I118*(1+J118/100))</f>
        <v/>
      </c>
      <c r="L118" s="12" t="inlineStr"/>
      <c r="M118" s="8">
        <f>IF(OR(L118="",K118="",L118=0),"",
  (L118-K118)/L118*100)</f>
        <v/>
      </c>
      <c r="N118" s="9" t="inlineStr"/>
      <c r="O118" s="10" t="inlineStr"/>
      <c r="P118" s="10" t="inlineStr"/>
      <c r="Q118" s="10" t="inlineStr"/>
      <c r="R118" s="10" t="inlineStr">
        <is>
          <t>2026-03-12</t>
        </is>
      </c>
      <c r="S118" s="10" t="inlineStr"/>
    </row>
    <row r="119">
      <c r="A119" s="3" t="inlineStr">
        <is>
          <t>F00233</t>
        </is>
      </c>
      <c r="B119" s="4" t="inlineStr">
        <is>
          <t>F00233</t>
        </is>
      </c>
      <c r="C119" s="4" t="inlineStr"/>
      <c r="D119" s="4" t="inlineStr"/>
      <c r="E119" s="3" t="inlineStr">
        <is>
          <t>VINYL WOOL BACK 30 METRES ROLL</t>
        </is>
      </c>
      <c r="F119" s="4" t="inlineStr"/>
      <c r="G119" s="4" t="inlineStr"/>
      <c r="H119" s="4" t="inlineStr"/>
      <c r="I119" s="5" t="n">
        <v>779</v>
      </c>
      <c r="J119" s="6" t="n">
        <v>15</v>
      </c>
      <c r="K119" s="7">
        <f>IF(I119="","",I119*(1+J119/100))</f>
        <v/>
      </c>
      <c r="L119" s="12" t="inlineStr"/>
      <c r="M119" s="8">
        <f>IF(OR(L119="",K119="",L119=0),"",
  (L119-K119)/L119*100)</f>
        <v/>
      </c>
      <c r="N119" s="9" t="inlineStr"/>
      <c r="O119" s="4" t="inlineStr"/>
      <c r="P119" s="4" t="inlineStr"/>
      <c r="Q119" s="4" t="inlineStr"/>
      <c r="R119" s="4" t="inlineStr">
        <is>
          <t>2026-03-12</t>
        </is>
      </c>
      <c r="S119" s="4" t="inlineStr"/>
    </row>
    <row r="120">
      <c r="A120" s="10" t="inlineStr">
        <is>
          <t>F00234</t>
        </is>
      </c>
      <c r="B120" s="10" t="inlineStr">
        <is>
          <t>F00234</t>
        </is>
      </c>
      <c r="C120" s="10" t="inlineStr"/>
      <c r="D120" s="10" t="inlineStr"/>
      <c r="E120" s="10" t="inlineStr">
        <is>
          <t>VINYL WOOL BACK 5METRES SHRINK</t>
        </is>
      </c>
      <c r="F120" s="10" t="inlineStr"/>
      <c r="G120" s="10" t="inlineStr"/>
      <c r="H120" s="10" t="inlineStr"/>
      <c r="I120" s="11" t="n">
        <v>103.91</v>
      </c>
      <c r="J120" s="6" t="n">
        <v>15</v>
      </c>
      <c r="K120" s="7">
        <f>IF(I120="","",I120*(1+J120/100))</f>
        <v/>
      </c>
      <c r="L120" s="12" t="inlineStr"/>
      <c r="M120" s="8">
        <f>IF(OR(L120="",K120="",L120=0),"",
  (L120-K120)/L120*100)</f>
        <v/>
      </c>
      <c r="N120" s="9" t="inlineStr"/>
      <c r="O120" s="10" t="inlineStr"/>
      <c r="P120" s="10" t="inlineStr"/>
      <c r="Q120" s="10" t="inlineStr"/>
      <c r="R120" s="10" t="inlineStr">
        <is>
          <t>2026-03-12</t>
        </is>
      </c>
      <c r="S120" s="10" t="inlineStr"/>
    </row>
    <row r="121">
      <c r="A121" s="3" t="inlineStr">
        <is>
          <t>F00235</t>
        </is>
      </c>
      <c r="B121" s="4" t="inlineStr">
        <is>
          <t>F00235</t>
        </is>
      </c>
      <c r="C121" s="4" t="inlineStr"/>
      <c r="D121" s="4" t="inlineStr">
        <is>
          <t>6009697451571</t>
        </is>
      </c>
      <c r="E121" s="3" t="inlineStr">
        <is>
          <t>DRINK SET 7PC - PLS1673-7</t>
        </is>
      </c>
      <c r="F121" s="4" t="inlineStr"/>
      <c r="G121" s="4" t="inlineStr"/>
      <c r="H121" s="4" t="inlineStr"/>
      <c r="I121" s="5" t="n">
        <v>63.95</v>
      </c>
      <c r="J121" s="6" t="n">
        <v>15</v>
      </c>
      <c r="K121" s="7">
        <f>IF(I121="","",I121*(1+J121/100))</f>
        <v/>
      </c>
      <c r="L121" s="12" t="inlineStr"/>
      <c r="M121" s="8">
        <f>IF(OR(L121="",K121="",L121=0),"",
  (L121-K121)/L121*100)</f>
        <v/>
      </c>
      <c r="N121" s="9" t="inlineStr"/>
      <c r="O121" s="4" t="inlineStr"/>
      <c r="P121" s="4" t="inlineStr"/>
      <c r="Q121" s="4" t="inlineStr"/>
      <c r="R121" s="4" t="inlineStr">
        <is>
          <t>2026-03-12</t>
        </is>
      </c>
      <c r="S121" s="4" t="inlineStr"/>
    </row>
    <row r="122">
      <c r="A122" s="10" t="inlineStr">
        <is>
          <t>F00249</t>
        </is>
      </c>
      <c r="B122" s="10" t="inlineStr">
        <is>
          <t>F00249</t>
        </is>
      </c>
      <c r="C122" s="10" t="inlineStr">
        <is>
          <t>9561</t>
        </is>
      </c>
      <c r="D122" s="10" t="inlineStr">
        <is>
          <t>6009677013713</t>
        </is>
      </c>
      <c r="E122" s="10" t="inlineStr">
        <is>
          <t>SAD IRON CHARCOAL IRON 752#</t>
        </is>
      </c>
      <c r="F122" s="10" t="inlineStr"/>
      <c r="G122" s="10" t="inlineStr"/>
      <c r="H122" s="10" t="inlineStr"/>
      <c r="I122" s="11" t="n">
        <v>89.95</v>
      </c>
      <c r="J122" s="6" t="n">
        <v>15</v>
      </c>
      <c r="K122" s="7">
        <f>IF(I122="","",I122*(1+J122/100))</f>
        <v/>
      </c>
      <c r="L122" s="11" t="n">
        <v>195</v>
      </c>
      <c r="M122" s="8">
        <f>IF(OR(L122="",K122="",L122=0),"",
  (L122-K122)/L122*100)</f>
        <v/>
      </c>
      <c r="N122" s="13" t="n">
        <v>1383</v>
      </c>
      <c r="O122" s="10" t="inlineStr"/>
      <c r="P122" s="10" t="inlineStr"/>
      <c r="Q122" s="10" t="inlineStr"/>
      <c r="R122" s="10" t="inlineStr">
        <is>
          <t>2026-03-12</t>
        </is>
      </c>
      <c r="S122" s="10" t="inlineStr"/>
    </row>
    <row r="123">
      <c r="A123" s="3" t="inlineStr">
        <is>
          <t>F00250</t>
        </is>
      </c>
      <c r="B123" s="4" t="inlineStr">
        <is>
          <t>F00250</t>
        </is>
      </c>
      <c r="C123" s="4" t="inlineStr"/>
      <c r="D123" s="4" t="inlineStr"/>
      <c r="E123" s="3" t="inlineStr">
        <is>
          <t>PEEL &amp; STIK TILES 5PK (HG 074)</t>
        </is>
      </c>
      <c r="F123" s="4" t="inlineStr"/>
      <c r="G123" s="4" t="inlineStr"/>
      <c r="H123" s="4" t="inlineStr"/>
      <c r="I123" s="5" t="n">
        <v>153.95</v>
      </c>
      <c r="J123" s="6" t="n">
        <v>15</v>
      </c>
      <c r="K123" s="7">
        <f>IF(I123="","",I123*(1+J123/100))</f>
        <v/>
      </c>
      <c r="L123" s="12" t="inlineStr"/>
      <c r="M123" s="8">
        <f>IF(OR(L123="",K123="",L123=0),"",
  (L123-K123)/L123*100)</f>
        <v/>
      </c>
      <c r="N123" s="9" t="inlineStr"/>
      <c r="O123" s="4" t="inlineStr"/>
      <c r="P123" s="4" t="inlineStr"/>
      <c r="Q123" s="4" t="inlineStr"/>
      <c r="R123" s="4" t="inlineStr">
        <is>
          <t>2026-03-12</t>
        </is>
      </c>
      <c r="S123" s="4" t="inlineStr"/>
    </row>
    <row r="124">
      <c r="A124" s="10" t="inlineStr">
        <is>
          <t>F00251</t>
        </is>
      </c>
      <c r="B124" s="10" t="inlineStr">
        <is>
          <t>F00251</t>
        </is>
      </c>
      <c r="C124" s="10" t="inlineStr"/>
      <c r="D124" s="10" t="inlineStr"/>
      <c r="E124" s="10" t="inlineStr">
        <is>
          <t>PEEL &amp; STIK TILES 5PK (HG083)</t>
        </is>
      </c>
      <c r="F124" s="10" t="inlineStr"/>
      <c r="G124" s="10" t="inlineStr"/>
      <c r="H124" s="10" t="inlineStr"/>
      <c r="I124" s="11" t="n">
        <v>153.95</v>
      </c>
      <c r="J124" s="6" t="n">
        <v>15</v>
      </c>
      <c r="K124" s="7">
        <f>IF(I124="","",I124*(1+J124/100))</f>
        <v/>
      </c>
      <c r="L124" s="12" t="inlineStr"/>
      <c r="M124" s="8">
        <f>IF(OR(L124="",K124="",L124=0),"",
  (L124-K124)/L124*100)</f>
        <v/>
      </c>
      <c r="N124" s="9" t="inlineStr"/>
      <c r="O124" s="10" t="inlineStr"/>
      <c r="P124" s="10" t="inlineStr"/>
      <c r="Q124" s="10" t="inlineStr"/>
      <c r="R124" s="10" t="inlineStr">
        <is>
          <t>2026-03-12</t>
        </is>
      </c>
      <c r="S124" s="10" t="inlineStr"/>
    </row>
    <row r="125">
      <c r="A125" s="3" t="inlineStr">
        <is>
          <t>F00252</t>
        </is>
      </c>
      <c r="B125" s="4" t="inlineStr">
        <is>
          <t>F00252</t>
        </is>
      </c>
      <c r="C125" s="4" t="inlineStr"/>
      <c r="D125" s="4" t="inlineStr"/>
      <c r="E125" s="3" t="inlineStr">
        <is>
          <t>PEEL &amp; STIK TILES 5PK (HG085</t>
        </is>
      </c>
      <c r="F125" s="4" t="inlineStr"/>
      <c r="G125" s="4" t="inlineStr"/>
      <c r="H125" s="4" t="inlineStr"/>
      <c r="I125" s="5" t="n">
        <v>153.95</v>
      </c>
      <c r="J125" s="6" t="n">
        <v>15</v>
      </c>
      <c r="K125" s="7">
        <f>IF(I125="","",I125*(1+J125/100))</f>
        <v/>
      </c>
      <c r="L125" s="12" t="inlineStr"/>
      <c r="M125" s="8">
        <f>IF(OR(L125="",K125="",L125=0),"",
  (L125-K125)/L125*100)</f>
        <v/>
      </c>
      <c r="N125" s="9" t="inlineStr"/>
      <c r="O125" s="4" t="inlineStr"/>
      <c r="P125" s="4" t="inlineStr"/>
      <c r="Q125" s="4" t="inlineStr"/>
      <c r="R125" s="4" t="inlineStr">
        <is>
          <t>2026-03-12</t>
        </is>
      </c>
      <c r="S125" s="4" t="inlineStr"/>
    </row>
    <row r="126">
      <c r="A126" s="10" t="inlineStr">
        <is>
          <t>F00253</t>
        </is>
      </c>
      <c r="B126" s="10" t="inlineStr">
        <is>
          <t>F00253</t>
        </is>
      </c>
      <c r="C126" s="10" t="inlineStr"/>
      <c r="D126" s="10" t="inlineStr"/>
      <c r="E126" s="10" t="inlineStr">
        <is>
          <t>PEEL &amp; STIK TILES 5PK (HG1407</t>
        </is>
      </c>
      <c r="F126" s="10" t="inlineStr"/>
      <c r="G126" s="10" t="inlineStr"/>
      <c r="H126" s="10" t="inlineStr"/>
      <c r="I126" s="11" t="n">
        <v>153.95</v>
      </c>
      <c r="J126" s="6" t="n">
        <v>15</v>
      </c>
      <c r="K126" s="7">
        <f>IF(I126="","",I126*(1+J126/100))</f>
        <v/>
      </c>
      <c r="L126" s="12" t="inlineStr"/>
      <c r="M126" s="8">
        <f>IF(OR(L126="",K126="",L126=0),"",
  (L126-K126)/L126*100)</f>
        <v/>
      </c>
      <c r="N126" s="9" t="inlineStr"/>
      <c r="O126" s="10" t="inlineStr"/>
      <c r="P126" s="10" t="inlineStr"/>
      <c r="Q126" s="10" t="inlineStr"/>
      <c r="R126" s="10" t="inlineStr">
        <is>
          <t>2026-03-12</t>
        </is>
      </c>
      <c r="S126" s="10" t="inlineStr"/>
    </row>
    <row r="127">
      <c r="A127" s="3" t="inlineStr">
        <is>
          <t>F00254</t>
        </is>
      </c>
      <c r="B127" s="4" t="inlineStr">
        <is>
          <t>F00254</t>
        </is>
      </c>
      <c r="C127" s="4" t="inlineStr"/>
      <c r="D127" s="4" t="inlineStr"/>
      <c r="E127" s="3" t="inlineStr">
        <is>
          <t>PEEL &amp; STIK TILES 5PK (HG1016</t>
        </is>
      </c>
      <c r="F127" s="4" t="inlineStr"/>
      <c r="G127" s="4" t="inlineStr"/>
      <c r="H127" s="4" t="inlineStr"/>
      <c r="I127" s="5" t="n">
        <v>153.95</v>
      </c>
      <c r="J127" s="6" t="n">
        <v>15</v>
      </c>
      <c r="K127" s="7">
        <f>IF(I127="","",I127*(1+J127/100))</f>
        <v/>
      </c>
      <c r="L127" s="12" t="inlineStr"/>
      <c r="M127" s="8">
        <f>IF(OR(L127="",K127="",L127=0),"",
  (L127-K127)/L127*100)</f>
        <v/>
      </c>
      <c r="N127" s="9" t="inlineStr"/>
      <c r="O127" s="4" t="inlineStr"/>
      <c r="P127" s="4" t="inlineStr"/>
      <c r="Q127" s="4" t="inlineStr"/>
      <c r="R127" s="4" t="inlineStr">
        <is>
          <t>2026-03-12</t>
        </is>
      </c>
      <c r="S127" s="4" t="inlineStr"/>
    </row>
    <row r="128">
      <c r="A128" s="10" t="inlineStr">
        <is>
          <t>F00255</t>
        </is>
      </c>
      <c r="B128" s="10" t="inlineStr">
        <is>
          <t>F00255</t>
        </is>
      </c>
      <c r="C128" s="10" t="inlineStr"/>
      <c r="D128" s="10" t="inlineStr"/>
      <c r="E128" s="10" t="inlineStr">
        <is>
          <t>PEEL &amp; STIK TILES 5PK (BLK/WHT</t>
        </is>
      </c>
      <c r="F128" s="10" t="inlineStr"/>
      <c r="G128" s="10" t="inlineStr"/>
      <c r="H128" s="10" t="inlineStr"/>
      <c r="I128" s="11" t="n">
        <v>153.95</v>
      </c>
      <c r="J128" s="6" t="n">
        <v>15</v>
      </c>
      <c r="K128" s="7">
        <f>IF(I128="","",I128*(1+J128/100))</f>
        <v/>
      </c>
      <c r="L128" s="12" t="inlineStr"/>
      <c r="M128" s="8">
        <f>IF(OR(L128="",K128="",L128=0),"",
  (L128-K128)/L128*100)</f>
        <v/>
      </c>
      <c r="N128" s="9" t="inlineStr"/>
      <c r="O128" s="10" t="inlineStr"/>
      <c r="P128" s="10" t="inlineStr"/>
      <c r="Q128" s="10" t="inlineStr"/>
      <c r="R128" s="10" t="inlineStr">
        <is>
          <t>2026-03-12</t>
        </is>
      </c>
      <c r="S128" s="10" t="inlineStr"/>
    </row>
    <row r="129">
      <c r="A129" s="3" t="inlineStr">
        <is>
          <t>F00256</t>
        </is>
      </c>
      <c r="B129" s="4" t="inlineStr">
        <is>
          <t>F00256</t>
        </is>
      </c>
      <c r="C129" s="4" t="inlineStr"/>
      <c r="D129" s="4" t="inlineStr"/>
      <c r="E129" s="3" t="inlineStr">
        <is>
          <t>PEEL 7 STIK TILES 5PK DMND,BLK</t>
        </is>
      </c>
      <c r="F129" s="4" t="inlineStr"/>
      <c r="G129" s="4" t="inlineStr"/>
      <c r="H129" s="4" t="inlineStr"/>
      <c r="I129" s="5" t="n">
        <v>153.95</v>
      </c>
      <c r="J129" s="6" t="n">
        <v>15</v>
      </c>
      <c r="K129" s="7">
        <f>IF(I129="","",I129*(1+J129/100))</f>
        <v/>
      </c>
      <c r="L129" s="12" t="inlineStr"/>
      <c r="M129" s="8">
        <f>IF(OR(L129="",K129="",L129=0),"",
  (L129-K129)/L129*100)</f>
        <v/>
      </c>
      <c r="N129" s="9" t="inlineStr"/>
      <c r="O129" s="4" t="inlineStr"/>
      <c r="P129" s="4" t="inlineStr"/>
      <c r="Q129" s="4" t="inlineStr"/>
      <c r="R129" s="4" t="inlineStr">
        <is>
          <t>2026-03-12</t>
        </is>
      </c>
      <c r="S129" s="4" t="inlineStr"/>
    </row>
    <row r="130">
      <c r="A130" s="10" t="inlineStr">
        <is>
          <t>F00257</t>
        </is>
      </c>
      <c r="B130" s="10" t="inlineStr">
        <is>
          <t>F00257</t>
        </is>
      </c>
      <c r="C130" s="10" t="inlineStr"/>
      <c r="D130" s="10" t="inlineStr"/>
      <c r="E130" s="10" t="inlineStr">
        <is>
          <t>PEEL &amp; STIK TILES 5PK(HG1109-1</t>
        </is>
      </c>
      <c r="F130" s="10" t="inlineStr"/>
      <c r="G130" s="10" t="inlineStr"/>
      <c r="H130" s="10" t="inlineStr"/>
      <c r="I130" s="11" t="n">
        <v>153.95</v>
      </c>
      <c r="J130" s="6" t="n">
        <v>15</v>
      </c>
      <c r="K130" s="7">
        <f>IF(I130="","",I130*(1+J130/100))</f>
        <v/>
      </c>
      <c r="L130" s="12" t="inlineStr"/>
      <c r="M130" s="8">
        <f>IF(OR(L130="",K130="",L130=0),"",
  (L130-K130)/L130*100)</f>
        <v/>
      </c>
      <c r="N130" s="9" t="inlineStr"/>
      <c r="O130" s="10" t="inlineStr"/>
      <c r="P130" s="10" t="inlineStr"/>
      <c r="Q130" s="10" t="inlineStr"/>
      <c r="R130" s="10" t="inlineStr">
        <is>
          <t>2026-03-12</t>
        </is>
      </c>
      <c r="S130" s="10" t="inlineStr"/>
    </row>
    <row r="131">
      <c r="A131" s="3" t="inlineStr">
        <is>
          <t>F00258</t>
        </is>
      </c>
      <c r="B131" s="4" t="inlineStr">
        <is>
          <t>F00258</t>
        </is>
      </c>
      <c r="C131" s="4" t="inlineStr"/>
      <c r="D131" s="4" t="inlineStr"/>
      <c r="E131" s="3" t="inlineStr">
        <is>
          <t>PEEL &amp; STIK TILES 5PK(HP1708-2</t>
        </is>
      </c>
      <c r="F131" s="4" t="inlineStr"/>
      <c r="G131" s="4" t="inlineStr"/>
      <c r="H131" s="4" t="inlineStr"/>
      <c r="I131" s="5" t="n">
        <v>153.95</v>
      </c>
      <c r="J131" s="6" t="n">
        <v>15</v>
      </c>
      <c r="K131" s="7">
        <f>IF(I131="","",I131*(1+J131/100))</f>
        <v/>
      </c>
      <c r="L131" s="12" t="inlineStr"/>
      <c r="M131" s="8">
        <f>IF(OR(L131="",K131="",L131=0),"",
  (L131-K131)/L131*100)</f>
        <v/>
      </c>
      <c r="N131" s="9" t="inlineStr"/>
      <c r="O131" s="4" t="inlineStr"/>
      <c r="P131" s="4" t="inlineStr"/>
      <c r="Q131" s="4" t="inlineStr"/>
      <c r="R131" s="4" t="inlineStr">
        <is>
          <t>2026-03-12</t>
        </is>
      </c>
      <c r="S131" s="4" t="inlineStr"/>
    </row>
    <row r="132">
      <c r="A132" s="10" t="inlineStr">
        <is>
          <t>F00259</t>
        </is>
      </c>
      <c r="B132" s="10" t="inlineStr">
        <is>
          <t>F00259</t>
        </is>
      </c>
      <c r="C132" s="10" t="inlineStr"/>
      <c r="D132" s="10" t="inlineStr"/>
      <c r="E132" s="10" t="inlineStr">
        <is>
          <t>PEEL &amp; STIK TILES 5PK(HP1708-1</t>
        </is>
      </c>
      <c r="F132" s="10" t="inlineStr"/>
      <c r="G132" s="10" t="inlineStr"/>
      <c r="H132" s="10" t="inlineStr"/>
      <c r="I132" s="11" t="n">
        <v>153.95</v>
      </c>
      <c r="J132" s="6" t="n">
        <v>15</v>
      </c>
      <c r="K132" s="7">
        <f>IF(I132="","",I132*(1+J132/100))</f>
        <v/>
      </c>
      <c r="L132" s="12" t="inlineStr"/>
      <c r="M132" s="8">
        <f>IF(OR(L132="",K132="",L132=0),"",
  (L132-K132)/L132*100)</f>
        <v/>
      </c>
      <c r="N132" s="9" t="inlineStr"/>
      <c r="O132" s="10" t="inlineStr"/>
      <c r="P132" s="10" t="inlineStr"/>
      <c r="Q132" s="10" t="inlineStr"/>
      <c r="R132" s="10" t="inlineStr">
        <is>
          <t>2026-03-12</t>
        </is>
      </c>
      <c r="S132" s="10" t="inlineStr"/>
    </row>
    <row r="133">
      <c r="A133" s="3" t="inlineStr">
        <is>
          <t>F00260</t>
        </is>
      </c>
      <c r="B133" s="4" t="inlineStr">
        <is>
          <t>F00260</t>
        </is>
      </c>
      <c r="C133" s="4" t="inlineStr"/>
      <c r="D133" s="4" t="inlineStr">
        <is>
          <t>600967713355</t>
        </is>
      </c>
      <c r="E133" s="3" t="inlineStr">
        <is>
          <t>PEEL &amp; STIK TILES 5PK (HP1712</t>
        </is>
      </c>
      <c r="F133" s="4" t="inlineStr"/>
      <c r="G133" s="4" t="inlineStr"/>
      <c r="H133" s="4" t="inlineStr"/>
      <c r="I133" s="5" t="n">
        <v>153.95</v>
      </c>
      <c r="J133" s="6" t="n">
        <v>15</v>
      </c>
      <c r="K133" s="7">
        <f>IF(I133="","",I133*(1+J133/100))</f>
        <v/>
      </c>
      <c r="L133" s="12" t="inlineStr"/>
      <c r="M133" s="8">
        <f>IF(OR(L133="",K133="",L133=0),"",
  (L133-K133)/L133*100)</f>
        <v/>
      </c>
      <c r="N133" s="9" t="inlineStr"/>
      <c r="O133" s="4" t="inlineStr"/>
      <c r="P133" s="4" t="inlineStr"/>
      <c r="Q133" s="4" t="inlineStr"/>
      <c r="R133" s="4" t="inlineStr">
        <is>
          <t>2026-03-12</t>
        </is>
      </c>
      <c r="S133" s="4" t="inlineStr"/>
    </row>
    <row r="134">
      <c r="A134" s="10" t="inlineStr">
        <is>
          <t>F00261</t>
        </is>
      </c>
      <c r="B134" s="10" t="inlineStr">
        <is>
          <t>F00261</t>
        </is>
      </c>
      <c r="C134" s="10" t="inlineStr"/>
      <c r="D134" s="10" t="inlineStr"/>
      <c r="E134" s="10" t="inlineStr">
        <is>
          <t>PEEL &amp; STIK TILES 5PK LILAC/FL</t>
        </is>
      </c>
      <c r="F134" s="10" t="inlineStr"/>
      <c r="G134" s="10" t="inlineStr"/>
      <c r="H134" s="10" t="inlineStr"/>
      <c r="I134" s="11" t="n">
        <v>153.95</v>
      </c>
      <c r="J134" s="6" t="n">
        <v>15</v>
      </c>
      <c r="K134" s="7">
        <f>IF(I134="","",I134*(1+J134/100))</f>
        <v/>
      </c>
      <c r="L134" s="12" t="inlineStr"/>
      <c r="M134" s="8">
        <f>IF(OR(L134="",K134="",L134=0),"",
  (L134-K134)/L134*100)</f>
        <v/>
      </c>
      <c r="N134" s="9" t="inlineStr"/>
      <c r="O134" s="10" t="inlineStr"/>
      <c r="P134" s="10" t="inlineStr"/>
      <c r="Q134" s="10" t="inlineStr"/>
      <c r="R134" s="10" t="inlineStr">
        <is>
          <t>2026-03-12</t>
        </is>
      </c>
      <c r="S134" s="10" t="inlineStr"/>
    </row>
    <row r="135">
      <c r="A135" s="3" t="inlineStr">
        <is>
          <t>F00262</t>
        </is>
      </c>
      <c r="B135" s="4" t="inlineStr">
        <is>
          <t>F00262</t>
        </is>
      </c>
      <c r="C135" s="4" t="inlineStr"/>
      <c r="D135" s="4" t="inlineStr"/>
      <c r="E135" s="3" t="inlineStr">
        <is>
          <t>PEEL &amp; STIK TILES 5 PK(HM 2115</t>
        </is>
      </c>
      <c r="F135" s="4" t="inlineStr"/>
      <c r="G135" s="4" t="inlineStr"/>
      <c r="H135" s="4" t="inlineStr"/>
      <c r="I135" s="5" t="n">
        <v>153.95</v>
      </c>
      <c r="J135" s="6" t="n">
        <v>15</v>
      </c>
      <c r="K135" s="7">
        <f>IF(I135="","",I135*(1+J135/100))</f>
        <v/>
      </c>
      <c r="L135" s="12" t="inlineStr"/>
      <c r="M135" s="8">
        <f>IF(OR(L135="",K135="",L135=0),"",
  (L135-K135)/L135*100)</f>
        <v/>
      </c>
      <c r="N135" s="9" t="inlineStr"/>
      <c r="O135" s="4" t="inlineStr"/>
      <c r="P135" s="4" t="inlineStr"/>
      <c r="Q135" s="4" t="inlineStr"/>
      <c r="R135" s="4" t="inlineStr">
        <is>
          <t>2026-03-12</t>
        </is>
      </c>
      <c r="S135" s="4" t="inlineStr"/>
    </row>
    <row r="136">
      <c r="A136" s="10" t="inlineStr">
        <is>
          <t>F00263</t>
        </is>
      </c>
      <c r="B136" s="10" t="inlineStr">
        <is>
          <t>F00263</t>
        </is>
      </c>
      <c r="C136" s="10" t="inlineStr"/>
      <c r="D136" s="10" t="inlineStr"/>
      <c r="E136" s="10" t="inlineStr">
        <is>
          <t>PEEL &amp; STIK TILES 5PK(HM2013-2</t>
        </is>
      </c>
      <c r="F136" s="10" t="inlineStr"/>
      <c r="G136" s="10" t="inlineStr"/>
      <c r="H136" s="10" t="inlineStr"/>
      <c r="I136" s="11" t="n">
        <v>153.95</v>
      </c>
      <c r="J136" s="6" t="n">
        <v>15</v>
      </c>
      <c r="K136" s="7">
        <f>IF(I136="","",I136*(1+J136/100))</f>
        <v/>
      </c>
      <c r="L136" s="12" t="inlineStr"/>
      <c r="M136" s="8">
        <f>IF(OR(L136="",K136="",L136=0),"",
  (L136-K136)/L136*100)</f>
        <v/>
      </c>
      <c r="N136" s="9" t="inlineStr"/>
      <c r="O136" s="10" t="inlineStr"/>
      <c r="P136" s="10" t="inlineStr"/>
      <c r="Q136" s="10" t="inlineStr"/>
      <c r="R136" s="10" t="inlineStr">
        <is>
          <t>2026-03-12</t>
        </is>
      </c>
      <c r="S136" s="10" t="inlineStr"/>
    </row>
    <row r="137">
      <c r="A137" s="3" t="inlineStr">
        <is>
          <t>F00264</t>
        </is>
      </c>
      <c r="B137" s="4" t="inlineStr">
        <is>
          <t>F00264</t>
        </is>
      </c>
      <c r="C137" s="4" t="inlineStr"/>
      <c r="D137" s="4" t="inlineStr"/>
      <c r="E137" s="3" t="inlineStr">
        <is>
          <t>PEEL &amp; STIK TILES 5PK (HM2105</t>
        </is>
      </c>
      <c r="F137" s="4" t="inlineStr"/>
      <c r="G137" s="4" t="inlineStr"/>
      <c r="H137" s="4" t="inlineStr"/>
      <c r="I137" s="5" t="n">
        <v>153.95</v>
      </c>
      <c r="J137" s="6" t="n">
        <v>15</v>
      </c>
      <c r="K137" s="7">
        <f>IF(I137="","",I137*(1+J137/100))</f>
        <v/>
      </c>
      <c r="L137" s="12" t="inlineStr"/>
      <c r="M137" s="8">
        <f>IF(OR(L137="",K137="",L137=0),"",
  (L137-K137)/L137*100)</f>
        <v/>
      </c>
      <c r="N137" s="9" t="inlineStr"/>
      <c r="O137" s="4" t="inlineStr"/>
      <c r="P137" s="4" t="inlineStr"/>
      <c r="Q137" s="4" t="inlineStr"/>
      <c r="R137" s="4" t="inlineStr">
        <is>
          <t>2026-03-12</t>
        </is>
      </c>
      <c r="S137" s="4" t="inlineStr"/>
    </row>
    <row r="138">
      <c r="A138" s="10" t="inlineStr">
        <is>
          <t>F00265</t>
        </is>
      </c>
      <c r="B138" s="10" t="inlineStr">
        <is>
          <t>F00265</t>
        </is>
      </c>
      <c r="C138" s="10" t="inlineStr"/>
      <c r="D138" s="10" t="inlineStr"/>
      <c r="E138" s="10" t="inlineStr">
        <is>
          <t>PEEL &amp; STIK TILES 5PK (HM2017</t>
        </is>
      </c>
      <c r="F138" s="10" t="inlineStr"/>
      <c r="G138" s="10" t="inlineStr"/>
      <c r="H138" s="10" t="inlineStr"/>
      <c r="I138" s="11" t="n">
        <v>153.95</v>
      </c>
      <c r="J138" s="6" t="n">
        <v>15</v>
      </c>
      <c r="K138" s="7">
        <f>IF(I138="","",I138*(1+J138/100))</f>
        <v/>
      </c>
      <c r="L138" s="12" t="inlineStr"/>
      <c r="M138" s="8">
        <f>IF(OR(L138="",K138="",L138=0),"",
  (L138-K138)/L138*100)</f>
        <v/>
      </c>
      <c r="N138" s="9" t="inlineStr"/>
      <c r="O138" s="10" t="inlineStr"/>
      <c r="P138" s="10" t="inlineStr"/>
      <c r="Q138" s="10" t="inlineStr"/>
      <c r="R138" s="10" t="inlineStr">
        <is>
          <t>2026-03-12</t>
        </is>
      </c>
      <c r="S138" s="10" t="inlineStr"/>
    </row>
    <row r="139">
      <c r="A139" s="3" t="inlineStr">
        <is>
          <t>F00266</t>
        </is>
      </c>
      <c r="B139" s="4" t="inlineStr">
        <is>
          <t>F00266</t>
        </is>
      </c>
      <c r="C139" s="4" t="inlineStr"/>
      <c r="D139" s="4" t="inlineStr"/>
      <c r="E139" s="3" t="inlineStr">
        <is>
          <t>PEEL &amp; STIK TILES 5PK (HP1815</t>
        </is>
      </c>
      <c r="F139" s="4" t="inlineStr"/>
      <c r="G139" s="4" t="inlineStr"/>
      <c r="H139" s="4" t="inlineStr"/>
      <c r="I139" s="5" t="n">
        <v>153.95</v>
      </c>
      <c r="J139" s="6" t="n">
        <v>15</v>
      </c>
      <c r="K139" s="7">
        <f>IF(I139="","",I139*(1+J139/100))</f>
        <v/>
      </c>
      <c r="L139" s="12" t="inlineStr"/>
      <c r="M139" s="8">
        <f>IF(OR(L139="",K139="",L139=0),"",
  (L139-K139)/L139*100)</f>
        <v/>
      </c>
      <c r="N139" s="9" t="inlineStr"/>
      <c r="O139" s="4" t="inlineStr"/>
      <c r="P139" s="4" t="inlineStr"/>
      <c r="Q139" s="4" t="inlineStr"/>
      <c r="R139" s="4" t="inlineStr">
        <is>
          <t>2026-03-12</t>
        </is>
      </c>
      <c r="S139" s="4" t="inlineStr"/>
    </row>
    <row r="140">
      <c r="A140" s="10" t="inlineStr">
        <is>
          <t>F00267</t>
        </is>
      </c>
      <c r="B140" s="10" t="inlineStr">
        <is>
          <t>F00267</t>
        </is>
      </c>
      <c r="C140" s="10" t="inlineStr"/>
      <c r="D140" s="10" t="inlineStr"/>
      <c r="E140" s="10" t="inlineStr">
        <is>
          <t>VINYL WOOL BACK 5METRE</t>
        </is>
      </c>
      <c r="F140" s="10" t="inlineStr"/>
      <c r="G140" s="10" t="inlineStr"/>
      <c r="H140" s="10" t="inlineStr"/>
      <c r="I140" s="11" t="n">
        <v>167.95</v>
      </c>
      <c r="J140" s="6" t="n">
        <v>15</v>
      </c>
      <c r="K140" s="7">
        <f>IF(I140="","",I140*(1+J140/100))</f>
        <v/>
      </c>
      <c r="L140" s="12" t="inlineStr"/>
      <c r="M140" s="8">
        <f>IF(OR(L140="",K140="",L140=0),"",
  (L140-K140)/L140*100)</f>
        <v/>
      </c>
      <c r="N140" s="9" t="inlineStr"/>
      <c r="O140" s="10" t="inlineStr"/>
      <c r="P140" s="10" t="inlineStr"/>
      <c r="Q140" s="10" t="inlineStr"/>
      <c r="R140" s="10" t="inlineStr">
        <is>
          <t>2026-03-12</t>
        </is>
      </c>
      <c r="S140" s="10" t="inlineStr"/>
    </row>
    <row r="141">
      <c r="A141" s="3" t="inlineStr">
        <is>
          <t>F00268</t>
        </is>
      </c>
      <c r="B141" s="4" t="inlineStr">
        <is>
          <t>F00268</t>
        </is>
      </c>
      <c r="C141" s="4" t="inlineStr"/>
      <c r="D141" s="4" t="inlineStr"/>
      <c r="E141" s="3" t="inlineStr">
        <is>
          <t>SUPA SHINE 0.60 MM 4.28 SHRINK</t>
        </is>
      </c>
      <c r="F141" s="4" t="inlineStr"/>
      <c r="G141" s="4" t="inlineStr"/>
      <c r="H141" s="4" t="inlineStr"/>
      <c r="I141" s="5" t="n">
        <v>94.95</v>
      </c>
      <c r="J141" s="6" t="n">
        <v>15</v>
      </c>
      <c r="K141" s="7">
        <f>IF(I141="","",I141*(1+J141/100))</f>
        <v/>
      </c>
      <c r="L141" s="12" t="inlineStr"/>
      <c r="M141" s="8">
        <f>IF(OR(L141="",K141="",L141=0),"",
  (L141-K141)/L141*100)</f>
        <v/>
      </c>
      <c r="N141" s="9" t="inlineStr"/>
      <c r="O141" s="4" t="inlineStr"/>
      <c r="P141" s="4" t="inlineStr"/>
      <c r="Q141" s="4" t="inlineStr"/>
      <c r="R141" s="4" t="inlineStr">
        <is>
          <t>2026-03-12</t>
        </is>
      </c>
      <c r="S141" s="4" t="inlineStr"/>
    </row>
    <row r="142">
      <c r="A142" s="10" t="inlineStr">
        <is>
          <t>F00270</t>
        </is>
      </c>
      <c r="B142" s="10" t="inlineStr">
        <is>
          <t>F00270</t>
        </is>
      </c>
      <c r="C142" s="10" t="inlineStr"/>
      <c r="D142" s="10" t="inlineStr">
        <is>
          <t>6009697451700</t>
        </is>
      </c>
      <c r="E142" s="10" t="inlineStr">
        <is>
          <t>CDR PRINTABLE 10"S SPINDLE# - YD100-6 CD</t>
        </is>
      </c>
      <c r="F142" s="10" t="inlineStr"/>
      <c r="G142" s="10" t="inlineStr"/>
      <c r="H142" s="10" t="inlineStr"/>
      <c r="I142" s="11" t="n">
        <v>5.99</v>
      </c>
      <c r="J142" s="6" t="n">
        <v>15</v>
      </c>
      <c r="K142" s="7">
        <f>IF(I142="","",I142*(1+J142/100))</f>
        <v/>
      </c>
      <c r="L142" s="12" t="inlineStr"/>
      <c r="M142" s="8">
        <f>IF(OR(L142="",K142="",L142=0),"",
  (L142-K142)/L142*100)</f>
        <v/>
      </c>
      <c r="N142" s="9" t="inlineStr"/>
      <c r="O142" s="10" t="inlineStr"/>
      <c r="P142" s="10" t="inlineStr"/>
      <c r="Q142" s="10" t="inlineStr"/>
      <c r="R142" s="10" t="inlineStr">
        <is>
          <t>2026-03-12</t>
        </is>
      </c>
      <c r="S142" s="10" t="inlineStr"/>
    </row>
    <row r="143">
      <c r="A143" s="3" t="inlineStr">
        <is>
          <t>F00271</t>
        </is>
      </c>
      <c r="B143" s="4" t="inlineStr">
        <is>
          <t>F00271</t>
        </is>
      </c>
      <c r="C143" s="4" t="inlineStr"/>
      <c r="D143" s="4" t="inlineStr">
        <is>
          <t>6009697451694</t>
        </is>
      </c>
      <c r="E143" s="3" t="inlineStr">
        <is>
          <t>CDR PRINTABLE 100'S SP#</t>
        </is>
      </c>
      <c r="F143" s="4" t="inlineStr"/>
      <c r="G143" s="4" t="inlineStr"/>
      <c r="H143" s="4" t="inlineStr"/>
      <c r="I143" s="5" t="n">
        <v>86.29000000000001</v>
      </c>
      <c r="J143" s="6" t="n">
        <v>15</v>
      </c>
      <c r="K143" s="7">
        <f>IF(I143="","",I143*(1+J143/100))</f>
        <v/>
      </c>
      <c r="L143" s="12" t="inlineStr"/>
      <c r="M143" s="8">
        <f>IF(OR(L143="",K143="",L143=0),"",
  (L143-K143)/L143*100)</f>
        <v/>
      </c>
      <c r="N143" s="9" t="inlineStr"/>
      <c r="O143" s="4" t="inlineStr"/>
      <c r="P143" s="4" t="inlineStr"/>
      <c r="Q143" s="4" t="inlineStr"/>
      <c r="R143" s="4" t="inlineStr">
        <is>
          <t>2026-03-12</t>
        </is>
      </c>
      <c r="S143" s="4" t="inlineStr"/>
    </row>
    <row r="144">
      <c r="A144" s="10" t="inlineStr">
        <is>
          <t>F00273</t>
        </is>
      </c>
      <c r="B144" s="10" t="inlineStr">
        <is>
          <t>F00273</t>
        </is>
      </c>
      <c r="C144" s="10" t="inlineStr">
        <is>
          <t>9562</t>
        </is>
      </c>
      <c r="D144" s="10" t="inlineStr">
        <is>
          <t>6009677013751</t>
        </is>
      </c>
      <c r="E144" s="10" t="inlineStr">
        <is>
          <t>SAD IRON -CHROME SAD IRON</t>
        </is>
      </c>
      <c r="F144" s="10" t="inlineStr"/>
      <c r="G144" s="10" t="inlineStr"/>
      <c r="H144" s="10" t="inlineStr"/>
      <c r="I144" s="11" t="n">
        <v>85.95</v>
      </c>
      <c r="J144" s="6" t="n">
        <v>15</v>
      </c>
      <c r="K144" s="7">
        <f>IF(I144="","",I144*(1+J144/100))</f>
        <v/>
      </c>
      <c r="L144" s="11" t="n">
        <v>180</v>
      </c>
      <c r="M144" s="8">
        <f>IF(OR(L144="",K144="",L144=0),"",
  (L144-K144)/L144*100)</f>
        <v/>
      </c>
      <c r="N144" s="9" t="inlineStr"/>
      <c r="O144" s="10" t="inlineStr"/>
      <c r="P144" s="10" t="inlineStr"/>
      <c r="Q144" s="10" t="inlineStr"/>
      <c r="R144" s="10" t="inlineStr">
        <is>
          <t>2026-03-12</t>
        </is>
      </c>
      <c r="S144" s="10" t="inlineStr"/>
    </row>
    <row r="145">
      <c r="A145" s="3" t="inlineStr">
        <is>
          <t>F00279</t>
        </is>
      </c>
      <c r="B145" s="4" t="inlineStr">
        <is>
          <t>F00279</t>
        </is>
      </c>
      <c r="C145" s="4" t="inlineStr"/>
      <c r="D145" s="4" t="inlineStr">
        <is>
          <t>3393321889414</t>
        </is>
      </c>
      <c r="E145" s="3" t="inlineStr">
        <is>
          <t>BOWL H/P 8"/8.25"&amp;8"GLAZED</t>
        </is>
      </c>
      <c r="F145" s="4" t="inlineStr"/>
      <c r="G145" s="4" t="inlineStr"/>
      <c r="H145" s="4" t="inlineStr"/>
      <c r="I145" s="5" t="n">
        <v>9.949999999999999</v>
      </c>
      <c r="J145" s="6" t="n">
        <v>15</v>
      </c>
      <c r="K145" s="7">
        <f>IF(I145="","",I145*(1+J145/100))</f>
        <v/>
      </c>
      <c r="L145" s="12" t="inlineStr"/>
      <c r="M145" s="8">
        <f>IF(OR(L145="",K145="",L145=0),"",
  (L145-K145)/L145*100)</f>
        <v/>
      </c>
      <c r="N145" s="14" t="n">
        <v>5</v>
      </c>
      <c r="O145" s="4" t="inlineStr"/>
      <c r="P145" s="4" t="inlineStr"/>
      <c r="Q145" s="4" t="inlineStr"/>
      <c r="R145" s="4" t="inlineStr">
        <is>
          <t>2026-03-12</t>
        </is>
      </c>
      <c r="S145" s="4" t="inlineStr"/>
    </row>
    <row r="146">
      <c r="A146" s="10" t="inlineStr">
        <is>
          <t>F00285</t>
        </is>
      </c>
      <c r="B146" s="10" t="inlineStr">
        <is>
          <t>F00285</t>
        </is>
      </c>
      <c r="C146" s="10" t="inlineStr"/>
      <c r="D146" s="10" t="inlineStr">
        <is>
          <t>6009697451786</t>
        </is>
      </c>
      <c r="E146" s="10" t="inlineStr">
        <is>
          <t>CLEANIN KIT4 PLASMA/LCD +BRUSH</t>
        </is>
      </c>
      <c r="F146" s="10" t="inlineStr"/>
      <c r="G146" s="10" t="inlineStr"/>
      <c r="H146" s="10" t="inlineStr"/>
      <c r="I146" s="11" t="n">
        <v>1.89</v>
      </c>
      <c r="J146" s="6" t="n">
        <v>15</v>
      </c>
      <c r="K146" s="7">
        <f>IF(I146="","",I146*(1+J146/100))</f>
        <v/>
      </c>
      <c r="L146" s="12" t="inlineStr"/>
      <c r="M146" s="8">
        <f>IF(OR(L146="",K146="",L146=0),"",
  (L146-K146)/L146*100)</f>
        <v/>
      </c>
      <c r="N146" s="9" t="inlineStr"/>
      <c r="O146" s="10" t="inlineStr"/>
      <c r="P146" s="10" t="inlineStr"/>
      <c r="Q146" s="10" t="inlineStr"/>
      <c r="R146" s="10" t="inlineStr">
        <is>
          <t>2026-03-12</t>
        </is>
      </c>
      <c r="S146" s="10" t="inlineStr"/>
    </row>
    <row r="147">
      <c r="A147" s="3" t="inlineStr">
        <is>
          <t>F00289</t>
        </is>
      </c>
      <c r="B147" s="4" t="inlineStr">
        <is>
          <t>F00289</t>
        </is>
      </c>
      <c r="C147" s="4" t="inlineStr"/>
      <c r="D147" s="4" t="inlineStr">
        <is>
          <t>6009697451809</t>
        </is>
      </c>
      <c r="E147" s="3" t="inlineStr">
        <is>
          <t>DRINK SET ROYAL GOLD DESIGN</t>
        </is>
      </c>
      <c r="F147" s="4" t="inlineStr"/>
      <c r="G147" s="4" t="inlineStr"/>
      <c r="H147" s="4" t="inlineStr"/>
      <c r="I147" s="5" t="n">
        <v>57.95</v>
      </c>
      <c r="J147" s="6" t="n">
        <v>15</v>
      </c>
      <c r="K147" s="7">
        <f>IF(I147="","",I147*(1+J147/100))</f>
        <v/>
      </c>
      <c r="L147" s="12" t="inlineStr"/>
      <c r="M147" s="8">
        <f>IF(OR(L147="",K147="",L147=0),"",
  (L147-K147)/L147*100)</f>
        <v/>
      </c>
      <c r="N147" s="9" t="inlineStr"/>
      <c r="O147" s="4" t="inlineStr"/>
      <c r="P147" s="4" t="inlineStr"/>
      <c r="Q147" s="4" t="inlineStr"/>
      <c r="R147" s="4" t="inlineStr">
        <is>
          <t>2026-03-12</t>
        </is>
      </c>
      <c r="S147" s="4" t="inlineStr"/>
    </row>
    <row r="148">
      <c r="A148" s="10" t="inlineStr">
        <is>
          <t>F00290</t>
        </is>
      </c>
      <c r="B148" s="10" t="inlineStr">
        <is>
          <t>F00290</t>
        </is>
      </c>
      <c r="C148" s="10" t="inlineStr"/>
      <c r="D148" s="10" t="inlineStr">
        <is>
          <t>6009697451830</t>
        </is>
      </c>
      <c r="E148" s="10" t="inlineStr">
        <is>
          <t>DRINK SET ROYAL SILVER DESIGN</t>
        </is>
      </c>
      <c r="F148" s="10" t="inlineStr"/>
      <c r="G148" s="10" t="inlineStr"/>
      <c r="H148" s="10" t="inlineStr"/>
      <c r="I148" s="11" t="n">
        <v>57.95</v>
      </c>
      <c r="J148" s="6" t="n">
        <v>15</v>
      </c>
      <c r="K148" s="7">
        <f>IF(I148="","",I148*(1+J148/100))</f>
        <v/>
      </c>
      <c r="L148" s="12" t="inlineStr"/>
      <c r="M148" s="8">
        <f>IF(OR(L148="",K148="",L148=0),"",
  (L148-K148)/L148*100)</f>
        <v/>
      </c>
      <c r="N148" s="9" t="inlineStr"/>
      <c r="O148" s="10" t="inlineStr"/>
      <c r="P148" s="10" t="inlineStr"/>
      <c r="Q148" s="10" t="inlineStr"/>
      <c r="R148" s="10" t="inlineStr">
        <is>
          <t>2026-03-12</t>
        </is>
      </c>
      <c r="S148" s="10" t="inlineStr"/>
    </row>
    <row r="149">
      <c r="A149" s="3" t="inlineStr">
        <is>
          <t>F00291</t>
        </is>
      </c>
      <c r="B149" s="4" t="inlineStr">
        <is>
          <t>F00291</t>
        </is>
      </c>
      <c r="C149" s="4" t="inlineStr"/>
      <c r="D149" s="4" t="inlineStr">
        <is>
          <t>6009697451816</t>
        </is>
      </c>
      <c r="E149" s="3" t="inlineStr">
        <is>
          <t>DRINK SET ROYAL GOLD DESIGN</t>
        </is>
      </c>
      <c r="F149" s="4" t="inlineStr"/>
      <c r="G149" s="4" t="inlineStr"/>
      <c r="H149" s="4" t="inlineStr"/>
      <c r="I149" s="5" t="n">
        <v>57.95</v>
      </c>
      <c r="J149" s="6" t="n">
        <v>15</v>
      </c>
      <c r="K149" s="7">
        <f>IF(I149="","",I149*(1+J149/100))</f>
        <v/>
      </c>
      <c r="L149" s="12" t="inlineStr"/>
      <c r="M149" s="8">
        <f>IF(OR(L149="",K149="",L149=0),"",
  (L149-K149)/L149*100)</f>
        <v/>
      </c>
      <c r="N149" s="9" t="inlineStr"/>
      <c r="O149" s="4" t="inlineStr"/>
      <c r="P149" s="4" t="inlineStr"/>
      <c r="Q149" s="4" t="inlineStr"/>
      <c r="R149" s="4" t="inlineStr">
        <is>
          <t>2026-03-12</t>
        </is>
      </c>
      <c r="S149" s="4" t="inlineStr"/>
    </row>
    <row r="150">
      <c r="A150" s="10" t="inlineStr">
        <is>
          <t>F00292</t>
        </is>
      </c>
      <c r="B150" s="10" t="inlineStr">
        <is>
          <t>F00292</t>
        </is>
      </c>
      <c r="C150" s="10" t="inlineStr"/>
      <c r="D150" s="10" t="inlineStr">
        <is>
          <t>6009697451823</t>
        </is>
      </c>
      <c r="E150" s="10" t="inlineStr">
        <is>
          <t>DRINK SET GOLD DESIGN</t>
        </is>
      </c>
      <c r="F150" s="10" t="inlineStr"/>
      <c r="G150" s="10" t="inlineStr"/>
      <c r="H150" s="10" t="inlineStr"/>
      <c r="I150" s="11" t="n">
        <v>57.95</v>
      </c>
      <c r="J150" s="6" t="n">
        <v>15</v>
      </c>
      <c r="K150" s="7">
        <f>IF(I150="","",I150*(1+J150/100))</f>
        <v/>
      </c>
      <c r="L150" s="12" t="inlineStr"/>
      <c r="M150" s="8">
        <f>IF(OR(L150="",K150="",L150=0),"",
  (L150-K150)/L150*100)</f>
        <v/>
      </c>
      <c r="N150" s="9" t="inlineStr"/>
      <c r="O150" s="10" t="inlineStr"/>
      <c r="P150" s="10" t="inlineStr"/>
      <c r="Q150" s="10" t="inlineStr"/>
      <c r="R150" s="10" t="inlineStr">
        <is>
          <t>2026-03-12</t>
        </is>
      </c>
      <c r="S150" s="10" t="inlineStr"/>
    </row>
    <row r="151">
      <c r="A151" s="3" t="inlineStr">
        <is>
          <t>F00293</t>
        </is>
      </c>
      <c r="B151" s="4" t="inlineStr">
        <is>
          <t>F00293</t>
        </is>
      </c>
      <c r="C151" s="4" t="inlineStr"/>
      <c r="D151" s="4" t="inlineStr">
        <is>
          <t>6009697453230</t>
        </is>
      </c>
      <c r="E151" s="3" t="inlineStr">
        <is>
          <t>BOWL HAND PAINTED 7"</t>
        </is>
      </c>
      <c r="F151" s="4" t="inlineStr"/>
      <c r="G151" s="4" t="inlineStr"/>
      <c r="H151" s="4" t="inlineStr"/>
      <c r="I151" s="5" t="n">
        <v>7.95</v>
      </c>
      <c r="J151" s="6" t="n">
        <v>15</v>
      </c>
      <c r="K151" s="7">
        <f>IF(I151="","",I151*(1+J151/100))</f>
        <v/>
      </c>
      <c r="L151" s="12" t="inlineStr"/>
      <c r="M151" s="8">
        <f>IF(OR(L151="",K151="",L151=0),"",
  (L151-K151)/L151*100)</f>
        <v/>
      </c>
      <c r="N151" s="14" t="n">
        <v>13057</v>
      </c>
      <c r="O151" s="4" t="inlineStr"/>
      <c r="P151" s="4" t="inlineStr"/>
      <c r="Q151" s="4" t="inlineStr"/>
      <c r="R151" s="4" t="inlineStr">
        <is>
          <t>2026-03-12</t>
        </is>
      </c>
      <c r="S151" s="4" t="inlineStr"/>
    </row>
    <row r="152">
      <c r="A152" s="10" t="inlineStr">
        <is>
          <t>F00294</t>
        </is>
      </c>
      <c r="B152" s="10" t="inlineStr">
        <is>
          <t>F00294</t>
        </is>
      </c>
      <c r="C152" s="10" t="inlineStr"/>
      <c r="D152" s="10" t="inlineStr">
        <is>
          <t>6009698450215</t>
        </is>
      </c>
      <c r="E152" s="10" t="inlineStr">
        <is>
          <t>BOWL LINE EDGE 9"</t>
        </is>
      </c>
      <c r="F152" s="10" t="inlineStr"/>
      <c r="G152" s="10" t="inlineStr"/>
      <c r="H152" s="10" t="inlineStr"/>
      <c r="I152" s="11" t="n">
        <v>2.49</v>
      </c>
      <c r="J152" s="6" t="n">
        <v>15</v>
      </c>
      <c r="K152" s="7">
        <f>IF(I152="","",I152*(1+J152/100))</f>
        <v/>
      </c>
      <c r="L152" s="12" t="inlineStr"/>
      <c r="M152" s="8">
        <f>IF(OR(L152="",K152="",L152=0),"",
  (L152-K152)/L152*100)</f>
        <v/>
      </c>
      <c r="N152" s="9" t="inlineStr"/>
      <c r="O152" s="10" t="inlineStr"/>
      <c r="P152" s="10" t="inlineStr"/>
      <c r="Q152" s="10" t="inlineStr"/>
      <c r="R152" s="10" t="inlineStr">
        <is>
          <t>2026-03-12</t>
        </is>
      </c>
      <c r="S152" s="10" t="inlineStr"/>
    </row>
    <row r="153">
      <c r="A153" s="3" t="inlineStr">
        <is>
          <t>F00296</t>
        </is>
      </c>
      <c r="B153" s="4" t="inlineStr">
        <is>
          <t>F00296</t>
        </is>
      </c>
      <c r="C153" s="4" t="inlineStr"/>
      <c r="D153" s="4" t="inlineStr">
        <is>
          <t>69347618200181</t>
        </is>
      </c>
      <c r="E153" s="3" t="inlineStr">
        <is>
          <t>PEEL &amp; STICK TILES (8PC / 5PK) CL2819</t>
        </is>
      </c>
      <c r="F153" s="4" t="inlineStr"/>
      <c r="G153" s="4" t="inlineStr"/>
      <c r="H153" s="4" t="inlineStr"/>
      <c r="I153" s="5" t="n">
        <v>153.95</v>
      </c>
      <c r="J153" s="6" t="n">
        <v>15</v>
      </c>
      <c r="K153" s="7">
        <f>IF(I153="","",I153*(1+J153/100))</f>
        <v/>
      </c>
      <c r="L153" s="12" t="inlineStr"/>
      <c r="M153" s="8">
        <f>IF(OR(L153="",K153="",L153=0),"",
  (L153-K153)/L153*100)</f>
        <v/>
      </c>
      <c r="N153" s="9" t="inlineStr"/>
      <c r="O153" s="4" t="inlineStr"/>
      <c r="P153" s="4" t="inlineStr"/>
      <c r="Q153" s="4" t="inlineStr"/>
      <c r="R153" s="4" t="inlineStr">
        <is>
          <t>2026-03-12</t>
        </is>
      </c>
      <c r="S153" s="4" t="inlineStr"/>
    </row>
    <row r="154">
      <c r="A154" s="10" t="inlineStr">
        <is>
          <t>F00297</t>
        </is>
      </c>
      <c r="B154" s="10" t="inlineStr">
        <is>
          <t>F00297</t>
        </is>
      </c>
      <c r="C154" s="10" t="inlineStr"/>
      <c r="D154" s="10" t="inlineStr">
        <is>
          <t>9557965001029</t>
        </is>
      </c>
      <c r="E154" s="10" t="inlineStr">
        <is>
          <t>MUG 18OZ ASSTD DECAL WRITING</t>
        </is>
      </c>
      <c r="F154" s="10" t="inlineStr"/>
      <c r="G154" s="10" t="inlineStr"/>
      <c r="H154" s="10" t="inlineStr"/>
      <c r="I154" s="11" t="n">
        <v>8.949999999999999</v>
      </c>
      <c r="J154" s="6" t="n">
        <v>15</v>
      </c>
      <c r="K154" s="7">
        <f>IF(I154="","",I154*(1+J154/100))</f>
        <v/>
      </c>
      <c r="L154" s="12" t="inlineStr"/>
      <c r="M154" s="8">
        <f>IF(OR(L154="",K154="",L154=0),"",
  (L154-K154)/L154*100)</f>
        <v/>
      </c>
      <c r="N154" s="9" t="inlineStr"/>
      <c r="O154" s="10" t="inlineStr"/>
      <c r="P154" s="10" t="inlineStr"/>
      <c r="Q154" s="10" t="inlineStr"/>
      <c r="R154" s="10" t="inlineStr">
        <is>
          <t>2026-03-12</t>
        </is>
      </c>
      <c r="S154" s="10" t="inlineStr"/>
    </row>
    <row r="155">
      <c r="A155" s="3" t="inlineStr">
        <is>
          <t>F00298</t>
        </is>
      </c>
      <c r="B155" s="4" t="inlineStr">
        <is>
          <t>F00298</t>
        </is>
      </c>
      <c r="C155" s="4" t="inlineStr"/>
      <c r="D155" s="4" t="inlineStr">
        <is>
          <t>9557965001012</t>
        </is>
      </c>
      <c r="E155" s="3" t="inlineStr">
        <is>
          <t>MUG 3PC SWIRL TYPE 10OZ KW7197</t>
        </is>
      </c>
      <c r="F155" s="4" t="inlineStr"/>
      <c r="G155" s="4" t="inlineStr"/>
      <c r="H155" s="4" t="inlineStr"/>
      <c r="I155" s="5" t="n">
        <v>7.99</v>
      </c>
      <c r="J155" s="6" t="n">
        <v>15</v>
      </c>
      <c r="K155" s="7">
        <f>IF(I155="","",I155*(1+J155/100))</f>
        <v/>
      </c>
      <c r="L155" s="12" t="inlineStr"/>
      <c r="M155" s="8">
        <f>IF(OR(L155="",K155="",L155=0),"",
  (L155-K155)/L155*100)</f>
        <v/>
      </c>
      <c r="N155" s="9" t="inlineStr"/>
      <c r="O155" s="4" t="inlineStr"/>
      <c r="P155" s="4" t="inlineStr"/>
      <c r="Q155" s="4" t="inlineStr"/>
      <c r="R155" s="4" t="inlineStr">
        <is>
          <t>2026-03-12</t>
        </is>
      </c>
      <c r="S155" s="4" t="inlineStr"/>
    </row>
    <row r="156">
      <c r="A156" s="10" t="inlineStr">
        <is>
          <t>F00299</t>
        </is>
      </c>
      <c r="B156" s="10" t="inlineStr">
        <is>
          <t>F00299</t>
        </is>
      </c>
      <c r="C156" s="10" t="inlineStr"/>
      <c r="D156" s="10" t="inlineStr">
        <is>
          <t>6009697452721</t>
        </is>
      </c>
      <c r="E156" s="10" t="inlineStr">
        <is>
          <t>CUP AND SAUCER 12P LINE EDGE 220CC</t>
        </is>
      </c>
      <c r="F156" s="10" t="inlineStr"/>
      <c r="G156" s="10" t="inlineStr"/>
      <c r="H156" s="10" t="inlineStr"/>
      <c r="I156" s="11" t="n">
        <v>36.68</v>
      </c>
      <c r="J156" s="6" t="n">
        <v>15</v>
      </c>
      <c r="K156" s="7">
        <f>IF(I156="","",I156*(1+J156/100))</f>
        <v/>
      </c>
      <c r="L156" s="12" t="inlineStr"/>
      <c r="M156" s="8">
        <f>IF(OR(L156="",K156="",L156=0),"",
  (L156-K156)/L156*100)</f>
        <v/>
      </c>
      <c r="N156" s="9" t="inlineStr"/>
      <c r="O156" s="10" t="inlineStr"/>
      <c r="P156" s="10" t="inlineStr"/>
      <c r="Q156" s="10" t="inlineStr"/>
      <c r="R156" s="10" t="inlineStr">
        <is>
          <t>2026-03-12</t>
        </is>
      </c>
      <c r="S156" s="10" t="inlineStr"/>
    </row>
    <row r="157">
      <c r="A157" s="3" t="inlineStr">
        <is>
          <t>F00313</t>
        </is>
      </c>
      <c r="B157" s="4" t="inlineStr">
        <is>
          <t>F00313</t>
        </is>
      </c>
      <c r="C157" s="4" t="inlineStr"/>
      <c r="D157" s="4" t="inlineStr">
        <is>
          <t>6009697451878</t>
        </is>
      </c>
      <c r="E157" s="3" t="inlineStr">
        <is>
          <t>DRINK SET 7 PC SILVER</t>
        </is>
      </c>
      <c r="F157" s="4" t="inlineStr"/>
      <c r="G157" s="4" t="inlineStr"/>
      <c r="H157" s="4" t="inlineStr"/>
      <c r="I157" s="5" t="n">
        <v>48.95</v>
      </c>
      <c r="J157" s="6" t="n">
        <v>15</v>
      </c>
      <c r="K157" s="7">
        <f>IF(I157="","",I157*(1+J157/100))</f>
        <v/>
      </c>
      <c r="L157" s="12" t="inlineStr"/>
      <c r="M157" s="8">
        <f>IF(OR(L157="",K157="",L157=0),"",
  (L157-K157)/L157*100)</f>
        <v/>
      </c>
      <c r="N157" s="9" t="inlineStr"/>
      <c r="O157" s="4" t="inlineStr"/>
      <c r="P157" s="4" t="inlineStr"/>
      <c r="Q157" s="4" t="inlineStr"/>
      <c r="R157" s="4" t="inlineStr">
        <is>
          <t>2026-03-12</t>
        </is>
      </c>
      <c r="S157" s="4" t="inlineStr"/>
    </row>
    <row r="158">
      <c r="A158" s="10" t="inlineStr">
        <is>
          <t>F00314</t>
        </is>
      </c>
      <c r="B158" s="10" t="inlineStr">
        <is>
          <t>F00314</t>
        </is>
      </c>
      <c r="C158" s="10" t="inlineStr"/>
      <c r="D158" s="10" t="inlineStr">
        <is>
          <t>6009697451885</t>
        </is>
      </c>
      <c r="E158" s="10" t="inlineStr">
        <is>
          <t>DRINK SET 7 PC GOLD</t>
        </is>
      </c>
      <c r="F158" s="10" t="inlineStr"/>
      <c r="G158" s="10" t="inlineStr"/>
      <c r="H158" s="10" t="inlineStr"/>
      <c r="I158" s="11" t="n">
        <v>48.95</v>
      </c>
      <c r="J158" s="6" t="n">
        <v>15</v>
      </c>
      <c r="K158" s="7">
        <f>IF(I158="","",I158*(1+J158/100))</f>
        <v/>
      </c>
      <c r="L158" s="12" t="inlineStr"/>
      <c r="M158" s="8">
        <f>IF(OR(L158="",K158="",L158=0),"",
  (L158-K158)/L158*100)</f>
        <v/>
      </c>
      <c r="N158" s="9" t="inlineStr"/>
      <c r="O158" s="10" t="inlineStr"/>
      <c r="P158" s="10" t="inlineStr"/>
      <c r="Q158" s="10" t="inlineStr"/>
      <c r="R158" s="10" t="inlineStr">
        <is>
          <t>2026-03-12</t>
        </is>
      </c>
      <c r="S158" s="10" t="inlineStr"/>
    </row>
    <row r="159">
      <c r="A159" s="3" t="inlineStr">
        <is>
          <t>F00316</t>
        </is>
      </c>
      <c r="B159" s="4" t="inlineStr">
        <is>
          <t>F00316</t>
        </is>
      </c>
      <c r="C159" s="4" t="inlineStr"/>
      <c r="D159" s="4" t="inlineStr">
        <is>
          <t>6009697451922</t>
        </is>
      </c>
      <c r="E159" s="3" t="inlineStr">
        <is>
          <t>PLATE 10.5" SOLID COLOR GLAZE(24/30S)</t>
        </is>
      </c>
      <c r="F159" s="4" t="inlineStr"/>
      <c r="G159" s="4" t="inlineStr"/>
      <c r="H159" s="4" t="inlineStr"/>
      <c r="I159" s="5" t="n">
        <v>11.5</v>
      </c>
      <c r="J159" s="6" t="n">
        <v>15</v>
      </c>
      <c r="K159" s="7">
        <f>IF(I159="","",I159*(1+J159/100))</f>
        <v/>
      </c>
      <c r="L159" s="12" t="inlineStr"/>
      <c r="M159" s="8">
        <f>IF(OR(L159="",K159="",L159=0),"",
  (L159-K159)/L159*100)</f>
        <v/>
      </c>
      <c r="N159" s="14" t="n">
        <v>252</v>
      </c>
      <c r="O159" s="4" t="inlineStr"/>
      <c r="P159" s="4" t="inlineStr"/>
      <c r="Q159" s="4" t="inlineStr"/>
      <c r="R159" s="4" t="inlineStr">
        <is>
          <t>2026-03-12</t>
        </is>
      </c>
      <c r="S159" s="4" t="inlineStr"/>
    </row>
    <row r="160">
      <c r="A160" s="10" t="inlineStr">
        <is>
          <t>F00316B</t>
        </is>
      </c>
      <c r="B160" s="10" t="inlineStr">
        <is>
          <t>F00316B</t>
        </is>
      </c>
      <c r="C160" s="10" t="inlineStr"/>
      <c r="D160" s="10" t="inlineStr"/>
      <c r="E160" s="10" t="inlineStr">
        <is>
          <t>PLATE 10.5'' SOLID COLOR ASSRTD 'B GRADE</t>
        </is>
      </c>
      <c r="F160" s="10" t="inlineStr"/>
      <c r="G160" s="10" t="inlineStr"/>
      <c r="H160" s="10" t="inlineStr"/>
      <c r="I160" s="11" t="n">
        <v>9.949999999999999</v>
      </c>
      <c r="J160" s="6" t="n">
        <v>15</v>
      </c>
      <c r="K160" s="7">
        <f>IF(I160="","",I160*(1+J160/100))</f>
        <v/>
      </c>
      <c r="L160" s="12" t="inlineStr"/>
      <c r="M160" s="8">
        <f>IF(OR(L160="",K160="",L160=0),"",
  (L160-K160)/L160*100)</f>
        <v/>
      </c>
      <c r="N160" s="9" t="inlineStr"/>
      <c r="O160" s="10" t="inlineStr"/>
      <c r="P160" s="10" t="inlineStr"/>
      <c r="Q160" s="10" t="inlineStr"/>
      <c r="R160" s="10" t="inlineStr">
        <is>
          <t>2026-03-12</t>
        </is>
      </c>
      <c r="S160" s="10" t="inlineStr"/>
    </row>
    <row r="161">
      <c r="A161" s="3" t="inlineStr">
        <is>
          <t>F00318</t>
        </is>
      </c>
      <c r="B161" s="4" t="inlineStr">
        <is>
          <t>F00318</t>
        </is>
      </c>
      <c r="C161" s="4" t="inlineStr"/>
      <c r="D161" s="4" t="inlineStr">
        <is>
          <t>6009677014123</t>
        </is>
      </c>
      <c r="E161" s="3" t="inlineStr">
        <is>
          <t>PLATE 10"-11" EMBOSSED WHITE</t>
        </is>
      </c>
      <c r="F161" s="4" t="inlineStr"/>
      <c r="G161" s="4" t="inlineStr"/>
      <c r="H161" s="4" t="inlineStr"/>
      <c r="I161" s="5" t="n">
        <v>11.99</v>
      </c>
      <c r="J161" s="6" t="n">
        <v>15</v>
      </c>
      <c r="K161" s="7">
        <f>IF(I161="","",I161*(1+J161/100))</f>
        <v/>
      </c>
      <c r="L161" s="12" t="inlineStr"/>
      <c r="M161" s="8">
        <f>IF(OR(L161="",K161="",L161=0),"",
  (L161-K161)/L161*100)</f>
        <v/>
      </c>
      <c r="N161" s="9" t="inlineStr"/>
      <c r="O161" s="4" t="inlineStr"/>
      <c r="P161" s="4" t="inlineStr"/>
      <c r="Q161" s="4" t="inlineStr"/>
      <c r="R161" s="4" t="inlineStr">
        <is>
          <t>2026-03-12</t>
        </is>
      </c>
      <c r="S161" s="4" t="inlineStr"/>
    </row>
    <row r="162">
      <c r="A162" s="10" t="inlineStr">
        <is>
          <t>F00331</t>
        </is>
      </c>
      <c r="B162" s="10" t="inlineStr">
        <is>
          <t>F00331</t>
        </is>
      </c>
      <c r="C162" s="10" t="inlineStr"/>
      <c r="D162" s="10" t="inlineStr">
        <is>
          <t>6925625425950</t>
        </is>
      </c>
      <c r="E162" s="10" t="inlineStr">
        <is>
          <t>CALCULATOR 8 DIGIT AA</t>
        </is>
      </c>
      <c r="F162" s="10" t="inlineStr"/>
      <c r="G162" s="10" t="inlineStr"/>
      <c r="H162" s="10" t="inlineStr"/>
      <c r="I162" s="11" t="n">
        <v>6.99</v>
      </c>
      <c r="J162" s="6" t="n">
        <v>15</v>
      </c>
      <c r="K162" s="7">
        <f>IF(I162="","",I162*(1+J162/100))</f>
        <v/>
      </c>
      <c r="L162" s="12" t="inlineStr"/>
      <c r="M162" s="8">
        <f>IF(OR(L162="",K162="",L162=0),"",
  (L162-K162)/L162*100)</f>
        <v/>
      </c>
      <c r="N162" s="9" t="inlineStr"/>
      <c r="O162" s="10" t="inlineStr"/>
      <c r="P162" s="10" t="inlineStr"/>
      <c r="Q162" s="10" t="inlineStr"/>
      <c r="R162" s="10" t="inlineStr">
        <is>
          <t>2026-03-12</t>
        </is>
      </c>
      <c r="S162" s="10" t="inlineStr"/>
    </row>
    <row r="163">
      <c r="A163" s="3" t="inlineStr">
        <is>
          <t>F00332</t>
        </is>
      </c>
      <c r="B163" s="4" t="inlineStr">
        <is>
          <t>F00332</t>
        </is>
      </c>
      <c r="C163" s="4" t="inlineStr"/>
      <c r="D163" s="4" t="inlineStr">
        <is>
          <t>6925625420948</t>
        </is>
      </c>
      <c r="E163" s="3" t="inlineStr">
        <is>
          <t>CALCULATOR 8 DIGIT(KK8985-12)</t>
        </is>
      </c>
      <c r="F163" s="4" t="inlineStr"/>
      <c r="G163" s="4" t="inlineStr"/>
      <c r="H163" s="4" t="inlineStr"/>
      <c r="I163" s="5" t="n">
        <v>8.949999999999999</v>
      </c>
      <c r="J163" s="6" t="n">
        <v>15</v>
      </c>
      <c r="K163" s="7">
        <f>IF(I163="","",I163*(1+J163/100))</f>
        <v/>
      </c>
      <c r="L163" s="12" t="inlineStr"/>
      <c r="M163" s="8">
        <f>IF(OR(L163="",K163="",L163=0),"",
  (L163-K163)/L163*100)</f>
        <v/>
      </c>
      <c r="N163" s="9" t="inlineStr"/>
      <c r="O163" s="4" t="inlineStr"/>
      <c r="P163" s="4" t="inlineStr"/>
      <c r="Q163" s="4" t="inlineStr"/>
      <c r="R163" s="4" t="inlineStr">
        <is>
          <t>2026-03-12</t>
        </is>
      </c>
      <c r="S163" s="4" t="inlineStr"/>
    </row>
    <row r="164">
      <c r="A164" s="10" t="inlineStr">
        <is>
          <t>F00333</t>
        </is>
      </c>
      <c r="B164" s="10" t="inlineStr">
        <is>
          <t>F00333</t>
        </is>
      </c>
      <c r="C164" s="10" t="inlineStr"/>
      <c r="D164" s="10" t="inlineStr">
        <is>
          <t>6925625436390</t>
        </is>
      </c>
      <c r="E164" s="10" t="inlineStr">
        <is>
          <t>CALCULATOR</t>
        </is>
      </c>
      <c r="F164" s="10" t="inlineStr"/>
      <c r="G164" s="10" t="inlineStr"/>
      <c r="H164" s="10" t="inlineStr"/>
      <c r="I164" s="11" t="n">
        <v>6.99</v>
      </c>
      <c r="J164" s="6" t="n">
        <v>15</v>
      </c>
      <c r="K164" s="7">
        <f>IF(I164="","",I164*(1+J164/100))</f>
        <v/>
      </c>
      <c r="L164" s="12" t="inlineStr"/>
      <c r="M164" s="8">
        <f>IF(OR(L164="",K164="",L164=0),"",
  (L164-K164)/L164*100)</f>
        <v/>
      </c>
      <c r="N164" s="9" t="inlineStr"/>
      <c r="O164" s="10" t="inlineStr"/>
      <c r="P164" s="10" t="inlineStr"/>
      <c r="Q164" s="10" t="inlineStr"/>
      <c r="R164" s="10" t="inlineStr">
        <is>
          <t>2026-03-12</t>
        </is>
      </c>
      <c r="S164" s="10" t="inlineStr"/>
    </row>
    <row r="165">
      <c r="A165" s="3" t="inlineStr">
        <is>
          <t>F00334</t>
        </is>
      </c>
      <c r="B165" s="4" t="inlineStr">
        <is>
          <t>F00334</t>
        </is>
      </c>
      <c r="C165" s="4" t="inlineStr"/>
      <c r="D165" s="4" t="inlineStr">
        <is>
          <t>6925625449741</t>
        </is>
      </c>
      <c r="E165" s="3" t="inlineStr">
        <is>
          <t>CALCULATOR 2AA</t>
        </is>
      </c>
      <c r="F165" s="4" t="inlineStr"/>
      <c r="G165" s="4" t="inlineStr"/>
      <c r="H165" s="4" t="inlineStr"/>
      <c r="I165" s="5" t="n">
        <v>8.35</v>
      </c>
      <c r="J165" s="6" t="n">
        <v>15</v>
      </c>
      <c r="K165" s="7">
        <f>IF(I165="","",I165*(1+J165/100))</f>
        <v/>
      </c>
      <c r="L165" s="12" t="inlineStr"/>
      <c r="M165" s="8">
        <f>IF(OR(L165="",K165="",L165=0),"",
  (L165-K165)/L165*100)</f>
        <v/>
      </c>
      <c r="N165" s="9" t="inlineStr"/>
      <c r="O165" s="4" t="inlineStr"/>
      <c r="P165" s="4" t="inlineStr"/>
      <c r="Q165" s="4" t="inlineStr"/>
      <c r="R165" s="4" t="inlineStr">
        <is>
          <t>2026-03-12</t>
        </is>
      </c>
      <c r="S165" s="4" t="inlineStr"/>
    </row>
    <row r="166">
      <c r="A166" s="10" t="inlineStr">
        <is>
          <t>F00335</t>
        </is>
      </c>
      <c r="B166" s="10" t="inlineStr">
        <is>
          <t>F00335</t>
        </is>
      </c>
      <c r="C166" s="10" t="inlineStr"/>
      <c r="D166" s="10" t="inlineStr">
        <is>
          <t>6925625413797</t>
        </is>
      </c>
      <c r="E166" s="10" t="inlineStr">
        <is>
          <t>CALCULATOR</t>
        </is>
      </c>
      <c r="F166" s="10" t="inlineStr"/>
      <c r="G166" s="10" t="inlineStr"/>
      <c r="H166" s="10" t="inlineStr"/>
      <c r="I166" s="11" t="n">
        <v>35.95</v>
      </c>
      <c r="J166" s="6" t="n">
        <v>15</v>
      </c>
      <c r="K166" s="7">
        <f>IF(I166="","",I166*(1+J166/100))</f>
        <v/>
      </c>
      <c r="L166" s="12" t="inlineStr"/>
      <c r="M166" s="8">
        <f>IF(OR(L166="",K166="",L166=0),"",
  (L166-K166)/L166*100)</f>
        <v/>
      </c>
      <c r="N166" s="9" t="inlineStr"/>
      <c r="O166" s="10" t="inlineStr"/>
      <c r="P166" s="10" t="inlineStr"/>
      <c r="Q166" s="10" t="inlineStr"/>
      <c r="R166" s="10" t="inlineStr">
        <is>
          <t>2026-03-12</t>
        </is>
      </c>
      <c r="S166" s="10" t="inlineStr"/>
    </row>
    <row r="167">
      <c r="A167" s="3" t="inlineStr">
        <is>
          <t>F00336</t>
        </is>
      </c>
      <c r="B167" s="4" t="inlineStr">
        <is>
          <t>F00336</t>
        </is>
      </c>
      <c r="C167" s="4" t="inlineStr"/>
      <c r="D167" s="4" t="inlineStr">
        <is>
          <t>6925625406003</t>
        </is>
      </c>
      <c r="E167" s="3" t="inlineStr">
        <is>
          <t>CALCULATOR AA</t>
        </is>
      </c>
      <c r="F167" s="4" t="inlineStr"/>
      <c r="G167" s="4" t="inlineStr"/>
      <c r="H167" s="4" t="inlineStr"/>
      <c r="I167" s="5" t="n">
        <v>19.79</v>
      </c>
      <c r="J167" s="6" t="n">
        <v>15</v>
      </c>
      <c r="K167" s="7">
        <f>IF(I167="","",I167*(1+J167/100))</f>
        <v/>
      </c>
      <c r="L167" s="12" t="inlineStr"/>
      <c r="M167" s="8">
        <f>IF(OR(L167="",K167="",L167=0),"",
  (L167-K167)/L167*100)</f>
        <v/>
      </c>
      <c r="N167" s="9" t="inlineStr"/>
      <c r="O167" s="4" t="inlineStr"/>
      <c r="P167" s="4" t="inlineStr"/>
      <c r="Q167" s="4" t="inlineStr"/>
      <c r="R167" s="4" t="inlineStr">
        <is>
          <t>2026-03-12</t>
        </is>
      </c>
      <c r="S167" s="4" t="inlineStr"/>
    </row>
    <row r="168">
      <c r="A168" s="10" t="inlineStr">
        <is>
          <t>F00337</t>
        </is>
      </c>
      <c r="B168" s="10" t="inlineStr">
        <is>
          <t>F00337</t>
        </is>
      </c>
      <c r="C168" s="10" t="inlineStr"/>
      <c r="D168" s="10" t="inlineStr">
        <is>
          <t>6925625411472</t>
        </is>
      </c>
      <c r="E168" s="10" t="inlineStr">
        <is>
          <t>CALCULATOR AA</t>
        </is>
      </c>
      <c r="F168" s="10" t="inlineStr"/>
      <c r="G168" s="10" t="inlineStr"/>
      <c r="H168" s="10" t="inlineStr"/>
      <c r="I168" s="11" t="n">
        <v>15.5</v>
      </c>
      <c r="J168" s="6" t="n">
        <v>15</v>
      </c>
      <c r="K168" s="7">
        <f>IF(I168="","",I168*(1+J168/100))</f>
        <v/>
      </c>
      <c r="L168" s="12" t="inlineStr"/>
      <c r="M168" s="8">
        <f>IF(OR(L168="",K168="",L168=0),"",
  (L168-K168)/L168*100)</f>
        <v/>
      </c>
      <c r="N168" s="9" t="inlineStr"/>
      <c r="O168" s="10" t="inlineStr"/>
      <c r="P168" s="10" t="inlineStr"/>
      <c r="Q168" s="10" t="inlineStr"/>
      <c r="R168" s="10" t="inlineStr">
        <is>
          <t>2026-03-12</t>
        </is>
      </c>
      <c r="S168" s="10" t="inlineStr"/>
    </row>
    <row r="169">
      <c r="A169" s="3" t="inlineStr">
        <is>
          <t>F00338</t>
        </is>
      </c>
      <c r="B169" s="4" t="inlineStr">
        <is>
          <t>F00338</t>
        </is>
      </c>
      <c r="C169" s="4" t="inlineStr"/>
      <c r="D169" s="4" t="inlineStr">
        <is>
          <t>6925625401879</t>
        </is>
      </c>
      <c r="E169" s="3" t="inlineStr">
        <is>
          <t>CALCULATOR</t>
        </is>
      </c>
      <c r="F169" s="4" t="inlineStr"/>
      <c r="G169" s="4" t="inlineStr"/>
      <c r="H169" s="4" t="inlineStr"/>
      <c r="I169" s="5" t="n">
        <v>22.5</v>
      </c>
      <c r="J169" s="6" t="n">
        <v>15</v>
      </c>
      <c r="K169" s="7">
        <f>IF(I169="","",I169*(1+J169/100))</f>
        <v/>
      </c>
      <c r="L169" s="12" t="inlineStr"/>
      <c r="M169" s="8">
        <f>IF(OR(L169="",K169="",L169=0),"",
  (L169-K169)/L169*100)</f>
        <v/>
      </c>
      <c r="N169" s="9" t="inlineStr"/>
      <c r="O169" s="4" t="inlineStr"/>
      <c r="P169" s="4" t="inlineStr"/>
      <c r="Q169" s="4" t="inlineStr"/>
      <c r="R169" s="4" t="inlineStr">
        <is>
          <t>2026-03-12</t>
        </is>
      </c>
      <c r="S169" s="4" t="inlineStr"/>
    </row>
    <row r="170">
      <c r="A170" s="10" t="inlineStr">
        <is>
          <t>F00339</t>
        </is>
      </c>
      <c r="B170" s="10" t="inlineStr">
        <is>
          <t>F00339</t>
        </is>
      </c>
      <c r="C170" s="10" t="inlineStr"/>
      <c r="D170" s="10" t="inlineStr"/>
      <c r="E170" s="10" t="inlineStr">
        <is>
          <t>BOWL SET 7PC IMPERIAL SMOKE</t>
        </is>
      </c>
      <c r="F170" s="10" t="inlineStr"/>
      <c r="G170" s="10" t="inlineStr"/>
      <c r="H170" s="10" t="inlineStr"/>
      <c r="I170" s="11" t="n">
        <v>32.14</v>
      </c>
      <c r="J170" s="6" t="n">
        <v>15</v>
      </c>
      <c r="K170" s="7">
        <f>IF(I170="","",I170*(1+J170/100))</f>
        <v/>
      </c>
      <c r="L170" s="12" t="inlineStr"/>
      <c r="M170" s="8">
        <f>IF(OR(L170="",K170="",L170=0),"",
  (L170-K170)/L170*100)</f>
        <v/>
      </c>
      <c r="N170" s="9" t="inlineStr"/>
      <c r="O170" s="10" t="inlineStr"/>
      <c r="P170" s="10" t="inlineStr"/>
      <c r="Q170" s="10" t="inlineStr"/>
      <c r="R170" s="10" t="inlineStr">
        <is>
          <t>2026-03-12</t>
        </is>
      </c>
      <c r="S170" s="10" t="inlineStr"/>
    </row>
    <row r="171">
      <c r="A171" s="3" t="inlineStr">
        <is>
          <t>F00343</t>
        </is>
      </c>
      <c r="B171" s="4" t="inlineStr">
        <is>
          <t>F00343</t>
        </is>
      </c>
      <c r="C171" s="4" t="inlineStr">
        <is>
          <t>32165</t>
        </is>
      </c>
      <c r="D171" s="4" t="inlineStr">
        <is>
          <t>6009677016332</t>
        </is>
      </c>
      <c r="E171" s="3" t="inlineStr">
        <is>
          <t>TABLEMAT PVC</t>
        </is>
      </c>
      <c r="F171" s="4" t="inlineStr"/>
      <c r="G171" s="4" t="inlineStr"/>
      <c r="H171" s="4" t="inlineStr"/>
      <c r="I171" s="5" t="n">
        <v>12.95</v>
      </c>
      <c r="J171" s="6" t="n">
        <v>15</v>
      </c>
      <c r="K171" s="7">
        <f>IF(I171="","",I171*(1+J171/100))</f>
        <v/>
      </c>
      <c r="L171" s="12" t="inlineStr"/>
      <c r="M171" s="8">
        <f>IF(OR(L171="",K171="",L171=0),"",
  (L171-K171)/L171*100)</f>
        <v/>
      </c>
      <c r="N171" s="14" t="n">
        <v>7259</v>
      </c>
      <c r="O171" s="4" t="inlineStr"/>
      <c r="P171" s="4" t="inlineStr"/>
      <c r="Q171" s="4" t="inlineStr"/>
      <c r="R171" s="4" t="inlineStr">
        <is>
          <t>2026-03-12</t>
        </is>
      </c>
      <c r="S171" s="4" t="inlineStr"/>
    </row>
    <row r="172">
      <c r="A172" s="10" t="inlineStr">
        <is>
          <t>F00344</t>
        </is>
      </c>
      <c r="B172" s="10" t="inlineStr">
        <is>
          <t>F00344</t>
        </is>
      </c>
      <c r="C172" s="10" t="inlineStr"/>
      <c r="D172" s="10" t="inlineStr">
        <is>
          <t>6009697011801</t>
        </is>
      </c>
      <c r="E172" s="10" t="inlineStr">
        <is>
          <t>BOWL 8.25" ETHNIC DESIGN</t>
        </is>
      </c>
      <c r="F172" s="10" t="inlineStr"/>
      <c r="G172" s="10" t="inlineStr"/>
      <c r="H172" s="10" t="inlineStr"/>
      <c r="I172" s="11" t="n">
        <v>9.949999999999999</v>
      </c>
      <c r="J172" s="6" t="n">
        <v>15</v>
      </c>
      <c r="K172" s="7">
        <f>IF(I172="","",I172*(1+J172/100))</f>
        <v/>
      </c>
      <c r="L172" s="12" t="inlineStr"/>
      <c r="M172" s="8">
        <f>IF(OR(L172="",K172="",L172=0),"",
  (L172-K172)/L172*100)</f>
        <v/>
      </c>
      <c r="N172" s="13" t="n">
        <v>24901</v>
      </c>
      <c r="O172" s="10" t="inlineStr"/>
      <c r="P172" s="10" t="inlineStr"/>
      <c r="Q172" s="10" t="inlineStr"/>
      <c r="R172" s="10" t="inlineStr">
        <is>
          <t>2026-03-12</t>
        </is>
      </c>
      <c r="S172" s="10" t="inlineStr"/>
    </row>
    <row r="173">
      <c r="A173" s="3" t="inlineStr">
        <is>
          <t>F00348</t>
        </is>
      </c>
      <c r="B173" s="4" t="inlineStr">
        <is>
          <t>F00348</t>
        </is>
      </c>
      <c r="C173" s="4" t="inlineStr"/>
      <c r="D173" s="4" t="inlineStr">
        <is>
          <t>6009697450338</t>
        </is>
      </c>
      <c r="E173" s="3" t="inlineStr">
        <is>
          <t>SOLAR PANEL 5W MONO C LARGE 490X415X20MM</t>
        </is>
      </c>
      <c r="F173" s="4" t="inlineStr"/>
      <c r="G173" s="4" t="inlineStr"/>
      <c r="H173" s="4" t="inlineStr"/>
      <c r="I173" s="5" t="n">
        <v>25</v>
      </c>
      <c r="J173" s="6" t="n">
        <v>15</v>
      </c>
      <c r="K173" s="7">
        <f>IF(I173="","",I173*(1+J173/100))</f>
        <v/>
      </c>
      <c r="L173" s="12" t="inlineStr"/>
      <c r="M173" s="8">
        <f>IF(OR(L173="",K173="",L173=0),"",
  (L173-K173)/L173*100)</f>
        <v/>
      </c>
      <c r="N173" s="9" t="inlineStr"/>
      <c r="O173" s="4" t="inlineStr"/>
      <c r="P173" s="4" t="inlineStr"/>
      <c r="Q173" s="4" t="inlineStr"/>
      <c r="R173" s="4" t="inlineStr">
        <is>
          <t>2026-03-12</t>
        </is>
      </c>
      <c r="S173" s="4" t="inlineStr"/>
    </row>
    <row r="174">
      <c r="A174" s="10" t="inlineStr">
        <is>
          <t>F00349</t>
        </is>
      </c>
      <c r="B174" s="10" t="inlineStr">
        <is>
          <t>F00349</t>
        </is>
      </c>
      <c r="C174" s="10" t="inlineStr"/>
      <c r="D174" s="10" t="inlineStr">
        <is>
          <t>2011081713374</t>
        </is>
      </c>
      <c r="E174" s="10" t="inlineStr">
        <is>
          <t>DRINK SET 7 PC - PLS-PS1306-908</t>
        </is>
      </c>
      <c r="F174" s="10" t="inlineStr"/>
      <c r="G174" s="10" t="inlineStr"/>
      <c r="H174" s="10" t="inlineStr"/>
      <c r="I174" s="11" t="n">
        <v>55.95</v>
      </c>
      <c r="J174" s="6" t="n">
        <v>15</v>
      </c>
      <c r="K174" s="7">
        <f>IF(I174="","",I174*(1+J174/100))</f>
        <v/>
      </c>
      <c r="L174" s="12" t="inlineStr"/>
      <c r="M174" s="8">
        <f>IF(OR(L174="",K174="",L174=0),"",
  (L174-K174)/L174*100)</f>
        <v/>
      </c>
      <c r="N174" s="9" t="inlineStr"/>
      <c r="O174" s="10" t="inlineStr"/>
      <c r="P174" s="10" t="inlineStr"/>
      <c r="Q174" s="10" t="inlineStr"/>
      <c r="R174" s="10" t="inlineStr">
        <is>
          <t>2026-03-12</t>
        </is>
      </c>
      <c r="S174" s="10" t="inlineStr"/>
    </row>
    <row r="175">
      <c r="A175" s="3" t="inlineStr">
        <is>
          <t>F00350</t>
        </is>
      </c>
      <c r="B175" s="4" t="inlineStr">
        <is>
          <t>F00350</t>
        </is>
      </c>
      <c r="C175" s="4" t="inlineStr"/>
      <c r="D175" s="4" t="inlineStr">
        <is>
          <t>6009705652051</t>
        </is>
      </c>
      <c r="E175" s="3" t="inlineStr">
        <is>
          <t>DRINK SET 7 PC - PLS-P1306-908</t>
        </is>
      </c>
      <c r="F175" s="4" t="inlineStr"/>
      <c r="G175" s="4" t="inlineStr"/>
      <c r="H175" s="4" t="inlineStr"/>
      <c r="I175" s="5" t="n">
        <v>53.95</v>
      </c>
      <c r="J175" s="6" t="n">
        <v>15</v>
      </c>
      <c r="K175" s="7">
        <f>IF(I175="","",I175*(1+J175/100))</f>
        <v/>
      </c>
      <c r="L175" s="12" t="inlineStr"/>
      <c r="M175" s="8">
        <f>IF(OR(L175="",K175="",L175=0),"",
  (L175-K175)/L175*100)</f>
        <v/>
      </c>
      <c r="N175" s="9" t="inlineStr"/>
      <c r="O175" s="4" t="inlineStr"/>
      <c r="P175" s="4" t="inlineStr"/>
      <c r="Q175" s="4" t="inlineStr"/>
      <c r="R175" s="4" t="inlineStr">
        <is>
          <t>2026-03-12</t>
        </is>
      </c>
      <c r="S175" s="4" t="inlineStr"/>
    </row>
    <row r="176">
      <c r="A176" s="10" t="inlineStr">
        <is>
          <t>F00351</t>
        </is>
      </c>
      <c r="B176" s="10" t="inlineStr">
        <is>
          <t>F00351</t>
        </is>
      </c>
      <c r="C176" s="10" t="inlineStr"/>
      <c r="D176" s="10" t="inlineStr">
        <is>
          <t>2011081713381</t>
        </is>
      </c>
      <c r="E176" s="10" t="inlineStr">
        <is>
          <t>DRINK SET 7 PC - PLS-DP1306-908</t>
        </is>
      </c>
      <c r="F176" s="10" t="inlineStr"/>
      <c r="G176" s="10" t="inlineStr"/>
      <c r="H176" s="10" t="inlineStr"/>
      <c r="I176" s="11" t="n">
        <v>46.95</v>
      </c>
      <c r="J176" s="6" t="n">
        <v>15</v>
      </c>
      <c r="K176" s="7">
        <f>IF(I176="","",I176*(1+J176/100))</f>
        <v/>
      </c>
      <c r="L176" s="12" t="inlineStr"/>
      <c r="M176" s="8">
        <f>IF(OR(L176="",K176="",L176=0),"",
  (L176-K176)/L176*100)</f>
        <v/>
      </c>
      <c r="N176" s="9" t="inlineStr"/>
      <c r="O176" s="10" t="inlineStr"/>
      <c r="P176" s="10" t="inlineStr"/>
      <c r="Q176" s="10" t="inlineStr"/>
      <c r="R176" s="10" t="inlineStr">
        <is>
          <t>2026-03-12</t>
        </is>
      </c>
      <c r="S176" s="10" t="inlineStr"/>
    </row>
    <row r="177">
      <c r="A177" s="3" t="inlineStr">
        <is>
          <t>F00352</t>
        </is>
      </c>
      <c r="B177" s="4" t="inlineStr">
        <is>
          <t>F00352</t>
        </is>
      </c>
      <c r="C177" s="4" t="inlineStr"/>
      <c r="D177" s="4" t="inlineStr">
        <is>
          <t>2011081720334</t>
        </is>
      </c>
      <c r="E177" s="3" t="inlineStr">
        <is>
          <t>DRINK SET 7 PC - PLS-TJ7908</t>
        </is>
      </c>
      <c r="F177" s="4" t="inlineStr"/>
      <c r="G177" s="4" t="inlineStr"/>
      <c r="H177" s="4" t="inlineStr"/>
      <c r="I177" s="5" t="n">
        <v>45.95</v>
      </c>
      <c r="J177" s="6" t="n">
        <v>15</v>
      </c>
      <c r="K177" s="7">
        <f>IF(I177="","",I177*(1+J177/100))</f>
        <v/>
      </c>
      <c r="L177" s="12" t="inlineStr"/>
      <c r="M177" s="8">
        <f>IF(OR(L177="",K177="",L177=0),"",
  (L177-K177)/L177*100)</f>
        <v/>
      </c>
      <c r="N177" s="9" t="inlineStr"/>
      <c r="O177" s="4" t="inlineStr"/>
      <c r="P177" s="4" t="inlineStr"/>
      <c r="Q177" s="4" t="inlineStr"/>
      <c r="R177" s="4" t="inlineStr">
        <is>
          <t>2026-03-12</t>
        </is>
      </c>
      <c r="S177" s="4" t="inlineStr"/>
    </row>
    <row r="178">
      <c r="A178" s="10" t="inlineStr">
        <is>
          <t>F00353</t>
        </is>
      </c>
      <c r="B178" s="10" t="inlineStr">
        <is>
          <t>F00353</t>
        </is>
      </c>
      <c r="C178" s="10" t="inlineStr">
        <is>
          <t>19032</t>
        </is>
      </c>
      <c r="D178" s="10" t="inlineStr">
        <is>
          <t>0890423285159</t>
        </is>
      </c>
      <c r="E178" s="10" t="inlineStr">
        <is>
          <t>DRINK SET 7PC - SJ78507FS &amp;FL-2X DESIGNS</t>
        </is>
      </c>
      <c r="F178" s="10" t="inlineStr"/>
      <c r="G178" s="10" t="inlineStr"/>
      <c r="H178" s="10" t="inlineStr"/>
      <c r="I178" s="11" t="n">
        <v>67.95</v>
      </c>
      <c r="J178" s="6" t="n">
        <v>15</v>
      </c>
      <c r="K178" s="7">
        <f>IF(I178="","",I178*(1+J178/100))</f>
        <v/>
      </c>
      <c r="L178" s="11" t="n">
        <v>220</v>
      </c>
      <c r="M178" s="8">
        <f>IF(OR(L178="",K178="",L178=0),"",
  (L178-K178)/L178*100)</f>
        <v/>
      </c>
      <c r="N178" s="13" t="n">
        <v>1597</v>
      </c>
      <c r="O178" s="10" t="inlineStr"/>
      <c r="P178" s="10" t="inlineStr"/>
      <c r="Q178" s="10" t="inlineStr"/>
      <c r="R178" s="10" t="inlineStr">
        <is>
          <t>2026-03-12</t>
        </is>
      </c>
      <c r="S178" s="10" t="inlineStr"/>
    </row>
    <row r="179">
      <c r="A179" s="3" t="inlineStr">
        <is>
          <t>F00354</t>
        </is>
      </c>
      <c r="B179" s="4" t="inlineStr">
        <is>
          <t>F00354</t>
        </is>
      </c>
      <c r="C179" s="4" t="inlineStr">
        <is>
          <t>19031</t>
        </is>
      </c>
      <c r="D179" s="4" t="inlineStr">
        <is>
          <t>0890423285142</t>
        </is>
      </c>
      <c r="E179" s="3" t="inlineStr">
        <is>
          <t>DRINK SET 7 PC - SJ78507 CLEAR-GIFT BOX</t>
        </is>
      </c>
      <c r="F179" s="4" t="inlineStr"/>
      <c r="G179" s="4" t="inlineStr"/>
      <c r="H179" s="4" t="inlineStr"/>
      <c r="I179" s="5" t="n">
        <v>64.95</v>
      </c>
      <c r="J179" s="6" t="n">
        <v>15</v>
      </c>
      <c r="K179" s="7">
        <f>IF(I179="","",I179*(1+J179/100))</f>
        <v/>
      </c>
      <c r="L179" s="5" t="n">
        <v>200</v>
      </c>
      <c r="M179" s="8">
        <f>IF(OR(L179="",K179="",L179=0),"",
  (L179-K179)/L179*100)</f>
        <v/>
      </c>
      <c r="N179" s="9" t="inlineStr"/>
      <c r="O179" s="4" t="inlineStr"/>
      <c r="P179" s="4" t="inlineStr"/>
      <c r="Q179" s="4" t="inlineStr"/>
      <c r="R179" s="4" t="inlineStr">
        <is>
          <t>2026-03-12</t>
        </is>
      </c>
      <c r="S179" s="4" t="inlineStr"/>
    </row>
    <row r="180">
      <c r="A180" s="10" t="inlineStr">
        <is>
          <t>F00355</t>
        </is>
      </c>
      <c r="B180" s="10" t="inlineStr">
        <is>
          <t>F00355</t>
        </is>
      </c>
      <c r="C180" s="10" t="inlineStr"/>
      <c r="D180" s="10" t="inlineStr">
        <is>
          <t>2011081730326</t>
        </is>
      </c>
      <c r="E180" s="10" t="inlineStr">
        <is>
          <t>DRINK SET 7 PC - PLS-A108-7</t>
        </is>
      </c>
      <c r="F180" s="10" t="inlineStr"/>
      <c r="G180" s="10" t="inlineStr"/>
      <c r="H180" s="10" t="inlineStr"/>
      <c r="I180" s="11" t="n">
        <v>29.95</v>
      </c>
      <c r="J180" s="6" t="n">
        <v>15</v>
      </c>
      <c r="K180" s="7">
        <f>IF(I180="","",I180*(1+J180/100))</f>
        <v/>
      </c>
      <c r="L180" s="12" t="inlineStr"/>
      <c r="M180" s="8">
        <f>IF(OR(L180="",K180="",L180=0),"",
  (L180-K180)/L180*100)</f>
        <v/>
      </c>
      <c r="N180" s="9" t="inlineStr"/>
      <c r="O180" s="10" t="inlineStr"/>
      <c r="P180" s="10" t="inlineStr"/>
      <c r="Q180" s="10" t="inlineStr"/>
      <c r="R180" s="10" t="inlineStr">
        <is>
          <t>2026-03-12</t>
        </is>
      </c>
      <c r="S180" s="10" t="inlineStr"/>
    </row>
    <row r="181">
      <c r="A181" s="3" t="inlineStr">
        <is>
          <t>F00356</t>
        </is>
      </c>
      <c r="B181" s="4" t="inlineStr">
        <is>
          <t>F00356</t>
        </is>
      </c>
      <c r="C181" s="4" t="inlineStr"/>
      <c r="D181" s="4" t="inlineStr">
        <is>
          <t>2011081730333</t>
        </is>
      </c>
      <c r="E181" s="3" t="inlineStr">
        <is>
          <t>DRINK SET 7 PC - PLS-P303</t>
        </is>
      </c>
      <c r="F181" s="4" t="inlineStr"/>
      <c r="G181" s="4" t="inlineStr"/>
      <c r="H181" s="4" t="inlineStr"/>
      <c r="I181" s="5" t="n">
        <v>44.95</v>
      </c>
      <c r="J181" s="6" t="n">
        <v>15</v>
      </c>
      <c r="K181" s="7">
        <f>IF(I181="","",I181*(1+J181/100))</f>
        <v/>
      </c>
      <c r="L181" s="12" t="inlineStr"/>
      <c r="M181" s="8">
        <f>IF(OR(L181="",K181="",L181=0),"",
  (L181-K181)/L181*100)</f>
        <v/>
      </c>
      <c r="N181" s="9" t="inlineStr"/>
      <c r="O181" s="4" t="inlineStr"/>
      <c r="P181" s="4" t="inlineStr"/>
      <c r="Q181" s="4" t="inlineStr"/>
      <c r="R181" s="4" t="inlineStr">
        <is>
          <t>2026-03-12</t>
        </is>
      </c>
      <c r="S181" s="4" t="inlineStr"/>
    </row>
    <row r="182">
      <c r="A182" s="10" t="inlineStr">
        <is>
          <t>F00357</t>
        </is>
      </c>
      <c r="B182" s="10" t="inlineStr">
        <is>
          <t>F00357</t>
        </is>
      </c>
      <c r="C182" s="10" t="inlineStr"/>
      <c r="D182" s="10" t="inlineStr">
        <is>
          <t>2011081730746</t>
        </is>
      </c>
      <c r="E182" s="10" t="inlineStr">
        <is>
          <t>DRINK SET 7PC - PLS-P1306-208</t>
        </is>
      </c>
      <c r="F182" s="10" t="inlineStr"/>
      <c r="G182" s="10" t="inlineStr"/>
      <c r="H182" s="10" t="inlineStr"/>
      <c r="I182" s="11" t="n">
        <v>37.95</v>
      </c>
      <c r="J182" s="6" t="n">
        <v>15</v>
      </c>
      <c r="K182" s="7">
        <f>IF(I182="","",I182*(1+J182/100))</f>
        <v/>
      </c>
      <c r="L182" s="12" t="inlineStr"/>
      <c r="M182" s="8">
        <f>IF(OR(L182="",K182="",L182=0),"",
  (L182-K182)/L182*100)</f>
        <v/>
      </c>
      <c r="N182" s="9" t="inlineStr"/>
      <c r="O182" s="10" t="inlineStr"/>
      <c r="P182" s="10" t="inlineStr"/>
      <c r="Q182" s="10" t="inlineStr"/>
      <c r="R182" s="10" t="inlineStr">
        <is>
          <t>2026-03-12</t>
        </is>
      </c>
      <c r="S182" s="10" t="inlineStr"/>
    </row>
    <row r="183">
      <c r="A183" s="3" t="inlineStr">
        <is>
          <t>F00358</t>
        </is>
      </c>
      <c r="B183" s="4" t="inlineStr">
        <is>
          <t>F00358</t>
        </is>
      </c>
      <c r="C183" s="4" t="inlineStr"/>
      <c r="D183" s="4" t="inlineStr">
        <is>
          <t>2011081720310</t>
        </is>
      </c>
      <c r="E183" s="3" t="inlineStr">
        <is>
          <t>DRINK SET 7PC PLS-P2003</t>
        </is>
      </c>
      <c r="F183" s="4" t="inlineStr"/>
      <c r="G183" s="4" t="inlineStr"/>
      <c r="H183" s="4" t="inlineStr"/>
      <c r="I183" s="5" t="n">
        <v>28.38</v>
      </c>
      <c r="J183" s="6" t="n">
        <v>15</v>
      </c>
      <c r="K183" s="7">
        <f>IF(I183="","",I183*(1+J183/100))</f>
        <v/>
      </c>
      <c r="L183" s="12" t="inlineStr"/>
      <c r="M183" s="8">
        <f>IF(OR(L183="",K183="",L183=0),"",
  (L183-K183)/L183*100)</f>
        <v/>
      </c>
      <c r="N183" s="9" t="inlineStr"/>
      <c r="O183" s="4" t="inlineStr"/>
      <c r="P183" s="4" t="inlineStr"/>
      <c r="Q183" s="4" t="inlineStr"/>
      <c r="R183" s="4" t="inlineStr">
        <is>
          <t>2026-03-12</t>
        </is>
      </c>
      <c r="S183" s="4" t="inlineStr"/>
    </row>
    <row r="184">
      <c r="A184" s="10" t="inlineStr">
        <is>
          <t>F00363</t>
        </is>
      </c>
      <c r="B184" s="10" t="inlineStr">
        <is>
          <t>F00363</t>
        </is>
      </c>
      <c r="C184" s="10" t="inlineStr"/>
      <c r="D184" s="10" t="inlineStr"/>
      <c r="E184" s="10" t="inlineStr">
        <is>
          <t>IRONING BOARD 54" JUMBO</t>
        </is>
      </c>
      <c r="F184" s="10" t="inlineStr"/>
      <c r="G184" s="10" t="inlineStr"/>
      <c r="H184" s="10" t="inlineStr"/>
      <c r="I184" s="11" t="n">
        <v>219</v>
      </c>
      <c r="J184" s="6" t="n">
        <v>15</v>
      </c>
      <c r="K184" s="7">
        <f>IF(I184="","",I184*(1+J184/100))</f>
        <v/>
      </c>
      <c r="L184" s="12" t="inlineStr"/>
      <c r="M184" s="8">
        <f>IF(OR(L184="",K184="",L184=0),"",
  (L184-K184)/L184*100)</f>
        <v/>
      </c>
      <c r="N184" s="9" t="inlineStr"/>
      <c r="O184" s="10" t="inlineStr"/>
      <c r="P184" s="10" t="inlineStr"/>
      <c r="Q184" s="10" t="inlineStr"/>
      <c r="R184" s="10" t="inlineStr">
        <is>
          <t>2026-03-12</t>
        </is>
      </c>
      <c r="S184" s="10" t="inlineStr"/>
    </row>
    <row r="185">
      <c r="A185" s="3" t="inlineStr">
        <is>
          <t>F00364</t>
        </is>
      </c>
      <c r="B185" s="4" t="inlineStr">
        <is>
          <t>F00364</t>
        </is>
      </c>
      <c r="C185" s="4" t="inlineStr"/>
      <c r="D185" s="4" t="inlineStr">
        <is>
          <t>6009677018374</t>
        </is>
      </c>
      <c r="E185" s="3" t="inlineStr">
        <is>
          <t>TUMBLER VILLAGE 6'S LONG PAK CH6</t>
        </is>
      </c>
      <c r="F185" s="4" t="inlineStr"/>
      <c r="G185" s="4" t="inlineStr"/>
      <c r="H185" s="4" t="inlineStr"/>
      <c r="I185" s="5" t="n">
        <v>13.64</v>
      </c>
      <c r="J185" s="6" t="n">
        <v>15</v>
      </c>
      <c r="K185" s="7">
        <f>IF(I185="","",I185*(1+J185/100))</f>
        <v/>
      </c>
      <c r="L185" s="12" t="inlineStr"/>
      <c r="M185" s="8">
        <f>IF(OR(L185="",K185="",L185=0),"",
  (L185-K185)/L185*100)</f>
        <v/>
      </c>
      <c r="N185" s="9" t="inlineStr"/>
      <c r="O185" s="4" t="inlineStr"/>
      <c r="P185" s="4" t="inlineStr"/>
      <c r="Q185" s="4" t="inlineStr"/>
      <c r="R185" s="4" t="inlineStr">
        <is>
          <t>2026-03-12</t>
        </is>
      </c>
      <c r="S185" s="4" t="inlineStr"/>
    </row>
    <row r="186">
      <c r="A186" s="10" t="inlineStr">
        <is>
          <t>F00365</t>
        </is>
      </c>
      <c r="B186" s="10" t="inlineStr">
        <is>
          <t>F00365</t>
        </is>
      </c>
      <c r="C186" s="10" t="inlineStr"/>
      <c r="D186" s="10" t="inlineStr">
        <is>
          <t>6009697452547</t>
        </is>
      </c>
      <c r="E186" s="10" t="inlineStr">
        <is>
          <t>BIN BREAD SET DX701/DX702</t>
        </is>
      </c>
      <c r="F186" s="10" t="inlineStr"/>
      <c r="G186" s="10" t="inlineStr"/>
      <c r="H186" s="10" t="inlineStr"/>
      <c r="I186" s="11" t="n">
        <v>109</v>
      </c>
      <c r="J186" s="6" t="n">
        <v>15</v>
      </c>
      <c r="K186" s="7">
        <f>IF(I186="","",I186*(1+J186/100))</f>
        <v/>
      </c>
      <c r="L186" s="12" t="inlineStr"/>
      <c r="M186" s="8">
        <f>IF(OR(L186="",K186="",L186=0),"",
  (L186-K186)/L186*100)</f>
        <v/>
      </c>
      <c r="N186" s="9" t="inlineStr"/>
      <c r="O186" s="10" t="inlineStr"/>
      <c r="P186" s="10" t="inlineStr"/>
      <c r="Q186" s="10" t="inlineStr"/>
      <c r="R186" s="10" t="inlineStr">
        <is>
          <t>2026-03-12</t>
        </is>
      </c>
      <c r="S186" s="10" t="inlineStr"/>
    </row>
    <row r="187">
      <c r="A187" s="3" t="inlineStr">
        <is>
          <t>F00366</t>
        </is>
      </c>
      <c r="B187" s="4" t="inlineStr">
        <is>
          <t>F00366</t>
        </is>
      </c>
      <c r="C187" s="4" t="inlineStr"/>
      <c r="D187" s="4" t="inlineStr">
        <is>
          <t>6009697452523</t>
        </is>
      </c>
      <c r="E187" s="3" t="inlineStr">
        <is>
          <t>BIN-DUSTBIN 5+20LT S/STEEL</t>
        </is>
      </c>
      <c r="F187" s="4" t="inlineStr"/>
      <c r="G187" s="4" t="inlineStr"/>
      <c r="H187" s="4" t="inlineStr"/>
      <c r="I187" s="5" t="n">
        <v>159</v>
      </c>
      <c r="J187" s="6" t="n">
        <v>15</v>
      </c>
      <c r="K187" s="7">
        <f>IF(I187="","",I187*(1+J187/100))</f>
        <v/>
      </c>
      <c r="L187" s="12" t="inlineStr"/>
      <c r="M187" s="8">
        <f>IF(OR(L187="",K187="",L187=0),"",
  (L187-K187)/L187*100)</f>
        <v/>
      </c>
      <c r="N187" s="9" t="inlineStr"/>
      <c r="O187" s="4" t="inlineStr"/>
      <c r="P187" s="4" t="inlineStr"/>
      <c r="Q187" s="4" t="inlineStr"/>
      <c r="R187" s="4" t="inlineStr">
        <is>
          <t>2026-03-12</t>
        </is>
      </c>
      <c r="S187" s="4" t="inlineStr"/>
    </row>
    <row r="188">
      <c r="A188" s="10" t="inlineStr">
        <is>
          <t>F00367</t>
        </is>
      </c>
      <c r="B188" s="10" t="inlineStr">
        <is>
          <t>F00367</t>
        </is>
      </c>
      <c r="C188" s="10" t="inlineStr"/>
      <c r="D188" s="10" t="inlineStr">
        <is>
          <t>6009697452530</t>
        </is>
      </c>
      <c r="E188" s="10" t="inlineStr">
        <is>
          <t>BIN-DUSTBIN 30LT S/STEEL</t>
        </is>
      </c>
      <c r="F188" s="10" t="inlineStr"/>
      <c r="G188" s="10" t="inlineStr"/>
      <c r="H188" s="10" t="inlineStr"/>
      <c r="I188" s="11" t="n">
        <v>149</v>
      </c>
      <c r="J188" s="6" t="n">
        <v>15</v>
      </c>
      <c r="K188" s="7">
        <f>IF(I188="","",I188*(1+J188/100))</f>
        <v/>
      </c>
      <c r="L188" s="12" t="inlineStr"/>
      <c r="M188" s="8">
        <f>IF(OR(L188="",K188="",L188=0),"",
  (L188-K188)/L188*100)</f>
        <v/>
      </c>
      <c r="N188" s="9" t="inlineStr"/>
      <c r="O188" s="10" t="inlineStr"/>
      <c r="P188" s="10" t="inlineStr"/>
      <c r="Q188" s="10" t="inlineStr"/>
      <c r="R188" s="10" t="inlineStr">
        <is>
          <t>2026-03-12</t>
        </is>
      </c>
      <c r="S188" s="10" t="inlineStr"/>
    </row>
    <row r="189">
      <c r="A189" s="3" t="inlineStr">
        <is>
          <t>F00368</t>
        </is>
      </c>
      <c r="B189" s="4" t="inlineStr">
        <is>
          <t>F00368</t>
        </is>
      </c>
      <c r="C189" s="4" t="inlineStr"/>
      <c r="D189" s="4" t="inlineStr">
        <is>
          <t>6103220077051</t>
        </is>
      </c>
      <c r="E189" s="3" t="inlineStr">
        <is>
          <t>MUG 11OZ PORC GLAZE COFFEE ASSTRD COLOR</t>
        </is>
      </c>
      <c r="F189" s="4" t="inlineStr"/>
      <c r="G189" s="4" t="inlineStr"/>
      <c r="H189" s="4" t="inlineStr"/>
      <c r="I189" s="5" t="n">
        <v>7.99</v>
      </c>
      <c r="J189" s="6" t="n">
        <v>15</v>
      </c>
      <c r="K189" s="7">
        <f>IF(I189="","",I189*(1+J189/100))</f>
        <v/>
      </c>
      <c r="L189" s="12" t="inlineStr"/>
      <c r="M189" s="8">
        <f>IF(OR(L189="",K189="",L189=0),"",
  (L189-K189)/L189*100)</f>
        <v/>
      </c>
      <c r="N189" s="14" t="n">
        <v>5280</v>
      </c>
      <c r="O189" s="4" t="inlineStr"/>
      <c r="P189" s="4" t="inlineStr"/>
      <c r="Q189" s="4" t="inlineStr"/>
      <c r="R189" s="4" t="inlineStr">
        <is>
          <t>2026-03-12</t>
        </is>
      </c>
      <c r="S189" s="4" t="inlineStr"/>
    </row>
    <row r="190">
      <c r="A190" s="10" t="inlineStr">
        <is>
          <t>F00370</t>
        </is>
      </c>
      <c r="B190" s="10" t="inlineStr">
        <is>
          <t>F00370</t>
        </is>
      </c>
      <c r="C190" s="10" t="inlineStr"/>
      <c r="D190" s="10" t="inlineStr">
        <is>
          <t>6009697452431</t>
        </is>
      </c>
      <c r="E190" s="10" t="inlineStr">
        <is>
          <t>BIN-LAUNDRY BIN SET DX-0060</t>
        </is>
      </c>
      <c r="F190" s="10" t="inlineStr"/>
      <c r="G190" s="10" t="inlineStr"/>
      <c r="H190" s="10" t="inlineStr"/>
      <c r="I190" s="11" t="n">
        <v>259</v>
      </c>
      <c r="J190" s="6" t="n">
        <v>15</v>
      </c>
      <c r="K190" s="7">
        <f>IF(I190="","",I190*(1+J190/100))</f>
        <v/>
      </c>
      <c r="L190" s="12" t="inlineStr"/>
      <c r="M190" s="8">
        <f>IF(OR(L190="",K190="",L190=0),"",
  (L190-K190)/L190*100)</f>
        <v/>
      </c>
      <c r="N190" s="9" t="inlineStr"/>
      <c r="O190" s="10" t="inlineStr"/>
      <c r="P190" s="10" t="inlineStr"/>
      <c r="Q190" s="10" t="inlineStr"/>
      <c r="R190" s="10" t="inlineStr">
        <is>
          <t>2026-03-12</t>
        </is>
      </c>
      <c r="S190" s="10" t="inlineStr"/>
    </row>
    <row r="191">
      <c r="A191" s="3" t="inlineStr">
        <is>
          <t>F00371</t>
        </is>
      </c>
      <c r="B191" s="4" t="inlineStr">
        <is>
          <t>F00371</t>
        </is>
      </c>
      <c r="C191" s="4" t="inlineStr"/>
      <c r="D191" s="4" t="inlineStr"/>
      <c r="E191" s="3" t="inlineStr">
        <is>
          <t>BIN-DUSTBIN 3+12LITRE S/STEEL</t>
        </is>
      </c>
      <c r="F191" s="4" t="inlineStr"/>
      <c r="G191" s="4" t="inlineStr"/>
      <c r="H191" s="4" t="inlineStr"/>
      <c r="I191" s="5" t="n">
        <v>102.5</v>
      </c>
      <c r="J191" s="6" t="n">
        <v>15</v>
      </c>
      <c r="K191" s="7">
        <f>IF(I191="","",I191*(1+J191/100))</f>
        <v/>
      </c>
      <c r="L191" s="12" t="inlineStr"/>
      <c r="M191" s="8">
        <f>IF(OR(L191="",K191="",L191=0),"",
  (L191-K191)/L191*100)</f>
        <v/>
      </c>
      <c r="N191" s="9" t="inlineStr"/>
      <c r="O191" s="4" t="inlineStr"/>
      <c r="P191" s="4" t="inlineStr"/>
      <c r="Q191" s="4" t="inlineStr"/>
      <c r="R191" s="4" t="inlineStr">
        <is>
          <t>2026-03-12</t>
        </is>
      </c>
      <c r="S191" s="4" t="inlineStr"/>
    </row>
    <row r="192">
      <c r="A192" s="10" t="inlineStr">
        <is>
          <t>F00380</t>
        </is>
      </c>
      <c r="B192" s="10" t="inlineStr">
        <is>
          <t>F00380</t>
        </is>
      </c>
      <c r="C192" s="10" t="inlineStr"/>
      <c r="D192" s="10" t="inlineStr"/>
      <c r="E192" s="10" t="inlineStr">
        <is>
          <t>FAN 18" 3IN1(2PER BOX)FLR/STAN</t>
        </is>
      </c>
      <c r="F192" s="10" t="inlineStr"/>
      <c r="G192" s="10" t="inlineStr"/>
      <c r="H192" s="10" t="inlineStr"/>
      <c r="I192" s="11" t="n">
        <v>189.95</v>
      </c>
      <c r="J192" s="6" t="n">
        <v>15</v>
      </c>
      <c r="K192" s="7">
        <f>IF(I192="","",I192*(1+J192/100))</f>
        <v/>
      </c>
      <c r="L192" s="12" t="inlineStr"/>
      <c r="M192" s="8">
        <f>IF(OR(L192="",K192="",L192=0),"",
  (L192-K192)/L192*100)</f>
        <v/>
      </c>
      <c r="N192" s="9" t="inlineStr"/>
      <c r="O192" s="10" t="inlineStr"/>
      <c r="P192" s="10" t="inlineStr"/>
      <c r="Q192" s="10" t="inlineStr"/>
      <c r="R192" s="10" t="inlineStr">
        <is>
          <t>2026-03-12</t>
        </is>
      </c>
      <c r="S192" s="10" t="inlineStr"/>
    </row>
    <row r="193">
      <c r="A193" s="3" t="inlineStr">
        <is>
          <t>F00386</t>
        </is>
      </c>
      <c r="B193" s="4" t="inlineStr">
        <is>
          <t>F00386</t>
        </is>
      </c>
      <c r="C193" s="4" t="inlineStr"/>
      <c r="D193" s="4" t="inlineStr">
        <is>
          <t>6009697450475</t>
        </is>
      </c>
      <c r="E193" s="3" t="inlineStr">
        <is>
          <t>MUG 14OZ ETHNIC</t>
        </is>
      </c>
      <c r="F193" s="4" t="inlineStr"/>
      <c r="G193" s="4" t="inlineStr"/>
      <c r="H193" s="4" t="inlineStr"/>
      <c r="I193" s="5" t="n">
        <v>6.49</v>
      </c>
      <c r="J193" s="6" t="n">
        <v>15</v>
      </c>
      <c r="K193" s="7">
        <f>IF(I193="","",I193*(1+J193/100))</f>
        <v/>
      </c>
      <c r="L193" s="12" t="inlineStr"/>
      <c r="M193" s="8">
        <f>IF(OR(L193="",K193="",L193=0),"",
  (L193-K193)/L193*100)</f>
        <v/>
      </c>
      <c r="N193" s="14" t="n">
        <v>339</v>
      </c>
      <c r="O193" s="4" t="inlineStr"/>
      <c r="P193" s="4" t="inlineStr"/>
      <c r="Q193" s="4" t="inlineStr"/>
      <c r="R193" s="4" t="inlineStr">
        <is>
          <t>2026-03-12</t>
        </is>
      </c>
      <c r="S193" s="4" t="inlineStr"/>
    </row>
    <row r="194">
      <c r="A194" s="10" t="inlineStr">
        <is>
          <t>F00388</t>
        </is>
      </c>
      <c r="B194" s="10" t="inlineStr">
        <is>
          <t>F00388</t>
        </is>
      </c>
      <c r="C194" s="10" t="inlineStr"/>
      <c r="D194" s="10" t="inlineStr">
        <is>
          <t>6009677014468</t>
        </is>
      </c>
      <c r="E194" s="10" t="inlineStr">
        <is>
          <t>PUMP-SINGLE BARREL PUMP - DX-8802</t>
        </is>
      </c>
      <c r="F194" s="10" t="inlineStr"/>
      <c r="G194" s="10" t="inlineStr"/>
      <c r="H194" s="10" t="inlineStr"/>
      <c r="I194" s="11" t="n">
        <v>14.59</v>
      </c>
      <c r="J194" s="6" t="n">
        <v>15</v>
      </c>
      <c r="K194" s="7">
        <f>IF(I194="","",I194*(1+J194/100))</f>
        <v/>
      </c>
      <c r="L194" s="12" t="inlineStr"/>
      <c r="M194" s="8">
        <f>IF(OR(L194="",K194="",L194=0),"",
  (L194-K194)/L194*100)</f>
        <v/>
      </c>
      <c r="N194" s="9" t="inlineStr"/>
      <c r="O194" s="10" t="inlineStr"/>
      <c r="P194" s="10" t="inlineStr"/>
      <c r="Q194" s="10" t="inlineStr"/>
      <c r="R194" s="10" t="inlineStr">
        <is>
          <t>2026-03-12</t>
        </is>
      </c>
      <c r="S194" s="10" t="inlineStr"/>
    </row>
    <row r="195">
      <c r="A195" s="3" t="inlineStr">
        <is>
          <t>F00389</t>
        </is>
      </c>
      <c r="B195" s="4" t="inlineStr">
        <is>
          <t>F00389</t>
        </is>
      </c>
      <c r="C195" s="4" t="inlineStr"/>
      <c r="D195" s="4" t="inlineStr">
        <is>
          <t>6009677016394</t>
        </is>
      </c>
      <c r="E195" s="3" t="inlineStr">
        <is>
          <t>PUMP-DOUBLE BARREL PUMP - DX-8926</t>
        </is>
      </c>
      <c r="F195" s="4" t="inlineStr"/>
      <c r="G195" s="4" t="inlineStr"/>
      <c r="H195" s="4" t="inlineStr"/>
      <c r="I195" s="5" t="n">
        <v>34.5</v>
      </c>
      <c r="J195" s="6" t="n">
        <v>15</v>
      </c>
      <c r="K195" s="7">
        <f>IF(I195="","",I195*(1+J195/100))</f>
        <v/>
      </c>
      <c r="L195" s="12" t="inlineStr"/>
      <c r="M195" s="8">
        <f>IF(OR(L195="",K195="",L195=0),"",
  (L195-K195)/L195*100)</f>
        <v/>
      </c>
      <c r="N195" s="9" t="inlineStr"/>
      <c r="O195" s="4" t="inlineStr"/>
      <c r="P195" s="4" t="inlineStr"/>
      <c r="Q195" s="4" t="inlineStr"/>
      <c r="R195" s="4" t="inlineStr">
        <is>
          <t>2026-03-12</t>
        </is>
      </c>
      <c r="S195" s="4" t="inlineStr"/>
    </row>
    <row r="196">
      <c r="A196" s="10" t="inlineStr">
        <is>
          <t>F00390</t>
        </is>
      </c>
      <c r="B196" s="10" t="inlineStr">
        <is>
          <t>F00390</t>
        </is>
      </c>
      <c r="C196" s="10" t="inlineStr"/>
      <c r="D196" s="10" t="inlineStr">
        <is>
          <t>6009677017322</t>
        </is>
      </c>
      <c r="E196" s="10" t="inlineStr">
        <is>
          <t>PUMP-FOOT PUMP+GAUGE - DX-8701B</t>
        </is>
      </c>
      <c r="F196" s="10" t="inlineStr"/>
      <c r="G196" s="10" t="inlineStr"/>
      <c r="H196" s="10" t="inlineStr"/>
      <c r="I196" s="11" t="n">
        <v>27.95</v>
      </c>
      <c r="J196" s="6" t="n">
        <v>15</v>
      </c>
      <c r="K196" s="7">
        <f>IF(I196="","",I196*(1+J196/100))</f>
        <v/>
      </c>
      <c r="L196" s="12" t="inlineStr"/>
      <c r="M196" s="8">
        <f>IF(OR(L196="",K196="",L196=0),"",
  (L196-K196)/L196*100)</f>
        <v/>
      </c>
      <c r="N196" s="9" t="inlineStr"/>
      <c r="O196" s="10" t="inlineStr"/>
      <c r="P196" s="10" t="inlineStr"/>
      <c r="Q196" s="10" t="inlineStr"/>
      <c r="R196" s="10" t="inlineStr">
        <is>
          <t>2026-03-12</t>
        </is>
      </c>
      <c r="S196" s="10" t="inlineStr"/>
    </row>
    <row r="197">
      <c r="A197" s="3" t="inlineStr">
        <is>
          <t>F00391</t>
        </is>
      </c>
      <c r="B197" s="4" t="inlineStr">
        <is>
          <t>F00391</t>
        </is>
      </c>
      <c r="C197" s="4" t="inlineStr"/>
      <c r="D197" s="4" t="inlineStr">
        <is>
          <t>6009677013317</t>
        </is>
      </c>
      <c r="E197" s="3" t="inlineStr">
        <is>
          <t>PUMP-HAND PUMP BICYCLE - DX-8603A</t>
        </is>
      </c>
      <c r="F197" s="4" t="inlineStr"/>
      <c r="G197" s="4" t="inlineStr"/>
      <c r="H197" s="4" t="inlineStr"/>
      <c r="I197" s="5" t="n">
        <v>7.95</v>
      </c>
      <c r="J197" s="6" t="n">
        <v>15</v>
      </c>
      <c r="K197" s="7">
        <f>IF(I197="","",I197*(1+J197/100))</f>
        <v/>
      </c>
      <c r="L197" s="12" t="inlineStr"/>
      <c r="M197" s="8">
        <f>IF(OR(L197="",K197="",L197=0),"",
  (L197-K197)/L197*100)</f>
        <v/>
      </c>
      <c r="N197" s="9" t="inlineStr"/>
      <c r="O197" s="4" t="inlineStr"/>
      <c r="P197" s="4" t="inlineStr"/>
      <c r="Q197" s="4" t="inlineStr"/>
      <c r="R197" s="4" t="inlineStr">
        <is>
          <t>2026-03-12</t>
        </is>
      </c>
      <c r="S197" s="4" t="inlineStr"/>
    </row>
    <row r="198">
      <c r="A198" s="10" t="inlineStr">
        <is>
          <t>F00392</t>
        </is>
      </c>
      <c r="B198" s="10" t="inlineStr">
        <is>
          <t>F00392</t>
        </is>
      </c>
      <c r="C198" s="10" t="inlineStr"/>
      <c r="D198" s="10" t="inlineStr">
        <is>
          <t>6919911513032</t>
        </is>
      </c>
      <c r="E198" s="10" t="inlineStr">
        <is>
          <t>MUG 11/12OZ WHITE ASSORTD(022)</t>
        </is>
      </c>
      <c r="F198" s="10" t="inlineStr"/>
      <c r="G198" s="10" t="inlineStr"/>
      <c r="H198" s="10" t="inlineStr"/>
      <c r="I198" s="11" t="n">
        <v>6.99</v>
      </c>
      <c r="J198" s="6" t="n">
        <v>15</v>
      </c>
      <c r="K198" s="7">
        <f>IF(I198="","",I198*(1+J198/100))</f>
        <v/>
      </c>
      <c r="L198" s="12" t="inlineStr"/>
      <c r="M198" s="8">
        <f>IF(OR(L198="",K198="",L198=0),"",
  (L198-K198)/L198*100)</f>
        <v/>
      </c>
      <c r="N198" s="13" t="n">
        <v>4</v>
      </c>
      <c r="O198" s="10" t="inlineStr"/>
      <c r="P198" s="10" t="inlineStr"/>
      <c r="Q198" s="10" t="inlineStr"/>
      <c r="R198" s="10" t="inlineStr">
        <is>
          <t>2026-03-12</t>
        </is>
      </c>
      <c r="S198" s="10" t="inlineStr"/>
    </row>
    <row r="199">
      <c r="A199" s="3" t="inlineStr">
        <is>
          <t>F00393</t>
        </is>
      </c>
      <c r="B199" s="4" t="inlineStr">
        <is>
          <t>F00393</t>
        </is>
      </c>
      <c r="C199" s="4" t="inlineStr"/>
      <c r="D199" s="4" t="inlineStr"/>
      <c r="E199" s="3" t="inlineStr">
        <is>
          <t>FAN 24'' INDUSTRAIL LARGE</t>
        </is>
      </c>
      <c r="F199" s="4" t="inlineStr"/>
      <c r="G199" s="4" t="inlineStr"/>
      <c r="H199" s="4" t="inlineStr"/>
      <c r="I199" s="5" t="n">
        <v>850</v>
      </c>
      <c r="J199" s="6" t="n">
        <v>15</v>
      </c>
      <c r="K199" s="7">
        <f>IF(I199="","",I199*(1+J199/100))</f>
        <v/>
      </c>
      <c r="L199" s="12" t="inlineStr"/>
      <c r="M199" s="8">
        <f>IF(OR(L199="",K199="",L199=0),"",
  (L199-K199)/L199*100)</f>
        <v/>
      </c>
      <c r="N199" s="14" t="n">
        <v>1</v>
      </c>
      <c r="O199" s="4" t="inlineStr"/>
      <c r="P199" s="4" t="inlineStr"/>
      <c r="Q199" s="4" t="inlineStr"/>
      <c r="R199" s="4" t="inlineStr">
        <is>
          <t>2026-03-12</t>
        </is>
      </c>
      <c r="S199" s="4" t="inlineStr"/>
    </row>
    <row r="200">
      <c r="A200" s="10" t="inlineStr">
        <is>
          <t>F00394</t>
        </is>
      </c>
      <c r="B200" s="10" t="inlineStr">
        <is>
          <t>F00394</t>
        </is>
      </c>
      <c r="C200" s="10" t="inlineStr"/>
      <c r="D200" s="10" t="inlineStr">
        <is>
          <t>6009697452677</t>
        </is>
      </c>
      <c r="E200" s="10" t="inlineStr">
        <is>
          <t>FAN 16" WALL FAN 3 SPEED</t>
        </is>
      </c>
      <c r="F200" s="10" t="inlineStr"/>
      <c r="G200" s="10" t="inlineStr"/>
      <c r="H200" s="10" t="inlineStr"/>
      <c r="I200" s="11" t="n">
        <v>105</v>
      </c>
      <c r="J200" s="6" t="n">
        <v>15</v>
      </c>
      <c r="K200" s="7">
        <f>IF(I200="","",I200*(1+J200/100))</f>
        <v/>
      </c>
      <c r="L200" s="12" t="inlineStr"/>
      <c r="M200" s="8">
        <f>IF(OR(L200="",K200="",L200=0),"",
  (L200-K200)/L200*100)</f>
        <v/>
      </c>
      <c r="N200" s="9" t="inlineStr"/>
      <c r="O200" s="10" t="inlineStr"/>
      <c r="P200" s="10" t="inlineStr"/>
      <c r="Q200" s="10" t="inlineStr"/>
      <c r="R200" s="10" t="inlineStr">
        <is>
          <t>2026-03-12</t>
        </is>
      </c>
      <c r="S200" s="10" t="inlineStr"/>
    </row>
    <row r="201">
      <c r="A201" s="3" t="inlineStr">
        <is>
          <t>F00395</t>
        </is>
      </c>
      <c r="B201" s="4" t="inlineStr">
        <is>
          <t>F00395</t>
        </is>
      </c>
      <c r="C201" s="4" t="inlineStr"/>
      <c r="D201" s="4" t="inlineStr"/>
      <c r="E201" s="3" t="inlineStr">
        <is>
          <t>VINYL 3.75MT SPONGE BAK VINYL</t>
        </is>
      </c>
      <c r="F201" s="4" t="inlineStr"/>
      <c r="G201" s="4" t="inlineStr"/>
      <c r="H201" s="4" t="inlineStr"/>
      <c r="I201" s="5" t="n">
        <v>90</v>
      </c>
      <c r="J201" s="6" t="n">
        <v>15</v>
      </c>
      <c r="K201" s="7">
        <f>IF(I201="","",I201*(1+J201/100))</f>
        <v/>
      </c>
      <c r="L201" s="12" t="inlineStr"/>
      <c r="M201" s="8">
        <f>IF(OR(L201="",K201="",L201=0),"",
  (L201-K201)/L201*100)</f>
        <v/>
      </c>
      <c r="N201" s="9" t="inlineStr"/>
      <c r="O201" s="4" t="inlineStr"/>
      <c r="P201" s="4" t="inlineStr"/>
      <c r="Q201" s="4" t="inlineStr"/>
      <c r="R201" s="4" t="inlineStr">
        <is>
          <t>2026-03-12</t>
        </is>
      </c>
      <c r="S201" s="4" t="inlineStr"/>
    </row>
    <row r="202">
      <c r="A202" s="10" t="inlineStr">
        <is>
          <t>F00396</t>
        </is>
      </c>
      <c r="B202" s="10" t="inlineStr">
        <is>
          <t>F00396</t>
        </is>
      </c>
      <c r="C202" s="10" t="inlineStr"/>
      <c r="D202" s="10" t="inlineStr"/>
      <c r="E202" s="10" t="inlineStr">
        <is>
          <t>VINYL XTRA TUFF 0.8MMX 30M X2M</t>
        </is>
      </c>
      <c r="F202" s="10" t="inlineStr"/>
      <c r="G202" s="10" t="inlineStr"/>
      <c r="H202" s="10" t="inlineStr"/>
      <c r="I202" s="11" t="n">
        <v>1459</v>
      </c>
      <c r="J202" s="6" t="n">
        <v>15</v>
      </c>
      <c r="K202" s="7">
        <f>IF(I202="","",I202*(1+J202/100))</f>
        <v/>
      </c>
      <c r="L202" s="12" t="inlineStr"/>
      <c r="M202" s="8">
        <f>IF(OR(L202="",K202="",L202=0),"",
  (L202-K202)/L202*100)</f>
        <v/>
      </c>
      <c r="N202" s="9" t="inlineStr"/>
      <c r="O202" s="10" t="inlineStr"/>
      <c r="P202" s="10" t="inlineStr"/>
      <c r="Q202" s="10" t="inlineStr"/>
      <c r="R202" s="10" t="inlineStr">
        <is>
          <t>2026-03-12</t>
        </is>
      </c>
      <c r="S202" s="10" t="inlineStr"/>
    </row>
    <row r="203">
      <c r="A203" s="3" t="inlineStr">
        <is>
          <t>F00397</t>
        </is>
      </c>
      <c r="B203" s="4" t="inlineStr">
        <is>
          <t>F00397</t>
        </is>
      </c>
      <c r="C203" s="4" t="inlineStr"/>
      <c r="D203" s="4" t="inlineStr">
        <is>
          <t>6009677011061</t>
        </is>
      </c>
      <c r="E203" s="3" t="inlineStr">
        <is>
          <t>VINYL XTRA TUFF 0.8MMX5MX2M SHRINK</t>
        </is>
      </c>
      <c r="F203" s="4" t="inlineStr"/>
      <c r="G203" s="4" t="inlineStr"/>
      <c r="H203" s="4" t="inlineStr"/>
      <c r="I203" s="5" t="n">
        <v>255</v>
      </c>
      <c r="J203" s="6" t="n">
        <v>15</v>
      </c>
      <c r="K203" s="7">
        <f>IF(I203="","",I203*(1+J203/100))</f>
        <v/>
      </c>
      <c r="L203" s="12" t="inlineStr"/>
      <c r="M203" s="8">
        <f>IF(OR(L203="",K203="",L203=0),"",
  (L203-K203)/L203*100)</f>
        <v/>
      </c>
      <c r="N203" s="9" t="inlineStr"/>
      <c r="O203" s="4" t="inlineStr"/>
      <c r="P203" s="4" t="inlineStr"/>
      <c r="Q203" s="4" t="inlineStr"/>
      <c r="R203" s="4" t="inlineStr">
        <is>
          <t>2026-03-12</t>
        </is>
      </c>
      <c r="S203" s="4" t="inlineStr"/>
    </row>
    <row r="204">
      <c r="A204" s="10" t="inlineStr">
        <is>
          <t>F00398</t>
        </is>
      </c>
      <c r="B204" s="10" t="inlineStr">
        <is>
          <t>F00398</t>
        </is>
      </c>
      <c r="C204" s="10" t="inlineStr"/>
      <c r="D204" s="10" t="inlineStr">
        <is>
          <t>6009697451076</t>
        </is>
      </c>
      <c r="E204" s="10" t="inlineStr">
        <is>
          <t>VINYL  SPONGE BAK 4.28MX2M</t>
        </is>
      </c>
      <c r="F204" s="10" t="inlineStr"/>
      <c r="G204" s="10" t="inlineStr"/>
      <c r="H204" s="10" t="inlineStr"/>
      <c r="I204" s="11" t="n">
        <v>142.95</v>
      </c>
      <c r="J204" s="6" t="n">
        <v>15</v>
      </c>
      <c r="K204" s="7">
        <f>IF(I204="","",I204*(1+J204/100))</f>
        <v/>
      </c>
      <c r="L204" s="12" t="inlineStr"/>
      <c r="M204" s="8">
        <f>IF(OR(L204="",K204="",L204=0),"",
  (L204-K204)/L204*100)</f>
        <v/>
      </c>
      <c r="N204" s="9" t="inlineStr"/>
      <c r="O204" s="10" t="inlineStr"/>
      <c r="P204" s="10" t="inlineStr"/>
      <c r="Q204" s="10" t="inlineStr"/>
      <c r="R204" s="10" t="inlineStr">
        <is>
          <t>2026-03-12</t>
        </is>
      </c>
      <c r="S204" s="10" t="inlineStr"/>
    </row>
    <row r="205">
      <c r="A205" s="3" t="inlineStr">
        <is>
          <t>F00399</t>
        </is>
      </c>
      <c r="B205" s="4" t="inlineStr">
        <is>
          <t>F00399</t>
        </is>
      </c>
      <c r="C205" s="4" t="inlineStr"/>
      <c r="D205" s="4" t="inlineStr"/>
      <c r="E205" s="3" t="inlineStr">
        <is>
          <t>VINYL  SPONGE BAK 5MTX2M</t>
        </is>
      </c>
      <c r="F205" s="4" t="inlineStr"/>
      <c r="G205" s="4" t="inlineStr"/>
      <c r="H205" s="4" t="inlineStr"/>
      <c r="I205" s="5" t="n">
        <v>119</v>
      </c>
      <c r="J205" s="6" t="n">
        <v>15</v>
      </c>
      <c r="K205" s="7">
        <f>IF(I205="","",I205*(1+J205/100))</f>
        <v/>
      </c>
      <c r="L205" s="12" t="inlineStr"/>
      <c r="M205" s="8">
        <f>IF(OR(L205="",K205="",L205=0),"",
  (L205-K205)/L205*100)</f>
        <v/>
      </c>
      <c r="N205" s="9" t="inlineStr"/>
      <c r="O205" s="4" t="inlineStr"/>
      <c r="P205" s="4" t="inlineStr"/>
      <c r="Q205" s="4" t="inlineStr"/>
      <c r="R205" s="4" t="inlineStr">
        <is>
          <t>2026-03-12</t>
        </is>
      </c>
      <c r="S205" s="4" t="inlineStr"/>
    </row>
    <row r="206">
      <c r="A206" s="10" t="inlineStr">
        <is>
          <t>F00400</t>
        </is>
      </c>
      <c r="B206" s="10" t="inlineStr">
        <is>
          <t>F00400</t>
        </is>
      </c>
      <c r="C206" s="10" t="inlineStr"/>
      <c r="D206" s="10" t="inlineStr"/>
      <c r="E206" s="10" t="inlineStr">
        <is>
          <t>VINYL 1.0MM SPONGE BAK 30MX2M</t>
        </is>
      </c>
      <c r="F206" s="10" t="inlineStr"/>
      <c r="G206" s="10" t="inlineStr"/>
      <c r="H206" s="10" t="inlineStr"/>
      <c r="I206" s="11" t="n">
        <v>990</v>
      </c>
      <c r="J206" s="6" t="n">
        <v>15</v>
      </c>
      <c r="K206" s="7">
        <f>IF(I206="","",I206*(1+J206/100))</f>
        <v/>
      </c>
      <c r="L206" s="12" t="inlineStr"/>
      <c r="M206" s="8">
        <f>IF(OR(L206="",K206="",L206=0),"",
  (L206-K206)/L206*100)</f>
        <v/>
      </c>
      <c r="N206" s="9" t="inlineStr"/>
      <c r="O206" s="10" t="inlineStr"/>
      <c r="P206" s="10" t="inlineStr"/>
      <c r="Q206" s="10" t="inlineStr"/>
      <c r="R206" s="10" t="inlineStr">
        <is>
          <t>2026-03-12</t>
        </is>
      </c>
      <c r="S206" s="10" t="inlineStr"/>
    </row>
    <row r="207">
      <c r="A207" s="3" t="inlineStr">
        <is>
          <t>F00401</t>
        </is>
      </c>
      <c r="B207" s="4" t="inlineStr">
        <is>
          <t>F00401</t>
        </is>
      </c>
      <c r="C207" s="4" t="inlineStr"/>
      <c r="D207" s="4" t="inlineStr"/>
      <c r="E207" s="3" t="inlineStr">
        <is>
          <t>VINYL SPONGE BAK 3.75MX2M</t>
        </is>
      </c>
      <c r="F207" s="4" t="inlineStr"/>
      <c r="G207" s="4" t="inlineStr"/>
      <c r="H207" s="4" t="inlineStr"/>
      <c r="I207" s="5" t="n">
        <v>84.95</v>
      </c>
      <c r="J207" s="6" t="n">
        <v>15</v>
      </c>
      <c r="K207" s="7">
        <f>IF(I207="","",I207*(1+J207/100))</f>
        <v/>
      </c>
      <c r="L207" s="12" t="inlineStr"/>
      <c r="M207" s="8">
        <f>IF(OR(L207="",K207="",L207=0),"",
  (L207-K207)/L207*100)</f>
        <v/>
      </c>
      <c r="N207" s="9" t="inlineStr"/>
      <c r="O207" s="4" t="inlineStr"/>
      <c r="P207" s="4" t="inlineStr"/>
      <c r="Q207" s="4" t="inlineStr"/>
      <c r="R207" s="4" t="inlineStr">
        <is>
          <t>2026-03-12</t>
        </is>
      </c>
      <c r="S207" s="4" t="inlineStr"/>
    </row>
    <row r="208">
      <c r="A208" s="10" t="inlineStr">
        <is>
          <t>F00402</t>
        </is>
      </c>
      <c r="B208" s="10" t="inlineStr">
        <is>
          <t>F00402</t>
        </is>
      </c>
      <c r="C208" s="10" t="inlineStr"/>
      <c r="D208" s="10" t="inlineStr"/>
      <c r="E208" s="10" t="inlineStr">
        <is>
          <t>PLATE 10'' SOLID COLOR GLOSS GREY/BLK</t>
        </is>
      </c>
      <c r="F208" s="10" t="inlineStr"/>
      <c r="G208" s="10" t="inlineStr"/>
      <c r="H208" s="10" t="inlineStr"/>
      <c r="I208" s="11" t="n">
        <v>4.59</v>
      </c>
      <c r="J208" s="6" t="n">
        <v>15</v>
      </c>
      <c r="K208" s="7">
        <f>IF(I208="","",I208*(1+J208/100))</f>
        <v/>
      </c>
      <c r="L208" s="12" t="inlineStr"/>
      <c r="M208" s="8">
        <f>IF(OR(L208="",K208="",L208=0),"",
  (L208-K208)/L208*100)</f>
        <v/>
      </c>
      <c r="N208" s="9" t="inlineStr"/>
      <c r="O208" s="10" t="inlineStr"/>
      <c r="P208" s="10" t="inlineStr"/>
      <c r="Q208" s="10" t="inlineStr"/>
      <c r="R208" s="10" t="inlineStr">
        <is>
          <t>2026-03-12</t>
        </is>
      </c>
      <c r="S208" s="10" t="inlineStr"/>
    </row>
    <row r="209">
      <c r="A209" s="3" t="inlineStr">
        <is>
          <t>F00403</t>
        </is>
      </c>
      <c r="B209" s="4" t="inlineStr">
        <is>
          <t>F00403</t>
        </is>
      </c>
      <c r="C209" s="4" t="inlineStr"/>
      <c r="D209" s="4" t="inlineStr"/>
      <c r="E209" s="3" t="inlineStr">
        <is>
          <t>FAN 16" PLS-16-16CH</t>
        </is>
      </c>
      <c r="F209" s="4" t="inlineStr"/>
      <c r="G209" s="4" t="inlineStr"/>
      <c r="H209" s="4" t="inlineStr"/>
      <c r="I209" s="5" t="n">
        <v>369</v>
      </c>
      <c r="J209" s="6" t="n">
        <v>15</v>
      </c>
      <c r="K209" s="7">
        <f>IF(I209="","",I209*(1+J209/100))</f>
        <v/>
      </c>
      <c r="L209" s="12" t="inlineStr"/>
      <c r="M209" s="8">
        <f>IF(OR(L209="",K209="",L209=0),"",
  (L209-K209)/L209*100)</f>
        <v/>
      </c>
      <c r="N209" s="9" t="inlineStr"/>
      <c r="O209" s="4" t="inlineStr"/>
      <c r="P209" s="4" t="inlineStr"/>
      <c r="Q209" s="4" t="inlineStr"/>
      <c r="R209" s="4" t="inlineStr">
        <is>
          <t>2026-03-12</t>
        </is>
      </c>
      <c r="S209" s="4" t="inlineStr"/>
    </row>
    <row r="210">
      <c r="A210" s="10" t="inlineStr">
        <is>
          <t>F00404</t>
        </is>
      </c>
      <c r="B210" s="10" t="inlineStr">
        <is>
          <t>F00404</t>
        </is>
      </c>
      <c r="C210" s="10" t="inlineStr"/>
      <c r="D210" s="10" t="inlineStr"/>
      <c r="E210" s="10" t="inlineStr">
        <is>
          <t>FAN 16" PLS-16-16BL</t>
        </is>
      </c>
      <c r="F210" s="10" t="inlineStr"/>
      <c r="G210" s="10" t="inlineStr"/>
      <c r="H210" s="10" t="inlineStr"/>
      <c r="I210" s="11" t="n">
        <v>349</v>
      </c>
      <c r="J210" s="6" t="n">
        <v>15</v>
      </c>
      <c r="K210" s="7">
        <f>IF(I210="","",I210*(1+J210/100))</f>
        <v/>
      </c>
      <c r="L210" s="12" t="inlineStr"/>
      <c r="M210" s="8">
        <f>IF(OR(L210="",K210="",L210=0),"",
  (L210-K210)/L210*100)</f>
        <v/>
      </c>
      <c r="N210" s="9" t="inlineStr"/>
      <c r="O210" s="10" t="inlineStr"/>
      <c r="P210" s="10" t="inlineStr"/>
      <c r="Q210" s="10" t="inlineStr"/>
      <c r="R210" s="10" t="inlineStr">
        <is>
          <t>2026-03-12</t>
        </is>
      </c>
      <c r="S210" s="10" t="inlineStr"/>
    </row>
    <row r="211">
      <c r="A211" s="3" t="inlineStr">
        <is>
          <t>F00405</t>
        </is>
      </c>
      <c r="B211" s="4" t="inlineStr">
        <is>
          <t>F00405</t>
        </is>
      </c>
      <c r="C211" s="4" t="inlineStr"/>
      <c r="D211" s="4" t="inlineStr">
        <is>
          <t>4971850090328</t>
        </is>
      </c>
      <c r="E211" s="3" t="inlineStr">
        <is>
          <t>CALCULATOR CASIO BK+ SCIENTIFI PLUS 2-W</t>
        </is>
      </c>
      <c r="F211" s="4" t="inlineStr"/>
      <c r="G211" s="4" t="inlineStr"/>
      <c r="H211" s="4" t="inlineStr"/>
      <c r="I211" s="5" t="n">
        <v>215</v>
      </c>
      <c r="J211" s="6" t="n">
        <v>15</v>
      </c>
      <c r="K211" s="7">
        <f>IF(I211="","",I211*(1+J211/100))</f>
        <v/>
      </c>
      <c r="L211" s="12" t="inlineStr"/>
      <c r="M211" s="8">
        <f>IF(OR(L211="",K211="",L211=0),"",
  (L211-K211)/L211*100)</f>
        <v/>
      </c>
      <c r="N211" s="9" t="inlineStr"/>
      <c r="O211" s="4" t="inlineStr"/>
      <c r="P211" s="4" t="inlineStr"/>
      <c r="Q211" s="4" t="inlineStr"/>
      <c r="R211" s="4" t="inlineStr">
        <is>
          <t>2026-03-12</t>
        </is>
      </c>
      <c r="S211" s="4" t="inlineStr"/>
    </row>
    <row r="212">
      <c r="A212" s="10" t="inlineStr">
        <is>
          <t>F00406</t>
        </is>
      </c>
      <c r="B212" s="10" t="inlineStr">
        <is>
          <t>F00406</t>
        </is>
      </c>
      <c r="C212" s="10" t="inlineStr"/>
      <c r="D212" s="10" t="inlineStr">
        <is>
          <t>6009697452745</t>
        </is>
      </c>
      <c r="E212" s="10" t="inlineStr">
        <is>
          <t>TUMBLER GOLD 8OZ 6PC ASSTD</t>
        </is>
      </c>
      <c r="F212" s="10" t="inlineStr"/>
      <c r="G212" s="10" t="inlineStr"/>
      <c r="H212" s="10" t="inlineStr"/>
      <c r="I212" s="11" t="n">
        <v>17.5</v>
      </c>
      <c r="J212" s="6" t="n">
        <v>15</v>
      </c>
      <c r="K212" s="7">
        <f>IF(I212="","",I212*(1+J212/100))</f>
        <v/>
      </c>
      <c r="L212" s="12" t="inlineStr"/>
      <c r="M212" s="8">
        <f>IF(OR(L212="",K212="",L212=0),"",
  (L212-K212)/L212*100)</f>
        <v/>
      </c>
      <c r="N212" s="9" t="inlineStr"/>
      <c r="O212" s="10" t="inlineStr"/>
      <c r="P212" s="10" t="inlineStr"/>
      <c r="Q212" s="10" t="inlineStr"/>
      <c r="R212" s="10" t="inlineStr">
        <is>
          <t>2026-03-12</t>
        </is>
      </c>
      <c r="S212" s="10" t="inlineStr"/>
    </row>
    <row r="213">
      <c r="A213" s="3" t="inlineStr">
        <is>
          <t>F00407</t>
        </is>
      </c>
      <c r="B213" s="4" t="inlineStr">
        <is>
          <t>F00407</t>
        </is>
      </c>
      <c r="C213" s="4" t="inlineStr"/>
      <c r="D213" s="4" t="inlineStr">
        <is>
          <t>6009697452981</t>
        </is>
      </c>
      <c r="E213" s="3" t="inlineStr">
        <is>
          <t>PLATE 10.5" WHITE ROUND PORC 2ND GRADE</t>
        </is>
      </c>
      <c r="F213" s="4" t="inlineStr"/>
      <c r="G213" s="4" t="inlineStr"/>
      <c r="H213" s="4" t="inlineStr"/>
      <c r="I213" s="5" t="n">
        <v>5.95</v>
      </c>
      <c r="J213" s="6" t="n">
        <v>15</v>
      </c>
      <c r="K213" s="7">
        <f>IF(I213="","",I213*(1+J213/100))</f>
        <v/>
      </c>
      <c r="L213" s="12" t="inlineStr"/>
      <c r="M213" s="8">
        <f>IF(OR(L213="",K213="",L213=0),"",
  (L213-K213)/L213*100)</f>
        <v/>
      </c>
      <c r="N213" s="9" t="inlineStr"/>
      <c r="O213" s="4" t="inlineStr"/>
      <c r="P213" s="4" t="inlineStr"/>
      <c r="Q213" s="4" t="inlineStr"/>
      <c r="R213" s="4" t="inlineStr">
        <is>
          <t>2026-03-12</t>
        </is>
      </c>
      <c r="S213" s="4" t="inlineStr"/>
    </row>
    <row r="214">
      <c r="A214" s="10" t="inlineStr">
        <is>
          <t>F00408</t>
        </is>
      </c>
      <c r="B214" s="10" t="inlineStr">
        <is>
          <t>F00408</t>
        </is>
      </c>
      <c r="C214" s="10" t="inlineStr"/>
      <c r="D214" s="10" t="inlineStr">
        <is>
          <t>6009697452783</t>
        </is>
      </c>
      <c r="E214" s="10" t="inlineStr">
        <is>
          <t>MAT 506 (508-8) WELCOME RUBBER 45X75C</t>
        </is>
      </c>
      <c r="F214" s="10" t="inlineStr"/>
      <c r="G214" s="10" t="inlineStr"/>
      <c r="H214" s="10" t="inlineStr"/>
      <c r="I214" s="11" t="n">
        <v>65.95</v>
      </c>
      <c r="J214" s="6" t="n">
        <v>15</v>
      </c>
      <c r="K214" s="7">
        <f>IF(I214="","",I214*(1+J214/100))</f>
        <v/>
      </c>
      <c r="L214" s="12" t="inlineStr"/>
      <c r="M214" s="8">
        <f>IF(OR(L214="",K214="",L214=0),"",
  (L214-K214)/L214*100)</f>
        <v/>
      </c>
      <c r="N214" s="9" t="inlineStr"/>
      <c r="O214" s="10" t="inlineStr"/>
      <c r="P214" s="10" t="inlineStr"/>
      <c r="Q214" s="10" t="inlineStr"/>
      <c r="R214" s="10" t="inlineStr">
        <is>
          <t>2026-03-12</t>
        </is>
      </c>
      <c r="S214" s="10" t="inlineStr"/>
    </row>
    <row r="215">
      <c r="A215" s="3" t="inlineStr">
        <is>
          <t>F00409</t>
        </is>
      </c>
      <c r="B215" s="4" t="inlineStr">
        <is>
          <t>F00409</t>
        </is>
      </c>
      <c r="C215" s="4" t="inlineStr"/>
      <c r="D215" s="4" t="inlineStr">
        <is>
          <t>6009697452752</t>
        </is>
      </c>
      <c r="E215" s="3" t="inlineStr">
        <is>
          <t>MAT 501C (508-5) WELCOM HALF  MOON50X80C</t>
        </is>
      </c>
      <c r="F215" s="4" t="inlineStr"/>
      <c r="G215" s="4" t="inlineStr"/>
      <c r="H215" s="4" t="inlineStr"/>
      <c r="I215" s="5" t="n">
        <v>49.65</v>
      </c>
      <c r="J215" s="6" t="n">
        <v>15</v>
      </c>
      <c r="K215" s="7">
        <f>IF(I215="","",I215*(1+J215/100))</f>
        <v/>
      </c>
      <c r="L215" s="12" t="inlineStr"/>
      <c r="M215" s="8">
        <f>IF(OR(L215="",K215="",L215=0),"",
  (L215-K215)/L215*100)</f>
        <v/>
      </c>
      <c r="N215" s="9" t="inlineStr"/>
      <c r="O215" s="4" t="inlineStr"/>
      <c r="P215" s="4" t="inlineStr"/>
      <c r="Q215" s="4" t="inlineStr"/>
      <c r="R215" s="4" t="inlineStr">
        <is>
          <t>2026-03-12</t>
        </is>
      </c>
      <c r="S215" s="4" t="inlineStr"/>
    </row>
    <row r="216">
      <c r="A216" s="10" t="inlineStr">
        <is>
          <t>F00410</t>
        </is>
      </c>
      <c r="B216" s="10" t="inlineStr">
        <is>
          <t>F00410</t>
        </is>
      </c>
      <c r="C216" s="10" t="inlineStr"/>
      <c r="D216" s="10" t="inlineStr">
        <is>
          <t>6009697452769</t>
        </is>
      </c>
      <c r="E216" s="10" t="inlineStr">
        <is>
          <t>MAT 502 (508-6) WELCOME RUBBER45X75</t>
        </is>
      </c>
      <c r="F216" s="10" t="inlineStr"/>
      <c r="G216" s="10" t="inlineStr"/>
      <c r="H216" s="10" t="inlineStr"/>
      <c r="I216" s="11" t="n">
        <v>49.65</v>
      </c>
      <c r="J216" s="6" t="n">
        <v>15</v>
      </c>
      <c r="K216" s="7">
        <f>IF(I216="","",I216*(1+J216/100))</f>
        <v/>
      </c>
      <c r="L216" s="12" t="inlineStr"/>
      <c r="M216" s="8">
        <f>IF(OR(L216="",K216="",L216=0),"",
  (L216-K216)/L216*100)</f>
        <v/>
      </c>
      <c r="N216" s="9" t="inlineStr"/>
      <c r="O216" s="10" t="inlineStr"/>
      <c r="P216" s="10" t="inlineStr"/>
      <c r="Q216" s="10" t="inlineStr"/>
      <c r="R216" s="10" t="inlineStr">
        <is>
          <t>2026-03-12</t>
        </is>
      </c>
      <c r="S216" s="10" t="inlineStr"/>
    </row>
    <row r="217">
      <c r="A217" s="3" t="inlineStr">
        <is>
          <t>F00411</t>
        </is>
      </c>
      <c r="B217" s="4" t="inlineStr">
        <is>
          <t>F00411</t>
        </is>
      </c>
      <c r="C217" s="4" t="inlineStr"/>
      <c r="D217" s="4" t="inlineStr">
        <is>
          <t>6009697452776</t>
        </is>
      </c>
      <c r="E217" s="3" t="inlineStr">
        <is>
          <t>MAT 505 (508-7) WELCOME OVAL RBR45X75</t>
        </is>
      </c>
      <c r="F217" s="4" t="inlineStr"/>
      <c r="G217" s="4" t="inlineStr"/>
      <c r="H217" s="4" t="inlineStr"/>
      <c r="I217" s="5" t="n">
        <v>49.66</v>
      </c>
      <c r="J217" s="6" t="n">
        <v>15</v>
      </c>
      <c r="K217" s="7">
        <f>IF(I217="","",I217*(1+J217/100))</f>
        <v/>
      </c>
      <c r="L217" s="12" t="inlineStr"/>
      <c r="M217" s="8">
        <f>IF(OR(L217="",K217="",L217=0),"",
  (L217-K217)/L217*100)</f>
        <v/>
      </c>
      <c r="N217" s="9" t="inlineStr"/>
      <c r="O217" s="4" t="inlineStr"/>
      <c r="P217" s="4" t="inlineStr"/>
      <c r="Q217" s="4" t="inlineStr"/>
      <c r="R217" s="4" t="inlineStr">
        <is>
          <t>2026-03-12</t>
        </is>
      </c>
      <c r="S217" s="4" t="inlineStr"/>
    </row>
    <row r="218">
      <c r="A218" s="10" t="inlineStr">
        <is>
          <t>F00412</t>
        </is>
      </c>
      <c r="B218" s="10" t="inlineStr">
        <is>
          <t>F00412</t>
        </is>
      </c>
      <c r="C218" s="10" t="inlineStr"/>
      <c r="D218" s="10" t="inlineStr">
        <is>
          <t>6009697452806</t>
        </is>
      </c>
      <c r="E218" s="10" t="inlineStr">
        <is>
          <t>MAT WELCOME RUBBER+POLYESTER LARGE</t>
        </is>
      </c>
      <c r="F218" s="10" t="inlineStr"/>
      <c r="G218" s="10" t="inlineStr"/>
      <c r="H218" s="10" t="inlineStr"/>
      <c r="I218" s="11" t="n">
        <v>76.39</v>
      </c>
      <c r="J218" s="6" t="n">
        <v>15</v>
      </c>
      <c r="K218" s="7">
        <f>IF(I218="","",I218*(1+J218/100))</f>
        <v/>
      </c>
      <c r="L218" s="12" t="inlineStr"/>
      <c r="M218" s="8">
        <f>IF(OR(L218="",K218="",L218=0),"",
  (L218-K218)/L218*100)</f>
        <v/>
      </c>
      <c r="N218" s="9" t="inlineStr"/>
      <c r="O218" s="10" t="inlineStr"/>
      <c r="P218" s="10" t="inlineStr"/>
      <c r="Q218" s="10" t="inlineStr"/>
      <c r="R218" s="10" t="inlineStr">
        <is>
          <t>2026-03-12</t>
        </is>
      </c>
      <c r="S218" s="10" t="inlineStr"/>
    </row>
    <row r="219">
      <c r="A219" s="3" t="inlineStr">
        <is>
          <t>F00413</t>
        </is>
      </c>
      <c r="B219" s="4" t="inlineStr">
        <is>
          <t>F00413</t>
        </is>
      </c>
      <c r="C219" s="4" t="inlineStr"/>
      <c r="D219" s="4" t="inlineStr"/>
      <c r="E219" s="3" t="inlineStr">
        <is>
          <t>MAT WELCOME FANCY PVC ASSTD</t>
        </is>
      </c>
      <c r="F219" s="4" t="inlineStr"/>
      <c r="G219" s="4" t="inlineStr"/>
      <c r="H219" s="4" t="inlineStr"/>
      <c r="I219" s="5" t="n">
        <v>38.5</v>
      </c>
      <c r="J219" s="6" t="n">
        <v>15</v>
      </c>
      <c r="K219" s="7">
        <f>IF(I219="","",I219*(1+J219/100))</f>
        <v/>
      </c>
      <c r="L219" s="12" t="inlineStr"/>
      <c r="M219" s="8">
        <f>IF(OR(L219="",K219="",L219=0),"",
  (L219-K219)/L219*100)</f>
        <v/>
      </c>
      <c r="N219" s="9" t="inlineStr"/>
      <c r="O219" s="4" t="inlineStr"/>
      <c r="P219" s="4" t="inlineStr"/>
      <c r="Q219" s="4" t="inlineStr"/>
      <c r="R219" s="4" t="inlineStr">
        <is>
          <t>2026-03-12</t>
        </is>
      </c>
      <c r="S219" s="4" t="inlineStr"/>
    </row>
    <row r="220">
      <c r="A220" s="10" t="inlineStr">
        <is>
          <t>F00414</t>
        </is>
      </c>
      <c r="B220" s="10" t="inlineStr">
        <is>
          <t>F00414</t>
        </is>
      </c>
      <c r="C220" s="10" t="inlineStr"/>
      <c r="D220" s="10" t="inlineStr">
        <is>
          <t>6009697452837</t>
        </is>
      </c>
      <c r="E220" s="10" t="inlineStr">
        <is>
          <t>MAT PVC PLAIN ASSTD</t>
        </is>
      </c>
      <c r="F220" s="10" t="inlineStr"/>
      <c r="G220" s="10" t="inlineStr"/>
      <c r="H220" s="10" t="inlineStr"/>
      <c r="I220" s="11" t="n">
        <v>15.5</v>
      </c>
      <c r="J220" s="6" t="n">
        <v>15</v>
      </c>
      <c r="K220" s="7">
        <f>IF(I220="","",I220*(1+J220/100))</f>
        <v/>
      </c>
      <c r="L220" s="12" t="inlineStr"/>
      <c r="M220" s="8">
        <f>IF(OR(L220="",K220="",L220=0),"",
  (L220-K220)/L220*100)</f>
        <v/>
      </c>
      <c r="N220" s="9" t="inlineStr"/>
      <c r="O220" s="10" t="inlineStr"/>
      <c r="P220" s="10" t="inlineStr"/>
      <c r="Q220" s="10" t="inlineStr"/>
      <c r="R220" s="10" t="inlineStr">
        <is>
          <t>2026-03-12</t>
        </is>
      </c>
      <c r="S220" s="10" t="inlineStr"/>
    </row>
    <row r="221">
      <c r="A221" s="3" t="inlineStr">
        <is>
          <t>F00415</t>
        </is>
      </c>
      <c r="B221" s="4" t="inlineStr">
        <is>
          <t>F00415</t>
        </is>
      </c>
      <c r="C221" s="4" t="inlineStr"/>
      <c r="D221" s="4" t="inlineStr">
        <is>
          <t>6009697452790</t>
        </is>
      </c>
      <c r="E221" s="3" t="inlineStr">
        <is>
          <t>MAT BATH (508-11) 2PCS SD-2</t>
        </is>
      </c>
      <c r="F221" s="4" t="inlineStr"/>
      <c r="G221" s="4" t="inlineStr"/>
      <c r="H221" s="4" t="inlineStr"/>
      <c r="I221" s="5" t="n">
        <v>56.34</v>
      </c>
      <c r="J221" s="6" t="n">
        <v>15</v>
      </c>
      <c r="K221" s="7">
        <f>IF(I221="","",I221*(1+J221/100))</f>
        <v/>
      </c>
      <c r="L221" s="12" t="inlineStr"/>
      <c r="M221" s="8">
        <f>IF(OR(L221="",K221="",L221=0),"",
  (L221-K221)/L221*100)</f>
        <v/>
      </c>
      <c r="N221" s="9" t="inlineStr"/>
      <c r="O221" s="4" t="inlineStr"/>
      <c r="P221" s="4" t="inlineStr"/>
      <c r="Q221" s="4" t="inlineStr"/>
      <c r="R221" s="4" t="inlineStr">
        <is>
          <t>2026-03-12</t>
        </is>
      </c>
      <c r="S221" s="4" t="inlineStr"/>
    </row>
    <row r="222">
      <c r="A222" s="10" t="inlineStr">
        <is>
          <t>F00416</t>
        </is>
      </c>
      <c r="B222" s="10" t="inlineStr">
        <is>
          <t>F00416</t>
        </is>
      </c>
      <c r="C222" s="10" t="inlineStr"/>
      <c r="D222" s="10" t="inlineStr">
        <is>
          <t>6009697452813</t>
        </is>
      </c>
      <c r="E222" s="10" t="inlineStr">
        <is>
          <t>MAT CARPET (PP) 50X80CM</t>
        </is>
      </c>
      <c r="F222" s="10" t="inlineStr"/>
      <c r="G222" s="10" t="inlineStr"/>
      <c r="H222" s="10" t="inlineStr"/>
      <c r="I222" s="11" t="n">
        <v>26.95</v>
      </c>
      <c r="J222" s="6" t="n">
        <v>15</v>
      </c>
      <c r="K222" s="7">
        <f>IF(I222="","",I222*(1+J222/100))</f>
        <v/>
      </c>
      <c r="L222" s="12" t="inlineStr"/>
      <c r="M222" s="8">
        <f>IF(OR(L222="",K222="",L222=0),"",
  (L222-K222)/L222*100)</f>
        <v/>
      </c>
      <c r="N222" s="9" t="inlineStr"/>
      <c r="O222" s="10" t="inlineStr"/>
      <c r="P222" s="10" t="inlineStr"/>
      <c r="Q222" s="10" t="inlineStr"/>
      <c r="R222" s="10" t="inlineStr">
        <is>
          <t>2026-03-12</t>
        </is>
      </c>
      <c r="S222" s="10" t="inlineStr"/>
    </row>
    <row r="223">
      <c r="A223" s="3" t="inlineStr">
        <is>
          <t>F00417</t>
        </is>
      </c>
      <c r="B223" s="4" t="inlineStr">
        <is>
          <t>F00417</t>
        </is>
      </c>
      <c r="C223" s="4" t="inlineStr">
        <is>
          <t>32248</t>
        </is>
      </c>
      <c r="D223" s="4" t="inlineStr">
        <is>
          <t>6009697452950</t>
        </is>
      </c>
      <c r="E223" s="3" t="inlineStr">
        <is>
          <t>TABLE- FOLDING 6FT RECT 1.8MTR WHITE</t>
        </is>
      </c>
      <c r="F223" s="4" t="inlineStr"/>
      <c r="G223" s="4" t="inlineStr"/>
      <c r="H223" s="4" t="inlineStr"/>
      <c r="I223" s="5" t="n">
        <v>399</v>
      </c>
      <c r="J223" s="6" t="n">
        <v>15</v>
      </c>
      <c r="K223" s="7">
        <f>IF(I223="","",I223*(1+J223/100))</f>
        <v/>
      </c>
      <c r="L223" s="5" t="n">
        <v>399</v>
      </c>
      <c r="M223" s="8">
        <f>IF(OR(L223="",K223="",L223=0),"",
  (L223-K223)/L223*100)</f>
        <v/>
      </c>
      <c r="N223" s="14" t="n">
        <v>99</v>
      </c>
      <c r="O223" s="4" t="inlineStr"/>
      <c r="P223" s="4" t="inlineStr"/>
      <c r="Q223" s="4" t="inlineStr"/>
      <c r="R223" s="4" t="inlineStr">
        <is>
          <t>2026-03-12</t>
        </is>
      </c>
      <c r="S223" s="4" t="inlineStr"/>
    </row>
    <row r="224">
      <c r="A224" s="10" t="inlineStr">
        <is>
          <t>F00418</t>
        </is>
      </c>
      <c r="B224" s="10" t="inlineStr">
        <is>
          <t>F00418</t>
        </is>
      </c>
      <c r="C224" s="10" t="inlineStr"/>
      <c r="D224" s="10" t="inlineStr">
        <is>
          <t>6009697452967</t>
        </is>
      </c>
      <c r="E224" s="10" t="inlineStr">
        <is>
          <t>TABLE-FOLDING 4FT RECT (Z122)</t>
        </is>
      </c>
      <c r="F224" s="10" t="inlineStr"/>
      <c r="G224" s="10" t="inlineStr"/>
      <c r="H224" s="10" t="inlineStr"/>
      <c r="I224" s="11" t="n">
        <v>347.7</v>
      </c>
      <c r="J224" s="6" t="n">
        <v>15</v>
      </c>
      <c r="K224" s="7">
        <f>IF(I224="","",I224*(1+J224/100))</f>
        <v/>
      </c>
      <c r="L224" s="12" t="inlineStr"/>
      <c r="M224" s="8">
        <f>IF(OR(L224="",K224="",L224=0),"",
  (L224-K224)/L224*100)</f>
        <v/>
      </c>
      <c r="N224" s="9" t="inlineStr"/>
      <c r="O224" s="10" t="inlineStr"/>
      <c r="P224" s="10" t="inlineStr"/>
      <c r="Q224" s="10" t="inlineStr"/>
      <c r="R224" s="10" t="inlineStr">
        <is>
          <t>2026-03-12</t>
        </is>
      </c>
      <c r="S224" s="10" t="inlineStr"/>
    </row>
    <row r="225">
      <c r="A225" s="3" t="inlineStr">
        <is>
          <t>F00419</t>
        </is>
      </c>
      <c r="B225" s="4" t="inlineStr">
        <is>
          <t>F00419</t>
        </is>
      </c>
      <c r="C225" s="4" t="inlineStr"/>
      <c r="D225" s="4" t="inlineStr">
        <is>
          <t>6009697452974</t>
        </is>
      </c>
      <c r="E225" s="3" t="inlineStr">
        <is>
          <t>TABLE-FOLDING SQUARE 34"(CARD)</t>
        </is>
      </c>
      <c r="F225" s="4" t="inlineStr"/>
      <c r="G225" s="4" t="inlineStr"/>
      <c r="H225" s="4" t="inlineStr"/>
      <c r="I225" s="5" t="n">
        <v>379</v>
      </c>
      <c r="J225" s="6" t="n">
        <v>15</v>
      </c>
      <c r="K225" s="7">
        <f>IF(I225="","",I225*(1+J225/100))</f>
        <v/>
      </c>
      <c r="L225" s="12" t="inlineStr"/>
      <c r="M225" s="8">
        <f>IF(OR(L225="",K225="",L225=0),"",
  (L225-K225)/L225*100)</f>
        <v/>
      </c>
      <c r="N225" s="9" t="inlineStr"/>
      <c r="O225" s="4" t="inlineStr"/>
      <c r="P225" s="4" t="inlineStr"/>
      <c r="Q225" s="4" t="inlineStr"/>
      <c r="R225" s="4" t="inlineStr">
        <is>
          <t>2026-03-12</t>
        </is>
      </c>
      <c r="S225" s="4" t="inlineStr"/>
    </row>
    <row r="226">
      <c r="A226" s="10" t="inlineStr">
        <is>
          <t>F00421</t>
        </is>
      </c>
      <c r="B226" s="10" t="inlineStr">
        <is>
          <t>F00421</t>
        </is>
      </c>
      <c r="C226" s="10" t="inlineStr">
        <is>
          <t>18896</t>
        </is>
      </c>
      <c r="D226" s="10" t="inlineStr">
        <is>
          <t>6009697452905</t>
        </is>
      </c>
      <c r="E226" s="10" t="inlineStr">
        <is>
          <t>TAPE  50MT CLEAR  (36'S)</t>
        </is>
      </c>
      <c r="F226" s="10" t="inlineStr"/>
      <c r="G226" s="10" t="inlineStr"/>
      <c r="H226" s="10" t="inlineStr"/>
      <c r="I226" s="11" t="n">
        <v>225</v>
      </c>
      <c r="J226" s="6" t="n">
        <v>15</v>
      </c>
      <c r="K226" s="7">
        <f>IF(I226="","",I226*(1+J226/100))</f>
        <v/>
      </c>
      <c r="L226" s="12" t="inlineStr"/>
      <c r="M226" s="8">
        <f>IF(OR(L226="",K226="",L226=0),"",
  (L226-K226)/L226*100)</f>
        <v/>
      </c>
      <c r="N226" s="13" t="n">
        <v>120</v>
      </c>
      <c r="O226" s="10" t="inlineStr"/>
      <c r="P226" s="10" t="inlineStr"/>
      <c r="Q226" s="10" t="inlineStr"/>
      <c r="R226" s="10" t="inlineStr">
        <is>
          <t>2026-03-12</t>
        </is>
      </c>
      <c r="S226" s="10" t="inlineStr"/>
    </row>
    <row r="227">
      <c r="A227" s="3" t="inlineStr">
        <is>
          <t>F00422</t>
        </is>
      </c>
      <c r="B227" s="4" t="inlineStr">
        <is>
          <t>F00422</t>
        </is>
      </c>
      <c r="C227" s="4" t="inlineStr">
        <is>
          <t>18906</t>
        </is>
      </c>
      <c r="D227" s="4" t="inlineStr">
        <is>
          <t>6009697452912</t>
        </is>
      </c>
      <c r="E227" s="3" t="inlineStr">
        <is>
          <t>TAPE  100MT CLEAR (36'S)</t>
        </is>
      </c>
      <c r="F227" s="4" t="inlineStr"/>
      <c r="G227" s="4" t="inlineStr"/>
      <c r="H227" s="4" t="inlineStr"/>
      <c r="I227" s="5" t="n">
        <v>380</v>
      </c>
      <c r="J227" s="6" t="n">
        <v>15</v>
      </c>
      <c r="K227" s="7">
        <f>IF(I227="","",I227*(1+J227/100))</f>
        <v/>
      </c>
      <c r="L227" s="12" t="inlineStr"/>
      <c r="M227" s="8">
        <f>IF(OR(L227="",K227="",L227=0),"",
  (L227-K227)/L227*100)</f>
        <v/>
      </c>
      <c r="N227" s="14" t="n">
        <v>64</v>
      </c>
      <c r="O227" s="4" t="inlineStr"/>
      <c r="P227" s="4" t="inlineStr"/>
      <c r="Q227" s="4" t="inlineStr"/>
      <c r="R227" s="4" t="inlineStr">
        <is>
          <t>2026-03-12</t>
        </is>
      </c>
      <c r="S227" s="4" t="inlineStr"/>
    </row>
    <row r="228">
      <c r="A228" s="10" t="inlineStr">
        <is>
          <t>F00423</t>
        </is>
      </c>
      <c r="B228" s="10" t="inlineStr">
        <is>
          <t>F00423</t>
        </is>
      </c>
      <c r="C228" s="10" t="inlineStr"/>
      <c r="D228" s="10" t="inlineStr">
        <is>
          <t>6009697453278</t>
        </is>
      </c>
      <c r="E228" s="10" t="inlineStr">
        <is>
          <t>MUG 8/9 OZ SHRINK 6'S H/GLAZE</t>
        </is>
      </c>
      <c r="F228" s="10" t="inlineStr"/>
      <c r="G228" s="10" t="inlineStr"/>
      <c r="H228" s="10" t="inlineStr"/>
      <c r="I228" s="11" t="n">
        <v>11.29</v>
      </c>
      <c r="J228" s="6" t="n">
        <v>15</v>
      </c>
      <c r="K228" s="7">
        <f>IF(I228="","",I228*(1+J228/100))</f>
        <v/>
      </c>
      <c r="L228" s="12" t="inlineStr"/>
      <c r="M228" s="8">
        <f>IF(OR(L228="",K228="",L228=0),"",
  (L228-K228)/L228*100)</f>
        <v/>
      </c>
      <c r="N228" s="9" t="inlineStr"/>
      <c r="O228" s="10" t="inlineStr"/>
      <c r="P228" s="10" t="inlineStr"/>
      <c r="Q228" s="10" t="inlineStr"/>
      <c r="R228" s="10" t="inlineStr">
        <is>
          <t>2026-03-12</t>
        </is>
      </c>
      <c r="S228" s="10" t="inlineStr"/>
    </row>
    <row r="229">
      <c r="A229" s="3" t="inlineStr">
        <is>
          <t>F00424</t>
        </is>
      </c>
      <c r="B229" s="4" t="inlineStr">
        <is>
          <t>F00424</t>
        </is>
      </c>
      <c r="C229" s="4" t="inlineStr"/>
      <c r="D229" s="4" t="inlineStr">
        <is>
          <t>6009697453223</t>
        </is>
      </c>
      <c r="E229" s="3" t="inlineStr">
        <is>
          <t>MUG 9OZ SHRINK H/P 6'S</t>
        </is>
      </c>
      <c r="F229" s="4" t="inlineStr"/>
      <c r="G229" s="4" t="inlineStr"/>
      <c r="H229" s="4" t="inlineStr"/>
      <c r="I229" s="5" t="n">
        <v>12.39</v>
      </c>
      <c r="J229" s="6" t="n">
        <v>15</v>
      </c>
      <c r="K229" s="7">
        <f>IF(I229="","",I229*(1+J229/100))</f>
        <v/>
      </c>
      <c r="L229" s="12" t="inlineStr"/>
      <c r="M229" s="8">
        <f>IF(OR(L229="",K229="",L229=0),"",
  (L229-K229)/L229*100)</f>
        <v/>
      </c>
      <c r="N229" s="9" t="inlineStr"/>
      <c r="O229" s="4" t="inlineStr"/>
      <c r="P229" s="4" t="inlineStr"/>
      <c r="Q229" s="4" t="inlineStr"/>
      <c r="R229" s="4" t="inlineStr">
        <is>
          <t>2026-03-12</t>
        </is>
      </c>
      <c r="S229" s="4" t="inlineStr"/>
    </row>
    <row r="230">
      <c r="A230" s="10" t="inlineStr">
        <is>
          <t>F00426</t>
        </is>
      </c>
      <c r="B230" s="10" t="inlineStr">
        <is>
          <t>F00426</t>
        </is>
      </c>
      <c r="C230" s="10" t="inlineStr"/>
      <c r="D230" s="10" t="inlineStr">
        <is>
          <t>6009697453131</t>
        </is>
      </c>
      <c r="E230" s="10" t="inlineStr">
        <is>
          <t>CLOCK OVAL 20CMX16.8CM SML</t>
        </is>
      </c>
      <c r="F230" s="10" t="inlineStr"/>
      <c r="G230" s="10" t="inlineStr"/>
      <c r="H230" s="10" t="inlineStr"/>
      <c r="I230" s="11" t="n">
        <v>12.16</v>
      </c>
      <c r="J230" s="6" t="n">
        <v>15</v>
      </c>
      <c r="K230" s="7">
        <f>IF(I230="","",I230*(1+J230/100))</f>
        <v/>
      </c>
      <c r="L230" s="12" t="inlineStr"/>
      <c r="M230" s="8">
        <f>IF(OR(L230="",K230="",L230=0),"",
  (L230-K230)/L230*100)</f>
        <v/>
      </c>
      <c r="N230" s="9" t="inlineStr"/>
      <c r="O230" s="10" t="inlineStr"/>
      <c r="P230" s="10" t="inlineStr"/>
      <c r="Q230" s="10" t="inlineStr"/>
      <c r="R230" s="10" t="inlineStr">
        <is>
          <t>2026-03-12</t>
        </is>
      </c>
      <c r="S230" s="10" t="inlineStr"/>
    </row>
    <row r="231">
      <c r="A231" s="3" t="inlineStr">
        <is>
          <t>F00427</t>
        </is>
      </c>
      <c r="B231" s="4" t="inlineStr">
        <is>
          <t>F00427</t>
        </is>
      </c>
      <c r="C231" s="4" t="inlineStr"/>
      <c r="D231" s="4" t="inlineStr">
        <is>
          <t>6009697453148</t>
        </is>
      </c>
      <c r="E231" s="3" t="inlineStr">
        <is>
          <t>CLOCK SQUARE 17CMX17CM)  SML</t>
        </is>
      </c>
      <c r="F231" s="4" t="inlineStr"/>
      <c r="G231" s="4" t="inlineStr"/>
      <c r="H231" s="4" t="inlineStr"/>
      <c r="I231" s="5" t="n">
        <v>12.16</v>
      </c>
      <c r="J231" s="6" t="n">
        <v>15</v>
      </c>
      <c r="K231" s="7">
        <f>IF(I231="","",I231*(1+J231/100))</f>
        <v/>
      </c>
      <c r="L231" s="12" t="inlineStr"/>
      <c r="M231" s="8">
        <f>IF(OR(L231="",K231="",L231=0),"",
  (L231-K231)/L231*100)</f>
        <v/>
      </c>
      <c r="N231" s="9" t="inlineStr"/>
      <c r="O231" s="4" t="inlineStr"/>
      <c r="P231" s="4" t="inlineStr"/>
      <c r="Q231" s="4" t="inlineStr"/>
      <c r="R231" s="4" t="inlineStr">
        <is>
          <t>2026-03-12</t>
        </is>
      </c>
      <c r="S231" s="4" t="inlineStr"/>
    </row>
    <row r="232">
      <c r="A232" s="10" t="inlineStr">
        <is>
          <t>F00428</t>
        </is>
      </c>
      <c r="B232" s="10" t="inlineStr">
        <is>
          <t>F00428</t>
        </is>
      </c>
      <c r="C232" s="10" t="inlineStr"/>
      <c r="D232" s="10" t="inlineStr">
        <is>
          <t>6009697453155</t>
        </is>
      </c>
      <c r="E232" s="10" t="inlineStr">
        <is>
          <t>CLOCK ROUND 17CMX17CM) SML</t>
        </is>
      </c>
      <c r="F232" s="10" t="inlineStr"/>
      <c r="G232" s="10" t="inlineStr"/>
      <c r="H232" s="10" t="inlineStr"/>
      <c r="I232" s="11" t="n">
        <v>12.16</v>
      </c>
      <c r="J232" s="6" t="n">
        <v>15</v>
      </c>
      <c r="K232" s="7">
        <f>IF(I232="","",I232*(1+J232/100))</f>
        <v/>
      </c>
      <c r="L232" s="12" t="inlineStr"/>
      <c r="M232" s="8">
        <f>IF(OR(L232="",K232="",L232=0),"",
  (L232-K232)/L232*100)</f>
        <v/>
      </c>
      <c r="N232" s="9" t="inlineStr"/>
      <c r="O232" s="10" t="inlineStr"/>
      <c r="P232" s="10" t="inlineStr"/>
      <c r="Q232" s="10" t="inlineStr"/>
      <c r="R232" s="10" t="inlineStr">
        <is>
          <t>2026-03-12</t>
        </is>
      </c>
      <c r="S232" s="10" t="inlineStr"/>
    </row>
    <row r="233">
      <c r="A233" s="3" t="inlineStr">
        <is>
          <t>F00429</t>
        </is>
      </c>
      <c r="B233" s="4" t="inlineStr">
        <is>
          <t>F00429</t>
        </is>
      </c>
      <c r="C233" s="4" t="inlineStr"/>
      <c r="D233" s="4" t="inlineStr">
        <is>
          <t>6009697453162</t>
        </is>
      </c>
      <c r="E233" s="3" t="inlineStr">
        <is>
          <t>CLOCK OBLONG 25CMX16CM) MED</t>
        </is>
      </c>
      <c r="F233" s="4" t="inlineStr"/>
      <c r="G233" s="4" t="inlineStr"/>
      <c r="H233" s="4" t="inlineStr"/>
      <c r="I233" s="5" t="n">
        <v>14.7</v>
      </c>
      <c r="J233" s="6" t="n">
        <v>15</v>
      </c>
      <c r="K233" s="7">
        <f>IF(I233="","",I233*(1+J233/100))</f>
        <v/>
      </c>
      <c r="L233" s="12" t="inlineStr"/>
      <c r="M233" s="8">
        <f>IF(OR(L233="",K233="",L233=0),"",
  (L233-K233)/L233*100)</f>
        <v/>
      </c>
      <c r="N233" s="9" t="inlineStr"/>
      <c r="O233" s="4" t="inlineStr"/>
      <c r="P233" s="4" t="inlineStr"/>
      <c r="Q233" s="4" t="inlineStr"/>
      <c r="R233" s="4" t="inlineStr">
        <is>
          <t>2026-03-12</t>
        </is>
      </c>
      <c r="S233" s="4" t="inlineStr"/>
    </row>
    <row r="234">
      <c r="A234" s="10" t="inlineStr">
        <is>
          <t>F00430</t>
        </is>
      </c>
      <c r="B234" s="10" t="inlineStr">
        <is>
          <t>F00430</t>
        </is>
      </c>
      <c r="C234" s="10" t="inlineStr"/>
      <c r="D234" s="10" t="inlineStr">
        <is>
          <t>6009697453179</t>
        </is>
      </c>
      <c r="E234" s="10" t="inlineStr">
        <is>
          <t>CLOCK OVAL 25CMX 18CM) MED</t>
        </is>
      </c>
      <c r="F234" s="10" t="inlineStr"/>
      <c r="G234" s="10" t="inlineStr"/>
      <c r="H234" s="10" t="inlineStr"/>
      <c r="I234" s="11" t="n">
        <v>14.71</v>
      </c>
      <c r="J234" s="6" t="n">
        <v>15</v>
      </c>
      <c r="K234" s="7">
        <f>IF(I234="","",I234*(1+J234/100))</f>
        <v/>
      </c>
      <c r="L234" s="12" t="inlineStr"/>
      <c r="M234" s="8">
        <f>IF(OR(L234="",K234="",L234=0),"",
  (L234-K234)/L234*100)</f>
        <v/>
      </c>
      <c r="N234" s="9" t="inlineStr"/>
      <c r="O234" s="10" t="inlineStr"/>
      <c r="P234" s="10" t="inlineStr"/>
      <c r="Q234" s="10" t="inlineStr"/>
      <c r="R234" s="10" t="inlineStr">
        <is>
          <t>2026-03-12</t>
        </is>
      </c>
      <c r="S234" s="10" t="inlineStr"/>
    </row>
    <row r="235">
      <c r="A235" s="3" t="inlineStr">
        <is>
          <t>F00431</t>
        </is>
      </c>
      <c r="B235" s="4" t="inlineStr">
        <is>
          <t>F00431</t>
        </is>
      </c>
      <c r="C235" s="4" t="inlineStr"/>
      <c r="D235" s="4" t="inlineStr">
        <is>
          <t>6009697453186</t>
        </is>
      </c>
      <c r="E235" s="3" t="inlineStr">
        <is>
          <t>CLOCK RECT 25CMX21CM MED</t>
        </is>
      </c>
      <c r="F235" s="4" t="inlineStr"/>
      <c r="G235" s="4" t="inlineStr"/>
      <c r="H235" s="4" t="inlineStr"/>
      <c r="I235" s="5" t="n">
        <v>14.2</v>
      </c>
      <c r="J235" s="6" t="n">
        <v>15</v>
      </c>
      <c r="K235" s="7">
        <f>IF(I235="","",I235*(1+J235/100))</f>
        <v/>
      </c>
      <c r="L235" s="12" t="inlineStr"/>
      <c r="M235" s="8">
        <f>IF(OR(L235="",K235="",L235=0),"",
  (L235-K235)/L235*100)</f>
        <v/>
      </c>
      <c r="N235" s="9" t="inlineStr"/>
      <c r="O235" s="4" t="inlineStr"/>
      <c r="P235" s="4" t="inlineStr"/>
      <c r="Q235" s="4" t="inlineStr"/>
      <c r="R235" s="4" t="inlineStr">
        <is>
          <t>2026-03-12</t>
        </is>
      </c>
      <c r="S235" s="4" t="inlineStr"/>
    </row>
    <row r="236">
      <c r="A236" s="10" t="inlineStr">
        <is>
          <t>F00432</t>
        </is>
      </c>
      <c r="B236" s="10" t="inlineStr">
        <is>
          <t>F00432</t>
        </is>
      </c>
      <c r="C236" s="10" t="inlineStr"/>
      <c r="D236" s="10" t="inlineStr">
        <is>
          <t>6009697453193</t>
        </is>
      </c>
      <c r="E236" s="10" t="inlineStr">
        <is>
          <t>CLOCK RECT 25CM X 21CM MED</t>
        </is>
      </c>
      <c r="F236" s="10" t="inlineStr"/>
      <c r="G236" s="10" t="inlineStr"/>
      <c r="H236" s="10" t="inlineStr"/>
      <c r="I236" s="11" t="n">
        <v>14.28</v>
      </c>
      <c r="J236" s="6" t="n">
        <v>15</v>
      </c>
      <c r="K236" s="7">
        <f>IF(I236="","",I236*(1+J236/100))</f>
        <v/>
      </c>
      <c r="L236" s="12" t="inlineStr"/>
      <c r="M236" s="8">
        <f>IF(OR(L236="",K236="",L236=0),"",
  (L236-K236)/L236*100)</f>
        <v/>
      </c>
      <c r="N236" s="9" t="inlineStr"/>
      <c r="O236" s="10" t="inlineStr"/>
      <c r="P236" s="10" t="inlineStr"/>
      <c r="Q236" s="10" t="inlineStr"/>
      <c r="R236" s="10" t="inlineStr">
        <is>
          <t>2026-03-12</t>
        </is>
      </c>
      <c r="S236" s="10" t="inlineStr"/>
    </row>
    <row r="237">
      <c r="A237" s="3" t="inlineStr">
        <is>
          <t>F00433</t>
        </is>
      </c>
      <c r="B237" s="4" t="inlineStr">
        <is>
          <t>F00433</t>
        </is>
      </c>
      <c r="C237" s="4" t="inlineStr"/>
      <c r="D237" s="4" t="inlineStr">
        <is>
          <t>6009697453209</t>
        </is>
      </c>
      <c r="E237" s="3" t="inlineStr">
        <is>
          <t>CLOCK RECT 25CM X21CM MED</t>
        </is>
      </c>
      <c r="F237" s="4" t="inlineStr"/>
      <c r="G237" s="4" t="inlineStr"/>
      <c r="H237" s="4" t="inlineStr"/>
      <c r="I237" s="5" t="n">
        <v>14.31</v>
      </c>
      <c r="J237" s="6" t="n">
        <v>15</v>
      </c>
      <c r="K237" s="7">
        <f>IF(I237="","",I237*(1+J237/100))</f>
        <v/>
      </c>
      <c r="L237" s="12" t="inlineStr"/>
      <c r="M237" s="8">
        <f>IF(OR(L237="",K237="",L237=0),"",
  (L237-K237)/L237*100)</f>
        <v/>
      </c>
      <c r="N237" s="9" t="inlineStr"/>
      <c r="O237" s="4" t="inlineStr"/>
      <c r="P237" s="4" t="inlineStr"/>
      <c r="Q237" s="4" t="inlineStr"/>
      <c r="R237" s="4" t="inlineStr">
        <is>
          <t>2026-03-12</t>
        </is>
      </c>
      <c r="S237" s="4" t="inlineStr"/>
    </row>
    <row r="238">
      <c r="A238" s="10" t="inlineStr">
        <is>
          <t>F00434</t>
        </is>
      </c>
      <c r="B238" s="10" t="inlineStr">
        <is>
          <t>F00434</t>
        </is>
      </c>
      <c r="C238" s="10" t="inlineStr"/>
      <c r="D238" s="10" t="inlineStr">
        <is>
          <t>6009697453049</t>
        </is>
      </c>
      <c r="E238" s="10" t="inlineStr">
        <is>
          <t>CLOCK RECT 22CMX 20CM MED</t>
        </is>
      </c>
      <c r="F238" s="10" t="inlineStr"/>
      <c r="G238" s="10" t="inlineStr"/>
      <c r="H238" s="10" t="inlineStr"/>
      <c r="I238" s="11" t="n">
        <v>14.68</v>
      </c>
      <c r="J238" s="6" t="n">
        <v>15</v>
      </c>
      <c r="K238" s="7">
        <f>IF(I238="","",I238*(1+J238/100))</f>
        <v/>
      </c>
      <c r="L238" s="12" t="inlineStr"/>
      <c r="M238" s="8">
        <f>IF(OR(L238="",K238="",L238=0),"",
  (L238-K238)/L238*100)</f>
        <v/>
      </c>
      <c r="N238" s="9" t="inlineStr"/>
      <c r="O238" s="10" t="inlineStr"/>
      <c r="P238" s="10" t="inlineStr"/>
      <c r="Q238" s="10" t="inlineStr"/>
      <c r="R238" s="10" t="inlineStr">
        <is>
          <t>2026-03-12</t>
        </is>
      </c>
      <c r="S238" s="10" t="inlineStr"/>
    </row>
    <row r="239">
      <c r="A239" s="3" t="inlineStr">
        <is>
          <t>F00435</t>
        </is>
      </c>
      <c r="B239" s="4" t="inlineStr">
        <is>
          <t>F00435</t>
        </is>
      </c>
      <c r="C239" s="4" t="inlineStr"/>
      <c r="D239" s="4" t="inlineStr">
        <is>
          <t>6009697453063</t>
        </is>
      </c>
      <c r="E239" s="3" t="inlineStr">
        <is>
          <t>CLOCK RECT 22CMX 20CM MED</t>
        </is>
      </c>
      <c r="F239" s="4" t="inlineStr"/>
      <c r="G239" s="4" t="inlineStr"/>
      <c r="H239" s="4" t="inlineStr"/>
      <c r="I239" s="5" t="n">
        <v>14.29</v>
      </c>
      <c r="J239" s="6" t="n">
        <v>15</v>
      </c>
      <c r="K239" s="7">
        <f>IF(I239="","",I239*(1+J239/100))</f>
        <v/>
      </c>
      <c r="L239" s="12" t="inlineStr"/>
      <c r="M239" s="8">
        <f>IF(OR(L239="",K239="",L239=0),"",
  (L239-K239)/L239*100)</f>
        <v/>
      </c>
      <c r="N239" s="9" t="inlineStr"/>
      <c r="O239" s="4" t="inlineStr"/>
      <c r="P239" s="4" t="inlineStr"/>
      <c r="Q239" s="4" t="inlineStr"/>
      <c r="R239" s="4" t="inlineStr">
        <is>
          <t>2026-03-12</t>
        </is>
      </c>
      <c r="S239" s="4" t="inlineStr"/>
    </row>
    <row r="240">
      <c r="A240" s="10" t="inlineStr">
        <is>
          <t>F00436</t>
        </is>
      </c>
      <c r="B240" s="10" t="inlineStr">
        <is>
          <t>F00436</t>
        </is>
      </c>
      <c r="C240" s="10" t="inlineStr"/>
      <c r="D240" s="10" t="inlineStr">
        <is>
          <t>6009697453056</t>
        </is>
      </c>
      <c r="E240" s="10" t="inlineStr">
        <is>
          <t>CLOCK RECT 22CM X 20CM MED</t>
        </is>
      </c>
      <c r="F240" s="10" t="inlineStr"/>
      <c r="G240" s="10" t="inlineStr"/>
      <c r="H240" s="10" t="inlineStr"/>
      <c r="I240" s="11" t="n">
        <v>14.71</v>
      </c>
      <c r="J240" s="6" t="n">
        <v>15</v>
      </c>
      <c r="K240" s="7">
        <f>IF(I240="","",I240*(1+J240/100))</f>
        <v/>
      </c>
      <c r="L240" s="12" t="inlineStr"/>
      <c r="M240" s="8">
        <f>IF(OR(L240="",K240="",L240=0),"",
  (L240-K240)/L240*100)</f>
        <v/>
      </c>
      <c r="N240" s="9" t="inlineStr"/>
      <c r="O240" s="10" t="inlineStr"/>
      <c r="P240" s="10" t="inlineStr"/>
      <c r="Q240" s="10" t="inlineStr"/>
      <c r="R240" s="10" t="inlineStr">
        <is>
          <t>2026-03-12</t>
        </is>
      </c>
      <c r="S240" s="10" t="inlineStr"/>
    </row>
    <row r="241">
      <c r="A241" s="3" t="inlineStr">
        <is>
          <t>F00437</t>
        </is>
      </c>
      <c r="B241" s="4" t="inlineStr">
        <is>
          <t>F00437</t>
        </is>
      </c>
      <c r="C241" s="4" t="inlineStr"/>
      <c r="D241" s="4" t="inlineStr">
        <is>
          <t>6009697453070</t>
        </is>
      </c>
      <c r="E241" s="3" t="inlineStr">
        <is>
          <t>CLOCK RECT 22CM X 20CM MED</t>
        </is>
      </c>
      <c r="F241" s="4" t="inlineStr"/>
      <c r="G241" s="4" t="inlineStr"/>
      <c r="H241" s="4" t="inlineStr"/>
      <c r="I241" s="5" t="n">
        <v>14.29</v>
      </c>
      <c r="J241" s="6" t="n">
        <v>15</v>
      </c>
      <c r="K241" s="7">
        <f>IF(I241="","",I241*(1+J241/100))</f>
        <v/>
      </c>
      <c r="L241" s="12" t="inlineStr"/>
      <c r="M241" s="8">
        <f>IF(OR(L241="",K241="",L241=0),"",
  (L241-K241)/L241*100)</f>
        <v/>
      </c>
      <c r="N241" s="9" t="inlineStr"/>
      <c r="O241" s="4" t="inlineStr"/>
      <c r="P241" s="4" t="inlineStr"/>
      <c r="Q241" s="4" t="inlineStr"/>
      <c r="R241" s="4" t="inlineStr">
        <is>
          <t>2026-03-12</t>
        </is>
      </c>
      <c r="S241" s="4" t="inlineStr"/>
    </row>
    <row r="242">
      <c r="A242" s="10" t="inlineStr">
        <is>
          <t>F00438</t>
        </is>
      </c>
      <c r="B242" s="10" t="inlineStr">
        <is>
          <t>F00438</t>
        </is>
      </c>
      <c r="C242" s="10" t="inlineStr"/>
      <c r="D242" s="10" t="inlineStr">
        <is>
          <t>6009697453117</t>
        </is>
      </c>
      <c r="E242" s="10" t="inlineStr">
        <is>
          <t>CLOCK RECT 24CMX19CM MED</t>
        </is>
      </c>
      <c r="F242" s="10" t="inlineStr"/>
      <c r="G242" s="10" t="inlineStr"/>
      <c r="H242" s="10" t="inlineStr"/>
      <c r="I242" s="11" t="n">
        <v>14.15</v>
      </c>
      <c r="J242" s="6" t="n">
        <v>15</v>
      </c>
      <c r="K242" s="7">
        <f>IF(I242="","",I242*(1+J242/100))</f>
        <v/>
      </c>
      <c r="L242" s="12" t="inlineStr"/>
      <c r="M242" s="8">
        <f>IF(OR(L242="",K242="",L242=0),"",
  (L242-K242)/L242*100)</f>
        <v/>
      </c>
      <c r="N242" s="9" t="inlineStr"/>
      <c r="O242" s="10" t="inlineStr"/>
      <c r="P242" s="10" t="inlineStr"/>
      <c r="Q242" s="10" t="inlineStr"/>
      <c r="R242" s="10" t="inlineStr">
        <is>
          <t>2026-03-12</t>
        </is>
      </c>
      <c r="S242" s="10" t="inlineStr"/>
    </row>
    <row r="243">
      <c r="A243" s="3" t="inlineStr">
        <is>
          <t>F00440</t>
        </is>
      </c>
      <c r="B243" s="4" t="inlineStr">
        <is>
          <t>F00440</t>
        </is>
      </c>
      <c r="C243" s="4" t="inlineStr"/>
      <c r="D243" s="4" t="inlineStr">
        <is>
          <t>6009697453001</t>
        </is>
      </c>
      <c r="E243" s="3" t="inlineStr">
        <is>
          <t>CLOCK RECT 25CMX21CM LARGE</t>
        </is>
      </c>
      <c r="F243" s="4" t="inlineStr"/>
      <c r="G243" s="4" t="inlineStr"/>
      <c r="H243" s="4" t="inlineStr"/>
      <c r="I243" s="5" t="n">
        <v>24.95</v>
      </c>
      <c r="J243" s="6" t="n">
        <v>15</v>
      </c>
      <c r="K243" s="7">
        <f>IF(I243="","",I243*(1+J243/100))</f>
        <v/>
      </c>
      <c r="L243" s="12" t="inlineStr"/>
      <c r="M243" s="8">
        <f>IF(OR(L243="",K243="",L243=0),"",
  (L243-K243)/L243*100)</f>
        <v/>
      </c>
      <c r="N243" s="9" t="inlineStr"/>
      <c r="O243" s="4" t="inlineStr"/>
      <c r="P243" s="4" t="inlineStr"/>
      <c r="Q243" s="4" t="inlineStr"/>
      <c r="R243" s="4" t="inlineStr">
        <is>
          <t>2026-03-12</t>
        </is>
      </c>
      <c r="S243" s="4" t="inlineStr"/>
    </row>
    <row r="244">
      <c r="A244" s="10" t="inlineStr">
        <is>
          <t>F00442</t>
        </is>
      </c>
      <c r="B244" s="10" t="inlineStr">
        <is>
          <t>F00442</t>
        </is>
      </c>
      <c r="C244" s="10" t="inlineStr"/>
      <c r="D244" s="10" t="inlineStr">
        <is>
          <t>6009697453025</t>
        </is>
      </c>
      <c r="E244" s="10" t="inlineStr">
        <is>
          <t>CLOCK RECT 25CM X 21CM LARGE</t>
        </is>
      </c>
      <c r="F244" s="10" t="inlineStr"/>
      <c r="G244" s="10" t="inlineStr"/>
      <c r="H244" s="10" t="inlineStr"/>
      <c r="I244" s="11" t="n">
        <v>24.95</v>
      </c>
      <c r="J244" s="6" t="n">
        <v>15</v>
      </c>
      <c r="K244" s="7">
        <f>IF(I244="","",I244*(1+J244/100))</f>
        <v/>
      </c>
      <c r="L244" s="12" t="inlineStr"/>
      <c r="M244" s="8">
        <f>IF(OR(L244="",K244="",L244=0),"",
  (L244-K244)/L244*100)</f>
        <v/>
      </c>
      <c r="N244" s="9" t="inlineStr"/>
      <c r="O244" s="10" t="inlineStr"/>
      <c r="P244" s="10" t="inlineStr"/>
      <c r="Q244" s="10" t="inlineStr"/>
      <c r="R244" s="10" t="inlineStr">
        <is>
          <t>2026-03-12</t>
        </is>
      </c>
      <c r="S244" s="10" t="inlineStr"/>
    </row>
    <row r="245">
      <c r="A245" s="3" t="inlineStr">
        <is>
          <t>F00443</t>
        </is>
      </c>
      <c r="B245" s="4" t="inlineStr">
        <is>
          <t>F00443</t>
        </is>
      </c>
      <c r="C245" s="4" t="inlineStr"/>
      <c r="D245" s="4" t="inlineStr">
        <is>
          <t>6009697453032</t>
        </is>
      </c>
      <c r="E245" s="3" t="inlineStr">
        <is>
          <t>CLOCK SQR 23CM X 23CM LARGE</t>
        </is>
      </c>
      <c r="F245" s="4" t="inlineStr"/>
      <c r="G245" s="4" t="inlineStr"/>
      <c r="H245" s="4" t="inlineStr"/>
      <c r="I245" s="5" t="n">
        <v>15.17</v>
      </c>
      <c r="J245" s="6" t="n">
        <v>15</v>
      </c>
      <c r="K245" s="7">
        <f>IF(I245="","",I245*(1+J245/100))</f>
        <v/>
      </c>
      <c r="L245" s="12" t="inlineStr"/>
      <c r="M245" s="8">
        <f>IF(OR(L245="",K245="",L245=0),"",
  (L245-K245)/L245*100)</f>
        <v/>
      </c>
      <c r="N245" s="9" t="inlineStr"/>
      <c r="O245" s="4" t="inlineStr"/>
      <c r="P245" s="4" t="inlineStr"/>
      <c r="Q245" s="4" t="inlineStr"/>
      <c r="R245" s="4" t="inlineStr">
        <is>
          <t>2026-03-12</t>
        </is>
      </c>
      <c r="S245" s="4" t="inlineStr"/>
    </row>
    <row r="246">
      <c r="A246" s="10" t="inlineStr">
        <is>
          <t>F00444</t>
        </is>
      </c>
      <c r="B246" s="10" t="inlineStr">
        <is>
          <t>F00444</t>
        </is>
      </c>
      <c r="C246" s="10" t="inlineStr"/>
      <c r="D246" s="10" t="inlineStr">
        <is>
          <t>6009697453087</t>
        </is>
      </c>
      <c r="E246" s="10" t="inlineStr">
        <is>
          <t>CLOCK ROUND 25CM X 25CM LARGE</t>
        </is>
      </c>
      <c r="F246" s="10" t="inlineStr"/>
      <c r="G246" s="10" t="inlineStr"/>
      <c r="H246" s="10" t="inlineStr"/>
      <c r="I246" s="11" t="n">
        <v>24.95</v>
      </c>
      <c r="J246" s="6" t="n">
        <v>15</v>
      </c>
      <c r="K246" s="7">
        <f>IF(I246="","",I246*(1+J246/100))</f>
        <v/>
      </c>
      <c r="L246" s="12" t="inlineStr"/>
      <c r="M246" s="8">
        <f>IF(OR(L246="",K246="",L246=0),"",
  (L246-K246)/L246*100)</f>
        <v/>
      </c>
      <c r="N246" s="9" t="inlineStr"/>
      <c r="O246" s="10" t="inlineStr"/>
      <c r="P246" s="10" t="inlineStr"/>
      <c r="Q246" s="10" t="inlineStr"/>
      <c r="R246" s="10" t="inlineStr">
        <is>
          <t>2026-03-12</t>
        </is>
      </c>
      <c r="S246" s="10" t="inlineStr"/>
    </row>
    <row r="247">
      <c r="A247" s="3" t="inlineStr">
        <is>
          <t>F00446</t>
        </is>
      </c>
      <c r="B247" s="4" t="inlineStr">
        <is>
          <t>F00446</t>
        </is>
      </c>
      <c r="C247" s="4" t="inlineStr"/>
      <c r="D247" s="4" t="inlineStr">
        <is>
          <t>6009697453100</t>
        </is>
      </c>
      <c r="E247" s="3" t="inlineStr">
        <is>
          <t>CLOCK HEX 25CMX 25CM LARGE</t>
        </is>
      </c>
      <c r="F247" s="4" t="inlineStr"/>
      <c r="G247" s="4" t="inlineStr"/>
      <c r="H247" s="4" t="inlineStr"/>
      <c r="I247" s="5" t="n">
        <v>24.95</v>
      </c>
      <c r="J247" s="6" t="n">
        <v>15</v>
      </c>
      <c r="K247" s="7">
        <f>IF(I247="","",I247*(1+J247/100))</f>
        <v/>
      </c>
      <c r="L247" s="12" t="inlineStr"/>
      <c r="M247" s="8">
        <f>IF(OR(L247="",K247="",L247=0),"",
  (L247-K247)/L247*100)</f>
        <v/>
      </c>
      <c r="N247" s="9" t="inlineStr"/>
      <c r="O247" s="4" t="inlineStr"/>
      <c r="P247" s="4" t="inlineStr"/>
      <c r="Q247" s="4" t="inlineStr"/>
      <c r="R247" s="4" t="inlineStr">
        <is>
          <t>2026-03-12</t>
        </is>
      </c>
      <c r="S247" s="4" t="inlineStr"/>
    </row>
    <row r="248">
      <c r="A248" s="10" t="inlineStr">
        <is>
          <t>F00450</t>
        </is>
      </c>
      <c r="B248" s="10" t="inlineStr">
        <is>
          <t>F00450</t>
        </is>
      </c>
      <c r="C248" s="10" t="inlineStr"/>
      <c r="D248" s="10" t="inlineStr">
        <is>
          <t>6009697453797</t>
        </is>
      </c>
      <c r="E248" s="10" t="inlineStr">
        <is>
          <t>PLATE 10.5" ETHNIC DESIGN ST/W</t>
        </is>
      </c>
      <c r="F248" s="10" t="inlineStr"/>
      <c r="G248" s="10" t="inlineStr"/>
      <c r="H248" s="10" t="inlineStr"/>
      <c r="I248" s="11" t="n">
        <v>10.5</v>
      </c>
      <c r="J248" s="6" t="n">
        <v>15</v>
      </c>
      <c r="K248" s="7">
        <f>IF(I248="","",I248*(1+J248/100))</f>
        <v/>
      </c>
      <c r="L248" s="12" t="inlineStr"/>
      <c r="M248" s="8">
        <f>IF(OR(L248="",K248="",L248=0),"",
  (L248-K248)/L248*100)</f>
        <v/>
      </c>
      <c r="N248" s="13" t="n">
        <v>11911</v>
      </c>
      <c r="O248" s="10" t="inlineStr"/>
      <c r="P248" s="10" t="inlineStr"/>
      <c r="Q248" s="10" t="inlineStr"/>
      <c r="R248" s="10" t="inlineStr">
        <is>
          <t>2026-03-12</t>
        </is>
      </c>
      <c r="S248" s="10" t="inlineStr"/>
    </row>
    <row r="249">
      <c r="A249" s="3" t="inlineStr">
        <is>
          <t>F00485</t>
        </is>
      </c>
      <c r="B249" s="4" t="inlineStr">
        <is>
          <t>F00485</t>
        </is>
      </c>
      <c r="C249" s="4" t="inlineStr"/>
      <c r="D249" s="4" t="inlineStr">
        <is>
          <t>6009697453803</t>
        </is>
      </c>
      <c r="E249" s="3" t="inlineStr">
        <is>
          <t>MUG 10 OZ HAND PAINTED LOOSE</t>
        </is>
      </c>
      <c r="F249" s="4" t="inlineStr"/>
      <c r="G249" s="4" t="inlineStr"/>
      <c r="H249" s="4" t="inlineStr"/>
      <c r="I249" s="5" t="n">
        <v>2.35</v>
      </c>
      <c r="J249" s="6" t="n">
        <v>15</v>
      </c>
      <c r="K249" s="7">
        <f>IF(I249="","",I249*(1+J249/100))</f>
        <v/>
      </c>
      <c r="L249" s="12" t="inlineStr"/>
      <c r="M249" s="8">
        <f>IF(OR(L249="",K249="",L249=0),"",
  (L249-K249)/L249*100)</f>
        <v/>
      </c>
      <c r="N249" s="9" t="inlineStr"/>
      <c r="O249" s="4" t="inlineStr"/>
      <c r="P249" s="4" t="inlineStr"/>
      <c r="Q249" s="4" t="inlineStr"/>
      <c r="R249" s="4" t="inlineStr">
        <is>
          <t>2026-03-12</t>
        </is>
      </c>
      <c r="S249" s="4" t="inlineStr"/>
    </row>
    <row r="250">
      <c r="A250" s="10" t="inlineStr">
        <is>
          <t>F00486</t>
        </is>
      </c>
      <c r="B250" s="10" t="inlineStr">
        <is>
          <t>F00486</t>
        </is>
      </c>
      <c r="C250" s="10" t="inlineStr">
        <is>
          <t>32135</t>
        </is>
      </c>
      <c r="D250" s="10" t="inlineStr">
        <is>
          <t>6009697453827</t>
        </is>
      </c>
      <c r="E250" s="10" t="inlineStr">
        <is>
          <t>LAMP BASE+BURNER+HANDLE</t>
        </is>
      </c>
      <c r="F250" s="10" t="inlineStr"/>
      <c r="G250" s="10" t="inlineStr"/>
      <c r="H250" s="10" t="inlineStr"/>
      <c r="I250" s="11" t="n">
        <v>27.5</v>
      </c>
      <c r="J250" s="6" t="n">
        <v>15</v>
      </c>
      <c r="K250" s="7">
        <f>IF(I250="","",I250*(1+J250/100))</f>
        <v/>
      </c>
      <c r="L250" s="11" t="n">
        <v>27.5</v>
      </c>
      <c r="M250" s="8">
        <f>IF(OR(L250="",K250="",L250=0),"",
  (L250-K250)/L250*100)</f>
        <v/>
      </c>
      <c r="N250" s="13" t="n">
        <v>66</v>
      </c>
      <c r="O250" s="10" t="inlineStr"/>
      <c r="P250" s="10" t="inlineStr"/>
      <c r="Q250" s="10" t="inlineStr"/>
      <c r="R250" s="10" t="inlineStr">
        <is>
          <t>2026-03-12</t>
        </is>
      </c>
      <c r="S250" s="10" t="inlineStr"/>
    </row>
    <row r="251">
      <c r="A251" s="3" t="inlineStr">
        <is>
          <t>F00488</t>
        </is>
      </c>
      <c r="B251" s="4" t="inlineStr">
        <is>
          <t>F00488</t>
        </is>
      </c>
      <c r="C251" s="4" t="inlineStr"/>
      <c r="D251" s="4" t="inlineStr">
        <is>
          <t>6009677017414</t>
        </is>
      </c>
      <c r="E251" s="3" t="inlineStr">
        <is>
          <t>BOWL LINE EDGE 7" COLOR BAND</t>
        </is>
      </c>
      <c r="F251" s="4" t="inlineStr"/>
      <c r="G251" s="4" t="inlineStr"/>
      <c r="H251" s="4" t="inlineStr"/>
      <c r="I251" s="5" t="n">
        <v>5.95</v>
      </c>
      <c r="J251" s="6" t="n">
        <v>15</v>
      </c>
      <c r="K251" s="7">
        <f>IF(I251="","",I251*(1+J251/100))</f>
        <v/>
      </c>
      <c r="L251" s="12" t="inlineStr"/>
      <c r="M251" s="8">
        <f>IF(OR(L251="",K251="",L251=0),"",
  (L251-K251)/L251*100)</f>
        <v/>
      </c>
      <c r="N251" s="9" t="inlineStr"/>
      <c r="O251" s="4" t="inlineStr"/>
      <c r="P251" s="4" t="inlineStr"/>
      <c r="Q251" s="4" t="inlineStr"/>
      <c r="R251" s="4" t="inlineStr">
        <is>
          <t>2026-03-12</t>
        </is>
      </c>
      <c r="S251" s="4" t="inlineStr"/>
    </row>
    <row r="252">
      <c r="A252" s="10" t="inlineStr">
        <is>
          <t>F00489</t>
        </is>
      </c>
      <c r="B252" s="10" t="inlineStr">
        <is>
          <t>F00489</t>
        </is>
      </c>
      <c r="C252" s="10" t="inlineStr"/>
      <c r="D252" s="10" t="inlineStr"/>
      <c r="E252" s="10" t="inlineStr">
        <is>
          <t>BOWL SET 7PC PEARL G BOX</t>
        </is>
      </c>
      <c r="F252" s="10" t="inlineStr"/>
      <c r="G252" s="10" t="inlineStr"/>
      <c r="H252" s="10" t="inlineStr"/>
      <c r="I252" s="11" t="n">
        <v>28.95</v>
      </c>
      <c r="J252" s="6" t="n">
        <v>15</v>
      </c>
      <c r="K252" s="7">
        <f>IF(I252="","",I252*(1+J252/100))</f>
        <v/>
      </c>
      <c r="L252" s="12" t="inlineStr"/>
      <c r="M252" s="8">
        <f>IF(OR(L252="",K252="",L252=0),"",
  (L252-K252)/L252*100)</f>
        <v/>
      </c>
      <c r="N252" s="9" t="inlineStr"/>
      <c r="O252" s="10" t="inlineStr"/>
      <c r="P252" s="10" t="inlineStr"/>
      <c r="Q252" s="10" t="inlineStr"/>
      <c r="R252" s="10" t="inlineStr">
        <is>
          <t>2026-03-12</t>
        </is>
      </c>
      <c r="S252" s="10" t="inlineStr"/>
    </row>
    <row r="253">
      <c r="A253" s="3" t="inlineStr">
        <is>
          <t>F00490</t>
        </is>
      </c>
      <c r="B253" s="4" t="inlineStr">
        <is>
          <t>F00490</t>
        </is>
      </c>
      <c r="C253" s="4" t="inlineStr"/>
      <c r="D253" s="4" t="inlineStr"/>
      <c r="E253" s="3" t="inlineStr">
        <is>
          <t>BOWL SET 7PC GRANDE G BOX</t>
        </is>
      </c>
      <c r="F253" s="4" t="inlineStr"/>
      <c r="G253" s="4" t="inlineStr"/>
      <c r="H253" s="4" t="inlineStr"/>
      <c r="I253" s="5" t="n">
        <v>28.95</v>
      </c>
      <c r="J253" s="6" t="n">
        <v>15</v>
      </c>
      <c r="K253" s="7">
        <f>IF(I253="","",I253*(1+J253/100))</f>
        <v/>
      </c>
      <c r="L253" s="12" t="inlineStr"/>
      <c r="M253" s="8">
        <f>IF(OR(L253="",K253="",L253=0),"",
  (L253-K253)/L253*100)</f>
        <v/>
      </c>
      <c r="N253" s="9" t="inlineStr"/>
      <c r="O253" s="4" t="inlineStr"/>
      <c r="P253" s="4" t="inlineStr"/>
      <c r="Q253" s="4" t="inlineStr"/>
      <c r="R253" s="4" t="inlineStr">
        <is>
          <t>2026-03-12</t>
        </is>
      </c>
      <c r="S253" s="4" t="inlineStr"/>
    </row>
    <row r="254">
      <c r="A254" s="10" t="inlineStr">
        <is>
          <t>F00491</t>
        </is>
      </c>
      <c r="B254" s="10" t="inlineStr">
        <is>
          <t>F00491</t>
        </is>
      </c>
      <c r="C254" s="10" t="inlineStr"/>
      <c r="D254" s="10" t="inlineStr">
        <is>
          <t>8992787931184</t>
        </is>
      </c>
      <c r="E254" s="10" t="inlineStr">
        <is>
          <t>BOWL SET 7PC GISELLE G BOX</t>
        </is>
      </c>
      <c r="F254" s="10" t="inlineStr"/>
      <c r="G254" s="10" t="inlineStr"/>
      <c r="H254" s="10" t="inlineStr"/>
      <c r="I254" s="11" t="n">
        <v>28.95</v>
      </c>
      <c r="J254" s="6" t="n">
        <v>15</v>
      </c>
      <c r="K254" s="7">
        <f>IF(I254="","",I254*(1+J254/100))</f>
        <v/>
      </c>
      <c r="L254" s="12" t="inlineStr"/>
      <c r="M254" s="8">
        <f>IF(OR(L254="",K254="",L254=0),"",
  (L254-K254)/L254*100)</f>
        <v/>
      </c>
      <c r="N254" s="9" t="inlineStr"/>
      <c r="O254" s="10" t="inlineStr"/>
      <c r="P254" s="10" t="inlineStr"/>
      <c r="Q254" s="10" t="inlineStr"/>
      <c r="R254" s="10" t="inlineStr">
        <is>
          <t>2026-03-12</t>
        </is>
      </c>
      <c r="S254" s="10" t="inlineStr"/>
    </row>
    <row r="255">
      <c r="A255" s="3" t="inlineStr">
        <is>
          <t>F00492</t>
        </is>
      </c>
      <c r="B255" s="4" t="inlineStr">
        <is>
          <t>F00492</t>
        </is>
      </c>
      <c r="C255" s="4" t="inlineStr"/>
      <c r="D255" s="4" t="inlineStr">
        <is>
          <t>8992787931252</t>
        </is>
      </c>
      <c r="E255" s="3" t="inlineStr">
        <is>
          <t>BOWL SET 7PC SUNNYVILLE G BOX</t>
        </is>
      </c>
      <c r="F255" s="4" t="inlineStr"/>
      <c r="G255" s="4" t="inlineStr"/>
      <c r="H255" s="4" t="inlineStr"/>
      <c r="I255" s="5" t="n">
        <v>28.95</v>
      </c>
      <c r="J255" s="6" t="n">
        <v>15</v>
      </c>
      <c r="K255" s="7">
        <f>IF(I255="","",I255*(1+J255/100))</f>
        <v/>
      </c>
      <c r="L255" s="12" t="inlineStr"/>
      <c r="M255" s="8">
        <f>IF(OR(L255="",K255="",L255=0),"",
  (L255-K255)/L255*100)</f>
        <v/>
      </c>
      <c r="N255" s="9" t="inlineStr"/>
      <c r="O255" s="4" t="inlineStr"/>
      <c r="P255" s="4" t="inlineStr"/>
      <c r="Q255" s="4" t="inlineStr"/>
      <c r="R255" s="4" t="inlineStr">
        <is>
          <t>2026-03-12</t>
        </is>
      </c>
      <c r="S255" s="4" t="inlineStr"/>
    </row>
    <row r="256">
      <c r="A256" s="10" t="inlineStr">
        <is>
          <t>F00493</t>
        </is>
      </c>
      <c r="B256" s="10" t="inlineStr">
        <is>
          <t>F00493</t>
        </is>
      </c>
      <c r="C256" s="10" t="inlineStr"/>
      <c r="D256" s="10" t="inlineStr">
        <is>
          <t>6934879536039</t>
        </is>
      </c>
      <c r="E256" s="10" t="inlineStr">
        <is>
          <t>PLATE 10.5" WHITE SQUARE PORC</t>
        </is>
      </c>
      <c r="F256" s="10" t="inlineStr"/>
      <c r="G256" s="10" t="inlineStr"/>
      <c r="H256" s="10" t="inlineStr"/>
      <c r="I256" s="11" t="n">
        <v>13.95</v>
      </c>
      <c r="J256" s="6" t="n">
        <v>15</v>
      </c>
      <c r="K256" s="7">
        <f>IF(I256="","",I256*(1+J256/100))</f>
        <v/>
      </c>
      <c r="L256" s="12" t="inlineStr"/>
      <c r="M256" s="8">
        <f>IF(OR(L256="",K256="",L256=0),"",
  (L256-K256)/L256*100)</f>
        <v/>
      </c>
      <c r="N256" s="13" t="n">
        <v>65</v>
      </c>
      <c r="O256" s="10" t="inlineStr"/>
      <c r="P256" s="10" t="inlineStr"/>
      <c r="Q256" s="10" t="inlineStr"/>
      <c r="R256" s="10" t="inlineStr">
        <is>
          <t>2026-03-12</t>
        </is>
      </c>
      <c r="S256" s="10" t="inlineStr"/>
    </row>
    <row r="257">
      <c r="A257" s="3" t="inlineStr">
        <is>
          <t>F00494</t>
        </is>
      </c>
      <c r="B257" s="4" t="inlineStr">
        <is>
          <t>F00494</t>
        </is>
      </c>
      <c r="C257" s="4" t="inlineStr"/>
      <c r="D257" s="4" t="inlineStr">
        <is>
          <t>6009697453254</t>
        </is>
      </c>
      <c r="E257" s="3" t="inlineStr">
        <is>
          <t>MUG 10OZ H/P 6'S SHR HNAC0430</t>
        </is>
      </c>
      <c r="F257" s="4" t="inlineStr"/>
      <c r="G257" s="4" t="inlineStr"/>
      <c r="H257" s="4" t="inlineStr"/>
      <c r="I257" s="5" t="n">
        <v>13.5</v>
      </c>
      <c r="J257" s="6" t="n">
        <v>15</v>
      </c>
      <c r="K257" s="7">
        <f>IF(I257="","",I257*(1+J257/100))</f>
        <v/>
      </c>
      <c r="L257" s="12" t="inlineStr"/>
      <c r="M257" s="8">
        <f>IF(OR(L257="",K257="",L257=0),"",
  (L257-K257)/L257*100)</f>
        <v/>
      </c>
      <c r="N257" s="9" t="inlineStr"/>
      <c r="O257" s="4" t="inlineStr"/>
      <c r="P257" s="4" t="inlineStr"/>
      <c r="Q257" s="4" t="inlineStr"/>
      <c r="R257" s="4" t="inlineStr">
        <is>
          <t>2026-03-12</t>
        </is>
      </c>
      <c r="S257" s="4" t="inlineStr"/>
    </row>
    <row r="258">
      <c r="A258" s="10" t="inlineStr">
        <is>
          <t>F00495</t>
        </is>
      </c>
      <c r="B258" s="10" t="inlineStr">
        <is>
          <t>F00495</t>
        </is>
      </c>
      <c r="C258" s="10" t="inlineStr"/>
      <c r="D258" s="10" t="inlineStr"/>
      <c r="E258" s="10" t="inlineStr">
        <is>
          <t>SUPERIOR SUPER 0.5MM 4.28METR</t>
        </is>
      </c>
      <c r="F258" s="10" t="inlineStr"/>
      <c r="G258" s="10" t="inlineStr"/>
      <c r="H258" s="10" t="inlineStr"/>
      <c r="I258" s="11" t="n">
        <v>85.5</v>
      </c>
      <c r="J258" s="6" t="n">
        <v>15</v>
      </c>
      <c r="K258" s="7">
        <f>IF(I258="","",I258*(1+J258/100))</f>
        <v/>
      </c>
      <c r="L258" s="12" t="inlineStr"/>
      <c r="M258" s="8">
        <f>IF(OR(L258="",K258="",L258=0),"",
  (L258-K258)/L258*100)</f>
        <v/>
      </c>
      <c r="N258" s="9" t="inlineStr"/>
      <c r="O258" s="10" t="inlineStr"/>
      <c r="P258" s="10" t="inlineStr"/>
      <c r="Q258" s="10" t="inlineStr"/>
      <c r="R258" s="10" t="inlineStr">
        <is>
          <t>2026-03-12</t>
        </is>
      </c>
      <c r="S258" s="10" t="inlineStr"/>
    </row>
    <row r="259">
      <c r="A259" s="3" t="inlineStr">
        <is>
          <t>F00496</t>
        </is>
      </c>
      <c r="B259" s="4" t="inlineStr">
        <is>
          <t>F00496</t>
        </is>
      </c>
      <c r="C259" s="4" t="inlineStr"/>
      <c r="D259" s="4" t="inlineStr">
        <is>
          <t>6004049014107</t>
        </is>
      </c>
      <c r="E259" s="3" t="inlineStr">
        <is>
          <t>PEGS BAMBOO 40S PACK</t>
        </is>
      </c>
      <c r="F259" s="4" t="inlineStr"/>
      <c r="G259" s="4" t="inlineStr"/>
      <c r="H259" s="4" t="inlineStr"/>
      <c r="I259" s="5" t="n">
        <v>3.89</v>
      </c>
      <c r="J259" s="6" t="n">
        <v>15</v>
      </c>
      <c r="K259" s="7">
        <f>IF(I259="","",I259*(1+J259/100))</f>
        <v/>
      </c>
      <c r="L259" s="12" t="inlineStr"/>
      <c r="M259" s="8">
        <f>IF(OR(L259="",K259="",L259=0),"",
  (L259-K259)/L259*100)</f>
        <v/>
      </c>
      <c r="N259" s="9" t="inlineStr"/>
      <c r="O259" s="4" t="inlineStr"/>
      <c r="P259" s="4" t="inlineStr"/>
      <c r="Q259" s="4" t="inlineStr"/>
      <c r="R259" s="4" t="inlineStr">
        <is>
          <t>2026-03-12</t>
        </is>
      </c>
      <c r="S259" s="4" t="inlineStr"/>
    </row>
    <row r="260">
      <c r="A260" s="10" t="inlineStr">
        <is>
          <t>F00497</t>
        </is>
      </c>
      <c r="B260" s="10" t="inlineStr">
        <is>
          <t>F00497</t>
        </is>
      </c>
      <c r="C260" s="10" t="inlineStr"/>
      <c r="D260" s="10" t="inlineStr">
        <is>
          <t>6009697454862</t>
        </is>
      </c>
      <c r="E260" s="10" t="inlineStr">
        <is>
          <t>MUG 11OZ  STRAIGHT FULL COLOR GLAZED</t>
        </is>
      </c>
      <c r="F260" s="10" t="inlineStr"/>
      <c r="G260" s="10" t="inlineStr"/>
      <c r="H260" s="10" t="inlineStr"/>
      <c r="I260" s="11" t="n">
        <v>7.49</v>
      </c>
      <c r="J260" s="6" t="n">
        <v>15</v>
      </c>
      <c r="K260" s="7">
        <f>IF(I260="","",I260*(1+J260/100))</f>
        <v/>
      </c>
      <c r="L260" s="12" t="inlineStr"/>
      <c r="M260" s="8">
        <f>IF(OR(L260="",K260="",L260=0),"",
  (L260-K260)/L260*100)</f>
        <v/>
      </c>
      <c r="N260" s="9" t="inlineStr"/>
      <c r="O260" s="10" t="inlineStr"/>
      <c r="P260" s="10" t="inlineStr"/>
      <c r="Q260" s="10" t="inlineStr"/>
      <c r="R260" s="10" t="inlineStr">
        <is>
          <t>2026-03-12</t>
        </is>
      </c>
      <c r="S260" s="10" t="inlineStr"/>
    </row>
    <row r="261">
      <c r="A261" s="3" t="inlineStr">
        <is>
          <t>F00498</t>
        </is>
      </c>
      <c r="B261" s="4" t="inlineStr">
        <is>
          <t>F00498</t>
        </is>
      </c>
      <c r="C261" s="4" t="inlineStr"/>
      <c r="D261" s="4" t="inlineStr"/>
      <c r="E261" s="3" t="inlineStr">
        <is>
          <t>TUMBLER 3S HEAVY 8OZ WINDOWBOX</t>
        </is>
      </c>
      <c r="F261" s="4" t="inlineStr"/>
      <c r="G261" s="4" t="inlineStr"/>
      <c r="H261" s="4" t="inlineStr"/>
      <c r="I261" s="5" t="n">
        <v>5.49</v>
      </c>
      <c r="J261" s="6" t="n">
        <v>15</v>
      </c>
      <c r="K261" s="7">
        <f>IF(I261="","",I261*(1+J261/100))</f>
        <v/>
      </c>
      <c r="L261" s="12" t="inlineStr"/>
      <c r="M261" s="8">
        <f>IF(OR(L261="",K261="",L261=0),"",
  (L261-K261)/L261*100)</f>
        <v/>
      </c>
      <c r="N261" s="9" t="inlineStr"/>
      <c r="O261" s="4" t="inlineStr"/>
      <c r="P261" s="4" t="inlineStr"/>
      <c r="Q261" s="4" t="inlineStr"/>
      <c r="R261" s="4" t="inlineStr">
        <is>
          <t>2026-03-12</t>
        </is>
      </c>
      <c r="S261" s="4" t="inlineStr"/>
    </row>
    <row r="262">
      <c r="A262" s="10" t="inlineStr">
        <is>
          <t>F00501</t>
        </is>
      </c>
      <c r="B262" s="10" t="inlineStr">
        <is>
          <t>F00501</t>
        </is>
      </c>
      <c r="C262" s="10" t="inlineStr"/>
      <c r="D262" s="10" t="inlineStr">
        <is>
          <t>69347618200259</t>
        </is>
      </c>
      <c r="E262" s="10" t="inlineStr">
        <is>
          <t>PEEL &amp; STICK TILES ( 8PC / 5PK) CL1313</t>
        </is>
      </c>
      <c r="F262" s="10" t="inlineStr"/>
      <c r="G262" s="10" t="inlineStr"/>
      <c r="H262" s="10" t="inlineStr"/>
      <c r="I262" s="11" t="n">
        <v>153.95</v>
      </c>
      <c r="J262" s="6" t="n">
        <v>15</v>
      </c>
      <c r="K262" s="7">
        <f>IF(I262="","",I262*(1+J262/100))</f>
        <v/>
      </c>
      <c r="L262" s="12" t="inlineStr"/>
      <c r="M262" s="8">
        <f>IF(OR(L262="",K262="",L262=0),"",
  (L262-K262)/L262*100)</f>
        <v/>
      </c>
      <c r="N262" s="9" t="inlineStr"/>
      <c r="O262" s="10" t="inlineStr"/>
      <c r="P262" s="10" t="inlineStr"/>
      <c r="Q262" s="10" t="inlineStr"/>
      <c r="R262" s="10" t="inlineStr">
        <is>
          <t>2026-03-12</t>
        </is>
      </c>
      <c r="S262" s="10" t="inlineStr"/>
    </row>
    <row r="263">
      <c r="A263" s="3" t="inlineStr">
        <is>
          <t>F00502</t>
        </is>
      </c>
      <c r="B263" s="4" t="inlineStr">
        <is>
          <t>F00502</t>
        </is>
      </c>
      <c r="C263" s="4" t="inlineStr"/>
      <c r="D263" s="4" t="inlineStr">
        <is>
          <t>69347618200419</t>
        </is>
      </c>
      <c r="E263" s="3" t="inlineStr">
        <is>
          <t>PEEL &amp; STICK TILES (8PC / 5PK) CL1416</t>
        </is>
      </c>
      <c r="F263" s="4" t="inlineStr"/>
      <c r="G263" s="4" t="inlineStr"/>
      <c r="H263" s="4" t="inlineStr"/>
      <c r="I263" s="5" t="n">
        <v>153.95</v>
      </c>
      <c r="J263" s="6" t="n">
        <v>15</v>
      </c>
      <c r="K263" s="7">
        <f>IF(I263="","",I263*(1+J263/100))</f>
        <v/>
      </c>
      <c r="L263" s="12" t="inlineStr"/>
      <c r="M263" s="8">
        <f>IF(OR(L263="",K263="",L263=0),"",
  (L263-K263)/L263*100)</f>
        <v/>
      </c>
      <c r="N263" s="9" t="inlineStr"/>
      <c r="O263" s="4" t="inlineStr"/>
      <c r="P263" s="4" t="inlineStr"/>
      <c r="Q263" s="4" t="inlineStr"/>
      <c r="R263" s="4" t="inlineStr">
        <is>
          <t>2026-03-12</t>
        </is>
      </c>
      <c r="S263" s="4" t="inlineStr"/>
    </row>
    <row r="264">
      <c r="A264" s="10" t="inlineStr">
        <is>
          <t>F00503</t>
        </is>
      </c>
      <c r="B264" s="10" t="inlineStr">
        <is>
          <t>F00503</t>
        </is>
      </c>
      <c r="C264" s="10" t="inlineStr"/>
      <c r="D264" s="10" t="inlineStr">
        <is>
          <t>6009677013263</t>
        </is>
      </c>
      <c r="E264" s="10" t="inlineStr">
        <is>
          <t>PEEL &amp; STICK TILES 5PK KLD0607</t>
        </is>
      </c>
      <c r="F264" s="10" t="inlineStr"/>
      <c r="G264" s="10" t="inlineStr"/>
      <c r="H264" s="10" t="inlineStr"/>
      <c r="I264" s="11" t="n">
        <v>225</v>
      </c>
      <c r="J264" s="6" t="n">
        <v>15</v>
      </c>
      <c r="K264" s="7">
        <f>IF(I264="","",I264*(1+J264/100))</f>
        <v/>
      </c>
      <c r="L264" s="12" t="inlineStr"/>
      <c r="M264" s="8">
        <f>IF(OR(L264="",K264="",L264=0),"",
  (L264-K264)/L264*100)</f>
        <v/>
      </c>
      <c r="N264" s="9" t="inlineStr"/>
      <c r="O264" s="10" t="inlineStr"/>
      <c r="P264" s="10" t="inlineStr"/>
      <c r="Q264" s="10" t="inlineStr"/>
      <c r="R264" s="10" t="inlineStr">
        <is>
          <t>2026-03-12</t>
        </is>
      </c>
      <c r="S264" s="10" t="inlineStr"/>
    </row>
    <row r="265">
      <c r="A265" s="3" t="inlineStr">
        <is>
          <t>F00504</t>
        </is>
      </c>
      <c r="B265" s="4" t="inlineStr">
        <is>
          <t>F00504</t>
        </is>
      </c>
      <c r="C265" s="4" t="inlineStr"/>
      <c r="D265" s="4" t="inlineStr">
        <is>
          <t>6009677013287</t>
        </is>
      </c>
      <c r="E265" s="3" t="inlineStr">
        <is>
          <t>PEEL &amp; STICK TILES 5PK KLD0716</t>
        </is>
      </c>
      <c r="F265" s="4" t="inlineStr"/>
      <c r="G265" s="4" t="inlineStr"/>
      <c r="H265" s="4" t="inlineStr"/>
      <c r="I265" s="5" t="n">
        <v>225</v>
      </c>
      <c r="J265" s="6" t="n">
        <v>15</v>
      </c>
      <c r="K265" s="7">
        <f>IF(I265="","",I265*(1+J265/100))</f>
        <v/>
      </c>
      <c r="L265" s="12" t="inlineStr"/>
      <c r="M265" s="8">
        <f>IF(OR(L265="",K265="",L265=0),"",
  (L265-K265)/L265*100)</f>
        <v/>
      </c>
      <c r="N265" s="9" t="inlineStr"/>
      <c r="O265" s="4" t="inlineStr"/>
      <c r="P265" s="4" t="inlineStr"/>
      <c r="Q265" s="4" t="inlineStr"/>
      <c r="R265" s="4" t="inlineStr">
        <is>
          <t>2026-03-12</t>
        </is>
      </c>
      <c r="S265" s="4" t="inlineStr"/>
    </row>
    <row r="266">
      <c r="A266" s="10" t="inlineStr">
        <is>
          <t>F00505</t>
        </is>
      </c>
      <c r="B266" s="10" t="inlineStr">
        <is>
          <t>F00505</t>
        </is>
      </c>
      <c r="C266" s="10" t="inlineStr"/>
      <c r="D266" s="10" t="inlineStr">
        <is>
          <t>6009677015168</t>
        </is>
      </c>
      <c r="E266" s="10" t="inlineStr">
        <is>
          <t>PEEL &amp; STICK TILES (8PC/5PK) KLD0901</t>
        </is>
      </c>
      <c r="F266" s="10" t="inlineStr"/>
      <c r="G266" s="10" t="inlineStr"/>
      <c r="H266" s="10" t="inlineStr"/>
      <c r="I266" s="11" t="n">
        <v>1</v>
      </c>
      <c r="J266" s="6" t="n">
        <v>15</v>
      </c>
      <c r="K266" s="7">
        <f>IF(I266="","",I266*(1+J266/100))</f>
        <v/>
      </c>
      <c r="L266" s="12" t="inlineStr"/>
      <c r="M266" s="8">
        <f>IF(OR(L266="",K266="",L266=0),"",
  (L266-K266)/L266*100)</f>
        <v/>
      </c>
      <c r="N266" s="9" t="inlineStr"/>
      <c r="O266" s="10" t="inlineStr"/>
      <c r="P266" s="10" t="inlineStr"/>
      <c r="Q266" s="10" t="inlineStr"/>
      <c r="R266" s="10" t="inlineStr">
        <is>
          <t>2026-03-12</t>
        </is>
      </c>
      <c r="S266" s="10" t="inlineStr"/>
    </row>
    <row r="267">
      <c r="A267" s="3" t="inlineStr">
        <is>
          <t>F00506</t>
        </is>
      </c>
      <c r="B267" s="4" t="inlineStr">
        <is>
          <t>F00506</t>
        </is>
      </c>
      <c r="C267" s="4" t="inlineStr"/>
      <c r="D267" s="4" t="inlineStr">
        <is>
          <t>6009677015182</t>
        </is>
      </c>
      <c r="E267" s="3" t="inlineStr">
        <is>
          <t>PEEL &amp; STICK TILES 5PK KLD0902</t>
        </is>
      </c>
      <c r="F267" s="4" t="inlineStr"/>
      <c r="G267" s="4" t="inlineStr"/>
      <c r="H267" s="4" t="inlineStr"/>
      <c r="I267" s="5" t="n">
        <v>153.95</v>
      </c>
      <c r="J267" s="6" t="n">
        <v>15</v>
      </c>
      <c r="K267" s="7">
        <f>IF(I267="","",I267*(1+J267/100))</f>
        <v/>
      </c>
      <c r="L267" s="12" t="inlineStr"/>
      <c r="M267" s="8">
        <f>IF(OR(L267="",K267="",L267=0),"",
  (L267-K267)/L267*100)</f>
        <v/>
      </c>
      <c r="N267" s="9" t="inlineStr"/>
      <c r="O267" s="4" t="inlineStr"/>
      <c r="P267" s="4" t="inlineStr"/>
      <c r="Q267" s="4" t="inlineStr"/>
      <c r="R267" s="4" t="inlineStr">
        <is>
          <t>2026-03-12</t>
        </is>
      </c>
      <c r="S267" s="4" t="inlineStr"/>
    </row>
    <row r="268">
      <c r="A268" s="10" t="inlineStr">
        <is>
          <t>F00507</t>
        </is>
      </c>
      <c r="B268" s="10" t="inlineStr">
        <is>
          <t>F00507</t>
        </is>
      </c>
      <c r="C268" s="10" t="inlineStr"/>
      <c r="D268" s="10" t="inlineStr">
        <is>
          <t>6009677015199</t>
        </is>
      </c>
      <c r="E268" s="10" t="inlineStr">
        <is>
          <t>PEEL &amp; STICK TILES (8PC/5PK) KLD0903</t>
        </is>
      </c>
      <c r="F268" s="10" t="inlineStr"/>
      <c r="G268" s="10" t="inlineStr"/>
      <c r="H268" s="10" t="inlineStr"/>
      <c r="I268" s="11" t="n">
        <v>1</v>
      </c>
      <c r="J268" s="6" t="n">
        <v>15</v>
      </c>
      <c r="K268" s="7">
        <f>IF(I268="","",I268*(1+J268/100))</f>
        <v/>
      </c>
      <c r="L268" s="12" t="inlineStr"/>
      <c r="M268" s="8">
        <f>IF(OR(L268="",K268="",L268=0),"",
  (L268-K268)/L268*100)</f>
        <v/>
      </c>
      <c r="N268" s="9" t="inlineStr"/>
      <c r="O268" s="10" t="inlineStr"/>
      <c r="P268" s="10" t="inlineStr"/>
      <c r="Q268" s="10" t="inlineStr"/>
      <c r="R268" s="10" t="inlineStr">
        <is>
          <t>2026-03-12</t>
        </is>
      </c>
      <c r="S268" s="10" t="inlineStr"/>
    </row>
    <row r="269">
      <c r="A269" s="3" t="inlineStr">
        <is>
          <t>F00508</t>
        </is>
      </c>
      <c r="B269" s="4" t="inlineStr">
        <is>
          <t>F00508</t>
        </is>
      </c>
      <c r="C269" s="4" t="inlineStr"/>
      <c r="D269" s="4" t="inlineStr">
        <is>
          <t>6009677015212</t>
        </is>
      </c>
      <c r="E269" s="3" t="inlineStr">
        <is>
          <t>PEEL &amp; STICK TILES (8PC/5PK) KLD0904</t>
        </is>
      </c>
      <c r="F269" s="4" t="inlineStr"/>
      <c r="G269" s="4" t="inlineStr"/>
      <c r="H269" s="4" t="inlineStr"/>
      <c r="I269" s="5" t="n">
        <v>1</v>
      </c>
      <c r="J269" s="6" t="n">
        <v>15</v>
      </c>
      <c r="K269" s="7">
        <f>IF(I269="","",I269*(1+J269/100))</f>
        <v/>
      </c>
      <c r="L269" s="12" t="inlineStr"/>
      <c r="M269" s="8">
        <f>IF(OR(L269="",K269="",L269=0),"",
  (L269-K269)/L269*100)</f>
        <v/>
      </c>
      <c r="N269" s="9" t="inlineStr"/>
      <c r="O269" s="4" t="inlineStr"/>
      <c r="P269" s="4" t="inlineStr"/>
      <c r="Q269" s="4" t="inlineStr"/>
      <c r="R269" s="4" t="inlineStr">
        <is>
          <t>2026-03-12</t>
        </is>
      </c>
      <c r="S269" s="4" t="inlineStr"/>
    </row>
    <row r="270">
      <c r="A270" s="10" t="inlineStr">
        <is>
          <t>F00509</t>
        </is>
      </c>
      <c r="B270" s="10" t="inlineStr">
        <is>
          <t>F00509</t>
        </is>
      </c>
      <c r="C270" s="10" t="inlineStr"/>
      <c r="D270" s="10" t="inlineStr">
        <is>
          <t>6009677015229</t>
        </is>
      </c>
      <c r="E270" s="10" t="inlineStr">
        <is>
          <t>PEEL &amp; STICK TILES 5PK KLD0905</t>
        </is>
      </c>
      <c r="F270" s="10" t="inlineStr"/>
      <c r="G270" s="10" t="inlineStr"/>
      <c r="H270" s="10" t="inlineStr"/>
      <c r="I270" s="11" t="n">
        <v>63.95</v>
      </c>
      <c r="J270" s="6" t="n">
        <v>15</v>
      </c>
      <c r="K270" s="7">
        <f>IF(I270="","",I270*(1+J270/100))</f>
        <v/>
      </c>
      <c r="L270" s="12" t="inlineStr"/>
      <c r="M270" s="8">
        <f>IF(OR(L270="",K270="",L270=0),"",
  (L270-K270)/L270*100)</f>
        <v/>
      </c>
      <c r="N270" s="9" t="inlineStr"/>
      <c r="O270" s="10" t="inlineStr"/>
      <c r="P270" s="10" t="inlineStr"/>
      <c r="Q270" s="10" t="inlineStr"/>
      <c r="R270" s="10" t="inlineStr">
        <is>
          <t>2026-03-12</t>
        </is>
      </c>
      <c r="S270" s="10" t="inlineStr"/>
    </row>
    <row r="271">
      <c r="A271" s="3" t="inlineStr">
        <is>
          <t>F00510</t>
        </is>
      </c>
      <c r="B271" s="4" t="inlineStr">
        <is>
          <t>F00510</t>
        </is>
      </c>
      <c r="C271" s="4" t="inlineStr"/>
      <c r="D271" s="4" t="inlineStr">
        <is>
          <t>6009677015236</t>
        </is>
      </c>
      <c r="E271" s="3" t="inlineStr">
        <is>
          <t>PEEL &amp; STICK TILES 5PK KLD0906</t>
        </is>
      </c>
      <c r="F271" s="4" t="inlineStr"/>
      <c r="G271" s="4" t="inlineStr"/>
      <c r="H271" s="4" t="inlineStr"/>
      <c r="I271" s="5" t="n">
        <v>153.95</v>
      </c>
      <c r="J271" s="6" t="n">
        <v>15</v>
      </c>
      <c r="K271" s="7">
        <f>IF(I271="","",I271*(1+J271/100))</f>
        <v/>
      </c>
      <c r="L271" s="12" t="inlineStr"/>
      <c r="M271" s="8">
        <f>IF(OR(L271="",K271="",L271=0),"",
  (L271-K271)/L271*100)</f>
        <v/>
      </c>
      <c r="N271" s="9" t="inlineStr"/>
      <c r="O271" s="4" t="inlineStr"/>
      <c r="P271" s="4" t="inlineStr"/>
      <c r="Q271" s="4" t="inlineStr"/>
      <c r="R271" s="4" t="inlineStr">
        <is>
          <t>2026-03-12</t>
        </is>
      </c>
      <c r="S271" s="4" t="inlineStr"/>
    </row>
    <row r="272">
      <c r="A272" s="10" t="inlineStr">
        <is>
          <t>F00511</t>
        </is>
      </c>
      <c r="B272" s="10" t="inlineStr">
        <is>
          <t>F00511</t>
        </is>
      </c>
      <c r="C272" s="10" t="inlineStr"/>
      <c r="D272" s="10" t="inlineStr">
        <is>
          <t>6009677015243</t>
        </is>
      </c>
      <c r="E272" s="10" t="inlineStr">
        <is>
          <t>PEEL &amp; STICK TILES (8PC/5PK) KLD0907</t>
        </is>
      </c>
      <c r="F272" s="10" t="inlineStr"/>
      <c r="G272" s="10" t="inlineStr"/>
      <c r="H272" s="10" t="inlineStr"/>
      <c r="I272" s="11" t="n">
        <v>1</v>
      </c>
      <c r="J272" s="6" t="n">
        <v>15</v>
      </c>
      <c r="K272" s="7">
        <f>IF(I272="","",I272*(1+J272/100))</f>
        <v/>
      </c>
      <c r="L272" s="12" t="inlineStr"/>
      <c r="M272" s="8">
        <f>IF(OR(L272="",K272="",L272=0),"",
  (L272-K272)/L272*100)</f>
        <v/>
      </c>
      <c r="N272" s="9" t="inlineStr"/>
      <c r="O272" s="10" t="inlineStr"/>
      <c r="P272" s="10" t="inlineStr"/>
      <c r="Q272" s="10" t="inlineStr"/>
      <c r="R272" s="10" t="inlineStr">
        <is>
          <t>2026-03-12</t>
        </is>
      </c>
      <c r="S272" s="10" t="inlineStr"/>
    </row>
    <row r="273">
      <c r="A273" s="3" t="inlineStr">
        <is>
          <t>F00512</t>
        </is>
      </c>
      <c r="B273" s="4" t="inlineStr">
        <is>
          <t>F00512</t>
        </is>
      </c>
      <c r="C273" s="4" t="inlineStr"/>
      <c r="D273" s="4" t="inlineStr">
        <is>
          <t>6009677015250</t>
        </is>
      </c>
      <c r="E273" s="3" t="inlineStr">
        <is>
          <t>PEEL &amp; STICK TILES (8PC/5PK) KLD0908</t>
        </is>
      </c>
      <c r="F273" s="4" t="inlineStr"/>
      <c r="G273" s="4" t="inlineStr"/>
      <c r="H273" s="4" t="inlineStr"/>
      <c r="I273" s="5" t="n">
        <v>1</v>
      </c>
      <c r="J273" s="6" t="n">
        <v>15</v>
      </c>
      <c r="K273" s="7">
        <f>IF(I273="","",I273*(1+J273/100))</f>
        <v/>
      </c>
      <c r="L273" s="12" t="inlineStr"/>
      <c r="M273" s="8">
        <f>IF(OR(L273="",K273="",L273=0),"",
  (L273-K273)/L273*100)</f>
        <v/>
      </c>
      <c r="N273" s="9" t="inlineStr"/>
      <c r="O273" s="4" t="inlineStr"/>
      <c r="P273" s="4" t="inlineStr"/>
      <c r="Q273" s="4" t="inlineStr"/>
      <c r="R273" s="4" t="inlineStr">
        <is>
          <t>2026-03-12</t>
        </is>
      </c>
      <c r="S273" s="4" t="inlineStr"/>
    </row>
    <row r="274">
      <c r="A274" s="10" t="inlineStr">
        <is>
          <t>F00513</t>
        </is>
      </c>
      <c r="B274" s="10" t="inlineStr">
        <is>
          <t>F00513</t>
        </is>
      </c>
      <c r="C274" s="10" t="inlineStr"/>
      <c r="D274" s="10" t="inlineStr">
        <is>
          <t>6009677015267</t>
        </is>
      </c>
      <c r="E274" s="10" t="inlineStr">
        <is>
          <t>PEEL &amp; STICK TILES (8PC/5PK) KLD0909</t>
        </is>
      </c>
      <c r="F274" s="10" t="inlineStr"/>
      <c r="G274" s="10" t="inlineStr"/>
      <c r="H274" s="10" t="inlineStr"/>
      <c r="I274" s="11" t="n">
        <v>1</v>
      </c>
      <c r="J274" s="6" t="n">
        <v>15</v>
      </c>
      <c r="K274" s="7">
        <f>IF(I274="","",I274*(1+J274/100))</f>
        <v/>
      </c>
      <c r="L274" s="12" t="inlineStr"/>
      <c r="M274" s="8">
        <f>IF(OR(L274="",K274="",L274=0),"",
  (L274-K274)/L274*100)</f>
        <v/>
      </c>
      <c r="N274" s="9" t="inlineStr"/>
      <c r="O274" s="10" t="inlineStr"/>
      <c r="P274" s="10" t="inlineStr"/>
      <c r="Q274" s="10" t="inlineStr"/>
      <c r="R274" s="10" t="inlineStr">
        <is>
          <t>2026-03-12</t>
        </is>
      </c>
      <c r="S274" s="10" t="inlineStr"/>
    </row>
    <row r="275">
      <c r="A275" s="3" t="inlineStr">
        <is>
          <t>F00514</t>
        </is>
      </c>
      <c r="B275" s="4" t="inlineStr">
        <is>
          <t>F00514</t>
        </is>
      </c>
      <c r="C275" s="4" t="inlineStr"/>
      <c r="D275" s="4" t="inlineStr">
        <is>
          <t>6009677015274</t>
        </is>
      </c>
      <c r="E275" s="3" t="inlineStr">
        <is>
          <t>PEEL &amp; STICK TILES 5PK KLD0910</t>
        </is>
      </c>
      <c r="F275" s="4" t="inlineStr"/>
      <c r="G275" s="4" t="inlineStr"/>
      <c r="H275" s="4" t="inlineStr"/>
      <c r="I275" s="5" t="n">
        <v>153.95</v>
      </c>
      <c r="J275" s="6" t="n">
        <v>15</v>
      </c>
      <c r="K275" s="7">
        <f>IF(I275="","",I275*(1+J275/100))</f>
        <v/>
      </c>
      <c r="L275" s="12" t="inlineStr"/>
      <c r="M275" s="8">
        <f>IF(OR(L275="",K275="",L275=0),"",
  (L275-K275)/L275*100)</f>
        <v/>
      </c>
      <c r="N275" s="9" t="inlineStr"/>
      <c r="O275" s="4" t="inlineStr"/>
      <c r="P275" s="4" t="inlineStr"/>
      <c r="Q275" s="4" t="inlineStr"/>
      <c r="R275" s="4" t="inlineStr">
        <is>
          <t>2026-03-12</t>
        </is>
      </c>
      <c r="S275" s="4" t="inlineStr"/>
    </row>
    <row r="276">
      <c r="A276" s="10" t="inlineStr">
        <is>
          <t>F00515</t>
        </is>
      </c>
      <c r="B276" s="10" t="inlineStr">
        <is>
          <t>F00515</t>
        </is>
      </c>
      <c r="C276" s="10" t="inlineStr"/>
      <c r="D276" s="10" t="inlineStr">
        <is>
          <t>6009677015281</t>
        </is>
      </c>
      <c r="E276" s="10" t="inlineStr">
        <is>
          <t>PEEL &amp; STICK TILES (8PC/5PK) KLD0911</t>
        </is>
      </c>
      <c r="F276" s="10" t="inlineStr"/>
      <c r="G276" s="10" t="inlineStr"/>
      <c r="H276" s="10" t="inlineStr"/>
      <c r="I276" s="11" t="n">
        <v>1</v>
      </c>
      <c r="J276" s="6" t="n">
        <v>15</v>
      </c>
      <c r="K276" s="7">
        <f>IF(I276="","",I276*(1+J276/100))</f>
        <v/>
      </c>
      <c r="L276" s="12" t="inlineStr"/>
      <c r="M276" s="8">
        <f>IF(OR(L276="",K276="",L276=0),"",
  (L276-K276)/L276*100)</f>
        <v/>
      </c>
      <c r="N276" s="9" t="inlineStr"/>
      <c r="O276" s="10" t="inlineStr"/>
      <c r="P276" s="10" t="inlineStr"/>
      <c r="Q276" s="10" t="inlineStr"/>
      <c r="R276" s="10" t="inlineStr">
        <is>
          <t>2026-03-12</t>
        </is>
      </c>
      <c r="S276" s="10" t="inlineStr"/>
    </row>
    <row r="277">
      <c r="A277" s="3" t="inlineStr">
        <is>
          <t>F00516</t>
        </is>
      </c>
      <c r="B277" s="4" t="inlineStr">
        <is>
          <t>F00516</t>
        </is>
      </c>
      <c r="C277" s="4" t="inlineStr"/>
      <c r="D277" s="4" t="inlineStr">
        <is>
          <t>6009677015298</t>
        </is>
      </c>
      <c r="E277" s="3" t="inlineStr">
        <is>
          <t>PEEL &amp; STICK TILES 5PK KLD0912</t>
        </is>
      </c>
      <c r="F277" s="4" t="inlineStr"/>
      <c r="G277" s="4" t="inlineStr"/>
      <c r="H277" s="4" t="inlineStr"/>
      <c r="I277" s="5" t="n">
        <v>153.95</v>
      </c>
      <c r="J277" s="6" t="n">
        <v>15</v>
      </c>
      <c r="K277" s="7">
        <f>IF(I277="","",I277*(1+J277/100))</f>
        <v/>
      </c>
      <c r="L277" s="12" t="inlineStr"/>
      <c r="M277" s="8">
        <f>IF(OR(L277="",K277="",L277=0),"",
  (L277-K277)/L277*100)</f>
        <v/>
      </c>
      <c r="N277" s="9" t="inlineStr"/>
      <c r="O277" s="4" t="inlineStr"/>
      <c r="P277" s="4" t="inlineStr"/>
      <c r="Q277" s="4" t="inlineStr"/>
      <c r="R277" s="4" t="inlineStr">
        <is>
          <t>2026-03-12</t>
        </is>
      </c>
      <c r="S277" s="4" t="inlineStr"/>
    </row>
    <row r="278">
      <c r="A278" s="10" t="inlineStr">
        <is>
          <t>F00517</t>
        </is>
      </c>
      <c r="B278" s="10" t="inlineStr">
        <is>
          <t>F00517</t>
        </is>
      </c>
      <c r="C278" s="10" t="inlineStr"/>
      <c r="D278" s="10" t="inlineStr">
        <is>
          <t>6009677015304</t>
        </is>
      </c>
      <c r="E278" s="10" t="inlineStr">
        <is>
          <t>PEEL &amp; STICK TILES 5PK KLD0913</t>
        </is>
      </c>
      <c r="F278" s="10" t="inlineStr"/>
      <c r="G278" s="10" t="inlineStr"/>
      <c r="H278" s="10" t="inlineStr"/>
      <c r="I278" s="11" t="n">
        <v>153.95</v>
      </c>
      <c r="J278" s="6" t="n">
        <v>15</v>
      </c>
      <c r="K278" s="7">
        <f>IF(I278="","",I278*(1+J278/100))</f>
        <v/>
      </c>
      <c r="L278" s="12" t="inlineStr"/>
      <c r="M278" s="8">
        <f>IF(OR(L278="",K278="",L278=0),"",
  (L278-K278)/L278*100)</f>
        <v/>
      </c>
      <c r="N278" s="9" t="inlineStr"/>
      <c r="O278" s="10" t="inlineStr"/>
      <c r="P278" s="10" t="inlineStr"/>
      <c r="Q278" s="10" t="inlineStr"/>
      <c r="R278" s="10" t="inlineStr">
        <is>
          <t>2026-03-12</t>
        </is>
      </c>
      <c r="S278" s="10" t="inlineStr"/>
    </row>
    <row r="279">
      <c r="A279" s="3" t="inlineStr">
        <is>
          <t>F00518</t>
        </is>
      </c>
      <c r="B279" s="4" t="inlineStr">
        <is>
          <t>F00518</t>
        </is>
      </c>
      <c r="C279" s="4" t="inlineStr"/>
      <c r="D279" s="4" t="inlineStr">
        <is>
          <t>6009677015328</t>
        </is>
      </c>
      <c r="E279" s="3" t="inlineStr">
        <is>
          <t>PEEL &amp; STICK TILES (8PC/5PK) KLD0914</t>
        </is>
      </c>
      <c r="F279" s="4" t="inlineStr"/>
      <c r="G279" s="4" t="inlineStr"/>
      <c r="H279" s="4" t="inlineStr"/>
      <c r="I279" s="5" t="n">
        <v>1</v>
      </c>
      <c r="J279" s="6" t="n">
        <v>15</v>
      </c>
      <c r="K279" s="7">
        <f>IF(I279="","",I279*(1+J279/100))</f>
        <v/>
      </c>
      <c r="L279" s="12" t="inlineStr"/>
      <c r="M279" s="8">
        <f>IF(OR(L279="",K279="",L279=0),"",
  (L279-K279)/L279*100)</f>
        <v/>
      </c>
      <c r="N279" s="9" t="inlineStr"/>
      <c r="O279" s="4" t="inlineStr"/>
      <c r="P279" s="4" t="inlineStr"/>
      <c r="Q279" s="4" t="inlineStr"/>
      <c r="R279" s="4" t="inlineStr">
        <is>
          <t>2026-03-12</t>
        </is>
      </c>
      <c r="S279" s="4" t="inlineStr"/>
    </row>
    <row r="280">
      <c r="A280" s="10" t="inlineStr">
        <is>
          <t>F00519</t>
        </is>
      </c>
      <c r="B280" s="10" t="inlineStr">
        <is>
          <t>F00519</t>
        </is>
      </c>
      <c r="C280" s="10" t="inlineStr"/>
      <c r="D280" s="10" t="inlineStr">
        <is>
          <t>6009677015335</t>
        </is>
      </c>
      <c r="E280" s="10" t="inlineStr">
        <is>
          <t>PEEL &amp; STICK TILES 5PK KLD0915</t>
        </is>
      </c>
      <c r="F280" s="10" t="inlineStr"/>
      <c r="G280" s="10" t="inlineStr"/>
      <c r="H280" s="10" t="inlineStr"/>
      <c r="I280" s="11" t="n">
        <v>153.95</v>
      </c>
      <c r="J280" s="6" t="n">
        <v>15</v>
      </c>
      <c r="K280" s="7">
        <f>IF(I280="","",I280*(1+J280/100))</f>
        <v/>
      </c>
      <c r="L280" s="12" t="inlineStr"/>
      <c r="M280" s="8">
        <f>IF(OR(L280="",K280="",L280=0),"",
  (L280-K280)/L280*100)</f>
        <v/>
      </c>
      <c r="N280" s="9" t="inlineStr"/>
      <c r="O280" s="10" t="inlineStr"/>
      <c r="P280" s="10" t="inlineStr"/>
      <c r="Q280" s="10" t="inlineStr"/>
      <c r="R280" s="10" t="inlineStr">
        <is>
          <t>2026-03-12</t>
        </is>
      </c>
      <c r="S280" s="10" t="inlineStr"/>
    </row>
    <row r="281">
      <c r="A281" s="3" t="inlineStr">
        <is>
          <t>F00520</t>
        </is>
      </c>
      <c r="B281" s="4" t="inlineStr">
        <is>
          <t>F00520</t>
        </is>
      </c>
      <c r="C281" s="4" t="inlineStr"/>
      <c r="D281" s="4" t="inlineStr">
        <is>
          <t>6009677015342</t>
        </is>
      </c>
      <c r="E281" s="3" t="inlineStr">
        <is>
          <t>PEEL &amp; STICK TILE 5PK KLD0916</t>
        </is>
      </c>
      <c r="F281" s="4" t="inlineStr"/>
      <c r="G281" s="4" t="inlineStr"/>
      <c r="H281" s="4" t="inlineStr"/>
      <c r="I281" s="5" t="n">
        <v>153.95</v>
      </c>
      <c r="J281" s="6" t="n">
        <v>15</v>
      </c>
      <c r="K281" s="7">
        <f>IF(I281="","",I281*(1+J281/100))</f>
        <v/>
      </c>
      <c r="L281" s="12" t="inlineStr"/>
      <c r="M281" s="8">
        <f>IF(OR(L281="",K281="",L281=0),"",
  (L281-K281)/L281*100)</f>
        <v/>
      </c>
      <c r="N281" s="9" t="inlineStr"/>
      <c r="O281" s="4" t="inlineStr"/>
      <c r="P281" s="4" t="inlineStr"/>
      <c r="Q281" s="4" t="inlineStr"/>
      <c r="R281" s="4" t="inlineStr">
        <is>
          <t>2026-03-12</t>
        </is>
      </c>
      <c r="S281" s="4" t="inlineStr"/>
    </row>
    <row r="282">
      <c r="A282" s="10" t="inlineStr">
        <is>
          <t>F00521</t>
        </is>
      </c>
      <c r="B282" s="10" t="inlineStr">
        <is>
          <t>F00521</t>
        </is>
      </c>
      <c r="C282" s="10" t="inlineStr"/>
      <c r="D282" s="10" t="inlineStr"/>
      <c r="E282" s="10" t="inlineStr">
        <is>
          <t>PEEL &amp; STICK TILES 5PK</t>
        </is>
      </c>
      <c r="F282" s="10" t="inlineStr"/>
      <c r="G282" s="10" t="inlineStr"/>
      <c r="H282" s="10" t="inlineStr"/>
      <c r="I282" s="11" t="n">
        <v>153.95</v>
      </c>
      <c r="J282" s="6" t="n">
        <v>15</v>
      </c>
      <c r="K282" s="7">
        <f>IF(I282="","",I282*(1+J282/100))</f>
        <v/>
      </c>
      <c r="L282" s="12" t="inlineStr"/>
      <c r="M282" s="8">
        <f>IF(OR(L282="",K282="",L282=0),"",
  (L282-K282)/L282*100)</f>
        <v/>
      </c>
      <c r="N282" s="9" t="inlineStr"/>
      <c r="O282" s="10" t="inlineStr"/>
      <c r="P282" s="10" t="inlineStr"/>
      <c r="Q282" s="10" t="inlineStr"/>
      <c r="R282" s="10" t="inlineStr">
        <is>
          <t>2026-03-12</t>
        </is>
      </c>
      <c r="S282" s="10" t="inlineStr"/>
    </row>
    <row r="283">
      <c r="A283" s="3" t="inlineStr">
        <is>
          <t>F00522</t>
        </is>
      </c>
      <c r="B283" s="4" t="inlineStr">
        <is>
          <t>F00522</t>
        </is>
      </c>
      <c r="C283" s="4" t="inlineStr"/>
      <c r="D283" s="4" t="inlineStr"/>
      <c r="E283" s="3" t="inlineStr">
        <is>
          <t>PEEL &amp; STICK TILES 5PK KC91719</t>
        </is>
      </c>
      <c r="F283" s="4" t="inlineStr"/>
      <c r="G283" s="4" t="inlineStr"/>
      <c r="H283" s="4" t="inlineStr"/>
      <c r="I283" s="5" t="n">
        <v>153.95</v>
      </c>
      <c r="J283" s="6" t="n">
        <v>15</v>
      </c>
      <c r="K283" s="7">
        <f>IF(I283="","",I283*(1+J283/100))</f>
        <v/>
      </c>
      <c r="L283" s="12" t="inlineStr"/>
      <c r="M283" s="8">
        <f>IF(OR(L283="",K283="",L283=0),"",
  (L283-K283)/L283*100)</f>
        <v/>
      </c>
      <c r="N283" s="9" t="inlineStr"/>
      <c r="O283" s="4" t="inlineStr"/>
      <c r="P283" s="4" t="inlineStr"/>
      <c r="Q283" s="4" t="inlineStr"/>
      <c r="R283" s="4" t="inlineStr">
        <is>
          <t>2026-03-12</t>
        </is>
      </c>
      <c r="S283" s="4" t="inlineStr"/>
    </row>
    <row r="284">
      <c r="A284" s="10" t="inlineStr">
        <is>
          <t>F00523</t>
        </is>
      </c>
      <c r="B284" s="10" t="inlineStr">
        <is>
          <t>F00523</t>
        </is>
      </c>
      <c r="C284" s="10" t="inlineStr"/>
      <c r="D284" s="10" t="inlineStr"/>
      <c r="E284" s="10" t="inlineStr">
        <is>
          <t>PEEL &amp; STICK TILES 5PK</t>
        </is>
      </c>
      <c r="F284" s="10" t="inlineStr"/>
      <c r="G284" s="10" t="inlineStr"/>
      <c r="H284" s="10" t="inlineStr"/>
      <c r="I284" s="11" t="n">
        <v>153.95</v>
      </c>
      <c r="J284" s="6" t="n">
        <v>15</v>
      </c>
      <c r="K284" s="7">
        <f>IF(I284="","",I284*(1+J284/100))</f>
        <v/>
      </c>
      <c r="L284" s="12" t="inlineStr"/>
      <c r="M284" s="8">
        <f>IF(OR(L284="",K284="",L284=0),"",
  (L284-K284)/L284*100)</f>
        <v/>
      </c>
      <c r="N284" s="9" t="inlineStr"/>
      <c r="O284" s="10" t="inlineStr"/>
      <c r="P284" s="10" t="inlineStr"/>
      <c r="Q284" s="10" t="inlineStr"/>
      <c r="R284" s="10" t="inlineStr">
        <is>
          <t>2026-03-12</t>
        </is>
      </c>
      <c r="S284" s="10" t="inlineStr"/>
    </row>
    <row r="285">
      <c r="A285" s="3" t="inlineStr">
        <is>
          <t>F00524</t>
        </is>
      </c>
      <c r="B285" s="4" t="inlineStr">
        <is>
          <t>F00524</t>
        </is>
      </c>
      <c r="C285" s="4" t="inlineStr"/>
      <c r="D285" s="4" t="inlineStr"/>
      <c r="E285" s="3" t="inlineStr">
        <is>
          <t>PEEL &amp; STICK TILES 5PK KD90405</t>
        </is>
      </c>
      <c r="F285" s="4" t="inlineStr"/>
      <c r="G285" s="4" t="inlineStr"/>
      <c r="H285" s="4" t="inlineStr"/>
      <c r="I285" s="5" t="n">
        <v>153.95</v>
      </c>
      <c r="J285" s="6" t="n">
        <v>15</v>
      </c>
      <c r="K285" s="7">
        <f>IF(I285="","",I285*(1+J285/100))</f>
        <v/>
      </c>
      <c r="L285" s="12" t="inlineStr"/>
      <c r="M285" s="8">
        <f>IF(OR(L285="",K285="",L285=0),"",
  (L285-K285)/L285*100)</f>
        <v/>
      </c>
      <c r="N285" s="9" t="inlineStr"/>
      <c r="O285" s="4" t="inlineStr"/>
      <c r="P285" s="4" t="inlineStr"/>
      <c r="Q285" s="4" t="inlineStr"/>
      <c r="R285" s="4" t="inlineStr">
        <is>
          <t>2026-03-12</t>
        </is>
      </c>
      <c r="S285" s="4" t="inlineStr"/>
    </row>
    <row r="286">
      <c r="A286" s="10" t="inlineStr">
        <is>
          <t>F00525</t>
        </is>
      </c>
      <c r="B286" s="10" t="inlineStr">
        <is>
          <t>F00525</t>
        </is>
      </c>
      <c r="C286" s="10" t="inlineStr"/>
      <c r="D286" s="10" t="inlineStr">
        <is>
          <t>6009697455500</t>
        </is>
      </c>
      <c r="E286" s="10" t="inlineStr">
        <is>
          <t>VINYL  SPONGE BAK 5MX2M SHR</t>
        </is>
      </c>
      <c r="F286" s="10" t="inlineStr"/>
      <c r="G286" s="10" t="inlineStr"/>
      <c r="H286" s="10" t="inlineStr"/>
      <c r="I286" s="11" t="n">
        <v>175.95</v>
      </c>
      <c r="J286" s="6" t="n">
        <v>15</v>
      </c>
      <c r="K286" s="7">
        <f>IF(I286="","",I286*(1+J286/100))</f>
        <v/>
      </c>
      <c r="L286" s="12" t="inlineStr"/>
      <c r="M286" s="8">
        <f>IF(OR(L286="",K286="",L286=0),"",
  (L286-K286)/L286*100)</f>
        <v/>
      </c>
      <c r="N286" s="13" t="n">
        <v>9</v>
      </c>
      <c r="O286" s="10" t="inlineStr"/>
      <c r="P286" s="10" t="inlineStr"/>
      <c r="Q286" s="10" t="inlineStr"/>
      <c r="R286" s="10" t="inlineStr">
        <is>
          <t>2026-03-12</t>
        </is>
      </c>
      <c r="S286" s="10" t="inlineStr"/>
    </row>
    <row r="287">
      <c r="A287" s="3" t="inlineStr">
        <is>
          <t>F00526</t>
        </is>
      </c>
      <c r="B287" s="4" t="inlineStr">
        <is>
          <t>F00526</t>
        </is>
      </c>
      <c r="C287" s="4" t="inlineStr"/>
      <c r="D287" s="4" t="inlineStr">
        <is>
          <t>6009677019050</t>
        </is>
      </c>
      <c r="E287" s="3" t="inlineStr">
        <is>
          <t>FAN STANDING 16" 2 PC PER 2BOX</t>
        </is>
      </c>
      <c r="F287" s="4" t="inlineStr"/>
      <c r="G287" s="4" t="inlineStr"/>
      <c r="H287" s="4" t="inlineStr"/>
      <c r="I287" s="5" t="n">
        <v>116.95</v>
      </c>
      <c r="J287" s="6" t="n">
        <v>15</v>
      </c>
      <c r="K287" s="7">
        <f>IF(I287="","",I287*(1+J287/100))</f>
        <v/>
      </c>
      <c r="L287" s="12" t="inlineStr"/>
      <c r="M287" s="8">
        <f>IF(OR(L287="",K287="",L287=0),"",
  (L287-K287)/L287*100)</f>
        <v/>
      </c>
      <c r="N287" s="9" t="inlineStr"/>
      <c r="O287" s="4" t="inlineStr"/>
      <c r="P287" s="4" t="inlineStr"/>
      <c r="Q287" s="4" t="inlineStr"/>
      <c r="R287" s="4" t="inlineStr">
        <is>
          <t>2026-03-12</t>
        </is>
      </c>
      <c r="S287" s="4" t="inlineStr"/>
    </row>
    <row r="288">
      <c r="A288" s="10" t="inlineStr">
        <is>
          <t>F00527</t>
        </is>
      </c>
      <c r="B288" s="10" t="inlineStr">
        <is>
          <t>F00527</t>
        </is>
      </c>
      <c r="C288" s="10" t="inlineStr"/>
      <c r="D288" s="10" t="inlineStr">
        <is>
          <t>6009697454060</t>
        </is>
      </c>
      <c r="E288" s="10" t="inlineStr">
        <is>
          <t>SAD IRON NUMBER 4 # 708-4</t>
        </is>
      </c>
      <c r="F288" s="10" t="inlineStr"/>
      <c r="G288" s="10" t="inlineStr"/>
      <c r="H288" s="10" t="inlineStr"/>
      <c r="I288" s="11" t="n">
        <v>40</v>
      </c>
      <c r="J288" s="6" t="n">
        <v>15</v>
      </c>
      <c r="K288" s="7">
        <f>IF(I288="","",I288*(1+J288/100))</f>
        <v/>
      </c>
      <c r="L288" s="12" t="inlineStr"/>
      <c r="M288" s="8">
        <f>IF(OR(L288="",K288="",L288=0),"",
  (L288-K288)/L288*100)</f>
        <v/>
      </c>
      <c r="N288" s="9" t="inlineStr"/>
      <c r="O288" s="10" t="inlineStr"/>
      <c r="P288" s="10" t="inlineStr"/>
      <c r="Q288" s="10" t="inlineStr"/>
      <c r="R288" s="10" t="inlineStr">
        <is>
          <t>2026-03-12</t>
        </is>
      </c>
      <c r="S288" s="10" t="inlineStr"/>
    </row>
    <row r="289">
      <c r="A289" s="3" t="inlineStr">
        <is>
          <t>F00528</t>
        </is>
      </c>
      <c r="B289" s="4" t="inlineStr">
        <is>
          <t>F00528</t>
        </is>
      </c>
      <c r="C289" s="4" t="inlineStr"/>
      <c r="D289" s="4" t="inlineStr">
        <is>
          <t>6009697454077</t>
        </is>
      </c>
      <c r="E289" s="3" t="inlineStr">
        <is>
          <t>SAD IRON NUMBER 5 # 708-5</t>
        </is>
      </c>
      <c r="F289" s="4" t="inlineStr"/>
      <c r="G289" s="4" t="inlineStr"/>
      <c r="H289" s="4" t="inlineStr"/>
      <c r="I289" s="5" t="n">
        <v>38</v>
      </c>
      <c r="J289" s="6" t="n">
        <v>15</v>
      </c>
      <c r="K289" s="7">
        <f>IF(I289="","",I289*(1+J289/100))</f>
        <v/>
      </c>
      <c r="L289" s="12" t="inlineStr"/>
      <c r="M289" s="8">
        <f>IF(OR(L289="",K289="",L289=0),"",
  (L289-K289)/L289*100)</f>
        <v/>
      </c>
      <c r="N289" s="9" t="inlineStr"/>
      <c r="O289" s="4" t="inlineStr"/>
      <c r="P289" s="4" t="inlineStr"/>
      <c r="Q289" s="4" t="inlineStr"/>
      <c r="R289" s="4" t="inlineStr">
        <is>
          <t>2026-03-12</t>
        </is>
      </c>
      <c r="S289" s="4" t="inlineStr"/>
    </row>
    <row r="290">
      <c r="A290" s="10" t="inlineStr">
        <is>
          <t>F00529</t>
        </is>
      </c>
      <c r="B290" s="10" t="inlineStr">
        <is>
          <t>F00529</t>
        </is>
      </c>
      <c r="C290" s="10" t="inlineStr"/>
      <c r="D290" s="10" t="inlineStr">
        <is>
          <t>6009697454084</t>
        </is>
      </c>
      <c r="E290" s="10" t="inlineStr">
        <is>
          <t>SAD IRON NUMBER 6 # 708-6</t>
        </is>
      </c>
      <c r="F290" s="10" t="inlineStr"/>
      <c r="G290" s="10" t="inlineStr"/>
      <c r="H290" s="10" t="inlineStr"/>
      <c r="I290" s="11" t="n">
        <v>42</v>
      </c>
      <c r="J290" s="6" t="n">
        <v>15</v>
      </c>
      <c r="K290" s="7">
        <f>IF(I290="","",I290*(1+J290/100))</f>
        <v/>
      </c>
      <c r="L290" s="12" t="inlineStr"/>
      <c r="M290" s="8">
        <f>IF(OR(L290="",K290="",L290=0),"",
  (L290-K290)/L290*100)</f>
        <v/>
      </c>
      <c r="N290" s="9" t="inlineStr"/>
      <c r="O290" s="10" t="inlineStr"/>
      <c r="P290" s="10" t="inlineStr"/>
      <c r="Q290" s="10" t="inlineStr"/>
      <c r="R290" s="10" t="inlineStr">
        <is>
          <t>2026-03-12</t>
        </is>
      </c>
      <c r="S290" s="10" t="inlineStr"/>
    </row>
    <row r="291">
      <c r="A291" s="3" t="inlineStr">
        <is>
          <t>F00530</t>
        </is>
      </c>
      <c r="B291" s="4" t="inlineStr">
        <is>
          <t>F00530</t>
        </is>
      </c>
      <c r="C291" s="4" t="inlineStr"/>
      <c r="D291" s="4" t="inlineStr">
        <is>
          <t>6203712558430</t>
        </is>
      </c>
      <c r="E291" s="3" t="inlineStr">
        <is>
          <t>KNIFE 4" BUTCHER 12'S PLS-KF1 WDN HANDLE</t>
        </is>
      </c>
      <c r="F291" s="4" t="inlineStr"/>
      <c r="G291" s="4" t="inlineStr"/>
      <c r="H291" s="4" t="inlineStr"/>
      <c r="I291" s="5" t="n">
        <v>71.95</v>
      </c>
      <c r="J291" s="6" t="n">
        <v>15</v>
      </c>
      <c r="K291" s="7">
        <f>IF(I291="","",I291*(1+J291/100))</f>
        <v/>
      </c>
      <c r="L291" s="12" t="inlineStr"/>
      <c r="M291" s="8">
        <f>IF(OR(L291="",K291="",L291=0),"",
  (L291-K291)/L291*100)</f>
        <v/>
      </c>
      <c r="N291" s="14" t="n">
        <v>1</v>
      </c>
      <c r="O291" s="4" t="inlineStr"/>
      <c r="P291" s="4" t="inlineStr"/>
      <c r="Q291" s="4" t="inlineStr"/>
      <c r="R291" s="4" t="inlineStr">
        <is>
          <t>2026-03-12</t>
        </is>
      </c>
      <c r="S291" s="4" t="inlineStr"/>
    </row>
    <row r="292">
      <c r="A292" s="10" t="inlineStr">
        <is>
          <t>F00531</t>
        </is>
      </c>
      <c r="B292" s="10" t="inlineStr">
        <is>
          <t>F00531</t>
        </is>
      </c>
      <c r="C292" s="10" t="inlineStr"/>
      <c r="D292" s="10" t="inlineStr">
        <is>
          <t>6203712558447</t>
        </is>
      </c>
      <c r="E292" s="10" t="inlineStr">
        <is>
          <t>KNIFE 5" BUTCHER 12'S PLS-KF2 WDN HANDLE</t>
        </is>
      </c>
      <c r="F292" s="10" t="inlineStr"/>
      <c r="G292" s="10" t="inlineStr"/>
      <c r="H292" s="10" t="inlineStr"/>
      <c r="I292" s="11" t="n">
        <v>82.95</v>
      </c>
      <c r="J292" s="6" t="n">
        <v>15</v>
      </c>
      <c r="K292" s="7">
        <f>IF(I292="","",I292*(1+J292/100))</f>
        <v/>
      </c>
      <c r="L292" s="12" t="inlineStr"/>
      <c r="M292" s="8">
        <f>IF(OR(L292="",K292="",L292=0),"",
  (L292-K292)/L292*100)</f>
        <v/>
      </c>
      <c r="N292" s="13" t="n">
        <v>3</v>
      </c>
      <c r="O292" s="10" t="inlineStr"/>
      <c r="P292" s="10" t="inlineStr"/>
      <c r="Q292" s="10" t="inlineStr"/>
      <c r="R292" s="10" t="inlineStr">
        <is>
          <t>2026-03-12</t>
        </is>
      </c>
      <c r="S292" s="10" t="inlineStr"/>
    </row>
    <row r="293">
      <c r="A293" s="3" t="inlineStr">
        <is>
          <t>F00532</t>
        </is>
      </c>
      <c r="B293" s="4" t="inlineStr">
        <is>
          <t>F00532</t>
        </is>
      </c>
      <c r="C293" s="4" t="inlineStr"/>
      <c r="D293" s="4" t="inlineStr">
        <is>
          <t>6203712558454</t>
        </is>
      </c>
      <c r="E293" s="3" t="inlineStr">
        <is>
          <t>KNIFE 6" BUTCHER 12'S PLS-KF3 WDN HANDLE</t>
        </is>
      </c>
      <c r="F293" s="4" t="inlineStr"/>
      <c r="G293" s="4" t="inlineStr"/>
      <c r="H293" s="4" t="inlineStr"/>
      <c r="I293" s="5" t="n">
        <v>103.95</v>
      </c>
      <c r="J293" s="6" t="n">
        <v>15</v>
      </c>
      <c r="K293" s="7">
        <f>IF(I293="","",I293*(1+J293/100))</f>
        <v/>
      </c>
      <c r="L293" s="12" t="inlineStr"/>
      <c r="M293" s="8">
        <f>IF(OR(L293="",K293="",L293=0),"",
  (L293-K293)/L293*100)</f>
        <v/>
      </c>
      <c r="N293" s="9" t="inlineStr"/>
      <c r="O293" s="4" t="inlineStr"/>
      <c r="P293" s="4" t="inlineStr"/>
      <c r="Q293" s="4" t="inlineStr"/>
      <c r="R293" s="4" t="inlineStr">
        <is>
          <t>2026-03-12</t>
        </is>
      </c>
      <c r="S293" s="4" t="inlineStr"/>
    </row>
    <row r="294">
      <c r="A294" s="10" t="inlineStr">
        <is>
          <t>F00533</t>
        </is>
      </c>
      <c r="B294" s="10" t="inlineStr">
        <is>
          <t>F00533</t>
        </is>
      </c>
      <c r="C294" s="10" t="inlineStr"/>
      <c r="D294" s="10" t="inlineStr">
        <is>
          <t>6203712558461</t>
        </is>
      </c>
      <c r="E294" s="10" t="inlineStr">
        <is>
          <t>KNIFE 7" BUTCHER 12'S PLS-KF4 WDN HANDLE</t>
        </is>
      </c>
      <c r="F294" s="10" t="inlineStr"/>
      <c r="G294" s="10" t="inlineStr"/>
      <c r="H294" s="10" t="inlineStr"/>
      <c r="I294" s="11" t="n">
        <v>114.5</v>
      </c>
      <c r="J294" s="6" t="n">
        <v>15</v>
      </c>
      <c r="K294" s="7">
        <f>IF(I294="","",I294*(1+J294/100))</f>
        <v/>
      </c>
      <c r="L294" s="12" t="inlineStr"/>
      <c r="M294" s="8">
        <f>IF(OR(L294="",K294="",L294=0),"",
  (L294-K294)/L294*100)</f>
        <v/>
      </c>
      <c r="N294" s="9" t="inlineStr"/>
      <c r="O294" s="10" t="inlineStr"/>
      <c r="P294" s="10" t="inlineStr"/>
      <c r="Q294" s="10" t="inlineStr"/>
      <c r="R294" s="10" t="inlineStr">
        <is>
          <t>2026-03-12</t>
        </is>
      </c>
      <c r="S294" s="10" t="inlineStr"/>
    </row>
    <row r="295">
      <c r="A295" s="3" t="inlineStr">
        <is>
          <t>F00534</t>
        </is>
      </c>
      <c r="B295" s="4" t="inlineStr">
        <is>
          <t>F00534</t>
        </is>
      </c>
      <c r="C295" s="4" t="inlineStr"/>
      <c r="D295" s="4" t="inlineStr">
        <is>
          <t>6203712558478</t>
        </is>
      </c>
      <c r="E295" s="3" t="inlineStr">
        <is>
          <t>KNIFE 8" BUTCHER 12'S PLS-KF5 WDN HANDLE</t>
        </is>
      </c>
      <c r="F295" s="4" t="inlineStr"/>
      <c r="G295" s="4" t="inlineStr"/>
      <c r="H295" s="4" t="inlineStr"/>
      <c r="I295" s="5" t="n">
        <v>120</v>
      </c>
      <c r="J295" s="6" t="n">
        <v>15</v>
      </c>
      <c r="K295" s="7">
        <f>IF(I295="","",I295*(1+J295/100))</f>
        <v/>
      </c>
      <c r="L295" s="12" t="inlineStr"/>
      <c r="M295" s="8">
        <f>IF(OR(L295="",K295="",L295=0),"",
  (L295-K295)/L295*100)</f>
        <v/>
      </c>
      <c r="N295" s="9" t="inlineStr"/>
      <c r="O295" s="4" t="inlineStr"/>
      <c r="P295" s="4" t="inlineStr"/>
      <c r="Q295" s="4" t="inlineStr"/>
      <c r="R295" s="4" t="inlineStr">
        <is>
          <t>2026-03-12</t>
        </is>
      </c>
      <c r="S295" s="4" t="inlineStr"/>
    </row>
    <row r="296">
      <c r="A296" s="10" t="inlineStr">
        <is>
          <t>F00535</t>
        </is>
      </c>
      <c r="B296" s="10" t="inlineStr">
        <is>
          <t>F00535</t>
        </is>
      </c>
      <c r="C296" s="10" t="inlineStr"/>
      <c r="D296" s="10" t="inlineStr">
        <is>
          <t>6203712558485</t>
        </is>
      </c>
      <c r="E296" s="10" t="inlineStr">
        <is>
          <t>KNIFE 9" BUTCHER 12'S PLS-KF6 WDN HANDLE</t>
        </is>
      </c>
      <c r="F296" s="10" t="inlineStr"/>
      <c r="G296" s="10" t="inlineStr"/>
      <c r="H296" s="10" t="inlineStr"/>
      <c r="I296" s="11" t="n">
        <v>125</v>
      </c>
      <c r="J296" s="6" t="n">
        <v>15</v>
      </c>
      <c r="K296" s="7">
        <f>IF(I296="","",I296*(1+J296/100))</f>
        <v/>
      </c>
      <c r="L296" s="12" t="inlineStr"/>
      <c r="M296" s="8">
        <f>IF(OR(L296="",K296="",L296=0),"",
  (L296-K296)/L296*100)</f>
        <v/>
      </c>
      <c r="N296" s="9" t="inlineStr"/>
      <c r="O296" s="10" t="inlineStr"/>
      <c r="P296" s="10" t="inlineStr"/>
      <c r="Q296" s="10" t="inlineStr"/>
      <c r="R296" s="10" t="inlineStr">
        <is>
          <t>2026-03-12</t>
        </is>
      </c>
      <c r="S296" s="10" t="inlineStr"/>
    </row>
    <row r="297">
      <c r="A297" s="3" t="inlineStr">
        <is>
          <t>F00536</t>
        </is>
      </c>
      <c r="B297" s="4" t="inlineStr">
        <is>
          <t>F00536</t>
        </is>
      </c>
      <c r="C297" s="4" t="inlineStr"/>
      <c r="D297" s="4" t="inlineStr">
        <is>
          <t>6203712558492</t>
        </is>
      </c>
      <c r="E297" s="3" t="inlineStr">
        <is>
          <t>KNIFE 10" BUTCHER 12'S PLS-KF7  WDN HAND</t>
        </is>
      </c>
      <c r="F297" s="4" t="inlineStr"/>
      <c r="G297" s="4" t="inlineStr"/>
      <c r="H297" s="4" t="inlineStr"/>
      <c r="I297" s="5" t="n">
        <v>119.5</v>
      </c>
      <c r="J297" s="6" t="n">
        <v>15</v>
      </c>
      <c r="K297" s="7">
        <f>IF(I297="","",I297*(1+J297/100))</f>
        <v/>
      </c>
      <c r="L297" s="12" t="inlineStr"/>
      <c r="M297" s="8">
        <f>IF(OR(L297="",K297="",L297=0),"",
  (L297-K297)/L297*100)</f>
        <v/>
      </c>
      <c r="N297" s="9" t="inlineStr"/>
      <c r="O297" s="4" t="inlineStr"/>
      <c r="P297" s="4" t="inlineStr"/>
      <c r="Q297" s="4" t="inlineStr"/>
      <c r="R297" s="4" t="inlineStr">
        <is>
          <t>2026-03-12</t>
        </is>
      </c>
      <c r="S297" s="4" t="inlineStr"/>
    </row>
    <row r="298">
      <c r="A298" s="10" t="inlineStr">
        <is>
          <t>F00537</t>
        </is>
      </c>
      <c r="B298" s="10" t="inlineStr">
        <is>
          <t>F00537</t>
        </is>
      </c>
      <c r="C298" s="10" t="inlineStr"/>
      <c r="D298" s="10" t="inlineStr">
        <is>
          <t>6203712558577</t>
        </is>
      </c>
      <c r="E298" s="10" t="inlineStr">
        <is>
          <t>KNIFE BREAD 8" PL/HNDLE CARDD</t>
        </is>
      </c>
      <c r="F298" s="10" t="inlineStr"/>
      <c r="G298" s="10" t="inlineStr"/>
      <c r="H298" s="10" t="inlineStr"/>
      <c r="I298" s="11" t="n">
        <v>4.35</v>
      </c>
      <c r="J298" s="6" t="n">
        <v>15</v>
      </c>
      <c r="K298" s="7">
        <f>IF(I298="","",I298*(1+J298/100))</f>
        <v/>
      </c>
      <c r="L298" s="12" t="inlineStr"/>
      <c r="M298" s="8">
        <f>IF(OR(L298="",K298="",L298=0),"",
  (L298-K298)/L298*100)</f>
        <v/>
      </c>
      <c r="N298" s="9" t="inlineStr"/>
      <c r="O298" s="10" t="inlineStr"/>
      <c r="P298" s="10" t="inlineStr"/>
      <c r="Q298" s="10" t="inlineStr"/>
      <c r="R298" s="10" t="inlineStr">
        <is>
          <t>2026-03-12</t>
        </is>
      </c>
      <c r="S298" s="10" t="inlineStr"/>
    </row>
    <row r="299">
      <c r="A299" s="3" t="inlineStr">
        <is>
          <t>F00538</t>
        </is>
      </c>
      <c r="B299" s="4" t="inlineStr">
        <is>
          <t>F00538</t>
        </is>
      </c>
      <c r="C299" s="4" t="inlineStr"/>
      <c r="D299" s="4" t="inlineStr">
        <is>
          <t>6203712558669</t>
        </is>
      </c>
      <c r="E299" s="3" t="inlineStr">
        <is>
          <t>CAN OPENER MTL HND TYPE MIN12</t>
        </is>
      </c>
      <c r="F299" s="4" t="inlineStr"/>
      <c r="G299" s="4" t="inlineStr"/>
      <c r="H299" s="4" t="inlineStr"/>
      <c r="I299" s="5" t="n">
        <v>4.99</v>
      </c>
      <c r="J299" s="6" t="n">
        <v>15</v>
      </c>
      <c r="K299" s="7">
        <f>IF(I299="","",I299*(1+J299/100))</f>
        <v/>
      </c>
      <c r="L299" s="12" t="inlineStr"/>
      <c r="M299" s="8">
        <f>IF(OR(L299="",K299="",L299=0),"",
  (L299-K299)/L299*100)</f>
        <v/>
      </c>
      <c r="N299" s="9" t="inlineStr"/>
      <c r="O299" s="4" t="inlineStr"/>
      <c r="P299" s="4" t="inlineStr"/>
      <c r="Q299" s="4" t="inlineStr"/>
      <c r="R299" s="4" t="inlineStr">
        <is>
          <t>2026-03-12</t>
        </is>
      </c>
      <c r="S299" s="4" t="inlineStr"/>
    </row>
    <row r="300">
      <c r="A300" s="10" t="inlineStr">
        <is>
          <t>F00541</t>
        </is>
      </c>
      <c r="B300" s="10" t="inlineStr">
        <is>
          <t>F00541</t>
        </is>
      </c>
      <c r="C300" s="10" t="inlineStr"/>
      <c r="D300" s="10" t="inlineStr">
        <is>
          <t>6203712558614</t>
        </is>
      </c>
      <c r="E300" s="10" t="inlineStr">
        <is>
          <t>KNIFE STEAK WD HNDLE 6S CARDD</t>
        </is>
      </c>
      <c r="F300" s="10" t="inlineStr"/>
      <c r="G300" s="10" t="inlineStr"/>
      <c r="H300" s="10" t="inlineStr"/>
      <c r="I300" s="11" t="n">
        <v>16.25</v>
      </c>
      <c r="J300" s="6" t="n">
        <v>15</v>
      </c>
      <c r="K300" s="7">
        <f>IF(I300="","",I300*(1+J300/100))</f>
        <v/>
      </c>
      <c r="L300" s="12" t="inlineStr"/>
      <c r="M300" s="8">
        <f>IF(OR(L300="",K300="",L300=0),"",
  (L300-K300)/L300*100)</f>
        <v/>
      </c>
      <c r="N300" s="9" t="inlineStr"/>
      <c r="O300" s="10" t="inlineStr"/>
      <c r="P300" s="10" t="inlineStr"/>
      <c r="Q300" s="10" t="inlineStr"/>
      <c r="R300" s="10" t="inlineStr">
        <is>
          <t>2026-03-12</t>
        </is>
      </c>
      <c r="S300" s="10" t="inlineStr"/>
    </row>
    <row r="301">
      <c r="A301" s="3" t="inlineStr">
        <is>
          <t>F00542</t>
        </is>
      </c>
      <c r="B301" s="4" t="inlineStr">
        <is>
          <t>F00542</t>
        </is>
      </c>
      <c r="C301" s="4" t="inlineStr"/>
      <c r="D301" s="4" t="inlineStr">
        <is>
          <t>6203712558621</t>
        </is>
      </c>
      <c r="E301" s="3" t="inlineStr">
        <is>
          <t>KNIFE STEAK BAKE/LT HNDLE 6S C</t>
        </is>
      </c>
      <c r="F301" s="4" t="inlineStr"/>
      <c r="G301" s="4" t="inlineStr"/>
      <c r="H301" s="4" t="inlineStr"/>
      <c r="I301" s="5" t="n">
        <v>29.95</v>
      </c>
      <c r="J301" s="6" t="n">
        <v>15</v>
      </c>
      <c r="K301" s="7">
        <f>IF(I301="","",I301*(1+J301/100))</f>
        <v/>
      </c>
      <c r="L301" s="12" t="inlineStr"/>
      <c r="M301" s="8">
        <f>IF(OR(L301="",K301="",L301=0),"",
  (L301-K301)/L301*100)</f>
        <v/>
      </c>
      <c r="N301" s="9" t="inlineStr"/>
      <c r="O301" s="4" t="inlineStr"/>
      <c r="P301" s="4" t="inlineStr"/>
      <c r="Q301" s="4" t="inlineStr"/>
      <c r="R301" s="4" t="inlineStr">
        <is>
          <t>2026-03-12</t>
        </is>
      </c>
      <c r="S301" s="4" t="inlineStr"/>
    </row>
    <row r="302">
      <c r="A302" s="10" t="inlineStr">
        <is>
          <t>F00546</t>
        </is>
      </c>
      <c r="B302" s="10" t="inlineStr">
        <is>
          <t>F00546</t>
        </is>
      </c>
      <c r="C302" s="10" t="inlineStr"/>
      <c r="D302" s="10" t="inlineStr">
        <is>
          <t>6203712558676</t>
        </is>
      </c>
      <c r="E302" s="10" t="inlineStr">
        <is>
          <t>PEELER  METAL 506-1</t>
        </is>
      </c>
      <c r="F302" s="10" t="inlineStr"/>
      <c r="G302" s="10" t="inlineStr"/>
      <c r="H302" s="10" t="inlineStr"/>
      <c r="I302" s="11" t="n">
        <v>5.99</v>
      </c>
      <c r="J302" s="6" t="n">
        <v>15</v>
      </c>
      <c r="K302" s="7">
        <f>IF(I302="","",I302*(1+J302/100))</f>
        <v/>
      </c>
      <c r="L302" s="12" t="inlineStr"/>
      <c r="M302" s="8">
        <f>IF(OR(L302="",K302="",L302=0),"",
  (L302-K302)/L302*100)</f>
        <v/>
      </c>
      <c r="N302" s="13" t="n">
        <v>20</v>
      </c>
      <c r="O302" s="10" t="inlineStr"/>
      <c r="P302" s="10" t="inlineStr"/>
      <c r="Q302" s="10" t="inlineStr"/>
      <c r="R302" s="10" t="inlineStr">
        <is>
          <t>2026-03-12</t>
        </is>
      </c>
      <c r="S302" s="10" t="inlineStr"/>
    </row>
    <row r="303">
      <c r="A303" s="3" t="inlineStr">
        <is>
          <t>F00547</t>
        </is>
      </c>
      <c r="B303" s="4" t="inlineStr">
        <is>
          <t>F00547</t>
        </is>
      </c>
      <c r="C303" s="4" t="inlineStr"/>
      <c r="D303" s="4" t="inlineStr">
        <is>
          <t>6203712558607</t>
        </is>
      </c>
      <c r="E303" s="3" t="inlineStr">
        <is>
          <t>SPOON DESSRT WD HNDLE 6S CARDD</t>
        </is>
      </c>
      <c r="F303" s="4" t="inlineStr"/>
      <c r="G303" s="4" t="inlineStr"/>
      <c r="H303" s="4" t="inlineStr"/>
      <c r="I303" s="5" t="n">
        <v>16.25</v>
      </c>
      <c r="J303" s="6" t="n">
        <v>15</v>
      </c>
      <c r="K303" s="7">
        <f>IF(I303="","",I303*(1+J303/100))</f>
        <v/>
      </c>
      <c r="L303" s="12" t="inlineStr"/>
      <c r="M303" s="8">
        <f>IF(OR(L303="",K303="",L303=0),"",
  (L303-K303)/L303*100)</f>
        <v/>
      </c>
      <c r="N303" s="9" t="inlineStr"/>
      <c r="O303" s="4" t="inlineStr"/>
      <c r="P303" s="4" t="inlineStr"/>
      <c r="Q303" s="4" t="inlineStr"/>
      <c r="R303" s="4" t="inlineStr">
        <is>
          <t>2026-03-12</t>
        </is>
      </c>
      <c r="S303" s="4" t="inlineStr"/>
    </row>
    <row r="304">
      <c r="A304" s="10" t="inlineStr">
        <is>
          <t>F00548</t>
        </is>
      </c>
      <c r="B304" s="10" t="inlineStr">
        <is>
          <t>F00548</t>
        </is>
      </c>
      <c r="C304" s="10" t="inlineStr"/>
      <c r="D304" s="10" t="inlineStr">
        <is>
          <t>6203712558508</t>
        </is>
      </c>
      <c r="E304" s="10" t="inlineStr">
        <is>
          <t>KNIFE 4"WD HNDLE CARDD MIN12</t>
        </is>
      </c>
      <c r="F304" s="10" t="inlineStr"/>
      <c r="G304" s="10" t="inlineStr"/>
      <c r="H304" s="10" t="inlineStr"/>
      <c r="I304" s="11" t="n">
        <v>2.89</v>
      </c>
      <c r="J304" s="6" t="n">
        <v>15</v>
      </c>
      <c r="K304" s="7">
        <f>IF(I304="","",I304*(1+J304/100))</f>
        <v/>
      </c>
      <c r="L304" s="12" t="inlineStr"/>
      <c r="M304" s="8">
        <f>IF(OR(L304="",K304="",L304=0),"",
  (L304-K304)/L304*100)</f>
        <v/>
      </c>
      <c r="N304" s="9" t="inlineStr"/>
      <c r="O304" s="10" t="inlineStr"/>
      <c r="P304" s="10" t="inlineStr"/>
      <c r="Q304" s="10" t="inlineStr"/>
      <c r="R304" s="10" t="inlineStr">
        <is>
          <t>2026-03-12</t>
        </is>
      </c>
      <c r="S304" s="10" t="inlineStr"/>
    </row>
    <row r="305">
      <c r="A305" s="3" t="inlineStr">
        <is>
          <t>F00549</t>
        </is>
      </c>
      <c r="B305" s="4" t="inlineStr">
        <is>
          <t>F00549</t>
        </is>
      </c>
      <c r="C305" s="4" t="inlineStr"/>
      <c r="D305" s="4" t="inlineStr">
        <is>
          <t>6203712558515</t>
        </is>
      </c>
      <c r="E305" s="3" t="inlineStr">
        <is>
          <t>KNIFE 5"WD HNDLE CARDD MIN 12</t>
        </is>
      </c>
      <c r="F305" s="4" t="inlineStr"/>
      <c r="G305" s="4" t="inlineStr"/>
      <c r="H305" s="4" t="inlineStr"/>
      <c r="I305" s="5" t="n">
        <v>3.15</v>
      </c>
      <c r="J305" s="6" t="n">
        <v>15</v>
      </c>
      <c r="K305" s="7">
        <f>IF(I305="","",I305*(1+J305/100))</f>
        <v/>
      </c>
      <c r="L305" s="12" t="inlineStr"/>
      <c r="M305" s="8">
        <f>IF(OR(L305="",K305="",L305=0),"",
  (L305-K305)/L305*100)</f>
        <v/>
      </c>
      <c r="N305" s="9" t="inlineStr"/>
      <c r="O305" s="4" t="inlineStr"/>
      <c r="P305" s="4" t="inlineStr"/>
      <c r="Q305" s="4" t="inlineStr"/>
      <c r="R305" s="4" t="inlineStr">
        <is>
          <t>2026-03-12</t>
        </is>
      </c>
      <c r="S305" s="4" t="inlineStr"/>
    </row>
    <row r="306">
      <c r="A306" s="10" t="inlineStr">
        <is>
          <t>F00550</t>
        </is>
      </c>
      <c r="B306" s="10" t="inlineStr">
        <is>
          <t>F00550</t>
        </is>
      </c>
      <c r="C306" s="10" t="inlineStr"/>
      <c r="D306" s="10" t="inlineStr">
        <is>
          <t>6203712558522</t>
        </is>
      </c>
      <c r="E306" s="10" t="inlineStr">
        <is>
          <t>KNIFE 6"WD HNDLE CARDD MIN 12</t>
        </is>
      </c>
      <c r="F306" s="10" t="inlineStr"/>
      <c r="G306" s="10" t="inlineStr"/>
      <c r="H306" s="10" t="inlineStr"/>
      <c r="I306" s="11" t="n">
        <v>4.5</v>
      </c>
      <c r="J306" s="6" t="n">
        <v>15</v>
      </c>
      <c r="K306" s="7">
        <f>IF(I306="","",I306*(1+J306/100))</f>
        <v/>
      </c>
      <c r="L306" s="12" t="inlineStr"/>
      <c r="M306" s="8">
        <f>IF(OR(L306="",K306="",L306=0),"",
  (L306-K306)/L306*100)</f>
        <v/>
      </c>
      <c r="N306" s="9" t="inlineStr"/>
      <c r="O306" s="10" t="inlineStr"/>
      <c r="P306" s="10" t="inlineStr"/>
      <c r="Q306" s="10" t="inlineStr"/>
      <c r="R306" s="10" t="inlineStr">
        <is>
          <t>2026-03-12</t>
        </is>
      </c>
      <c r="S306" s="10" t="inlineStr"/>
    </row>
    <row r="307">
      <c r="A307" s="3" t="inlineStr">
        <is>
          <t>F00551</t>
        </is>
      </c>
      <c r="B307" s="4" t="inlineStr">
        <is>
          <t>F00551</t>
        </is>
      </c>
      <c r="C307" s="4" t="inlineStr"/>
      <c r="D307" s="4" t="inlineStr">
        <is>
          <t>6203712558539</t>
        </is>
      </c>
      <c r="E307" s="3" t="inlineStr">
        <is>
          <t>KNIFE 7"WD HNDLE CARDD MIN 12</t>
        </is>
      </c>
      <c r="F307" s="4" t="inlineStr"/>
      <c r="G307" s="4" t="inlineStr"/>
      <c r="H307" s="4" t="inlineStr"/>
      <c r="I307" s="5" t="n">
        <v>4.89</v>
      </c>
      <c r="J307" s="6" t="n">
        <v>15</v>
      </c>
      <c r="K307" s="7">
        <f>IF(I307="","",I307*(1+J307/100))</f>
        <v/>
      </c>
      <c r="L307" s="12" t="inlineStr"/>
      <c r="M307" s="8">
        <f>IF(OR(L307="",K307="",L307=0),"",
  (L307-K307)/L307*100)</f>
        <v/>
      </c>
      <c r="N307" s="9" t="inlineStr"/>
      <c r="O307" s="4" t="inlineStr"/>
      <c r="P307" s="4" t="inlineStr"/>
      <c r="Q307" s="4" t="inlineStr"/>
      <c r="R307" s="4" t="inlineStr">
        <is>
          <t>2026-03-12</t>
        </is>
      </c>
      <c r="S307" s="4" t="inlineStr"/>
    </row>
    <row r="308">
      <c r="A308" s="10" t="inlineStr">
        <is>
          <t>F00552</t>
        </is>
      </c>
      <c r="B308" s="10" t="inlineStr">
        <is>
          <t>F00552</t>
        </is>
      </c>
      <c r="C308" s="10" t="inlineStr"/>
      <c r="D308" s="10" t="inlineStr">
        <is>
          <t>6203712558546</t>
        </is>
      </c>
      <c r="E308" s="10" t="inlineStr">
        <is>
          <t>KNIFE 8"WD HNDLE CARDD MIN 12</t>
        </is>
      </c>
      <c r="F308" s="10" t="inlineStr"/>
      <c r="G308" s="10" t="inlineStr"/>
      <c r="H308" s="10" t="inlineStr"/>
      <c r="I308" s="11" t="n">
        <v>5.8</v>
      </c>
      <c r="J308" s="6" t="n">
        <v>15</v>
      </c>
      <c r="K308" s="7">
        <f>IF(I308="","",I308*(1+J308/100))</f>
        <v/>
      </c>
      <c r="L308" s="12" t="inlineStr"/>
      <c r="M308" s="8">
        <f>IF(OR(L308="",K308="",L308=0),"",
  (L308-K308)/L308*100)</f>
        <v/>
      </c>
      <c r="N308" s="9" t="inlineStr"/>
      <c r="O308" s="10" t="inlineStr"/>
      <c r="P308" s="10" t="inlineStr"/>
      <c r="Q308" s="10" t="inlineStr"/>
      <c r="R308" s="10" t="inlineStr">
        <is>
          <t>2026-03-12</t>
        </is>
      </c>
      <c r="S308" s="10" t="inlineStr"/>
    </row>
    <row r="309">
      <c r="A309" s="3" t="inlineStr">
        <is>
          <t>F00553</t>
        </is>
      </c>
      <c r="B309" s="4" t="inlineStr">
        <is>
          <t>F00553</t>
        </is>
      </c>
      <c r="C309" s="4" t="inlineStr"/>
      <c r="D309" s="4" t="inlineStr">
        <is>
          <t>6203712558553</t>
        </is>
      </c>
      <c r="E309" s="3" t="inlineStr">
        <is>
          <t>KNIFE 9" WD HNDLE CARDD MIN 12</t>
        </is>
      </c>
      <c r="F309" s="4" t="inlineStr"/>
      <c r="G309" s="4" t="inlineStr"/>
      <c r="H309" s="4" t="inlineStr"/>
      <c r="I309" s="5" t="n">
        <v>7.95</v>
      </c>
      <c r="J309" s="6" t="n">
        <v>15</v>
      </c>
      <c r="K309" s="7">
        <f>IF(I309="","",I309*(1+J309/100))</f>
        <v/>
      </c>
      <c r="L309" s="12" t="inlineStr"/>
      <c r="M309" s="8">
        <f>IF(OR(L309="",K309="",L309=0),"",
  (L309-K309)/L309*100)</f>
        <v/>
      </c>
      <c r="N309" s="9" t="inlineStr"/>
      <c r="O309" s="4" t="inlineStr"/>
      <c r="P309" s="4" t="inlineStr"/>
      <c r="Q309" s="4" t="inlineStr"/>
      <c r="R309" s="4" t="inlineStr">
        <is>
          <t>2026-03-12</t>
        </is>
      </c>
      <c r="S309" s="4" t="inlineStr"/>
    </row>
    <row r="310">
      <c r="A310" s="10" t="inlineStr">
        <is>
          <t>F00554</t>
        </is>
      </c>
      <c r="B310" s="10" t="inlineStr">
        <is>
          <t>F00554</t>
        </is>
      </c>
      <c r="C310" s="10" t="inlineStr"/>
      <c r="D310" s="10" t="inlineStr">
        <is>
          <t>6203712558560</t>
        </is>
      </c>
      <c r="E310" s="10" t="inlineStr">
        <is>
          <t>KNIFE 10"WD HNDLE CARDD MIN12</t>
        </is>
      </c>
      <c r="F310" s="10" t="inlineStr"/>
      <c r="G310" s="10" t="inlineStr"/>
      <c r="H310" s="10" t="inlineStr"/>
      <c r="I310" s="11" t="n">
        <v>8.49</v>
      </c>
      <c r="J310" s="6" t="n">
        <v>15</v>
      </c>
      <c r="K310" s="7">
        <f>IF(I310="","",I310*(1+J310/100))</f>
        <v/>
      </c>
      <c r="L310" s="12" t="inlineStr"/>
      <c r="M310" s="8">
        <f>IF(OR(L310="",K310="",L310=0),"",
  (L310-K310)/L310*100)</f>
        <v/>
      </c>
      <c r="N310" s="9" t="inlineStr"/>
      <c r="O310" s="10" t="inlineStr"/>
      <c r="P310" s="10" t="inlineStr"/>
      <c r="Q310" s="10" t="inlineStr"/>
      <c r="R310" s="10" t="inlineStr">
        <is>
          <t>2026-03-12</t>
        </is>
      </c>
      <c r="S310" s="10" t="inlineStr"/>
    </row>
    <row r="311">
      <c r="A311" s="3" t="inlineStr">
        <is>
          <t>F00555</t>
        </is>
      </c>
      <c r="B311" s="4" t="inlineStr">
        <is>
          <t>F00555</t>
        </is>
      </c>
      <c r="C311" s="4" t="inlineStr"/>
      <c r="D311" s="4" t="inlineStr">
        <is>
          <t>6009697454824</t>
        </is>
      </c>
      <c r="E311" s="3" t="inlineStr">
        <is>
          <t>DRINK SET 7PC GOLD</t>
        </is>
      </c>
      <c r="F311" s="4" t="inlineStr"/>
      <c r="G311" s="4" t="inlineStr"/>
      <c r="H311" s="4" t="inlineStr"/>
      <c r="I311" s="5" t="n">
        <v>37.95</v>
      </c>
      <c r="J311" s="6" t="n">
        <v>15</v>
      </c>
      <c r="K311" s="7">
        <f>IF(I311="","",I311*(1+J311/100))</f>
        <v/>
      </c>
      <c r="L311" s="12" t="inlineStr"/>
      <c r="M311" s="8">
        <f>IF(OR(L311="",K311="",L311=0),"",
  (L311-K311)/L311*100)</f>
        <v/>
      </c>
      <c r="N311" s="9" t="inlineStr"/>
      <c r="O311" s="4" t="inlineStr"/>
      <c r="P311" s="4" t="inlineStr"/>
      <c r="Q311" s="4" t="inlineStr"/>
      <c r="R311" s="4" t="inlineStr">
        <is>
          <t>2026-03-12</t>
        </is>
      </c>
      <c r="S311" s="4" t="inlineStr"/>
    </row>
    <row r="312">
      <c r="A312" s="10" t="inlineStr">
        <is>
          <t>F00556</t>
        </is>
      </c>
      <c r="B312" s="10" t="inlineStr">
        <is>
          <t>F00556</t>
        </is>
      </c>
      <c r="C312" s="10" t="inlineStr"/>
      <c r="D312" s="10" t="inlineStr">
        <is>
          <t>6009697454831</t>
        </is>
      </c>
      <c r="E312" s="10" t="inlineStr">
        <is>
          <t>DRINK SET 7PC GOLD</t>
        </is>
      </c>
      <c r="F312" s="10" t="inlineStr"/>
      <c r="G312" s="10" t="inlineStr"/>
      <c r="H312" s="10" t="inlineStr"/>
      <c r="I312" s="11" t="n">
        <v>34.95</v>
      </c>
      <c r="J312" s="6" t="n">
        <v>15</v>
      </c>
      <c r="K312" s="7">
        <f>IF(I312="","",I312*(1+J312/100))</f>
        <v/>
      </c>
      <c r="L312" s="12" t="inlineStr"/>
      <c r="M312" s="8">
        <f>IF(OR(L312="",K312="",L312=0),"",
  (L312-K312)/L312*100)</f>
        <v/>
      </c>
      <c r="N312" s="9" t="inlineStr"/>
      <c r="O312" s="10" t="inlineStr"/>
      <c r="P312" s="10" t="inlineStr"/>
      <c r="Q312" s="10" t="inlineStr"/>
      <c r="R312" s="10" t="inlineStr">
        <is>
          <t>2026-03-12</t>
        </is>
      </c>
      <c r="S312" s="10" t="inlineStr"/>
    </row>
    <row r="313">
      <c r="A313" s="3" t="inlineStr">
        <is>
          <t>F00557</t>
        </is>
      </c>
      <c r="B313" s="4" t="inlineStr">
        <is>
          <t>F00557</t>
        </is>
      </c>
      <c r="C313" s="4" t="inlineStr"/>
      <c r="D313" s="4" t="inlineStr">
        <is>
          <t>6009697453902</t>
        </is>
      </c>
      <c r="E313" s="3" t="inlineStr">
        <is>
          <t>FLASK ST/STEEL(PL-012)500ML</t>
        </is>
      </c>
      <c r="F313" s="4" t="inlineStr"/>
      <c r="G313" s="4" t="inlineStr"/>
      <c r="H313" s="4" t="inlineStr"/>
      <c r="I313" s="5" t="n">
        <v>27.95</v>
      </c>
      <c r="J313" s="6" t="n">
        <v>15</v>
      </c>
      <c r="K313" s="7">
        <f>IF(I313="","",I313*(1+J313/100))</f>
        <v/>
      </c>
      <c r="L313" s="12" t="inlineStr"/>
      <c r="M313" s="8">
        <f>IF(OR(L313="",K313="",L313=0),"",
  (L313-K313)/L313*100)</f>
        <v/>
      </c>
      <c r="N313" s="9" t="inlineStr"/>
      <c r="O313" s="4" t="inlineStr"/>
      <c r="P313" s="4" t="inlineStr"/>
      <c r="Q313" s="4" t="inlineStr"/>
      <c r="R313" s="4" t="inlineStr">
        <is>
          <t>2026-03-12</t>
        </is>
      </c>
      <c r="S313" s="4" t="inlineStr"/>
    </row>
    <row r="314">
      <c r="A314" s="10" t="inlineStr">
        <is>
          <t>F00558</t>
        </is>
      </c>
      <c r="B314" s="10" t="inlineStr">
        <is>
          <t>F00558</t>
        </is>
      </c>
      <c r="C314" s="10" t="inlineStr"/>
      <c r="D314" s="10" t="inlineStr">
        <is>
          <t>6009697453926</t>
        </is>
      </c>
      <c r="E314" s="10" t="inlineStr">
        <is>
          <t>MUG TRAVEL(PL-119)PLASTIC 400M</t>
        </is>
      </c>
      <c r="F314" s="10" t="inlineStr"/>
      <c r="G314" s="10" t="inlineStr"/>
      <c r="H314" s="10" t="inlineStr"/>
      <c r="I314" s="11" t="n">
        <v>9.5</v>
      </c>
      <c r="J314" s="6" t="n">
        <v>15</v>
      </c>
      <c r="K314" s="7">
        <f>IF(I314="","",I314*(1+J314/100))</f>
        <v/>
      </c>
      <c r="L314" s="12" t="inlineStr"/>
      <c r="M314" s="8">
        <f>IF(OR(L314="",K314="",L314=0),"",
  (L314-K314)/L314*100)</f>
        <v/>
      </c>
      <c r="N314" s="9" t="inlineStr"/>
      <c r="O314" s="10" t="inlineStr"/>
      <c r="P314" s="10" t="inlineStr"/>
      <c r="Q314" s="10" t="inlineStr"/>
      <c r="R314" s="10" t="inlineStr">
        <is>
          <t>2026-03-12</t>
        </is>
      </c>
      <c r="S314" s="10" t="inlineStr"/>
    </row>
    <row r="315">
      <c r="A315" s="3" t="inlineStr">
        <is>
          <t>F00559</t>
        </is>
      </c>
      <c r="B315" s="4" t="inlineStr">
        <is>
          <t>F00559</t>
        </is>
      </c>
      <c r="C315" s="4" t="inlineStr"/>
      <c r="D315" s="4" t="inlineStr">
        <is>
          <t>6009697453919</t>
        </is>
      </c>
      <c r="E315" s="3" t="inlineStr">
        <is>
          <t>MUG TRAVEL S/STL(PL-121)400ML</t>
        </is>
      </c>
      <c r="F315" s="4" t="inlineStr"/>
      <c r="G315" s="4" t="inlineStr"/>
      <c r="H315" s="4" t="inlineStr"/>
      <c r="I315" s="5" t="n">
        <v>11.75</v>
      </c>
      <c r="J315" s="6" t="n">
        <v>15</v>
      </c>
      <c r="K315" s="7">
        <f>IF(I315="","",I315*(1+J315/100))</f>
        <v/>
      </c>
      <c r="L315" s="12" t="inlineStr"/>
      <c r="M315" s="8">
        <f>IF(OR(L315="",K315="",L315=0),"",
  (L315-K315)/L315*100)</f>
        <v/>
      </c>
      <c r="N315" s="9" t="inlineStr"/>
      <c r="O315" s="4" t="inlineStr"/>
      <c r="P315" s="4" t="inlineStr"/>
      <c r="Q315" s="4" t="inlineStr"/>
      <c r="R315" s="4" t="inlineStr">
        <is>
          <t>2026-03-12</t>
        </is>
      </c>
      <c r="S315" s="4" t="inlineStr"/>
    </row>
    <row r="316">
      <c r="A316" s="10" t="inlineStr">
        <is>
          <t>F00560</t>
        </is>
      </c>
      <c r="B316" s="10" t="inlineStr">
        <is>
          <t>F00560</t>
        </is>
      </c>
      <c r="C316" s="10" t="inlineStr"/>
      <c r="D316" s="10" t="inlineStr">
        <is>
          <t>6009697453933</t>
        </is>
      </c>
      <c r="E316" s="10" t="inlineStr">
        <is>
          <t>FLASK INNER 3.2LTR</t>
        </is>
      </c>
      <c r="F316" s="10" t="inlineStr"/>
      <c r="G316" s="10" t="inlineStr"/>
      <c r="H316" s="10" t="inlineStr"/>
      <c r="I316" s="11" t="n">
        <v>52.95</v>
      </c>
      <c r="J316" s="6" t="n">
        <v>15</v>
      </c>
      <c r="K316" s="7">
        <f>IF(I316="","",I316*(1+J316/100))</f>
        <v/>
      </c>
      <c r="L316" s="12" t="inlineStr"/>
      <c r="M316" s="8">
        <f>IF(OR(L316="",K316="",L316=0),"",
  (L316-K316)/L316*100)</f>
        <v/>
      </c>
      <c r="N316" s="13" t="n">
        <v>12</v>
      </c>
      <c r="O316" s="10" t="inlineStr"/>
      <c r="P316" s="10" t="inlineStr"/>
      <c r="Q316" s="10" t="inlineStr"/>
      <c r="R316" s="10" t="inlineStr">
        <is>
          <t>2026-03-12</t>
        </is>
      </c>
      <c r="S316" s="10" t="inlineStr"/>
    </row>
    <row r="317">
      <c r="A317" s="3" t="inlineStr">
        <is>
          <t>F00561</t>
        </is>
      </c>
      <c r="B317" s="4" t="inlineStr">
        <is>
          <t>F00561</t>
        </is>
      </c>
      <c r="C317" s="4" t="inlineStr"/>
      <c r="D317" s="4" t="inlineStr">
        <is>
          <t>6009697453940</t>
        </is>
      </c>
      <c r="E317" s="3" t="inlineStr">
        <is>
          <t>FLASK VACUUM POT(PL-8237)1.5ML</t>
        </is>
      </c>
      <c r="F317" s="4" t="inlineStr"/>
      <c r="G317" s="4" t="inlineStr"/>
      <c r="H317" s="4" t="inlineStr"/>
      <c r="I317" s="5" t="n">
        <v>69.95</v>
      </c>
      <c r="J317" s="6" t="n">
        <v>15</v>
      </c>
      <c r="K317" s="7">
        <f>IF(I317="","",I317*(1+J317/100))</f>
        <v/>
      </c>
      <c r="L317" s="12" t="inlineStr"/>
      <c r="M317" s="8">
        <f>IF(OR(L317="",K317="",L317=0),"",
  (L317-K317)/L317*100)</f>
        <v/>
      </c>
      <c r="N317" s="9" t="inlineStr"/>
      <c r="O317" s="4" t="inlineStr"/>
      <c r="P317" s="4" t="inlineStr"/>
      <c r="Q317" s="4" t="inlineStr"/>
      <c r="R317" s="4" t="inlineStr">
        <is>
          <t>2026-03-12</t>
        </is>
      </c>
      <c r="S317" s="4" t="inlineStr"/>
    </row>
    <row r="318">
      <c r="A318" s="10" t="inlineStr">
        <is>
          <t>F00562</t>
        </is>
      </c>
      <c r="B318" s="10" t="inlineStr">
        <is>
          <t>F00562</t>
        </is>
      </c>
      <c r="C318" s="10" t="inlineStr"/>
      <c r="D318" s="10" t="inlineStr">
        <is>
          <t>6009697454848</t>
        </is>
      </c>
      <c r="E318" s="10" t="inlineStr">
        <is>
          <t>BOWL SET 5 PC G/BOX</t>
        </is>
      </c>
      <c r="F318" s="10" t="inlineStr"/>
      <c r="G318" s="10" t="inlineStr"/>
      <c r="H318" s="10" t="inlineStr"/>
      <c r="I318" s="11" t="n">
        <v>16.5</v>
      </c>
      <c r="J318" s="6" t="n">
        <v>15</v>
      </c>
      <c r="K318" s="7">
        <f>IF(I318="","",I318*(1+J318/100))</f>
        <v/>
      </c>
      <c r="L318" s="12" t="inlineStr"/>
      <c r="M318" s="8">
        <f>IF(OR(L318="",K318="",L318=0),"",
  (L318-K318)/L318*100)</f>
        <v/>
      </c>
      <c r="N318" s="9" t="inlineStr"/>
      <c r="O318" s="10" t="inlineStr"/>
      <c r="P318" s="10" t="inlineStr"/>
      <c r="Q318" s="10" t="inlineStr"/>
      <c r="R318" s="10" t="inlineStr">
        <is>
          <t>2026-03-12</t>
        </is>
      </c>
      <c r="S318" s="10" t="inlineStr"/>
    </row>
    <row r="319">
      <c r="A319" s="3" t="inlineStr">
        <is>
          <t>F00570</t>
        </is>
      </c>
      <c r="B319" s="4" t="inlineStr">
        <is>
          <t>F00570</t>
        </is>
      </c>
      <c r="C319" s="4" t="inlineStr"/>
      <c r="D319" s="4" t="inlineStr"/>
      <c r="E319" s="3" t="inlineStr">
        <is>
          <t>TUMBLER 6S FANCY W/BOX HONEYALL</t>
        </is>
      </c>
      <c r="F319" s="4" t="inlineStr"/>
      <c r="G319" s="4" t="inlineStr"/>
      <c r="H319" s="4" t="inlineStr"/>
      <c r="I319" s="5" t="n">
        <v>8.49</v>
      </c>
      <c r="J319" s="6" t="n">
        <v>15</v>
      </c>
      <c r="K319" s="7">
        <f>IF(I319="","",I319*(1+J319/100))</f>
        <v/>
      </c>
      <c r="L319" s="12" t="inlineStr"/>
      <c r="M319" s="8">
        <f>IF(OR(L319="",K319="",L319=0),"",
  (L319-K319)/L319*100)</f>
        <v/>
      </c>
      <c r="N319" s="9" t="inlineStr"/>
      <c r="O319" s="4" t="inlineStr"/>
      <c r="P319" s="4" t="inlineStr"/>
      <c r="Q319" s="4" t="inlineStr"/>
      <c r="R319" s="4" t="inlineStr">
        <is>
          <t>2026-03-12</t>
        </is>
      </c>
      <c r="S319" s="4" t="inlineStr"/>
    </row>
    <row r="320">
      <c r="A320" s="10" t="inlineStr">
        <is>
          <t>F00571</t>
        </is>
      </c>
      <c r="B320" s="10" t="inlineStr">
        <is>
          <t>F00571</t>
        </is>
      </c>
      <c r="C320" s="10" t="inlineStr"/>
      <c r="D320" s="10" t="inlineStr">
        <is>
          <t>8992787131645</t>
        </is>
      </c>
      <c r="E320" s="10" t="inlineStr">
        <is>
          <t>BOWL PUNCH BOWL 01268F MIN 6</t>
        </is>
      </c>
      <c r="F320" s="10" t="inlineStr"/>
      <c r="G320" s="10" t="inlineStr"/>
      <c r="H320" s="10" t="inlineStr"/>
      <c r="I320" s="11" t="n">
        <v>25.95</v>
      </c>
      <c r="J320" s="6" t="n">
        <v>15</v>
      </c>
      <c r="K320" s="7">
        <f>IF(I320="","",I320*(1+J320/100))</f>
        <v/>
      </c>
      <c r="L320" s="12" t="inlineStr"/>
      <c r="M320" s="8">
        <f>IF(OR(L320="",K320="",L320=0),"",
  (L320-K320)/L320*100)</f>
        <v/>
      </c>
      <c r="N320" s="9" t="inlineStr"/>
      <c r="O320" s="10" t="inlineStr"/>
      <c r="P320" s="10" t="inlineStr"/>
      <c r="Q320" s="10" t="inlineStr"/>
      <c r="R320" s="10" t="inlineStr">
        <is>
          <t>2026-03-12</t>
        </is>
      </c>
      <c r="S320" s="10" t="inlineStr"/>
    </row>
    <row r="321">
      <c r="A321" s="3" t="inlineStr">
        <is>
          <t>F00608</t>
        </is>
      </c>
      <c r="B321" s="4" t="inlineStr">
        <is>
          <t>F00608</t>
        </is>
      </c>
      <c r="C321" s="4" t="inlineStr"/>
      <c r="D321" s="4" t="inlineStr"/>
      <c r="E321" s="3" t="inlineStr">
        <is>
          <t>VINYL SUPER DELUX 0.5X2MX30M</t>
        </is>
      </c>
      <c r="F321" s="4" t="inlineStr"/>
      <c r="G321" s="4" t="inlineStr"/>
      <c r="H321" s="4" t="inlineStr"/>
      <c r="I321" s="5" t="n">
        <v>589</v>
      </c>
      <c r="J321" s="6" t="n">
        <v>15</v>
      </c>
      <c r="K321" s="7">
        <f>IF(I321="","",I321*(1+J321/100))</f>
        <v/>
      </c>
      <c r="L321" s="12" t="inlineStr"/>
      <c r="M321" s="8">
        <f>IF(OR(L321="",K321="",L321=0),"",
  (L321-K321)/L321*100)</f>
        <v/>
      </c>
      <c r="N321" s="9" t="inlineStr"/>
      <c r="O321" s="4" t="inlineStr"/>
      <c r="P321" s="4" t="inlineStr"/>
      <c r="Q321" s="4" t="inlineStr"/>
      <c r="R321" s="4" t="inlineStr">
        <is>
          <t>2026-03-12</t>
        </is>
      </c>
      <c r="S321" s="4" t="inlineStr"/>
    </row>
    <row r="322">
      <c r="A322" s="10" t="inlineStr">
        <is>
          <t>F00609</t>
        </is>
      </c>
      <c r="B322" s="10" t="inlineStr">
        <is>
          <t>F00609</t>
        </is>
      </c>
      <c r="C322" s="10" t="inlineStr"/>
      <c r="D322" s="10" t="inlineStr"/>
      <c r="E322" s="10" t="inlineStr">
        <is>
          <t>VINYL SUPR DELUX.5MMX5MX2M SHR</t>
        </is>
      </c>
      <c r="F322" s="10" t="inlineStr"/>
      <c r="G322" s="10" t="inlineStr"/>
      <c r="H322" s="10" t="inlineStr"/>
      <c r="I322" s="11" t="n">
        <v>105.5</v>
      </c>
      <c r="J322" s="6" t="n">
        <v>15</v>
      </c>
      <c r="K322" s="7">
        <f>IF(I322="","",I322*(1+J322/100))</f>
        <v/>
      </c>
      <c r="L322" s="12" t="inlineStr"/>
      <c r="M322" s="8">
        <f>IF(OR(L322="",K322="",L322=0),"",
  (L322-K322)/L322*100)</f>
        <v/>
      </c>
      <c r="N322" s="9" t="inlineStr"/>
      <c r="O322" s="10" t="inlineStr"/>
      <c r="P322" s="10" t="inlineStr"/>
      <c r="Q322" s="10" t="inlineStr"/>
      <c r="R322" s="10" t="inlineStr">
        <is>
          <t>2026-03-12</t>
        </is>
      </c>
      <c r="S322" s="10" t="inlineStr"/>
    </row>
    <row r="323">
      <c r="A323" s="3" t="inlineStr">
        <is>
          <t>F00610</t>
        </is>
      </c>
      <c r="B323" s="4" t="inlineStr">
        <is>
          <t>F00610</t>
        </is>
      </c>
      <c r="C323" s="4" t="inlineStr"/>
      <c r="D323" s="4" t="inlineStr"/>
      <c r="E323" s="3" t="inlineStr">
        <is>
          <t>VINYL SUPR DELUX 0.5MMX4.28X2M</t>
        </is>
      </c>
      <c r="F323" s="4" t="inlineStr"/>
      <c r="G323" s="4" t="inlineStr"/>
      <c r="H323" s="4" t="inlineStr"/>
      <c r="I323" s="5" t="n">
        <v>90.5</v>
      </c>
      <c r="J323" s="6" t="n">
        <v>15</v>
      </c>
      <c r="K323" s="7">
        <f>IF(I323="","",I323*(1+J323/100))</f>
        <v/>
      </c>
      <c r="L323" s="12" t="inlineStr"/>
      <c r="M323" s="8">
        <f>IF(OR(L323="",K323="",L323=0),"",
  (L323-K323)/L323*100)</f>
        <v/>
      </c>
      <c r="N323" s="9" t="inlineStr"/>
      <c r="O323" s="4" t="inlineStr"/>
      <c r="P323" s="4" t="inlineStr"/>
      <c r="Q323" s="4" t="inlineStr"/>
      <c r="R323" s="4" t="inlineStr">
        <is>
          <t>2026-03-12</t>
        </is>
      </c>
      <c r="S323" s="4" t="inlineStr"/>
    </row>
    <row r="324">
      <c r="A324" s="10" t="inlineStr">
        <is>
          <t>F00611</t>
        </is>
      </c>
      <c r="B324" s="10" t="inlineStr">
        <is>
          <t>F00611</t>
        </is>
      </c>
      <c r="C324" s="10" t="inlineStr"/>
      <c r="D324" s="10" t="inlineStr"/>
      <c r="E324" s="10" t="inlineStr">
        <is>
          <t>FAN 12" BOX FAN+TIMER(OSCILATE</t>
        </is>
      </c>
      <c r="F324" s="10" t="inlineStr"/>
      <c r="G324" s="10" t="inlineStr"/>
      <c r="H324" s="10" t="inlineStr"/>
      <c r="I324" s="11" t="n">
        <v>92.5</v>
      </c>
      <c r="J324" s="6" t="n">
        <v>15</v>
      </c>
      <c r="K324" s="7">
        <f>IF(I324="","",I324*(1+J324/100))</f>
        <v/>
      </c>
      <c r="L324" s="12" t="inlineStr"/>
      <c r="M324" s="8">
        <f>IF(OR(L324="",K324="",L324=0),"",
  (L324-K324)/L324*100)</f>
        <v/>
      </c>
      <c r="N324" s="9" t="inlineStr"/>
      <c r="O324" s="10" t="inlineStr"/>
      <c r="P324" s="10" t="inlineStr"/>
      <c r="Q324" s="10" t="inlineStr"/>
      <c r="R324" s="10" t="inlineStr">
        <is>
          <t>2026-03-12</t>
        </is>
      </c>
      <c r="S324" s="10" t="inlineStr"/>
    </row>
    <row r="325">
      <c r="A325" s="3" t="inlineStr">
        <is>
          <t>F00614</t>
        </is>
      </c>
      <c r="B325" s="4" t="inlineStr">
        <is>
          <t>F00614</t>
        </is>
      </c>
      <c r="C325" s="4" t="inlineStr"/>
      <c r="D325" s="4" t="inlineStr">
        <is>
          <t>6009705656820</t>
        </is>
      </c>
      <c r="E325" s="3" t="inlineStr">
        <is>
          <t>PEEL &amp; STICK TILE 60x60 GLOSS WHTE GREY</t>
        </is>
      </c>
      <c r="F325" s="4" t="inlineStr"/>
      <c r="G325" s="4" t="inlineStr"/>
      <c r="H325" s="4" t="inlineStr"/>
      <c r="I325" s="5" t="n">
        <v>279</v>
      </c>
      <c r="J325" s="6" t="n">
        <v>15</v>
      </c>
      <c r="K325" s="7">
        <f>IF(I325="","",I325*(1+J325/100))</f>
        <v/>
      </c>
      <c r="L325" s="12" t="inlineStr"/>
      <c r="M325" s="8">
        <f>IF(OR(L325="",K325="",L325=0),"",
  (L325-K325)/L325*100)</f>
        <v/>
      </c>
      <c r="N325" s="14" t="n">
        <v>5</v>
      </c>
      <c r="O325" s="4" t="inlineStr"/>
      <c r="P325" s="4" t="inlineStr"/>
      <c r="Q325" s="4" t="inlineStr"/>
      <c r="R325" s="4" t="inlineStr">
        <is>
          <t>2026-03-12</t>
        </is>
      </c>
      <c r="S325" s="4" t="inlineStr"/>
    </row>
    <row r="326">
      <c r="A326" s="10" t="inlineStr">
        <is>
          <t>F00615</t>
        </is>
      </c>
      <c r="B326" s="10" t="inlineStr">
        <is>
          <t>F00615</t>
        </is>
      </c>
      <c r="C326" s="10" t="inlineStr"/>
      <c r="D326" s="10" t="inlineStr"/>
      <c r="E326" s="10" t="inlineStr">
        <is>
          <t>PEEL AND STICK TILE</t>
        </is>
      </c>
      <c r="F326" s="10" t="inlineStr"/>
      <c r="G326" s="10" t="inlineStr"/>
      <c r="H326" s="10" t="inlineStr"/>
      <c r="I326" s="11" t="n">
        <v>153.95</v>
      </c>
      <c r="J326" s="6" t="n">
        <v>15</v>
      </c>
      <c r="K326" s="7">
        <f>IF(I326="","",I326*(1+J326/100))</f>
        <v/>
      </c>
      <c r="L326" s="12" t="inlineStr"/>
      <c r="M326" s="8">
        <f>IF(OR(L326="",K326="",L326=0),"",
  (L326-K326)/L326*100)</f>
        <v/>
      </c>
      <c r="N326" s="9" t="inlineStr"/>
      <c r="O326" s="10" t="inlineStr"/>
      <c r="P326" s="10" t="inlineStr"/>
      <c r="Q326" s="10" t="inlineStr"/>
      <c r="R326" s="10" t="inlineStr">
        <is>
          <t>2026-03-12</t>
        </is>
      </c>
      <c r="S326" s="10" t="inlineStr"/>
    </row>
    <row r="327">
      <c r="A327" s="3" t="inlineStr">
        <is>
          <t>F00616</t>
        </is>
      </c>
      <c r="B327" s="4" t="inlineStr">
        <is>
          <t>F00616</t>
        </is>
      </c>
      <c r="C327" s="4" t="inlineStr"/>
      <c r="D327" s="4" t="inlineStr"/>
      <c r="E327" s="3" t="inlineStr">
        <is>
          <t>PEEL &amp; STICK TILE</t>
        </is>
      </c>
      <c r="F327" s="4" t="inlineStr"/>
      <c r="G327" s="4" t="inlineStr"/>
      <c r="H327" s="4" t="inlineStr"/>
      <c r="I327" s="5" t="n">
        <v>144.84</v>
      </c>
      <c r="J327" s="6" t="n">
        <v>15</v>
      </c>
      <c r="K327" s="7">
        <f>IF(I327="","",I327*(1+J327/100))</f>
        <v/>
      </c>
      <c r="L327" s="12" t="inlineStr"/>
      <c r="M327" s="8">
        <f>IF(OR(L327="",K327="",L327=0),"",
  (L327-K327)/L327*100)</f>
        <v/>
      </c>
      <c r="N327" s="9" t="inlineStr"/>
      <c r="O327" s="4" t="inlineStr"/>
      <c r="P327" s="4" t="inlineStr"/>
      <c r="Q327" s="4" t="inlineStr"/>
      <c r="R327" s="4" t="inlineStr">
        <is>
          <t>2026-03-12</t>
        </is>
      </c>
      <c r="S327" s="4" t="inlineStr"/>
    </row>
    <row r="328">
      <c r="A328" s="10" t="inlineStr">
        <is>
          <t>F00617</t>
        </is>
      </c>
      <c r="B328" s="10" t="inlineStr">
        <is>
          <t>F00617</t>
        </is>
      </c>
      <c r="C328" s="10" t="inlineStr"/>
      <c r="D328" s="10" t="inlineStr"/>
      <c r="E328" s="10" t="inlineStr">
        <is>
          <t>PEEL &amp; STICK TILE</t>
        </is>
      </c>
      <c r="F328" s="10" t="inlineStr"/>
      <c r="G328" s="10" t="inlineStr"/>
      <c r="H328" s="10" t="inlineStr"/>
      <c r="I328" s="11" t="n">
        <v>153.95</v>
      </c>
      <c r="J328" s="6" t="n">
        <v>15</v>
      </c>
      <c r="K328" s="7">
        <f>IF(I328="","",I328*(1+J328/100))</f>
        <v/>
      </c>
      <c r="L328" s="12" t="inlineStr"/>
      <c r="M328" s="8">
        <f>IF(OR(L328="",K328="",L328=0),"",
  (L328-K328)/L328*100)</f>
        <v/>
      </c>
      <c r="N328" s="9" t="inlineStr"/>
      <c r="O328" s="10" t="inlineStr"/>
      <c r="P328" s="10" t="inlineStr"/>
      <c r="Q328" s="10" t="inlineStr"/>
      <c r="R328" s="10" t="inlineStr">
        <is>
          <t>2026-03-12</t>
        </is>
      </c>
      <c r="S328" s="10" t="inlineStr"/>
    </row>
    <row r="329">
      <c r="A329" s="3" t="inlineStr">
        <is>
          <t>F00618</t>
        </is>
      </c>
      <c r="B329" s="4" t="inlineStr">
        <is>
          <t>F00618</t>
        </is>
      </c>
      <c r="C329" s="4" t="inlineStr"/>
      <c r="D329" s="4" t="inlineStr">
        <is>
          <t>6009697453278</t>
        </is>
      </c>
      <c r="E329" s="3" t="inlineStr">
        <is>
          <t>MUG 8/9OZ  GLAZED ASSORRTED</t>
        </is>
      </c>
      <c r="F329" s="4" t="inlineStr"/>
      <c r="G329" s="4" t="inlineStr"/>
      <c r="H329" s="4" t="inlineStr"/>
      <c r="I329" s="5" t="n">
        <v>4.29</v>
      </c>
      <c r="J329" s="6" t="n">
        <v>15</v>
      </c>
      <c r="K329" s="7">
        <f>IF(I329="","",I329*(1+J329/100))</f>
        <v/>
      </c>
      <c r="L329" s="12" t="inlineStr"/>
      <c r="M329" s="8">
        <f>IF(OR(L329="",K329="",L329=0),"",
  (L329-K329)/L329*100)</f>
        <v/>
      </c>
      <c r="N329" s="14" t="n">
        <v>23020</v>
      </c>
      <c r="O329" s="4" t="inlineStr"/>
      <c r="P329" s="4" t="inlineStr"/>
      <c r="Q329" s="4" t="inlineStr"/>
      <c r="R329" s="4" t="inlineStr">
        <is>
          <t>2026-03-12</t>
        </is>
      </c>
      <c r="S329" s="4" t="inlineStr"/>
    </row>
    <row r="330">
      <c r="A330" s="10" t="inlineStr">
        <is>
          <t>F00619</t>
        </is>
      </c>
      <c r="B330" s="10" t="inlineStr">
        <is>
          <t>F00619</t>
        </is>
      </c>
      <c r="C330" s="10" t="inlineStr"/>
      <c r="D330" s="10" t="inlineStr"/>
      <c r="E330" s="10" t="inlineStr">
        <is>
          <t>MUG 120Z H/P MUG ASSORTED</t>
        </is>
      </c>
      <c r="F330" s="10" t="inlineStr"/>
      <c r="G330" s="10" t="inlineStr"/>
      <c r="H330" s="10" t="inlineStr"/>
      <c r="I330" s="11" t="n">
        <v>5.95</v>
      </c>
      <c r="J330" s="6" t="n">
        <v>15</v>
      </c>
      <c r="K330" s="7">
        <f>IF(I330="","",I330*(1+J330/100))</f>
        <v/>
      </c>
      <c r="L330" s="12" t="inlineStr"/>
      <c r="M330" s="8">
        <f>IF(OR(L330="",K330="",L330=0),"",
  (L330-K330)/L330*100)</f>
        <v/>
      </c>
      <c r="N330" s="9" t="inlineStr"/>
      <c r="O330" s="10" t="inlineStr"/>
      <c r="P330" s="10" t="inlineStr"/>
      <c r="Q330" s="10" t="inlineStr"/>
      <c r="R330" s="10" t="inlineStr">
        <is>
          <t>2026-03-12</t>
        </is>
      </c>
      <c r="S330" s="10" t="inlineStr"/>
    </row>
    <row r="331">
      <c r="A331" s="3" t="inlineStr">
        <is>
          <t>F00620</t>
        </is>
      </c>
      <c r="B331" s="4" t="inlineStr">
        <is>
          <t>F00620</t>
        </is>
      </c>
      <c r="C331" s="4" t="inlineStr">
        <is>
          <t>18834</t>
        </is>
      </c>
      <c r="D331" s="4" t="inlineStr">
        <is>
          <t>6009697456125</t>
        </is>
      </c>
      <c r="E331" s="3" t="inlineStr">
        <is>
          <t>TAPE  50MT BROWN(36'S)</t>
        </is>
      </c>
      <c r="F331" s="4" t="inlineStr"/>
      <c r="G331" s="4" t="inlineStr"/>
      <c r="H331" s="4" t="inlineStr"/>
      <c r="I331" s="5" t="n">
        <v>225</v>
      </c>
      <c r="J331" s="6" t="n">
        <v>15</v>
      </c>
      <c r="K331" s="7">
        <f>IF(I331="","",I331*(1+J331/100))</f>
        <v/>
      </c>
      <c r="L331" s="12" t="inlineStr"/>
      <c r="M331" s="8">
        <f>IF(OR(L331="",K331="",L331=0),"",
  (L331-K331)/L331*100)</f>
        <v/>
      </c>
      <c r="N331" s="14" t="n">
        <v>34</v>
      </c>
      <c r="O331" s="4" t="inlineStr"/>
      <c r="P331" s="4" t="inlineStr"/>
      <c r="Q331" s="4" t="inlineStr"/>
      <c r="R331" s="4" t="inlineStr">
        <is>
          <t>2026-03-12</t>
        </is>
      </c>
      <c r="S331" s="4" t="inlineStr"/>
    </row>
    <row r="332">
      <c r="A332" s="10" t="inlineStr">
        <is>
          <t>F00621</t>
        </is>
      </c>
      <c r="B332" s="10" t="inlineStr">
        <is>
          <t>F00621</t>
        </is>
      </c>
      <c r="C332" s="10" t="inlineStr">
        <is>
          <t>18835</t>
        </is>
      </c>
      <c r="D332" s="10" t="inlineStr">
        <is>
          <t>6009697456132</t>
        </is>
      </c>
      <c r="E332" s="10" t="inlineStr">
        <is>
          <t>TAPE 100MT BROWN (36'S)</t>
        </is>
      </c>
      <c r="F332" s="10" t="inlineStr"/>
      <c r="G332" s="10" t="inlineStr"/>
      <c r="H332" s="10" t="inlineStr"/>
      <c r="I332" s="11" t="n">
        <v>380</v>
      </c>
      <c r="J332" s="6" t="n">
        <v>15</v>
      </c>
      <c r="K332" s="7">
        <f>IF(I332="","",I332*(1+J332/100))</f>
        <v/>
      </c>
      <c r="L332" s="12" t="inlineStr"/>
      <c r="M332" s="8">
        <f>IF(OR(L332="",K332="",L332=0),"",
  (L332-K332)/L332*100)</f>
        <v/>
      </c>
      <c r="N332" s="13" t="n">
        <v>54</v>
      </c>
      <c r="O332" s="10" t="inlineStr"/>
      <c r="P332" s="10" t="inlineStr"/>
      <c r="Q332" s="10" t="inlineStr"/>
      <c r="R332" s="10" t="inlineStr">
        <is>
          <t>2026-03-12</t>
        </is>
      </c>
      <c r="S332" s="10" t="inlineStr"/>
    </row>
    <row r="333">
      <c r="A333" s="3" t="inlineStr">
        <is>
          <t>F00622</t>
        </is>
      </c>
      <c r="B333" s="4" t="inlineStr">
        <is>
          <t>F00622</t>
        </is>
      </c>
      <c r="C333" s="4" t="inlineStr"/>
      <c r="D333" s="4" t="inlineStr">
        <is>
          <t>6009697453285</t>
        </is>
      </c>
      <c r="E333" s="3" t="inlineStr">
        <is>
          <t>MUG 501-13 9 OZ BROWN GLAZE</t>
        </is>
      </c>
      <c r="F333" s="4" t="inlineStr"/>
      <c r="G333" s="4" t="inlineStr"/>
      <c r="H333" s="4" t="inlineStr"/>
      <c r="I333" s="5" t="n">
        <v>2.99</v>
      </c>
      <c r="J333" s="6" t="n">
        <v>15</v>
      </c>
      <c r="K333" s="7">
        <f>IF(I333="","",I333*(1+J333/100))</f>
        <v/>
      </c>
      <c r="L333" s="12" t="inlineStr"/>
      <c r="M333" s="8">
        <f>IF(OR(L333="",K333="",L333=0),"",
  (L333-K333)/L333*100)</f>
        <v/>
      </c>
      <c r="N333" s="9" t="inlineStr"/>
      <c r="O333" s="4" t="inlineStr"/>
      <c r="P333" s="4" t="inlineStr"/>
      <c r="Q333" s="4" t="inlineStr"/>
      <c r="R333" s="4" t="inlineStr">
        <is>
          <t>2026-03-12</t>
        </is>
      </c>
      <c r="S333" s="4" t="inlineStr"/>
    </row>
    <row r="334">
      <c r="A334" s="10" t="inlineStr">
        <is>
          <t>F00623</t>
        </is>
      </c>
      <c r="B334" s="10" t="inlineStr">
        <is>
          <t>F00623</t>
        </is>
      </c>
      <c r="C334" s="10" t="inlineStr"/>
      <c r="D334" s="10" t="inlineStr">
        <is>
          <t>6009697454763</t>
        </is>
      </c>
      <c r="E334" s="10" t="inlineStr">
        <is>
          <t>ROSE TEASPOON  12"S</t>
        </is>
      </c>
      <c r="F334" s="10" t="inlineStr"/>
      <c r="G334" s="10" t="inlineStr"/>
      <c r="H334" s="10" t="inlineStr"/>
      <c r="I334" s="11" t="n">
        <v>14.95</v>
      </c>
      <c r="J334" s="6" t="n">
        <v>15</v>
      </c>
      <c r="K334" s="7">
        <f>IF(I334="","",I334*(1+J334/100))</f>
        <v/>
      </c>
      <c r="L334" s="12" t="inlineStr"/>
      <c r="M334" s="8">
        <f>IF(OR(L334="",K334="",L334=0),"",
  (L334-K334)/L334*100)</f>
        <v/>
      </c>
      <c r="N334" s="13" t="n">
        <v>1053</v>
      </c>
      <c r="O334" s="10" t="inlineStr"/>
      <c r="P334" s="10" t="inlineStr"/>
      <c r="Q334" s="10" t="inlineStr"/>
      <c r="R334" s="10" t="inlineStr">
        <is>
          <t>2026-03-12</t>
        </is>
      </c>
      <c r="S334" s="10" t="inlineStr"/>
    </row>
    <row r="335">
      <c r="A335" s="3" t="inlineStr">
        <is>
          <t>F00624</t>
        </is>
      </c>
      <c r="B335" s="4" t="inlineStr">
        <is>
          <t>F00624</t>
        </is>
      </c>
      <c r="C335" s="4" t="inlineStr"/>
      <c r="D335" s="4" t="inlineStr">
        <is>
          <t>6009697454749</t>
        </is>
      </c>
      <c r="E335" s="3" t="inlineStr">
        <is>
          <t>ROSE TABLESPOON  12"S</t>
        </is>
      </c>
      <c r="F335" s="4" t="inlineStr"/>
      <c r="G335" s="4" t="inlineStr"/>
      <c r="H335" s="4" t="inlineStr"/>
      <c r="I335" s="5" t="n">
        <v>19.5</v>
      </c>
      <c r="J335" s="6" t="n">
        <v>15</v>
      </c>
      <c r="K335" s="7">
        <f>IF(I335="","",I335*(1+J335/100))</f>
        <v/>
      </c>
      <c r="L335" s="12" t="inlineStr"/>
      <c r="M335" s="8">
        <f>IF(OR(L335="",K335="",L335=0),"",
  (L335-K335)/L335*100)</f>
        <v/>
      </c>
      <c r="N335" s="14" t="n">
        <v>4815</v>
      </c>
      <c r="O335" s="4" t="inlineStr"/>
      <c r="P335" s="4" t="inlineStr"/>
      <c r="Q335" s="4" t="inlineStr"/>
      <c r="R335" s="4" t="inlineStr">
        <is>
          <t>2026-03-12</t>
        </is>
      </c>
      <c r="S335" s="4" t="inlineStr"/>
    </row>
    <row r="336">
      <c r="A336" s="10" t="inlineStr">
        <is>
          <t>F00625</t>
        </is>
      </c>
      <c r="B336" s="10" t="inlineStr">
        <is>
          <t>F00625</t>
        </is>
      </c>
      <c r="C336" s="10" t="inlineStr"/>
      <c r="D336" s="10" t="inlineStr">
        <is>
          <t>6009697454756</t>
        </is>
      </c>
      <c r="E336" s="10" t="inlineStr">
        <is>
          <t>ROSE FORK 12"S</t>
        </is>
      </c>
      <c r="F336" s="10" t="inlineStr"/>
      <c r="G336" s="10" t="inlineStr"/>
      <c r="H336" s="10" t="inlineStr"/>
      <c r="I336" s="11" t="n">
        <v>19.5</v>
      </c>
      <c r="J336" s="6" t="n">
        <v>15</v>
      </c>
      <c r="K336" s="7">
        <f>IF(I336="","",I336*(1+J336/100))</f>
        <v/>
      </c>
      <c r="L336" s="12" t="inlineStr"/>
      <c r="M336" s="8">
        <f>IF(OR(L336="",K336="",L336=0),"",
  (L336-K336)/L336*100)</f>
        <v/>
      </c>
      <c r="N336" s="13" t="n">
        <v>683</v>
      </c>
      <c r="O336" s="10" t="inlineStr"/>
      <c r="P336" s="10" t="inlineStr"/>
      <c r="Q336" s="10" t="inlineStr"/>
      <c r="R336" s="10" t="inlineStr">
        <is>
          <t>2026-03-12</t>
        </is>
      </c>
      <c r="S336" s="10" t="inlineStr"/>
    </row>
    <row r="337">
      <c r="A337" s="3" t="inlineStr">
        <is>
          <t>F00626</t>
        </is>
      </c>
      <c r="B337" s="4" t="inlineStr">
        <is>
          <t>F00626</t>
        </is>
      </c>
      <c r="C337" s="4" t="inlineStr"/>
      <c r="D337" s="4" t="inlineStr">
        <is>
          <t>6009697454770</t>
        </is>
      </c>
      <c r="E337" s="3" t="inlineStr">
        <is>
          <t>ROSE KNIFE ROSE 12"S</t>
        </is>
      </c>
      <c r="F337" s="4" t="inlineStr"/>
      <c r="G337" s="4" t="inlineStr"/>
      <c r="H337" s="4" t="inlineStr"/>
      <c r="I337" s="5" t="n">
        <v>33.5</v>
      </c>
      <c r="J337" s="6" t="n">
        <v>15</v>
      </c>
      <c r="K337" s="7">
        <f>IF(I337="","",I337*(1+J337/100))</f>
        <v/>
      </c>
      <c r="L337" s="12" t="inlineStr"/>
      <c r="M337" s="8">
        <f>IF(OR(L337="",K337="",L337=0),"",
  (L337-K337)/L337*100)</f>
        <v/>
      </c>
      <c r="N337" s="14" t="n">
        <v>250</v>
      </c>
      <c r="O337" s="4" t="inlineStr"/>
      <c r="P337" s="4" t="inlineStr"/>
      <c r="Q337" s="4" t="inlineStr"/>
      <c r="R337" s="4" t="inlineStr">
        <is>
          <t>2026-03-12</t>
        </is>
      </c>
      <c r="S337" s="4" t="inlineStr"/>
    </row>
    <row r="338">
      <c r="A338" s="10" t="inlineStr">
        <is>
          <t>F00627</t>
        </is>
      </c>
      <c r="B338" s="10" t="inlineStr">
        <is>
          <t>F00627</t>
        </is>
      </c>
      <c r="C338" s="10" t="inlineStr"/>
      <c r="D338" s="10" t="inlineStr">
        <is>
          <t>6009697456460</t>
        </is>
      </c>
      <c r="E338" s="10" t="inlineStr">
        <is>
          <t>DRINK SET CTY126-7</t>
        </is>
      </c>
      <c r="F338" s="10" t="inlineStr"/>
      <c r="G338" s="10" t="inlineStr"/>
      <c r="H338" s="10" t="inlineStr"/>
      <c r="I338" s="11" t="n">
        <v>61.95</v>
      </c>
      <c r="J338" s="6" t="n">
        <v>15</v>
      </c>
      <c r="K338" s="7">
        <f>IF(I338="","",I338*(1+J338/100))</f>
        <v/>
      </c>
      <c r="L338" s="12" t="inlineStr"/>
      <c r="M338" s="8">
        <f>IF(OR(L338="",K338="",L338=0),"",
  (L338-K338)/L338*100)</f>
        <v/>
      </c>
      <c r="N338" s="9" t="inlineStr"/>
      <c r="O338" s="10" t="inlineStr"/>
      <c r="P338" s="10" t="inlineStr"/>
      <c r="Q338" s="10" t="inlineStr"/>
      <c r="R338" s="10" t="inlineStr">
        <is>
          <t>2026-03-12</t>
        </is>
      </c>
      <c r="S338" s="10" t="inlineStr"/>
    </row>
    <row r="339">
      <c r="A339" s="3" t="inlineStr">
        <is>
          <t>F00628</t>
        </is>
      </c>
      <c r="B339" s="4" t="inlineStr">
        <is>
          <t>F00628</t>
        </is>
      </c>
      <c r="C339" s="4" t="inlineStr"/>
      <c r="D339" s="4" t="inlineStr">
        <is>
          <t>6009697458617</t>
        </is>
      </c>
      <c r="E339" s="3" t="inlineStr">
        <is>
          <t>IRONING BOARD 36" MESH</t>
        </is>
      </c>
      <c r="F339" s="4" t="inlineStr"/>
      <c r="G339" s="4" t="inlineStr"/>
      <c r="H339" s="4" t="inlineStr"/>
      <c r="I339" s="5" t="n">
        <v>82.5</v>
      </c>
      <c r="J339" s="6" t="n">
        <v>15</v>
      </c>
      <c r="K339" s="7">
        <f>IF(I339="","",I339*(1+J339/100))</f>
        <v/>
      </c>
      <c r="L339" s="12" t="inlineStr"/>
      <c r="M339" s="8">
        <f>IF(OR(L339="",K339="",L339=0),"",
  (L339-K339)/L339*100)</f>
        <v/>
      </c>
      <c r="N339" s="9" t="inlineStr"/>
      <c r="O339" s="4" t="inlineStr"/>
      <c r="P339" s="4" t="inlineStr"/>
      <c r="Q339" s="4" t="inlineStr"/>
      <c r="R339" s="4" t="inlineStr">
        <is>
          <t>2026-03-12</t>
        </is>
      </c>
      <c r="S339" s="4" t="inlineStr"/>
    </row>
    <row r="340">
      <c r="A340" s="10" t="inlineStr">
        <is>
          <t>F00631</t>
        </is>
      </c>
      <c r="B340" s="10" t="inlineStr">
        <is>
          <t>F00631</t>
        </is>
      </c>
      <c r="C340" s="10" t="inlineStr"/>
      <c r="D340" s="10" t="inlineStr"/>
      <c r="E340" s="10" t="inlineStr">
        <is>
          <t>PEEL &amp; STICK TILES 5PK</t>
        </is>
      </c>
      <c r="F340" s="10" t="inlineStr"/>
      <c r="G340" s="10" t="inlineStr"/>
      <c r="H340" s="10" t="inlineStr"/>
      <c r="I340" s="11" t="n">
        <v>153.95</v>
      </c>
      <c r="J340" s="6" t="n">
        <v>15</v>
      </c>
      <c r="K340" s="7">
        <f>IF(I340="","",I340*(1+J340/100))</f>
        <v/>
      </c>
      <c r="L340" s="12" t="inlineStr"/>
      <c r="M340" s="8">
        <f>IF(OR(L340="",K340="",L340=0),"",
  (L340-K340)/L340*100)</f>
        <v/>
      </c>
      <c r="N340" s="9" t="inlineStr"/>
      <c r="O340" s="10" t="inlineStr"/>
      <c r="P340" s="10" t="inlineStr"/>
      <c r="Q340" s="10" t="inlineStr"/>
      <c r="R340" s="10" t="inlineStr">
        <is>
          <t>2026-03-12</t>
        </is>
      </c>
      <c r="S340" s="10" t="inlineStr"/>
    </row>
    <row r="341">
      <c r="A341" s="3" t="inlineStr">
        <is>
          <t>F00632</t>
        </is>
      </c>
      <c r="B341" s="4" t="inlineStr">
        <is>
          <t>F00632</t>
        </is>
      </c>
      <c r="C341" s="4" t="inlineStr"/>
      <c r="D341" s="4" t="inlineStr"/>
      <c r="E341" s="3" t="inlineStr">
        <is>
          <t>PEEL &amp; STICK TILES 5PK</t>
        </is>
      </c>
      <c r="F341" s="4" t="inlineStr"/>
      <c r="G341" s="4" t="inlineStr"/>
      <c r="H341" s="4" t="inlineStr"/>
      <c r="I341" s="5" t="n">
        <v>153.95</v>
      </c>
      <c r="J341" s="6" t="n">
        <v>15</v>
      </c>
      <c r="K341" s="7">
        <f>IF(I341="","",I341*(1+J341/100))</f>
        <v/>
      </c>
      <c r="L341" s="12" t="inlineStr"/>
      <c r="M341" s="8">
        <f>IF(OR(L341="",K341="",L341=0),"",
  (L341-K341)/L341*100)</f>
        <v/>
      </c>
      <c r="N341" s="9" t="inlineStr"/>
      <c r="O341" s="4" t="inlineStr"/>
      <c r="P341" s="4" t="inlineStr"/>
      <c r="Q341" s="4" t="inlineStr"/>
      <c r="R341" s="4" t="inlineStr">
        <is>
          <t>2026-03-12</t>
        </is>
      </c>
      <c r="S341" s="4" t="inlineStr"/>
    </row>
    <row r="342">
      <c r="A342" s="10" t="inlineStr">
        <is>
          <t>F00635</t>
        </is>
      </c>
      <c r="B342" s="10" t="inlineStr">
        <is>
          <t>F00635</t>
        </is>
      </c>
      <c r="C342" s="10" t="inlineStr"/>
      <c r="D342" s="10" t="inlineStr"/>
      <c r="E342" s="10" t="inlineStr">
        <is>
          <t>PLATE L/EDGE 9.75"</t>
        </is>
      </c>
      <c r="F342" s="10" t="inlineStr"/>
      <c r="G342" s="10" t="inlineStr"/>
      <c r="H342" s="10" t="inlineStr"/>
      <c r="I342" s="11" t="n">
        <v>5.19</v>
      </c>
      <c r="J342" s="6" t="n">
        <v>15</v>
      </c>
      <c r="K342" s="7">
        <f>IF(I342="","",I342*(1+J342/100))</f>
        <v/>
      </c>
      <c r="L342" s="12" t="inlineStr"/>
      <c r="M342" s="8">
        <f>IF(OR(L342="",K342="",L342=0),"",
  (L342-K342)/L342*100)</f>
        <v/>
      </c>
      <c r="N342" s="9" t="inlineStr"/>
      <c r="O342" s="10" t="inlineStr"/>
      <c r="P342" s="10" t="inlineStr"/>
      <c r="Q342" s="10" t="inlineStr"/>
      <c r="R342" s="10" t="inlineStr">
        <is>
          <t>2026-03-12</t>
        </is>
      </c>
      <c r="S342" s="10" t="inlineStr"/>
    </row>
    <row r="343">
      <c r="A343" s="3" t="inlineStr">
        <is>
          <t>F00636</t>
        </is>
      </c>
      <c r="B343" s="4" t="inlineStr">
        <is>
          <t>F00636</t>
        </is>
      </c>
      <c r="C343" s="4" t="inlineStr"/>
      <c r="D343" s="4" t="inlineStr">
        <is>
          <t>4895131412268</t>
        </is>
      </c>
      <c r="E343" s="3" t="inlineStr">
        <is>
          <t>MUG  140Z COFFEE ASSTD COLORS</t>
        </is>
      </c>
      <c r="F343" s="4" t="inlineStr"/>
      <c r="G343" s="4" t="inlineStr"/>
      <c r="H343" s="4" t="inlineStr"/>
      <c r="I343" s="5" t="n">
        <v>1.5</v>
      </c>
      <c r="J343" s="6" t="n">
        <v>15</v>
      </c>
      <c r="K343" s="7">
        <f>IF(I343="","",I343*(1+J343/100))</f>
        <v/>
      </c>
      <c r="L343" s="12" t="inlineStr"/>
      <c r="M343" s="8">
        <f>IF(OR(L343="",K343="",L343=0),"",
  (L343-K343)/L343*100)</f>
        <v/>
      </c>
      <c r="N343" s="9" t="inlineStr"/>
      <c r="O343" s="4" t="inlineStr"/>
      <c r="P343" s="4" t="inlineStr"/>
      <c r="Q343" s="4" t="inlineStr"/>
      <c r="R343" s="4" t="inlineStr">
        <is>
          <t>2026-03-12</t>
        </is>
      </c>
      <c r="S343" s="4" t="inlineStr"/>
    </row>
    <row r="344">
      <c r="A344" s="10" t="inlineStr">
        <is>
          <t>F00637</t>
        </is>
      </c>
      <c r="B344" s="10" t="inlineStr">
        <is>
          <t>F00637</t>
        </is>
      </c>
      <c r="C344" s="10" t="inlineStr"/>
      <c r="D344" s="10" t="inlineStr">
        <is>
          <t>6009705650651</t>
        </is>
      </c>
      <c r="E344" s="10" t="inlineStr">
        <is>
          <t>HURRICANE LANTERN XL HM250 (LIKE DIETZ)</t>
        </is>
      </c>
      <c r="F344" s="10" t="inlineStr"/>
      <c r="G344" s="10" t="inlineStr"/>
      <c r="H344" s="10" t="inlineStr"/>
      <c r="I344" s="11" t="n">
        <v>94.5</v>
      </c>
      <c r="J344" s="6" t="n">
        <v>15</v>
      </c>
      <c r="K344" s="7">
        <f>IF(I344="","",I344*(1+J344/100))</f>
        <v/>
      </c>
      <c r="L344" s="12" t="inlineStr"/>
      <c r="M344" s="8">
        <f>IF(OR(L344="",K344="",L344=0),"",
  (L344-K344)/L344*100)</f>
        <v/>
      </c>
      <c r="N344" s="9" t="inlineStr"/>
      <c r="O344" s="10" t="inlineStr"/>
      <c r="P344" s="10" t="inlineStr"/>
      <c r="Q344" s="10" t="inlineStr"/>
      <c r="R344" s="10" t="inlineStr">
        <is>
          <t>2026-03-12</t>
        </is>
      </c>
      <c r="S344" s="10" t="inlineStr"/>
    </row>
    <row r="345">
      <c r="A345" s="3" t="inlineStr">
        <is>
          <t>F00645</t>
        </is>
      </c>
      <c r="B345" s="4" t="inlineStr">
        <is>
          <t>F00645</t>
        </is>
      </c>
      <c r="C345" s="4" t="inlineStr"/>
      <c r="D345" s="4" t="inlineStr"/>
      <c r="E345" s="3" t="inlineStr">
        <is>
          <t>SPARE GLASS FOR HM250 LANTERN</t>
        </is>
      </c>
      <c r="F345" s="4" t="inlineStr"/>
      <c r="G345" s="4" t="inlineStr"/>
      <c r="H345" s="4" t="inlineStr"/>
      <c r="I345" s="5" t="n">
        <v>11.95</v>
      </c>
      <c r="J345" s="6" t="n">
        <v>15</v>
      </c>
      <c r="K345" s="7">
        <f>IF(I345="","",I345*(1+J345/100))</f>
        <v/>
      </c>
      <c r="L345" s="12" t="inlineStr"/>
      <c r="M345" s="8">
        <f>IF(OR(L345="",K345="",L345=0),"",
  (L345-K345)/L345*100)</f>
        <v/>
      </c>
      <c r="N345" s="9" t="inlineStr"/>
      <c r="O345" s="4" t="inlineStr"/>
      <c r="P345" s="4" t="inlineStr"/>
      <c r="Q345" s="4" t="inlineStr"/>
      <c r="R345" s="4" t="inlineStr">
        <is>
          <t>2026-03-12</t>
        </is>
      </c>
      <c r="S345" s="4" t="inlineStr"/>
    </row>
    <row r="346">
      <c r="A346" s="10" t="inlineStr">
        <is>
          <t>F00646</t>
        </is>
      </c>
      <c r="B346" s="10" t="inlineStr">
        <is>
          <t>F00646</t>
        </is>
      </c>
      <c r="C346" s="10" t="inlineStr">
        <is>
          <t>10083</t>
        </is>
      </c>
      <c r="D346" s="10" t="inlineStr">
        <is>
          <t>6009705650538</t>
        </is>
      </c>
      <c r="E346" s="10" t="inlineStr">
        <is>
          <t>HOSE PIPE 12MM X 30M + FITTINGS - PLS22</t>
        </is>
      </c>
      <c r="F346" s="10" t="inlineStr"/>
      <c r="G346" s="10" t="inlineStr"/>
      <c r="H346" s="10" t="inlineStr"/>
      <c r="I346" s="11" t="n">
        <v>125.95</v>
      </c>
      <c r="J346" s="6" t="n">
        <v>15</v>
      </c>
      <c r="K346" s="7">
        <f>IF(I346="","",I346*(1+J346/100))</f>
        <v/>
      </c>
      <c r="L346" s="11" t="n">
        <v>125</v>
      </c>
      <c r="M346" s="8">
        <f>IF(OR(L346="",K346="",L346=0),"",
  (L346-K346)/L346*100)</f>
        <v/>
      </c>
      <c r="N346" s="13" t="n">
        <v>31</v>
      </c>
      <c r="O346" s="10" t="inlineStr"/>
      <c r="P346" s="10" t="inlineStr"/>
      <c r="Q346" s="10" t="inlineStr"/>
      <c r="R346" s="10" t="inlineStr">
        <is>
          <t>2026-03-12</t>
        </is>
      </c>
      <c r="S346" s="10" t="inlineStr"/>
    </row>
    <row r="347">
      <c r="A347" s="3" t="inlineStr">
        <is>
          <t>F00667</t>
        </is>
      </c>
      <c r="B347" s="4" t="inlineStr">
        <is>
          <t>F00667</t>
        </is>
      </c>
      <c r="C347" s="4" t="inlineStr"/>
      <c r="D347" s="4" t="inlineStr">
        <is>
          <t>8992787931849</t>
        </is>
      </c>
      <c r="E347" s="3" t="inlineStr">
        <is>
          <t>BOWL SET APRIL 21ST</t>
        </is>
      </c>
      <c r="F347" s="4" t="inlineStr"/>
      <c r="G347" s="4" t="inlineStr"/>
      <c r="H347" s="4" t="inlineStr"/>
      <c r="I347" s="5" t="n">
        <v>24.95</v>
      </c>
      <c r="J347" s="6" t="n">
        <v>15</v>
      </c>
      <c r="K347" s="7">
        <f>IF(I347="","",I347*(1+J347/100))</f>
        <v/>
      </c>
      <c r="L347" s="12" t="inlineStr"/>
      <c r="M347" s="8">
        <f>IF(OR(L347="",K347="",L347=0),"",
  (L347-K347)/L347*100)</f>
        <v/>
      </c>
      <c r="N347" s="9" t="inlineStr"/>
      <c r="O347" s="4" t="inlineStr"/>
      <c r="P347" s="4" t="inlineStr"/>
      <c r="Q347" s="4" t="inlineStr"/>
      <c r="R347" s="4" t="inlineStr">
        <is>
          <t>2026-03-12</t>
        </is>
      </c>
      <c r="S347" s="4" t="inlineStr"/>
    </row>
    <row r="348">
      <c r="A348" s="10" t="inlineStr">
        <is>
          <t>F00668</t>
        </is>
      </c>
      <c r="B348" s="10" t="inlineStr">
        <is>
          <t>F00668</t>
        </is>
      </c>
      <c r="C348" s="10" t="inlineStr"/>
      <c r="D348" s="10" t="inlineStr">
        <is>
          <t>8992787931818</t>
        </is>
      </c>
      <c r="E348" s="10" t="inlineStr">
        <is>
          <t>BOWL SET EQUATOR 12ST</t>
        </is>
      </c>
      <c r="F348" s="10" t="inlineStr"/>
      <c r="G348" s="10" t="inlineStr"/>
      <c r="H348" s="10" t="inlineStr"/>
      <c r="I348" s="11" t="n">
        <v>26.95</v>
      </c>
      <c r="J348" s="6" t="n">
        <v>15</v>
      </c>
      <c r="K348" s="7">
        <f>IF(I348="","",I348*(1+J348/100))</f>
        <v/>
      </c>
      <c r="L348" s="12" t="inlineStr"/>
      <c r="M348" s="8">
        <f>IF(OR(L348="",K348="",L348=0),"",
  (L348-K348)/L348*100)</f>
        <v/>
      </c>
      <c r="N348" s="9" t="inlineStr"/>
      <c r="O348" s="10" t="inlineStr"/>
      <c r="P348" s="10" t="inlineStr"/>
      <c r="Q348" s="10" t="inlineStr"/>
      <c r="R348" s="10" t="inlineStr">
        <is>
          <t>2026-03-12</t>
        </is>
      </c>
      <c r="S348" s="10" t="inlineStr"/>
    </row>
    <row r="349">
      <c r="A349" s="3" t="inlineStr">
        <is>
          <t>F00669</t>
        </is>
      </c>
      <c r="B349" s="4" t="inlineStr">
        <is>
          <t>F00669</t>
        </is>
      </c>
      <c r="C349" s="4" t="inlineStr"/>
      <c r="D349" s="4" t="inlineStr">
        <is>
          <t>8992787931856</t>
        </is>
      </c>
      <c r="E349" s="3" t="inlineStr">
        <is>
          <t>BOWL SET AZRAA 12ST</t>
        </is>
      </c>
      <c r="F349" s="4" t="inlineStr"/>
      <c r="G349" s="4" t="inlineStr"/>
      <c r="H349" s="4" t="inlineStr"/>
      <c r="I349" s="5" t="n">
        <v>23.5</v>
      </c>
      <c r="J349" s="6" t="n">
        <v>15</v>
      </c>
      <c r="K349" s="7">
        <f>IF(I349="","",I349*(1+J349/100))</f>
        <v/>
      </c>
      <c r="L349" s="12" t="inlineStr"/>
      <c r="M349" s="8">
        <f>IF(OR(L349="",K349="",L349=0),"",
  (L349-K349)/L349*100)</f>
        <v/>
      </c>
      <c r="N349" s="9" t="inlineStr"/>
      <c r="O349" s="4" t="inlineStr"/>
      <c r="P349" s="4" t="inlineStr"/>
      <c r="Q349" s="4" t="inlineStr"/>
      <c r="R349" s="4" t="inlineStr">
        <is>
          <t>2026-03-12</t>
        </is>
      </c>
      <c r="S349" s="4" t="inlineStr"/>
    </row>
    <row r="350">
      <c r="A350" s="10" t="inlineStr">
        <is>
          <t>F00670</t>
        </is>
      </c>
      <c r="B350" s="10" t="inlineStr">
        <is>
          <t>F00670</t>
        </is>
      </c>
      <c r="C350" s="10" t="inlineStr"/>
      <c r="D350" s="10" t="inlineStr">
        <is>
          <t>8992787931320</t>
        </is>
      </c>
      <c r="E350" s="10" t="inlineStr">
        <is>
          <t>BOWL SET CIRCLE 12ST</t>
        </is>
      </c>
      <c r="F350" s="10" t="inlineStr"/>
      <c r="G350" s="10" t="inlineStr"/>
      <c r="H350" s="10" t="inlineStr"/>
      <c r="I350" s="11" t="n">
        <v>23.5</v>
      </c>
      <c r="J350" s="6" t="n">
        <v>15</v>
      </c>
      <c r="K350" s="7">
        <f>IF(I350="","",I350*(1+J350/100))</f>
        <v/>
      </c>
      <c r="L350" s="12" t="inlineStr"/>
      <c r="M350" s="8">
        <f>IF(OR(L350="",K350="",L350=0),"",
  (L350-K350)/L350*100)</f>
        <v/>
      </c>
      <c r="N350" s="9" t="inlineStr"/>
      <c r="O350" s="10" t="inlineStr"/>
      <c r="P350" s="10" t="inlineStr"/>
      <c r="Q350" s="10" t="inlineStr"/>
      <c r="R350" s="10" t="inlineStr">
        <is>
          <t>2026-03-12</t>
        </is>
      </c>
      <c r="S350" s="10" t="inlineStr"/>
    </row>
    <row r="351">
      <c r="A351" s="3" t="inlineStr">
        <is>
          <t>F00671</t>
        </is>
      </c>
      <c r="B351" s="4" t="inlineStr">
        <is>
          <t>F00671</t>
        </is>
      </c>
      <c r="C351" s="4" t="inlineStr"/>
      <c r="D351" s="4" t="inlineStr">
        <is>
          <t>8992787931177</t>
        </is>
      </c>
      <c r="E351" s="3" t="inlineStr">
        <is>
          <t>BOWL SET GRANDE 6ST</t>
        </is>
      </c>
      <c r="F351" s="4" t="inlineStr"/>
      <c r="G351" s="4" t="inlineStr"/>
      <c r="H351" s="4" t="inlineStr"/>
      <c r="I351" s="5" t="n">
        <v>33.95</v>
      </c>
      <c r="J351" s="6" t="n">
        <v>15</v>
      </c>
      <c r="K351" s="7">
        <f>IF(I351="","",I351*(1+J351/100))</f>
        <v/>
      </c>
      <c r="L351" s="12" t="inlineStr"/>
      <c r="M351" s="8">
        <f>IF(OR(L351="",K351="",L351=0),"",
  (L351-K351)/L351*100)</f>
        <v/>
      </c>
      <c r="N351" s="9" t="inlineStr"/>
      <c r="O351" s="4" t="inlineStr"/>
      <c r="P351" s="4" t="inlineStr"/>
      <c r="Q351" s="4" t="inlineStr"/>
      <c r="R351" s="4" t="inlineStr">
        <is>
          <t>2026-03-12</t>
        </is>
      </c>
      <c r="S351" s="4" t="inlineStr"/>
    </row>
    <row r="352">
      <c r="A352" s="10" t="inlineStr">
        <is>
          <t>F00672</t>
        </is>
      </c>
      <c r="B352" s="10" t="inlineStr">
        <is>
          <t>F00672</t>
        </is>
      </c>
      <c r="C352" s="10" t="inlineStr"/>
      <c r="D352" s="10" t="inlineStr">
        <is>
          <t>8992787931092</t>
        </is>
      </c>
      <c r="E352" s="10" t="inlineStr">
        <is>
          <t>BOWL SET HORIZON 6ST</t>
        </is>
      </c>
      <c r="F352" s="10" t="inlineStr"/>
      <c r="G352" s="10" t="inlineStr"/>
      <c r="H352" s="10" t="inlineStr"/>
      <c r="I352" s="11" t="n">
        <v>33.95</v>
      </c>
      <c r="J352" s="6" t="n">
        <v>15</v>
      </c>
      <c r="K352" s="7">
        <f>IF(I352="","",I352*(1+J352/100))</f>
        <v/>
      </c>
      <c r="L352" s="12" t="inlineStr"/>
      <c r="M352" s="8">
        <f>IF(OR(L352="",K352="",L352=0),"",
  (L352-K352)/L352*100)</f>
        <v/>
      </c>
      <c r="N352" s="9" t="inlineStr"/>
      <c r="O352" s="10" t="inlineStr"/>
      <c r="P352" s="10" t="inlineStr"/>
      <c r="Q352" s="10" t="inlineStr"/>
      <c r="R352" s="10" t="inlineStr">
        <is>
          <t>2026-03-12</t>
        </is>
      </c>
      <c r="S352" s="10" t="inlineStr"/>
    </row>
    <row r="353">
      <c r="A353" s="3" t="inlineStr">
        <is>
          <t>F00673</t>
        </is>
      </c>
      <c r="B353" s="4" t="inlineStr">
        <is>
          <t>F00673</t>
        </is>
      </c>
      <c r="C353" s="4" t="inlineStr"/>
      <c r="D353" s="4" t="inlineStr">
        <is>
          <t>8992787930026</t>
        </is>
      </c>
      <c r="E353" s="3" t="inlineStr">
        <is>
          <t>BOWL SET NEW PEARL 6ST</t>
        </is>
      </c>
      <c r="F353" s="4" t="inlineStr"/>
      <c r="G353" s="4" t="inlineStr"/>
      <c r="H353" s="4" t="inlineStr"/>
      <c r="I353" s="5" t="n">
        <v>33.95</v>
      </c>
      <c r="J353" s="6" t="n">
        <v>15</v>
      </c>
      <c r="K353" s="7">
        <f>IF(I353="","",I353*(1+J353/100))</f>
        <v/>
      </c>
      <c r="L353" s="12" t="inlineStr"/>
      <c r="M353" s="8">
        <f>IF(OR(L353="",K353="",L353=0),"",
  (L353-K353)/L353*100)</f>
        <v/>
      </c>
      <c r="N353" s="9" t="inlineStr"/>
      <c r="O353" s="4" t="inlineStr"/>
      <c r="P353" s="4" t="inlineStr"/>
      <c r="Q353" s="4" t="inlineStr"/>
      <c r="R353" s="4" t="inlineStr">
        <is>
          <t>2026-03-12</t>
        </is>
      </c>
      <c r="S353" s="4" t="inlineStr"/>
    </row>
    <row r="354">
      <c r="A354" s="10" t="inlineStr">
        <is>
          <t>F00674</t>
        </is>
      </c>
      <c r="B354" s="10" t="inlineStr">
        <is>
          <t>F00674</t>
        </is>
      </c>
      <c r="C354" s="10" t="inlineStr"/>
      <c r="D354" s="10" t="inlineStr">
        <is>
          <t>8992787931801</t>
        </is>
      </c>
      <c r="E354" s="10" t="inlineStr">
        <is>
          <t>BOWL SET JESSICA 6ST</t>
        </is>
      </c>
      <c r="F354" s="10" t="inlineStr"/>
      <c r="G354" s="10" t="inlineStr"/>
      <c r="H354" s="10" t="inlineStr"/>
      <c r="I354" s="11" t="n">
        <v>33.95</v>
      </c>
      <c r="J354" s="6" t="n">
        <v>15</v>
      </c>
      <c r="K354" s="7">
        <f>IF(I354="","",I354*(1+J354/100))</f>
        <v/>
      </c>
      <c r="L354" s="12" t="inlineStr"/>
      <c r="M354" s="8">
        <f>IF(OR(L354="",K354="",L354=0),"",
  (L354-K354)/L354*100)</f>
        <v/>
      </c>
      <c r="N354" s="9" t="inlineStr"/>
      <c r="O354" s="10" t="inlineStr"/>
      <c r="P354" s="10" t="inlineStr"/>
      <c r="Q354" s="10" t="inlineStr"/>
      <c r="R354" s="10" t="inlineStr">
        <is>
          <t>2026-03-12</t>
        </is>
      </c>
      <c r="S354" s="10" t="inlineStr"/>
    </row>
    <row r="355">
      <c r="A355" s="3" t="inlineStr">
        <is>
          <t>F00675</t>
        </is>
      </c>
      <c r="B355" s="4" t="inlineStr">
        <is>
          <t>F00675</t>
        </is>
      </c>
      <c r="C355" s="4" t="inlineStr"/>
      <c r="D355" s="4" t="inlineStr">
        <is>
          <t>8992787930910</t>
        </is>
      </c>
      <c r="E355" s="3" t="inlineStr">
        <is>
          <t>BOWL SET GRECO 12ST</t>
        </is>
      </c>
      <c r="F355" s="4" t="inlineStr"/>
      <c r="G355" s="4" t="inlineStr"/>
      <c r="H355" s="4" t="inlineStr"/>
      <c r="I355" s="5" t="n">
        <v>23.5</v>
      </c>
      <c r="J355" s="6" t="n">
        <v>15</v>
      </c>
      <c r="K355" s="7">
        <f>IF(I355="","",I355*(1+J355/100))</f>
        <v/>
      </c>
      <c r="L355" s="12" t="inlineStr"/>
      <c r="M355" s="8">
        <f>IF(OR(L355="",K355="",L355=0),"",
  (L355-K355)/L355*100)</f>
        <v/>
      </c>
      <c r="N355" s="9" t="inlineStr"/>
      <c r="O355" s="4" t="inlineStr"/>
      <c r="P355" s="4" t="inlineStr"/>
      <c r="Q355" s="4" t="inlineStr"/>
      <c r="R355" s="4" t="inlineStr">
        <is>
          <t>2026-03-12</t>
        </is>
      </c>
      <c r="S355" s="4" t="inlineStr"/>
    </row>
    <row r="356">
      <c r="A356" s="10" t="inlineStr">
        <is>
          <t>F00676</t>
        </is>
      </c>
      <c r="B356" s="10" t="inlineStr">
        <is>
          <t>F00676</t>
        </is>
      </c>
      <c r="C356" s="10" t="inlineStr"/>
      <c r="D356" s="10" t="inlineStr">
        <is>
          <t>6009705650620</t>
        </is>
      </c>
      <c r="E356" s="10" t="inlineStr">
        <is>
          <t>BOWL 6'' WHITE SALAD</t>
        </is>
      </c>
      <c r="F356" s="10" t="inlineStr"/>
      <c r="G356" s="10" t="inlineStr"/>
      <c r="H356" s="10" t="inlineStr"/>
      <c r="I356" s="11" t="n">
        <v>3.74</v>
      </c>
      <c r="J356" s="6" t="n">
        <v>15</v>
      </c>
      <c r="K356" s="7">
        <f>IF(I356="","",I356*(1+J356/100))</f>
        <v/>
      </c>
      <c r="L356" s="12" t="inlineStr"/>
      <c r="M356" s="8">
        <f>IF(OR(L356="",K356="",L356=0),"",
  (L356-K356)/L356*100)</f>
        <v/>
      </c>
      <c r="N356" s="9" t="inlineStr"/>
      <c r="O356" s="10" t="inlineStr"/>
      <c r="P356" s="10" t="inlineStr"/>
      <c r="Q356" s="10" t="inlineStr"/>
      <c r="R356" s="10" t="inlineStr">
        <is>
          <t>2026-03-12</t>
        </is>
      </c>
      <c r="S356" s="10" t="inlineStr"/>
    </row>
    <row r="357">
      <c r="A357" s="3" t="inlineStr">
        <is>
          <t>F00677</t>
        </is>
      </c>
      <c r="B357" s="4" t="inlineStr">
        <is>
          <t>F00677</t>
        </is>
      </c>
      <c r="C357" s="4" t="inlineStr"/>
      <c r="D357" s="4" t="inlineStr">
        <is>
          <t>6009705650637</t>
        </is>
      </c>
      <c r="E357" s="3" t="inlineStr">
        <is>
          <t>BOWL 8'' WHITE SALAD</t>
        </is>
      </c>
      <c r="F357" s="4" t="inlineStr"/>
      <c r="G357" s="4" t="inlineStr"/>
      <c r="H357" s="4" t="inlineStr"/>
      <c r="I357" s="5" t="n">
        <v>7.17</v>
      </c>
      <c r="J357" s="6" t="n">
        <v>15</v>
      </c>
      <c r="K357" s="7">
        <f>IF(I357="","",I357*(1+J357/100))</f>
        <v/>
      </c>
      <c r="L357" s="12" t="inlineStr"/>
      <c r="M357" s="8">
        <f>IF(OR(L357="",K357="",L357=0),"",
  (L357-K357)/L357*100)</f>
        <v/>
      </c>
      <c r="N357" s="9" t="inlineStr"/>
      <c r="O357" s="4" t="inlineStr"/>
      <c r="P357" s="4" t="inlineStr"/>
      <c r="Q357" s="4" t="inlineStr"/>
      <c r="R357" s="4" t="inlineStr">
        <is>
          <t>2026-03-12</t>
        </is>
      </c>
      <c r="S357" s="4" t="inlineStr"/>
    </row>
    <row r="358">
      <c r="A358" s="10" t="inlineStr">
        <is>
          <t>F00678</t>
        </is>
      </c>
      <c r="B358" s="10" t="inlineStr">
        <is>
          <t>F00678</t>
        </is>
      </c>
      <c r="C358" s="10" t="inlineStr"/>
      <c r="D358" s="10" t="inlineStr">
        <is>
          <t>6009705650644</t>
        </is>
      </c>
      <c r="E358" s="10" t="inlineStr">
        <is>
          <t>BOWL 10" WHITE CATER</t>
        </is>
      </c>
      <c r="F358" s="10" t="inlineStr"/>
      <c r="G358" s="10" t="inlineStr"/>
      <c r="H358" s="10" t="inlineStr"/>
      <c r="I358" s="11" t="n">
        <v>11.22</v>
      </c>
      <c r="J358" s="6" t="n">
        <v>15</v>
      </c>
      <c r="K358" s="7">
        <f>IF(I358="","",I358*(1+J358/100))</f>
        <v/>
      </c>
      <c r="L358" s="12" t="inlineStr"/>
      <c r="M358" s="8">
        <f>IF(OR(L358="",K358="",L358=0),"",
  (L358-K358)/L358*100)</f>
        <v/>
      </c>
      <c r="N358" s="9" t="inlineStr"/>
      <c r="O358" s="10" t="inlineStr"/>
      <c r="P358" s="10" t="inlineStr"/>
      <c r="Q358" s="10" t="inlineStr"/>
      <c r="R358" s="10" t="inlineStr">
        <is>
          <t>2026-03-12</t>
        </is>
      </c>
      <c r="S358" s="10" t="inlineStr"/>
    </row>
    <row r="359">
      <c r="A359" s="3" t="inlineStr">
        <is>
          <t>F00679</t>
        </is>
      </c>
      <c r="B359" s="4" t="inlineStr">
        <is>
          <t>F00679</t>
        </is>
      </c>
      <c r="C359" s="4" t="inlineStr"/>
      <c r="D359" s="4" t="inlineStr">
        <is>
          <t>6009708400031</t>
        </is>
      </c>
      <c r="E359" s="3" t="inlineStr">
        <is>
          <t>VINYL RED BACK 30M X 1.8M</t>
        </is>
      </c>
      <c r="F359" s="4" t="inlineStr"/>
      <c r="G359" s="4" t="inlineStr"/>
      <c r="H359" s="4" t="inlineStr"/>
      <c r="I359" s="5" t="n">
        <v>690</v>
      </c>
      <c r="J359" s="6" t="n">
        <v>15</v>
      </c>
      <c r="K359" s="7">
        <f>IF(I359="","",I359*(1+J359/100))</f>
        <v/>
      </c>
      <c r="L359" s="12" t="inlineStr"/>
      <c r="M359" s="8">
        <f>IF(OR(L359="",K359="",L359=0),"",
  (L359-K359)/L359*100)</f>
        <v/>
      </c>
      <c r="N359" s="14" t="n">
        <v>1835</v>
      </c>
      <c r="O359" s="4" t="inlineStr"/>
      <c r="P359" s="4" t="inlineStr"/>
      <c r="Q359" s="4" t="inlineStr"/>
      <c r="R359" s="4" t="inlineStr">
        <is>
          <t>2026-03-12</t>
        </is>
      </c>
      <c r="S359" s="4" t="inlineStr"/>
    </row>
    <row r="360">
      <c r="A360" s="10" t="inlineStr">
        <is>
          <t>F00680</t>
        </is>
      </c>
      <c r="B360" s="10" t="inlineStr">
        <is>
          <t>F00680</t>
        </is>
      </c>
      <c r="C360" s="10" t="inlineStr"/>
      <c r="D360" s="10" t="inlineStr">
        <is>
          <t>6009705651009</t>
        </is>
      </c>
      <c r="E360" s="10" t="inlineStr">
        <is>
          <t>VINYL RED BACK 5MT SHRINK</t>
        </is>
      </c>
      <c r="F360" s="10" t="inlineStr"/>
      <c r="G360" s="10" t="inlineStr"/>
      <c r="H360" s="10" t="inlineStr"/>
      <c r="I360" s="11" t="n">
        <v>129</v>
      </c>
      <c r="J360" s="6" t="n">
        <v>15</v>
      </c>
      <c r="K360" s="7">
        <f>IF(I360="","",I360*(1+J360/100))</f>
        <v/>
      </c>
      <c r="L360" s="12" t="inlineStr"/>
      <c r="M360" s="8">
        <f>IF(OR(L360="",K360="",L360=0),"",
  (L360-K360)/L360*100)</f>
        <v/>
      </c>
      <c r="N360" s="9" t="inlineStr"/>
      <c r="O360" s="10" t="inlineStr"/>
      <c r="P360" s="10" t="inlineStr"/>
      <c r="Q360" s="10" t="inlineStr"/>
      <c r="R360" s="10" t="inlineStr">
        <is>
          <t>2026-03-12</t>
        </is>
      </c>
      <c r="S360" s="10" t="inlineStr"/>
    </row>
    <row r="361">
      <c r="A361" s="3" t="inlineStr">
        <is>
          <t>F00681</t>
        </is>
      </c>
      <c r="B361" s="4" t="inlineStr">
        <is>
          <t>F00681</t>
        </is>
      </c>
      <c r="C361" s="4" t="inlineStr"/>
      <c r="D361" s="4" t="inlineStr">
        <is>
          <t>6009705650002</t>
        </is>
      </c>
      <c r="E361" s="3" t="inlineStr">
        <is>
          <t>PEEL &amp; STICK TILES</t>
        </is>
      </c>
      <c r="F361" s="4" t="inlineStr"/>
      <c r="G361" s="4" t="inlineStr"/>
      <c r="H361" s="4" t="inlineStr"/>
      <c r="I361" s="5" t="n">
        <v>225</v>
      </c>
      <c r="J361" s="6" t="n">
        <v>15</v>
      </c>
      <c r="K361" s="7">
        <f>IF(I361="","",I361*(1+J361/100))</f>
        <v/>
      </c>
      <c r="L361" s="12" t="inlineStr"/>
      <c r="M361" s="8">
        <f>IF(OR(L361="",K361="",L361=0),"",
  (L361-K361)/L361*100)</f>
        <v/>
      </c>
      <c r="N361" s="9" t="inlineStr"/>
      <c r="O361" s="4" t="inlineStr"/>
      <c r="P361" s="4" t="inlineStr"/>
      <c r="Q361" s="4" t="inlineStr"/>
      <c r="R361" s="4" t="inlineStr">
        <is>
          <t>2026-03-12</t>
        </is>
      </c>
      <c r="S361" s="4" t="inlineStr"/>
    </row>
    <row r="362">
      <c r="A362" s="10" t="inlineStr">
        <is>
          <t>F00682</t>
        </is>
      </c>
      <c r="B362" s="10" t="inlineStr">
        <is>
          <t>F00682</t>
        </is>
      </c>
      <c r="C362" s="10" t="inlineStr"/>
      <c r="D362" s="10" t="inlineStr">
        <is>
          <t>6009705650026</t>
        </is>
      </c>
      <c r="E362" s="10" t="inlineStr">
        <is>
          <t>PEEL &amp; STICK TILES</t>
        </is>
      </c>
      <c r="F362" s="10" t="inlineStr"/>
      <c r="G362" s="10" t="inlineStr"/>
      <c r="H362" s="10" t="inlineStr"/>
      <c r="I362" s="11" t="n">
        <v>159.95</v>
      </c>
      <c r="J362" s="6" t="n">
        <v>15</v>
      </c>
      <c r="K362" s="7">
        <f>IF(I362="","",I362*(1+J362/100))</f>
        <v/>
      </c>
      <c r="L362" s="12" t="inlineStr"/>
      <c r="M362" s="8">
        <f>IF(OR(L362="",K362="",L362=0),"",
  (L362-K362)/L362*100)</f>
        <v/>
      </c>
      <c r="N362" s="9" t="inlineStr"/>
      <c r="O362" s="10" t="inlineStr"/>
      <c r="P362" s="10" t="inlineStr"/>
      <c r="Q362" s="10" t="inlineStr"/>
      <c r="R362" s="10" t="inlineStr">
        <is>
          <t>2026-03-12</t>
        </is>
      </c>
      <c r="S362" s="10" t="inlineStr"/>
    </row>
    <row r="363">
      <c r="A363" s="3" t="inlineStr">
        <is>
          <t>F00683</t>
        </is>
      </c>
      <c r="B363" s="4" t="inlineStr">
        <is>
          <t>F00683</t>
        </is>
      </c>
      <c r="C363" s="4" t="inlineStr"/>
      <c r="D363" s="4" t="inlineStr">
        <is>
          <t>6009697457924</t>
        </is>
      </c>
      <c r="E363" s="3" t="inlineStr">
        <is>
          <t>PEEL &amp; STICK TILES</t>
        </is>
      </c>
      <c r="F363" s="4" t="inlineStr"/>
      <c r="G363" s="4" t="inlineStr"/>
      <c r="H363" s="4" t="inlineStr"/>
      <c r="I363" s="5" t="n">
        <v>225</v>
      </c>
      <c r="J363" s="6" t="n">
        <v>15</v>
      </c>
      <c r="K363" s="7">
        <f>IF(I363="","",I363*(1+J363/100))</f>
        <v/>
      </c>
      <c r="L363" s="12" t="inlineStr"/>
      <c r="M363" s="8">
        <f>IF(OR(L363="",K363="",L363=0),"",
  (L363-K363)/L363*100)</f>
        <v/>
      </c>
      <c r="N363" s="9" t="inlineStr"/>
      <c r="O363" s="4" t="inlineStr"/>
      <c r="P363" s="4" t="inlineStr"/>
      <c r="Q363" s="4" t="inlineStr"/>
      <c r="R363" s="4" t="inlineStr">
        <is>
          <t>2026-03-12</t>
        </is>
      </c>
      <c r="S363" s="4" t="inlineStr"/>
    </row>
    <row r="364">
      <c r="A364" s="10" t="inlineStr">
        <is>
          <t>F00684</t>
        </is>
      </c>
      <c r="B364" s="10" t="inlineStr">
        <is>
          <t>F00684</t>
        </is>
      </c>
      <c r="C364" s="10" t="inlineStr"/>
      <c r="D364" s="10" t="inlineStr">
        <is>
          <t>6009697457917</t>
        </is>
      </c>
      <c r="E364" s="10" t="inlineStr">
        <is>
          <t>PEEL &amp; STICK TILE 60x60 GLOSS DARK GREY</t>
        </is>
      </c>
      <c r="F364" s="10" t="inlineStr"/>
      <c r="G364" s="10" t="inlineStr"/>
      <c r="H364" s="10" t="inlineStr"/>
      <c r="I364" s="11" t="n">
        <v>279</v>
      </c>
      <c r="J364" s="6" t="n">
        <v>15</v>
      </c>
      <c r="K364" s="7">
        <f>IF(I364="","",I364*(1+J364/100))</f>
        <v/>
      </c>
      <c r="L364" s="12" t="inlineStr"/>
      <c r="M364" s="8">
        <f>IF(OR(L364="",K364="",L364=0),"",
  (L364-K364)/L364*100)</f>
        <v/>
      </c>
      <c r="N364" s="9" t="inlineStr"/>
      <c r="O364" s="10" t="inlineStr"/>
      <c r="P364" s="10" t="inlineStr"/>
      <c r="Q364" s="10" t="inlineStr"/>
      <c r="R364" s="10" t="inlineStr">
        <is>
          <t>2026-03-12</t>
        </is>
      </c>
      <c r="S364" s="10" t="inlineStr"/>
    </row>
    <row r="365">
      <c r="A365" s="3" t="inlineStr">
        <is>
          <t>F00685</t>
        </is>
      </c>
      <c r="B365" s="4" t="inlineStr">
        <is>
          <t>F00685</t>
        </is>
      </c>
      <c r="C365" s="4" t="inlineStr"/>
      <c r="D365" s="4" t="inlineStr">
        <is>
          <t>6009697458747</t>
        </is>
      </c>
      <c r="E365" s="3" t="inlineStr">
        <is>
          <t>PEEL &amp; STICK TILE 60x60 GLOSS LGHT BEIGE</t>
        </is>
      </c>
      <c r="F365" s="4" t="inlineStr"/>
      <c r="G365" s="4" t="inlineStr"/>
      <c r="H365" s="4" t="inlineStr"/>
      <c r="I365" s="5" t="n">
        <v>279</v>
      </c>
      <c r="J365" s="6" t="n">
        <v>15</v>
      </c>
      <c r="K365" s="7">
        <f>IF(I365="","",I365*(1+J365/100))</f>
        <v/>
      </c>
      <c r="L365" s="12" t="inlineStr"/>
      <c r="M365" s="8">
        <f>IF(OR(L365="",K365="",L365=0),"",
  (L365-K365)/L365*100)</f>
        <v/>
      </c>
      <c r="N365" s="14" t="n">
        <v>85</v>
      </c>
      <c r="O365" s="4" t="inlineStr"/>
      <c r="P365" s="4" t="inlineStr"/>
      <c r="Q365" s="4" t="inlineStr"/>
      <c r="R365" s="4" t="inlineStr">
        <is>
          <t>2026-03-12</t>
        </is>
      </c>
      <c r="S365" s="4" t="inlineStr"/>
    </row>
    <row r="366">
      <c r="A366" s="10" t="inlineStr">
        <is>
          <t>F00686</t>
        </is>
      </c>
      <c r="B366" s="10" t="inlineStr">
        <is>
          <t>F00686</t>
        </is>
      </c>
      <c r="C366" s="10" t="inlineStr"/>
      <c r="D366" s="10" t="inlineStr">
        <is>
          <t>6009697458785</t>
        </is>
      </c>
      <c r="E366" s="10" t="inlineStr">
        <is>
          <t>PEEL &amp; STICK TILES</t>
        </is>
      </c>
      <c r="F366" s="10" t="inlineStr"/>
      <c r="G366" s="10" t="inlineStr"/>
      <c r="H366" s="10" t="inlineStr"/>
      <c r="I366" s="11" t="n">
        <v>225</v>
      </c>
      <c r="J366" s="6" t="n">
        <v>15</v>
      </c>
      <c r="K366" s="7">
        <f>IF(I366="","",I366*(1+J366/100))</f>
        <v/>
      </c>
      <c r="L366" s="12" t="inlineStr"/>
      <c r="M366" s="8">
        <f>IF(OR(L366="",K366="",L366=0),"",
  (L366-K366)/L366*100)</f>
        <v/>
      </c>
      <c r="N366" s="9" t="inlineStr"/>
      <c r="O366" s="10" t="inlineStr"/>
      <c r="P366" s="10" t="inlineStr"/>
      <c r="Q366" s="10" t="inlineStr"/>
      <c r="R366" s="10" t="inlineStr">
        <is>
          <t>2026-03-12</t>
        </is>
      </c>
      <c r="S366" s="10" t="inlineStr"/>
    </row>
    <row r="367">
      <c r="A367" s="3" t="inlineStr">
        <is>
          <t>F00687</t>
        </is>
      </c>
      <c r="B367" s="4" t="inlineStr">
        <is>
          <t>F00687</t>
        </is>
      </c>
      <c r="C367" s="4" t="inlineStr"/>
      <c r="D367" s="4" t="inlineStr">
        <is>
          <t>6009697458914</t>
        </is>
      </c>
      <c r="E367" s="3" t="inlineStr">
        <is>
          <t>PEEL &amp; STICK TILES</t>
        </is>
      </c>
      <c r="F367" s="4" t="inlineStr"/>
      <c r="G367" s="4" t="inlineStr"/>
      <c r="H367" s="4" t="inlineStr"/>
      <c r="I367" s="5" t="n">
        <v>225</v>
      </c>
      <c r="J367" s="6" t="n">
        <v>15</v>
      </c>
      <c r="K367" s="7">
        <f>IF(I367="","",I367*(1+J367/100))</f>
        <v/>
      </c>
      <c r="L367" s="12" t="inlineStr"/>
      <c r="M367" s="8">
        <f>IF(OR(L367="",K367="",L367=0),"",
  (L367-K367)/L367*100)</f>
        <v/>
      </c>
      <c r="N367" s="9" t="inlineStr"/>
      <c r="O367" s="4" t="inlineStr"/>
      <c r="P367" s="4" t="inlineStr"/>
      <c r="Q367" s="4" t="inlineStr"/>
      <c r="R367" s="4" t="inlineStr">
        <is>
          <t>2026-03-12</t>
        </is>
      </c>
      <c r="S367" s="4" t="inlineStr"/>
    </row>
    <row r="368">
      <c r="A368" s="10" t="inlineStr">
        <is>
          <t>F00688</t>
        </is>
      </c>
      <c r="B368" s="10" t="inlineStr">
        <is>
          <t>F00688</t>
        </is>
      </c>
      <c r="C368" s="10" t="inlineStr"/>
      <c r="D368" s="10" t="inlineStr">
        <is>
          <t>6009697458891</t>
        </is>
      </c>
      <c r="E368" s="10" t="inlineStr">
        <is>
          <t>PEEL &amp; STICK TILES</t>
        </is>
      </c>
      <c r="F368" s="10" t="inlineStr"/>
      <c r="G368" s="10" t="inlineStr"/>
      <c r="H368" s="10" t="inlineStr"/>
      <c r="I368" s="11" t="n">
        <v>199</v>
      </c>
      <c r="J368" s="6" t="n">
        <v>15</v>
      </c>
      <c r="K368" s="7">
        <f>IF(I368="","",I368*(1+J368/100))</f>
        <v/>
      </c>
      <c r="L368" s="12" t="inlineStr"/>
      <c r="M368" s="8">
        <f>IF(OR(L368="",K368="",L368=0),"",
  (L368-K368)/L368*100)</f>
        <v/>
      </c>
      <c r="N368" s="9" t="inlineStr"/>
      <c r="O368" s="10" t="inlineStr"/>
      <c r="P368" s="10" t="inlineStr"/>
      <c r="Q368" s="10" t="inlineStr"/>
      <c r="R368" s="10" t="inlineStr">
        <is>
          <t>2026-03-12</t>
        </is>
      </c>
      <c r="S368" s="10" t="inlineStr"/>
    </row>
    <row r="369">
      <c r="A369" s="3" t="inlineStr">
        <is>
          <t>F00689</t>
        </is>
      </c>
      <c r="B369" s="4" t="inlineStr">
        <is>
          <t>F00689</t>
        </is>
      </c>
      <c r="C369" s="4" t="inlineStr"/>
      <c r="D369" s="4" t="inlineStr"/>
      <c r="E369" s="3" t="inlineStr">
        <is>
          <t>PEEL &amp; STICK TILES</t>
        </is>
      </c>
      <c r="F369" s="4" t="inlineStr"/>
      <c r="G369" s="4" t="inlineStr"/>
      <c r="H369" s="4" t="inlineStr"/>
      <c r="I369" s="5" t="n">
        <v>159.95</v>
      </c>
      <c r="J369" s="6" t="n">
        <v>15</v>
      </c>
      <c r="K369" s="7">
        <f>IF(I369="","",I369*(1+J369/100))</f>
        <v/>
      </c>
      <c r="L369" s="12" t="inlineStr"/>
      <c r="M369" s="8">
        <f>IF(OR(L369="",K369="",L369=0),"",
  (L369-K369)/L369*100)</f>
        <v/>
      </c>
      <c r="N369" s="9" t="inlineStr"/>
      <c r="O369" s="4" t="inlineStr"/>
      <c r="P369" s="4" t="inlineStr"/>
      <c r="Q369" s="4" t="inlineStr"/>
      <c r="R369" s="4" t="inlineStr">
        <is>
          <t>2026-03-12</t>
        </is>
      </c>
      <c r="S369" s="4" t="inlineStr"/>
    </row>
    <row r="370">
      <c r="A370" s="10" t="inlineStr">
        <is>
          <t>F00690</t>
        </is>
      </c>
      <c r="B370" s="10" t="inlineStr">
        <is>
          <t>F00690</t>
        </is>
      </c>
      <c r="C370" s="10" t="inlineStr"/>
      <c r="D370" s="10" t="inlineStr">
        <is>
          <t>6009697458853</t>
        </is>
      </c>
      <c r="E370" s="10" t="inlineStr">
        <is>
          <t>PEEL &amp; STICK TILE 60x60 GLOSS LIGHTGREY</t>
        </is>
      </c>
      <c r="F370" s="10" t="inlineStr"/>
      <c r="G370" s="10" t="inlineStr"/>
      <c r="H370" s="10" t="inlineStr"/>
      <c r="I370" s="11" t="n">
        <v>279</v>
      </c>
      <c r="J370" s="6" t="n">
        <v>15</v>
      </c>
      <c r="K370" s="7">
        <f>IF(I370="","",I370*(1+J370/100))</f>
        <v/>
      </c>
      <c r="L370" s="12" t="inlineStr"/>
      <c r="M370" s="8">
        <f>IF(OR(L370="",K370="",L370=0),"",
  (L370-K370)/L370*100)</f>
        <v/>
      </c>
      <c r="N370" s="13" t="n">
        <v>95</v>
      </c>
      <c r="O370" s="10" t="inlineStr"/>
      <c r="P370" s="10" t="inlineStr"/>
      <c r="Q370" s="10" t="inlineStr"/>
      <c r="R370" s="10" t="inlineStr">
        <is>
          <t>2026-03-12</t>
        </is>
      </c>
      <c r="S370" s="10" t="inlineStr"/>
    </row>
    <row r="371">
      <c r="A371" s="3" t="inlineStr">
        <is>
          <t>F00691</t>
        </is>
      </c>
      <c r="B371" s="4" t="inlineStr">
        <is>
          <t>F00691</t>
        </is>
      </c>
      <c r="C371" s="4" t="inlineStr"/>
      <c r="D371" s="4" t="inlineStr">
        <is>
          <t>6009697458877</t>
        </is>
      </c>
      <c r="E371" s="3" t="inlineStr">
        <is>
          <t>PEEL &amp; STICK TILE 60X60 MATT BLACK</t>
        </is>
      </c>
      <c r="F371" s="4" t="inlineStr"/>
      <c r="G371" s="4" t="inlineStr"/>
      <c r="H371" s="4" t="inlineStr"/>
      <c r="I371" s="5" t="n">
        <v>259</v>
      </c>
      <c r="J371" s="6" t="n">
        <v>15</v>
      </c>
      <c r="K371" s="7">
        <f>IF(I371="","",I371*(1+J371/100))</f>
        <v/>
      </c>
      <c r="L371" s="12" t="inlineStr"/>
      <c r="M371" s="8">
        <f>IF(OR(L371="",K371="",L371=0),"",
  (L371-K371)/L371*100)</f>
        <v/>
      </c>
      <c r="N371" s="14" t="n">
        <v>186</v>
      </c>
      <c r="O371" s="4" t="inlineStr"/>
      <c r="P371" s="4" t="inlineStr"/>
      <c r="Q371" s="4" t="inlineStr"/>
      <c r="R371" s="4" t="inlineStr">
        <is>
          <t>2026-03-12</t>
        </is>
      </c>
      <c r="S371" s="4" t="inlineStr"/>
    </row>
    <row r="372">
      <c r="A372" s="10" t="inlineStr">
        <is>
          <t>F00692</t>
        </is>
      </c>
      <c r="B372" s="10" t="inlineStr">
        <is>
          <t>F00692</t>
        </is>
      </c>
      <c r="C372" s="10" t="inlineStr"/>
      <c r="D372" s="10" t="inlineStr">
        <is>
          <t>6009697458938</t>
        </is>
      </c>
      <c r="E372" s="10" t="inlineStr">
        <is>
          <t>PEEL &amp; STICK TILES</t>
        </is>
      </c>
      <c r="F372" s="10" t="inlineStr"/>
      <c r="G372" s="10" t="inlineStr"/>
      <c r="H372" s="10" t="inlineStr"/>
      <c r="I372" s="11" t="n">
        <v>199</v>
      </c>
      <c r="J372" s="6" t="n">
        <v>15</v>
      </c>
      <c r="K372" s="7">
        <f>IF(I372="","",I372*(1+J372/100))</f>
        <v/>
      </c>
      <c r="L372" s="12" t="inlineStr"/>
      <c r="M372" s="8">
        <f>IF(OR(L372="",K372="",L372=0),"",
  (L372-K372)/L372*100)</f>
        <v/>
      </c>
      <c r="N372" s="9" t="inlineStr"/>
      <c r="O372" s="10" t="inlineStr"/>
      <c r="P372" s="10" t="inlineStr"/>
      <c r="Q372" s="10" t="inlineStr"/>
      <c r="R372" s="10" t="inlineStr">
        <is>
          <t>2026-03-12</t>
        </is>
      </c>
      <c r="S372" s="10" t="inlineStr"/>
    </row>
    <row r="373">
      <c r="A373" s="3" t="inlineStr">
        <is>
          <t>F00693</t>
        </is>
      </c>
      <c r="B373" s="4" t="inlineStr">
        <is>
          <t>F00693</t>
        </is>
      </c>
      <c r="C373" s="4" t="inlineStr"/>
      <c r="D373" s="4" t="inlineStr">
        <is>
          <t>6009697458761</t>
        </is>
      </c>
      <c r="E373" s="3" t="inlineStr">
        <is>
          <t>PEEL &amp; STICK TILES</t>
        </is>
      </c>
      <c r="F373" s="4" t="inlineStr"/>
      <c r="G373" s="4" t="inlineStr"/>
      <c r="H373" s="4" t="inlineStr"/>
      <c r="I373" s="5" t="n">
        <v>225</v>
      </c>
      <c r="J373" s="6" t="n">
        <v>15</v>
      </c>
      <c r="K373" s="7">
        <f>IF(I373="","",I373*(1+J373/100))</f>
        <v/>
      </c>
      <c r="L373" s="12" t="inlineStr"/>
      <c r="M373" s="8">
        <f>IF(OR(L373="",K373="",L373=0),"",
  (L373-K373)/L373*100)</f>
        <v/>
      </c>
      <c r="N373" s="9" t="inlineStr"/>
      <c r="O373" s="4" t="inlineStr"/>
      <c r="P373" s="4" t="inlineStr"/>
      <c r="Q373" s="4" t="inlineStr"/>
      <c r="R373" s="4" t="inlineStr">
        <is>
          <t>2026-03-12</t>
        </is>
      </c>
      <c r="S373" s="4" t="inlineStr"/>
    </row>
    <row r="374">
      <c r="A374" s="10" t="inlineStr">
        <is>
          <t>F00694</t>
        </is>
      </c>
      <c r="B374" s="10" t="inlineStr">
        <is>
          <t>F00694</t>
        </is>
      </c>
      <c r="C374" s="10" t="inlineStr"/>
      <c r="D374" s="10" t="inlineStr">
        <is>
          <t>6009697458839</t>
        </is>
      </c>
      <c r="E374" s="10" t="inlineStr">
        <is>
          <t>PEEL &amp; STICK TILES</t>
        </is>
      </c>
      <c r="F374" s="10" t="inlineStr"/>
      <c r="G374" s="10" t="inlineStr"/>
      <c r="H374" s="10" t="inlineStr"/>
      <c r="I374" s="11" t="n">
        <v>169</v>
      </c>
      <c r="J374" s="6" t="n">
        <v>15</v>
      </c>
      <c r="K374" s="7">
        <f>IF(I374="","",I374*(1+J374/100))</f>
        <v/>
      </c>
      <c r="L374" s="12" t="inlineStr"/>
      <c r="M374" s="8">
        <f>IF(OR(L374="",K374="",L374=0),"",
  (L374-K374)/L374*100)</f>
        <v/>
      </c>
      <c r="N374" s="9" t="inlineStr"/>
      <c r="O374" s="10" t="inlineStr"/>
      <c r="P374" s="10" t="inlineStr"/>
      <c r="Q374" s="10" t="inlineStr"/>
      <c r="R374" s="10" t="inlineStr">
        <is>
          <t>2026-03-12</t>
        </is>
      </c>
      <c r="S374" s="10" t="inlineStr"/>
    </row>
    <row r="375">
      <c r="A375" s="3" t="inlineStr">
        <is>
          <t>F00695</t>
        </is>
      </c>
      <c r="B375" s="4" t="inlineStr">
        <is>
          <t>F00695</t>
        </is>
      </c>
      <c r="C375" s="4" t="inlineStr"/>
      <c r="D375" s="4" t="inlineStr">
        <is>
          <t>6009705651986</t>
        </is>
      </c>
      <c r="E375" s="3" t="inlineStr">
        <is>
          <t>DRINK SET 7 PCE WILLY EL DULCE</t>
        </is>
      </c>
      <c r="F375" s="4" t="inlineStr"/>
      <c r="G375" s="4" t="inlineStr"/>
      <c r="H375" s="4" t="inlineStr"/>
      <c r="I375" s="5" t="n">
        <v>41.95</v>
      </c>
      <c r="J375" s="6" t="n">
        <v>15</v>
      </c>
      <c r="K375" s="7">
        <f>IF(I375="","",I375*(1+J375/100))</f>
        <v/>
      </c>
      <c r="L375" s="12" t="inlineStr"/>
      <c r="M375" s="8">
        <f>IF(OR(L375="",K375="",L375=0),"",
  (L375-K375)/L375*100)</f>
        <v/>
      </c>
      <c r="N375" s="9" t="inlineStr"/>
      <c r="O375" s="4" t="inlineStr"/>
      <c r="P375" s="4" t="inlineStr"/>
      <c r="Q375" s="4" t="inlineStr"/>
      <c r="R375" s="4" t="inlineStr">
        <is>
          <t>2026-03-12</t>
        </is>
      </c>
      <c r="S375" s="4" t="inlineStr"/>
    </row>
    <row r="376">
      <c r="A376" s="10" t="inlineStr">
        <is>
          <t>F00696</t>
        </is>
      </c>
      <c r="B376" s="10" t="inlineStr">
        <is>
          <t>F00696</t>
        </is>
      </c>
      <c r="C376" s="10" t="inlineStr"/>
      <c r="D376" s="10" t="inlineStr">
        <is>
          <t>6009705650040</t>
        </is>
      </c>
      <c r="E376" s="10" t="inlineStr">
        <is>
          <t>PEEL &amp; STICK TILES</t>
        </is>
      </c>
      <c r="F376" s="10" t="inlineStr"/>
      <c r="G376" s="10" t="inlineStr"/>
      <c r="H376" s="10" t="inlineStr"/>
      <c r="I376" s="11" t="n">
        <v>225</v>
      </c>
      <c r="J376" s="6" t="n">
        <v>15</v>
      </c>
      <c r="K376" s="7">
        <f>IF(I376="","",I376*(1+J376/100))</f>
        <v/>
      </c>
      <c r="L376" s="12" t="inlineStr"/>
      <c r="M376" s="8">
        <f>IF(OR(L376="",K376="",L376=0),"",
  (L376-K376)/L376*100)</f>
        <v/>
      </c>
      <c r="N376" s="9" t="inlineStr"/>
      <c r="O376" s="10" t="inlineStr"/>
      <c r="P376" s="10" t="inlineStr"/>
      <c r="Q376" s="10" t="inlineStr"/>
      <c r="R376" s="10" t="inlineStr">
        <is>
          <t>2026-03-12</t>
        </is>
      </c>
      <c r="S376" s="10" t="inlineStr"/>
    </row>
    <row r="377">
      <c r="A377" s="3" t="inlineStr">
        <is>
          <t>F00697</t>
        </is>
      </c>
      <c r="B377" s="4" t="inlineStr">
        <is>
          <t>F00697</t>
        </is>
      </c>
      <c r="C377" s="4" t="inlineStr"/>
      <c r="D377" s="4" t="inlineStr">
        <is>
          <t>6009705656837</t>
        </is>
      </c>
      <c r="E377" s="3" t="inlineStr">
        <is>
          <t>PEEL &amp; STICK TILE 60X60 MATT WHITE GREY</t>
        </is>
      </c>
      <c r="F377" s="4" t="inlineStr"/>
      <c r="G377" s="4" t="inlineStr"/>
      <c r="H377" s="4" t="inlineStr"/>
      <c r="I377" s="5" t="n">
        <v>259</v>
      </c>
      <c r="J377" s="6" t="n">
        <v>15</v>
      </c>
      <c r="K377" s="7">
        <f>IF(I377="","",I377*(1+J377/100))</f>
        <v/>
      </c>
      <c r="L377" s="12" t="inlineStr"/>
      <c r="M377" s="8">
        <f>IF(OR(L377="",K377="",L377=0),"",
  (L377-K377)/L377*100)</f>
        <v/>
      </c>
      <c r="N377" s="14" t="n">
        <v>72</v>
      </c>
      <c r="O377" s="4" t="inlineStr"/>
      <c r="P377" s="4" t="inlineStr"/>
      <c r="Q377" s="4" t="inlineStr"/>
      <c r="R377" s="4" t="inlineStr">
        <is>
          <t>2026-03-12</t>
        </is>
      </c>
      <c r="S377" s="4" t="inlineStr"/>
    </row>
    <row r="378">
      <c r="A378" s="10" t="inlineStr">
        <is>
          <t>F00698</t>
        </is>
      </c>
      <c r="B378" s="10" t="inlineStr">
        <is>
          <t>F00698</t>
        </is>
      </c>
      <c r="C378" s="10" t="inlineStr"/>
      <c r="D378" s="10" t="inlineStr">
        <is>
          <t>6009705650095</t>
        </is>
      </c>
      <c r="E378" s="10" t="inlineStr">
        <is>
          <t>PEEL &amp; STICK TILE 60X60 MATT BEIGE WHITE</t>
        </is>
      </c>
      <c r="F378" s="10" t="inlineStr"/>
      <c r="G378" s="10" t="inlineStr"/>
      <c r="H378" s="10" t="inlineStr"/>
      <c r="I378" s="11" t="n">
        <v>259</v>
      </c>
      <c r="J378" s="6" t="n">
        <v>15</v>
      </c>
      <c r="K378" s="7">
        <f>IF(I378="","",I378*(1+J378/100))</f>
        <v/>
      </c>
      <c r="L378" s="12" t="inlineStr"/>
      <c r="M378" s="8">
        <f>IF(OR(L378="",K378="",L378=0),"",
  (L378-K378)/L378*100)</f>
        <v/>
      </c>
      <c r="N378" s="13" t="n">
        <v>162</v>
      </c>
      <c r="O378" s="10" t="inlineStr"/>
      <c r="P378" s="10" t="inlineStr"/>
      <c r="Q378" s="10" t="inlineStr"/>
      <c r="R378" s="10" t="inlineStr">
        <is>
          <t>2026-03-12</t>
        </is>
      </c>
      <c r="S378" s="10" t="inlineStr"/>
    </row>
    <row r="379">
      <c r="A379" s="3" t="inlineStr">
        <is>
          <t>F00699</t>
        </is>
      </c>
      <c r="B379" s="4" t="inlineStr">
        <is>
          <t>F00699</t>
        </is>
      </c>
      <c r="C379" s="4" t="inlineStr"/>
      <c r="D379" s="4" t="inlineStr">
        <is>
          <t>6009705650125</t>
        </is>
      </c>
      <c r="E379" s="3" t="inlineStr">
        <is>
          <t>PEEL &amp; STICK TILES</t>
        </is>
      </c>
      <c r="F379" s="4" t="inlineStr"/>
      <c r="G379" s="4" t="inlineStr"/>
      <c r="H379" s="4" t="inlineStr"/>
      <c r="I379" s="5" t="n">
        <v>225</v>
      </c>
      <c r="J379" s="6" t="n">
        <v>15</v>
      </c>
      <c r="K379" s="7">
        <f>IF(I379="","",I379*(1+J379/100))</f>
        <v/>
      </c>
      <c r="L379" s="12" t="inlineStr"/>
      <c r="M379" s="8">
        <f>IF(OR(L379="",K379="",L379=0),"",
  (L379-K379)/L379*100)</f>
        <v/>
      </c>
      <c r="N379" s="9" t="inlineStr"/>
      <c r="O379" s="4" t="inlineStr"/>
      <c r="P379" s="4" t="inlineStr"/>
      <c r="Q379" s="4" t="inlineStr"/>
      <c r="R379" s="4" t="inlineStr">
        <is>
          <t>2026-03-12</t>
        </is>
      </c>
      <c r="S379" s="4" t="inlineStr"/>
    </row>
    <row r="380">
      <c r="A380" s="10" t="inlineStr">
        <is>
          <t>F00700</t>
        </is>
      </c>
      <c r="B380" s="10" t="inlineStr">
        <is>
          <t>F00700</t>
        </is>
      </c>
      <c r="C380" s="10" t="inlineStr"/>
      <c r="D380" s="10" t="inlineStr">
        <is>
          <t>6009705650088</t>
        </is>
      </c>
      <c r="E380" s="10" t="inlineStr">
        <is>
          <t>PEEL &amp; STICK TILES</t>
        </is>
      </c>
      <c r="F380" s="10" t="inlineStr"/>
      <c r="G380" s="10" t="inlineStr"/>
      <c r="H380" s="10" t="inlineStr"/>
      <c r="I380" s="11" t="n">
        <v>225</v>
      </c>
      <c r="J380" s="6" t="n">
        <v>15</v>
      </c>
      <c r="K380" s="7">
        <f>IF(I380="","",I380*(1+J380/100))</f>
        <v/>
      </c>
      <c r="L380" s="12" t="inlineStr"/>
      <c r="M380" s="8">
        <f>IF(OR(L380="",K380="",L380=0),"",
  (L380-K380)/L380*100)</f>
        <v/>
      </c>
      <c r="N380" s="9" t="inlineStr"/>
      <c r="O380" s="10" t="inlineStr"/>
      <c r="P380" s="10" t="inlineStr"/>
      <c r="Q380" s="10" t="inlineStr"/>
      <c r="R380" s="10" t="inlineStr">
        <is>
          <t>2026-03-12</t>
        </is>
      </c>
      <c r="S380" s="10" t="inlineStr"/>
    </row>
    <row r="381">
      <c r="A381" s="3" t="inlineStr">
        <is>
          <t>F00701</t>
        </is>
      </c>
      <c r="B381" s="4" t="inlineStr">
        <is>
          <t>F00701</t>
        </is>
      </c>
      <c r="C381" s="4" t="inlineStr"/>
      <c r="D381" s="4" t="inlineStr">
        <is>
          <t>6009705650149</t>
        </is>
      </c>
      <c r="E381" s="3" t="inlineStr">
        <is>
          <t>PEEL &amp; STICK TILES</t>
        </is>
      </c>
      <c r="F381" s="4" t="inlineStr"/>
      <c r="G381" s="4" t="inlineStr"/>
      <c r="H381" s="4" t="inlineStr"/>
      <c r="I381" s="5" t="n">
        <v>225</v>
      </c>
      <c r="J381" s="6" t="n">
        <v>15</v>
      </c>
      <c r="K381" s="7">
        <f>IF(I381="","",I381*(1+J381/100))</f>
        <v/>
      </c>
      <c r="L381" s="12" t="inlineStr"/>
      <c r="M381" s="8">
        <f>IF(OR(L381="",K381="",L381=0),"",
  (L381-K381)/L381*100)</f>
        <v/>
      </c>
      <c r="N381" s="9" t="inlineStr"/>
      <c r="O381" s="4" t="inlineStr"/>
      <c r="P381" s="4" t="inlineStr"/>
      <c r="Q381" s="4" t="inlineStr"/>
      <c r="R381" s="4" t="inlineStr">
        <is>
          <t>2026-03-12</t>
        </is>
      </c>
      <c r="S381" s="4" t="inlineStr"/>
    </row>
    <row r="382">
      <c r="A382" s="10" t="inlineStr">
        <is>
          <t>F00702</t>
        </is>
      </c>
      <c r="B382" s="10" t="inlineStr">
        <is>
          <t>F00702</t>
        </is>
      </c>
      <c r="C382" s="10" t="inlineStr"/>
      <c r="D382" s="10" t="inlineStr">
        <is>
          <t>6009705650163</t>
        </is>
      </c>
      <c r="E382" s="10" t="inlineStr">
        <is>
          <t>PEEL &amp; STICK TILES</t>
        </is>
      </c>
      <c r="F382" s="10" t="inlineStr"/>
      <c r="G382" s="10" t="inlineStr"/>
      <c r="H382" s="10" t="inlineStr"/>
      <c r="I382" s="11" t="n">
        <v>169</v>
      </c>
      <c r="J382" s="6" t="n">
        <v>15</v>
      </c>
      <c r="K382" s="7">
        <f>IF(I382="","",I382*(1+J382/100))</f>
        <v/>
      </c>
      <c r="L382" s="12" t="inlineStr"/>
      <c r="M382" s="8">
        <f>IF(OR(L382="",K382="",L382=0),"",
  (L382-K382)/L382*100)</f>
        <v/>
      </c>
      <c r="N382" s="9" t="inlineStr"/>
      <c r="O382" s="10" t="inlineStr"/>
      <c r="P382" s="10" t="inlineStr"/>
      <c r="Q382" s="10" t="inlineStr"/>
      <c r="R382" s="10" t="inlineStr">
        <is>
          <t>2026-03-12</t>
        </is>
      </c>
      <c r="S382" s="10" t="inlineStr"/>
    </row>
    <row r="383">
      <c r="A383" s="3" t="inlineStr">
        <is>
          <t>F00703</t>
        </is>
      </c>
      <c r="B383" s="4" t="inlineStr">
        <is>
          <t>F00703</t>
        </is>
      </c>
      <c r="C383" s="4" t="inlineStr"/>
      <c r="D383" s="4" t="inlineStr">
        <is>
          <t>6009705650194</t>
        </is>
      </c>
      <c r="E383" s="3" t="inlineStr">
        <is>
          <t>PEEL &amp; STICK TILE 60X60 MATT GREY</t>
        </is>
      </c>
      <c r="F383" s="4" t="inlineStr"/>
      <c r="G383" s="4" t="inlineStr"/>
      <c r="H383" s="4" t="inlineStr"/>
      <c r="I383" s="5" t="n">
        <v>259</v>
      </c>
      <c r="J383" s="6" t="n">
        <v>15</v>
      </c>
      <c r="K383" s="7">
        <f>IF(I383="","",I383*(1+J383/100))</f>
        <v/>
      </c>
      <c r="L383" s="12" t="inlineStr"/>
      <c r="M383" s="8">
        <f>IF(OR(L383="",K383="",L383=0),"",
  (L383-K383)/L383*100)</f>
        <v/>
      </c>
      <c r="N383" s="14" t="n">
        <v>104</v>
      </c>
      <c r="O383" s="4" t="inlineStr"/>
      <c r="P383" s="4" t="inlineStr"/>
      <c r="Q383" s="4" t="inlineStr"/>
      <c r="R383" s="4" t="inlineStr">
        <is>
          <t>2026-03-12</t>
        </is>
      </c>
      <c r="S383" s="4" t="inlineStr"/>
    </row>
    <row r="384">
      <c r="A384" s="10" t="inlineStr">
        <is>
          <t>F00704</t>
        </is>
      </c>
      <c r="B384" s="10" t="inlineStr">
        <is>
          <t>F00704</t>
        </is>
      </c>
      <c r="C384" s="10" t="inlineStr"/>
      <c r="D384" s="10" t="inlineStr">
        <is>
          <t>6009697458815</t>
        </is>
      </c>
      <c r="E384" s="10" t="inlineStr">
        <is>
          <t>PEEL &amp; STICK TILE 60X60 MATT DARK BROWN</t>
        </is>
      </c>
      <c r="F384" s="10" t="inlineStr"/>
      <c r="G384" s="10" t="inlineStr"/>
      <c r="H384" s="10" t="inlineStr"/>
      <c r="I384" s="11" t="n">
        <v>259</v>
      </c>
      <c r="J384" s="6" t="n">
        <v>15</v>
      </c>
      <c r="K384" s="7">
        <f>IF(I384="","",I384*(1+J384/100))</f>
        <v/>
      </c>
      <c r="L384" s="12" t="inlineStr"/>
      <c r="M384" s="8">
        <f>IF(OR(L384="",K384="",L384=0),"",
  (L384-K384)/L384*100)</f>
        <v/>
      </c>
      <c r="N384" s="13" t="n">
        <v>136</v>
      </c>
      <c r="O384" s="10" t="inlineStr"/>
      <c r="P384" s="10" t="inlineStr"/>
      <c r="Q384" s="10" t="inlineStr"/>
      <c r="R384" s="10" t="inlineStr">
        <is>
          <t>2026-03-12</t>
        </is>
      </c>
      <c r="S384" s="10" t="inlineStr"/>
    </row>
    <row r="385">
      <c r="A385" s="3" t="inlineStr">
        <is>
          <t>F00705</t>
        </is>
      </c>
      <c r="B385" s="4" t="inlineStr">
        <is>
          <t>F00705</t>
        </is>
      </c>
      <c r="C385" s="4" t="inlineStr"/>
      <c r="D385" s="4" t="inlineStr">
        <is>
          <t>6009677010330</t>
        </is>
      </c>
      <c r="E385" s="3" t="inlineStr">
        <is>
          <t>PEEL &amp; STICK TILES</t>
        </is>
      </c>
      <c r="F385" s="4" t="inlineStr"/>
      <c r="G385" s="4" t="inlineStr"/>
      <c r="H385" s="4" t="inlineStr"/>
      <c r="I385" s="5" t="n">
        <v>225</v>
      </c>
      <c r="J385" s="6" t="n">
        <v>15</v>
      </c>
      <c r="K385" s="7">
        <f>IF(I385="","",I385*(1+J385/100))</f>
        <v/>
      </c>
      <c r="L385" s="12" t="inlineStr"/>
      <c r="M385" s="8">
        <f>IF(OR(L385="",K385="",L385=0),"",
  (L385-K385)/L385*100)</f>
        <v/>
      </c>
      <c r="N385" s="9" t="inlineStr"/>
      <c r="O385" s="4" t="inlineStr"/>
      <c r="P385" s="4" t="inlineStr"/>
      <c r="Q385" s="4" t="inlineStr"/>
      <c r="R385" s="4" t="inlineStr">
        <is>
          <t>2026-03-12</t>
        </is>
      </c>
      <c r="S385" s="4" t="inlineStr"/>
    </row>
    <row r="386">
      <c r="A386" s="10" t="inlineStr">
        <is>
          <t>F00708</t>
        </is>
      </c>
      <c r="B386" s="10" t="inlineStr">
        <is>
          <t>F00708</t>
        </is>
      </c>
      <c r="C386" s="10" t="inlineStr"/>
      <c r="D386" s="10" t="inlineStr"/>
      <c r="E386" s="10" t="inlineStr">
        <is>
          <t>PEEL &amp; STICK TILES</t>
        </is>
      </c>
      <c r="F386" s="10" t="inlineStr"/>
      <c r="G386" s="10" t="inlineStr"/>
      <c r="H386" s="10" t="inlineStr"/>
      <c r="I386" s="11" t="n">
        <v>159.95</v>
      </c>
      <c r="J386" s="6" t="n">
        <v>15</v>
      </c>
      <c r="K386" s="7">
        <f>IF(I386="","",I386*(1+J386/100))</f>
        <v/>
      </c>
      <c r="L386" s="12" t="inlineStr"/>
      <c r="M386" s="8">
        <f>IF(OR(L386="",K386="",L386=0),"",
  (L386-K386)/L386*100)</f>
        <v/>
      </c>
      <c r="N386" s="9" t="inlineStr"/>
      <c r="O386" s="10" t="inlineStr"/>
      <c r="P386" s="10" t="inlineStr"/>
      <c r="Q386" s="10" t="inlineStr"/>
      <c r="R386" s="10" t="inlineStr">
        <is>
          <t>2026-03-12</t>
        </is>
      </c>
      <c r="S386" s="10" t="inlineStr"/>
    </row>
    <row r="387">
      <c r="A387" s="3" t="inlineStr">
        <is>
          <t>F00709</t>
        </is>
      </c>
      <c r="B387" s="4" t="inlineStr">
        <is>
          <t>F00709</t>
        </is>
      </c>
      <c r="C387" s="4" t="inlineStr"/>
      <c r="D387" s="4" t="inlineStr">
        <is>
          <t>6009705650248</t>
        </is>
      </c>
      <c r="E387" s="3" t="inlineStr">
        <is>
          <t>PEEL &amp; STICK TILES</t>
        </is>
      </c>
      <c r="F387" s="4" t="inlineStr"/>
      <c r="G387" s="4" t="inlineStr"/>
      <c r="H387" s="4" t="inlineStr"/>
      <c r="I387" s="5" t="n">
        <v>225</v>
      </c>
      <c r="J387" s="6" t="n">
        <v>15</v>
      </c>
      <c r="K387" s="7">
        <f>IF(I387="","",I387*(1+J387/100))</f>
        <v/>
      </c>
      <c r="L387" s="12" t="inlineStr"/>
      <c r="M387" s="8">
        <f>IF(OR(L387="",K387="",L387=0),"",
  (L387-K387)/L387*100)</f>
        <v/>
      </c>
      <c r="N387" s="9" t="inlineStr"/>
      <c r="O387" s="4" t="inlineStr"/>
      <c r="P387" s="4" t="inlineStr"/>
      <c r="Q387" s="4" t="inlineStr"/>
      <c r="R387" s="4" t="inlineStr">
        <is>
          <t>2026-03-12</t>
        </is>
      </c>
      <c r="S387" s="4" t="inlineStr"/>
    </row>
    <row r="388">
      <c r="A388" s="10" t="inlineStr">
        <is>
          <t>F00710</t>
        </is>
      </c>
      <c r="B388" s="10" t="inlineStr">
        <is>
          <t>F00710</t>
        </is>
      </c>
      <c r="C388" s="10" t="inlineStr"/>
      <c r="D388" s="10" t="inlineStr"/>
      <c r="E388" s="10" t="inlineStr">
        <is>
          <t>PEEL &amp; STICK TILES</t>
        </is>
      </c>
      <c r="F388" s="10" t="inlineStr"/>
      <c r="G388" s="10" t="inlineStr"/>
      <c r="H388" s="10" t="inlineStr"/>
      <c r="I388" s="11" t="n">
        <v>159.95</v>
      </c>
      <c r="J388" s="6" t="n">
        <v>15</v>
      </c>
      <c r="K388" s="7">
        <f>IF(I388="","",I388*(1+J388/100))</f>
        <v/>
      </c>
      <c r="L388" s="12" t="inlineStr"/>
      <c r="M388" s="8">
        <f>IF(OR(L388="",K388="",L388=0),"",
  (L388-K388)/L388*100)</f>
        <v/>
      </c>
      <c r="N388" s="9" t="inlineStr"/>
      <c r="O388" s="10" t="inlineStr"/>
      <c r="P388" s="10" t="inlineStr"/>
      <c r="Q388" s="10" t="inlineStr"/>
      <c r="R388" s="10" t="inlineStr">
        <is>
          <t>2026-03-12</t>
        </is>
      </c>
      <c r="S388" s="10" t="inlineStr"/>
    </row>
    <row r="389">
      <c r="A389" s="3" t="inlineStr">
        <is>
          <t>F00711</t>
        </is>
      </c>
      <c r="B389" s="4" t="inlineStr">
        <is>
          <t>F00711</t>
        </is>
      </c>
      <c r="C389" s="4" t="inlineStr"/>
      <c r="D389" s="4" t="inlineStr">
        <is>
          <t>6009697458792</t>
        </is>
      </c>
      <c r="E389" s="3" t="inlineStr">
        <is>
          <t>PEEL &amp; STICK TILE 60x60 GLOSS BLACK WHT</t>
        </is>
      </c>
      <c r="F389" s="4" t="inlineStr"/>
      <c r="G389" s="4" t="inlineStr"/>
      <c r="H389" s="4" t="inlineStr"/>
      <c r="I389" s="5" t="n">
        <v>279</v>
      </c>
      <c r="J389" s="6" t="n">
        <v>15</v>
      </c>
      <c r="K389" s="7">
        <f>IF(I389="","",I389*(1+J389/100))</f>
        <v/>
      </c>
      <c r="L389" s="12" t="inlineStr"/>
      <c r="M389" s="8">
        <f>IF(OR(L389="",K389="",L389=0),"",
  (L389-K389)/L389*100)</f>
        <v/>
      </c>
      <c r="N389" s="14" t="n">
        <v>191</v>
      </c>
      <c r="O389" s="4" t="inlineStr"/>
      <c r="P389" s="4" t="inlineStr"/>
      <c r="Q389" s="4" t="inlineStr"/>
      <c r="R389" s="4" t="inlineStr">
        <is>
          <t>2026-03-12</t>
        </is>
      </c>
      <c r="S389" s="4" t="inlineStr"/>
    </row>
    <row r="390">
      <c r="A390" s="10" t="inlineStr">
        <is>
          <t>F00715</t>
        </is>
      </c>
      <c r="B390" s="10" t="inlineStr">
        <is>
          <t>F00715</t>
        </is>
      </c>
      <c r="C390" s="10" t="inlineStr"/>
      <c r="D390" s="10" t="inlineStr">
        <is>
          <t>6009705651030</t>
        </is>
      </c>
      <c r="E390" s="10" t="inlineStr">
        <is>
          <t>CLOCK OVAL 22.7 X 27.5CM MEDIUM</t>
        </is>
      </c>
      <c r="F390" s="10" t="inlineStr"/>
      <c r="G390" s="10" t="inlineStr"/>
      <c r="H390" s="10" t="inlineStr"/>
      <c r="I390" s="11" t="n">
        <v>14.9</v>
      </c>
      <c r="J390" s="6" t="n">
        <v>15</v>
      </c>
      <c r="K390" s="7">
        <f>IF(I390="","",I390*(1+J390/100))</f>
        <v/>
      </c>
      <c r="L390" s="12" t="inlineStr"/>
      <c r="M390" s="8">
        <f>IF(OR(L390="",K390="",L390=0),"",
  (L390-K390)/L390*100)</f>
        <v/>
      </c>
      <c r="N390" s="9" t="inlineStr"/>
      <c r="O390" s="10" t="inlineStr"/>
      <c r="P390" s="10" t="inlineStr"/>
      <c r="Q390" s="10" t="inlineStr"/>
      <c r="R390" s="10" t="inlineStr">
        <is>
          <t>2026-03-12</t>
        </is>
      </c>
      <c r="S390" s="10" t="inlineStr"/>
    </row>
    <row r="391">
      <c r="A391" s="3" t="inlineStr">
        <is>
          <t>F00718</t>
        </is>
      </c>
      <c r="B391" s="4" t="inlineStr">
        <is>
          <t>F00718</t>
        </is>
      </c>
      <c r="C391" s="4" t="inlineStr"/>
      <c r="D391" s="4" t="inlineStr">
        <is>
          <t>6009705651061</t>
        </is>
      </c>
      <c r="E391" s="3" t="inlineStr">
        <is>
          <t>CLOCK ROUND 30.5CM X LARGE - CK5048</t>
        </is>
      </c>
      <c r="F391" s="4" t="inlineStr"/>
      <c r="G391" s="4" t="inlineStr"/>
      <c r="H391" s="4" t="inlineStr"/>
      <c r="I391" s="5" t="n">
        <v>35.95</v>
      </c>
      <c r="J391" s="6" t="n">
        <v>15</v>
      </c>
      <c r="K391" s="7">
        <f>IF(I391="","",I391*(1+J391/100))</f>
        <v/>
      </c>
      <c r="L391" s="12" t="inlineStr"/>
      <c r="M391" s="8">
        <f>IF(OR(L391="",K391="",L391=0),"",
  (L391-K391)/L391*100)</f>
        <v/>
      </c>
      <c r="N391" s="9" t="inlineStr"/>
      <c r="O391" s="4" t="inlineStr"/>
      <c r="P391" s="4" t="inlineStr"/>
      <c r="Q391" s="4" t="inlineStr"/>
      <c r="R391" s="4" t="inlineStr">
        <is>
          <t>2026-03-12</t>
        </is>
      </c>
      <c r="S391" s="4" t="inlineStr"/>
    </row>
    <row r="392">
      <c r="A392" s="10" t="inlineStr">
        <is>
          <t>F00719</t>
        </is>
      </c>
      <c r="B392" s="10" t="inlineStr">
        <is>
          <t>F00719</t>
        </is>
      </c>
      <c r="C392" s="10" t="inlineStr"/>
      <c r="D392" s="10" t="inlineStr">
        <is>
          <t>6009705651078</t>
        </is>
      </c>
      <c r="E392" s="10" t="inlineStr">
        <is>
          <t>CLOCK SQUARE 30.5 X 30.5CM X LARGE - CK5</t>
        </is>
      </c>
      <c r="F392" s="10" t="inlineStr"/>
      <c r="G392" s="10" t="inlineStr"/>
      <c r="H392" s="10" t="inlineStr"/>
      <c r="I392" s="11" t="n">
        <v>35.95</v>
      </c>
      <c r="J392" s="6" t="n">
        <v>15</v>
      </c>
      <c r="K392" s="7">
        <f>IF(I392="","",I392*(1+J392/100))</f>
        <v/>
      </c>
      <c r="L392" s="12" t="inlineStr"/>
      <c r="M392" s="8">
        <f>IF(OR(L392="",K392="",L392=0),"",
  (L392-K392)/L392*100)</f>
        <v/>
      </c>
      <c r="N392" s="9" t="inlineStr"/>
      <c r="O392" s="10" t="inlineStr"/>
      <c r="P392" s="10" t="inlineStr"/>
      <c r="Q392" s="10" t="inlineStr"/>
      <c r="R392" s="10" t="inlineStr">
        <is>
          <t>2026-03-12</t>
        </is>
      </c>
      <c r="S392" s="10" t="inlineStr"/>
    </row>
    <row r="393">
      <c r="A393" s="3" t="inlineStr">
        <is>
          <t>F00720</t>
        </is>
      </c>
      <c r="B393" s="4" t="inlineStr">
        <is>
          <t>F00720</t>
        </is>
      </c>
      <c r="C393" s="4" t="inlineStr"/>
      <c r="D393" s="4" t="inlineStr">
        <is>
          <t>6009705651085</t>
        </is>
      </c>
      <c r="E393" s="3" t="inlineStr">
        <is>
          <t>CLOCK ROUND 24.5CM LARGE - CK7633</t>
        </is>
      </c>
      <c r="F393" s="4" t="inlineStr"/>
      <c r="G393" s="4" t="inlineStr"/>
      <c r="H393" s="4" t="inlineStr"/>
      <c r="I393" s="5" t="n">
        <v>9.890000000000001</v>
      </c>
      <c r="J393" s="6" t="n">
        <v>15</v>
      </c>
      <c r="K393" s="7">
        <f>IF(I393="","",I393*(1+J393/100))</f>
        <v/>
      </c>
      <c r="L393" s="12" t="inlineStr"/>
      <c r="M393" s="8">
        <f>IF(OR(L393="",K393="",L393=0),"",
  (L393-K393)/L393*100)</f>
        <v/>
      </c>
      <c r="N393" s="9" t="inlineStr"/>
      <c r="O393" s="4" t="inlineStr"/>
      <c r="P393" s="4" t="inlineStr"/>
      <c r="Q393" s="4" t="inlineStr"/>
      <c r="R393" s="4" t="inlineStr">
        <is>
          <t>2026-03-12</t>
        </is>
      </c>
      <c r="S393" s="4" t="inlineStr"/>
    </row>
    <row r="394">
      <c r="A394" s="10" t="inlineStr">
        <is>
          <t>F00724</t>
        </is>
      </c>
      <c r="B394" s="10" t="inlineStr">
        <is>
          <t>F00724</t>
        </is>
      </c>
      <c r="C394" s="10" t="inlineStr"/>
      <c r="D394" s="10" t="inlineStr">
        <is>
          <t>6009705651603</t>
        </is>
      </c>
      <c r="E394" s="10" t="inlineStr">
        <is>
          <t>MUGS 16OZ STRAIGHT ASSORTED COLORS</t>
        </is>
      </c>
      <c r="F394" s="10" t="inlineStr"/>
      <c r="G394" s="10" t="inlineStr"/>
      <c r="H394" s="10" t="inlineStr"/>
      <c r="I394" s="11" t="n">
        <v>8.949999999999999</v>
      </c>
      <c r="J394" s="6" t="n">
        <v>15</v>
      </c>
      <c r="K394" s="7">
        <f>IF(I394="","",I394*(1+J394/100))</f>
        <v/>
      </c>
      <c r="L394" s="12" t="inlineStr"/>
      <c r="M394" s="8">
        <f>IF(OR(L394="",K394="",L394=0),"",
  (L394-K394)/L394*100)</f>
        <v/>
      </c>
      <c r="N394" s="13" t="n">
        <v>36</v>
      </c>
      <c r="O394" s="10" t="inlineStr"/>
      <c r="P394" s="10" t="inlineStr"/>
      <c r="Q394" s="10" t="inlineStr"/>
      <c r="R394" s="10" t="inlineStr">
        <is>
          <t>2026-03-12</t>
        </is>
      </c>
      <c r="S394" s="10" t="inlineStr"/>
    </row>
    <row r="395">
      <c r="A395" s="3" t="inlineStr">
        <is>
          <t>F00725</t>
        </is>
      </c>
      <c r="B395" s="4" t="inlineStr">
        <is>
          <t>F00725</t>
        </is>
      </c>
      <c r="C395" s="4" t="inlineStr"/>
      <c r="D395" s="4" t="inlineStr">
        <is>
          <t>6009705651290</t>
        </is>
      </c>
      <c r="E395" s="3" t="inlineStr">
        <is>
          <t>PLATE 10.5"FANCY GLAMOUR</t>
        </is>
      </c>
      <c r="F395" s="4" t="inlineStr"/>
      <c r="G395" s="4" t="inlineStr"/>
      <c r="H395" s="4" t="inlineStr"/>
      <c r="I395" s="5" t="n">
        <v>15.95</v>
      </c>
      <c r="J395" s="6" t="n">
        <v>15</v>
      </c>
      <c r="K395" s="7">
        <f>IF(I395="","",I395*(1+J395/100))</f>
        <v/>
      </c>
      <c r="L395" s="12" t="inlineStr"/>
      <c r="M395" s="8">
        <f>IF(OR(L395="",K395="",L395=0),"",
  (L395-K395)/L395*100)</f>
        <v/>
      </c>
      <c r="N395" s="14" t="n">
        <v>2792</v>
      </c>
      <c r="O395" s="4" t="inlineStr"/>
      <c r="P395" s="4" t="inlineStr"/>
      <c r="Q395" s="4" t="inlineStr"/>
      <c r="R395" s="4" t="inlineStr">
        <is>
          <t>2026-03-12</t>
        </is>
      </c>
      <c r="S395" s="4" t="inlineStr"/>
    </row>
    <row r="396">
      <c r="A396" s="10" t="inlineStr">
        <is>
          <t>F00726</t>
        </is>
      </c>
      <c r="B396" s="10" t="inlineStr">
        <is>
          <t>F00726</t>
        </is>
      </c>
      <c r="C396" s="10" t="inlineStr"/>
      <c r="D396" s="10" t="inlineStr">
        <is>
          <t>6009705651221</t>
        </is>
      </c>
      <c r="E396" s="10" t="inlineStr">
        <is>
          <t>DRINK SET 7PC SILVER ROYAL SENSATION - G</t>
        </is>
      </c>
      <c r="F396" s="10" t="inlineStr"/>
      <c r="G396" s="10" t="inlineStr"/>
      <c r="H396" s="10" t="inlineStr"/>
      <c r="I396" s="11" t="n">
        <v>78.95</v>
      </c>
      <c r="J396" s="6" t="n">
        <v>15</v>
      </c>
      <c r="K396" s="7">
        <f>IF(I396="","",I396*(1+J396/100))</f>
        <v/>
      </c>
      <c r="L396" s="12" t="inlineStr"/>
      <c r="M396" s="8">
        <f>IF(OR(L396="",K396="",L396=0),"",
  (L396-K396)/L396*100)</f>
        <v/>
      </c>
      <c r="N396" s="9" t="inlineStr"/>
      <c r="O396" s="10" t="inlineStr"/>
      <c r="P396" s="10" t="inlineStr"/>
      <c r="Q396" s="10" t="inlineStr"/>
      <c r="R396" s="10" t="inlineStr">
        <is>
          <t>2026-03-12</t>
        </is>
      </c>
      <c r="S396" s="10" t="inlineStr"/>
    </row>
    <row r="397">
      <c r="A397" s="3" t="inlineStr">
        <is>
          <t>F00727</t>
        </is>
      </c>
      <c r="B397" s="4" t="inlineStr">
        <is>
          <t>F00727</t>
        </is>
      </c>
      <c r="C397" s="4" t="inlineStr"/>
      <c r="D397" s="4" t="inlineStr">
        <is>
          <t>6009705651238</t>
        </is>
      </c>
      <c r="E397" s="3" t="inlineStr">
        <is>
          <t>DRINK SET 7PC GOLD ROYAL SENSATION - YJD</t>
        </is>
      </c>
      <c r="F397" s="4" t="inlineStr"/>
      <c r="G397" s="4" t="inlineStr"/>
      <c r="H397" s="4" t="inlineStr"/>
      <c r="I397" s="5" t="n">
        <v>62.98</v>
      </c>
      <c r="J397" s="6" t="n">
        <v>15</v>
      </c>
      <c r="K397" s="7">
        <f>IF(I397="","",I397*(1+J397/100))</f>
        <v/>
      </c>
      <c r="L397" s="12" t="inlineStr"/>
      <c r="M397" s="8">
        <f>IF(OR(L397="",K397="",L397=0),"",
  (L397-K397)/L397*100)</f>
        <v/>
      </c>
      <c r="N397" s="9" t="inlineStr"/>
      <c r="O397" s="4" t="inlineStr"/>
      <c r="P397" s="4" t="inlineStr"/>
      <c r="Q397" s="4" t="inlineStr"/>
      <c r="R397" s="4" t="inlineStr">
        <is>
          <t>2026-03-12</t>
        </is>
      </c>
      <c r="S397" s="4" t="inlineStr"/>
    </row>
    <row r="398">
      <c r="A398" s="10" t="inlineStr">
        <is>
          <t>F00728</t>
        </is>
      </c>
      <c r="B398" s="10" t="inlineStr">
        <is>
          <t>F00728</t>
        </is>
      </c>
      <c r="C398" s="10" t="inlineStr"/>
      <c r="D398" s="10" t="inlineStr">
        <is>
          <t>6009705651252</t>
        </is>
      </c>
      <c r="E398" s="10" t="inlineStr">
        <is>
          <t>DRINKL SET 7PC GOLD ROYAL SENSATION - YJ</t>
        </is>
      </c>
      <c r="F398" s="10" t="inlineStr"/>
      <c r="G398" s="10" t="inlineStr"/>
      <c r="H398" s="10" t="inlineStr"/>
      <c r="I398" s="11" t="n">
        <v>83.95</v>
      </c>
      <c r="J398" s="6" t="n">
        <v>15</v>
      </c>
      <c r="K398" s="7">
        <f>IF(I398="","",I398*(1+J398/100))</f>
        <v/>
      </c>
      <c r="L398" s="12" t="inlineStr"/>
      <c r="M398" s="8">
        <f>IF(OR(L398="",K398="",L398=0),"",
  (L398-K398)/L398*100)</f>
        <v/>
      </c>
      <c r="N398" s="9" t="inlineStr"/>
      <c r="O398" s="10" t="inlineStr"/>
      <c r="P398" s="10" t="inlineStr"/>
      <c r="Q398" s="10" t="inlineStr"/>
      <c r="R398" s="10" t="inlineStr">
        <is>
          <t>2026-03-12</t>
        </is>
      </c>
      <c r="S398" s="10" t="inlineStr"/>
    </row>
    <row r="399">
      <c r="A399" s="3" t="inlineStr">
        <is>
          <t>F00729</t>
        </is>
      </c>
      <c r="B399" s="4" t="inlineStr">
        <is>
          <t>F00729</t>
        </is>
      </c>
      <c r="C399" s="4" t="inlineStr"/>
      <c r="D399" s="4" t="inlineStr">
        <is>
          <t>6009705651283</t>
        </is>
      </c>
      <c r="E399" s="3" t="inlineStr">
        <is>
          <t>DRINK SET 7PC SILVER ROYAL SENSATION - Y</t>
        </is>
      </c>
      <c r="F399" s="4" t="inlineStr"/>
      <c r="G399" s="4" t="inlineStr"/>
      <c r="H399" s="4" t="inlineStr"/>
      <c r="I399" s="5" t="n">
        <v>83.95</v>
      </c>
      <c r="J399" s="6" t="n">
        <v>15</v>
      </c>
      <c r="K399" s="7">
        <f>IF(I399="","",I399*(1+J399/100))</f>
        <v/>
      </c>
      <c r="L399" s="12" t="inlineStr"/>
      <c r="M399" s="8">
        <f>IF(OR(L399="",K399="",L399=0),"",
  (L399-K399)/L399*100)</f>
        <v/>
      </c>
      <c r="N399" s="9" t="inlineStr"/>
      <c r="O399" s="4" t="inlineStr"/>
      <c r="P399" s="4" t="inlineStr"/>
      <c r="Q399" s="4" t="inlineStr"/>
      <c r="R399" s="4" t="inlineStr">
        <is>
          <t>2026-03-12</t>
        </is>
      </c>
      <c r="S399" s="4" t="inlineStr"/>
    </row>
    <row r="400">
      <c r="A400" s="10" t="inlineStr">
        <is>
          <t>F00730</t>
        </is>
      </c>
      <c r="B400" s="10" t="inlineStr">
        <is>
          <t>F00730</t>
        </is>
      </c>
      <c r="C400" s="10" t="inlineStr"/>
      <c r="D400" s="10" t="inlineStr">
        <is>
          <t>6009705651245</t>
        </is>
      </c>
      <c r="E400" s="10" t="inlineStr">
        <is>
          <t>DRINK SET 7PC SILVER ROYAL SENSATION - Y</t>
        </is>
      </c>
      <c r="F400" s="10" t="inlineStr"/>
      <c r="G400" s="10" t="inlineStr"/>
      <c r="H400" s="10" t="inlineStr"/>
      <c r="I400" s="11" t="n">
        <v>83.95</v>
      </c>
      <c r="J400" s="6" t="n">
        <v>15</v>
      </c>
      <c r="K400" s="7">
        <f>IF(I400="","",I400*(1+J400/100))</f>
        <v/>
      </c>
      <c r="L400" s="12" t="inlineStr"/>
      <c r="M400" s="8">
        <f>IF(OR(L400="",K400="",L400=0),"",
  (L400-K400)/L400*100)</f>
        <v/>
      </c>
      <c r="N400" s="9" t="inlineStr"/>
      <c r="O400" s="10" t="inlineStr"/>
      <c r="P400" s="10" t="inlineStr"/>
      <c r="Q400" s="10" t="inlineStr"/>
      <c r="R400" s="10" t="inlineStr">
        <is>
          <t>2026-03-12</t>
        </is>
      </c>
      <c r="S400" s="10" t="inlineStr"/>
    </row>
    <row r="401">
      <c r="A401" s="3" t="inlineStr">
        <is>
          <t>F00731</t>
        </is>
      </c>
      <c r="B401" s="4" t="inlineStr">
        <is>
          <t>F00731</t>
        </is>
      </c>
      <c r="C401" s="4" t="inlineStr"/>
      <c r="D401" s="4" t="inlineStr">
        <is>
          <t>6009705651269</t>
        </is>
      </c>
      <c r="E401" s="3" t="inlineStr">
        <is>
          <t>DRINK SET 7PC GOLD ROYAL SENSATION - YJD</t>
        </is>
      </c>
      <c r="F401" s="4" t="inlineStr"/>
      <c r="G401" s="4" t="inlineStr"/>
      <c r="H401" s="4" t="inlineStr"/>
      <c r="I401" s="5" t="n">
        <v>83.95</v>
      </c>
      <c r="J401" s="6" t="n">
        <v>15</v>
      </c>
      <c r="K401" s="7">
        <f>IF(I401="","",I401*(1+J401/100))</f>
        <v/>
      </c>
      <c r="L401" s="12" t="inlineStr"/>
      <c r="M401" s="8">
        <f>IF(OR(L401="",K401="",L401=0),"",
  (L401-K401)/L401*100)</f>
        <v/>
      </c>
      <c r="N401" s="9" t="inlineStr"/>
      <c r="O401" s="4" t="inlineStr"/>
      <c r="P401" s="4" t="inlineStr"/>
      <c r="Q401" s="4" t="inlineStr"/>
      <c r="R401" s="4" t="inlineStr">
        <is>
          <t>2026-03-12</t>
        </is>
      </c>
      <c r="S401" s="4" t="inlineStr"/>
    </row>
    <row r="402">
      <c r="A402" s="10" t="inlineStr">
        <is>
          <t>F00732</t>
        </is>
      </c>
      <c r="B402" s="10" t="inlineStr">
        <is>
          <t>F00732</t>
        </is>
      </c>
      <c r="C402" s="10" t="inlineStr"/>
      <c r="D402" s="10" t="inlineStr">
        <is>
          <t>6009705651276</t>
        </is>
      </c>
      <c r="E402" s="10" t="inlineStr">
        <is>
          <t>DRINK SET 7PC GOLD ROYAL SENSATION - YJD</t>
        </is>
      </c>
      <c r="F402" s="10" t="inlineStr"/>
      <c r="G402" s="10" t="inlineStr"/>
      <c r="H402" s="10" t="inlineStr"/>
      <c r="I402" s="11" t="n">
        <v>83.95</v>
      </c>
      <c r="J402" s="6" t="n">
        <v>15</v>
      </c>
      <c r="K402" s="7">
        <f>IF(I402="","",I402*(1+J402/100))</f>
        <v/>
      </c>
      <c r="L402" s="12" t="inlineStr"/>
      <c r="M402" s="8">
        <f>IF(OR(L402="",K402="",L402=0),"",
  (L402-K402)/L402*100)</f>
        <v/>
      </c>
      <c r="N402" s="9" t="inlineStr"/>
      <c r="O402" s="10" t="inlineStr"/>
      <c r="P402" s="10" t="inlineStr"/>
      <c r="Q402" s="10" t="inlineStr"/>
      <c r="R402" s="10" t="inlineStr">
        <is>
          <t>2026-03-12</t>
        </is>
      </c>
      <c r="S402" s="10" t="inlineStr"/>
    </row>
    <row r="403">
      <c r="A403" s="3" t="inlineStr">
        <is>
          <t>F00733</t>
        </is>
      </c>
      <c r="B403" s="4" t="inlineStr">
        <is>
          <t>F00733</t>
        </is>
      </c>
      <c r="C403" s="4" t="inlineStr"/>
      <c r="D403" s="4" t="inlineStr">
        <is>
          <t>6970214715349</t>
        </is>
      </c>
      <c r="E403" s="3" t="inlineStr">
        <is>
          <t>TUMBLER HIBALL 240ML (CASE LOTS ONLY)</t>
        </is>
      </c>
      <c r="F403" s="4" t="inlineStr"/>
      <c r="G403" s="4" t="inlineStr"/>
      <c r="H403" s="4" t="inlineStr"/>
      <c r="I403" s="5" t="n">
        <v>3.79</v>
      </c>
      <c r="J403" s="6" t="n">
        <v>15</v>
      </c>
      <c r="K403" s="7">
        <f>IF(I403="","",I403*(1+J403/100))</f>
        <v/>
      </c>
      <c r="L403" s="12" t="inlineStr"/>
      <c r="M403" s="8">
        <f>IF(OR(L403="",K403="",L403=0),"",
  (L403-K403)/L403*100)</f>
        <v/>
      </c>
      <c r="N403" s="14" t="n">
        <v>39117</v>
      </c>
      <c r="O403" s="4" t="inlineStr"/>
      <c r="P403" s="4" t="inlineStr"/>
      <c r="Q403" s="4" t="inlineStr"/>
      <c r="R403" s="4" t="inlineStr">
        <is>
          <t>2026-03-12</t>
        </is>
      </c>
      <c r="S403" s="4" t="inlineStr"/>
    </row>
    <row r="404">
      <c r="A404" s="10" t="inlineStr">
        <is>
          <t>F00736</t>
        </is>
      </c>
      <c r="B404" s="10" t="inlineStr">
        <is>
          <t>F00736</t>
        </is>
      </c>
      <c r="C404" s="10" t="inlineStr"/>
      <c r="D404" s="10" t="inlineStr">
        <is>
          <t>4047125301113</t>
        </is>
      </c>
      <c r="E404" s="10" t="inlineStr">
        <is>
          <t>PLATTER 11.5" OVAL GLAZE</t>
        </is>
      </c>
      <c r="F404" s="10" t="inlineStr"/>
      <c r="G404" s="10" t="inlineStr"/>
      <c r="H404" s="10" t="inlineStr"/>
      <c r="I404" s="11" t="n">
        <v>6.95</v>
      </c>
      <c r="J404" s="6" t="n">
        <v>15</v>
      </c>
      <c r="K404" s="7">
        <f>IF(I404="","",I404*(1+J404/100))</f>
        <v/>
      </c>
      <c r="L404" s="12" t="inlineStr"/>
      <c r="M404" s="8">
        <f>IF(OR(L404="",K404="",L404=0),"",
  (L404-K404)/L404*100)</f>
        <v/>
      </c>
      <c r="N404" s="9" t="inlineStr"/>
      <c r="O404" s="10" t="inlineStr"/>
      <c r="P404" s="10" t="inlineStr"/>
      <c r="Q404" s="10" t="inlineStr"/>
      <c r="R404" s="10" t="inlineStr">
        <is>
          <t>2026-03-12</t>
        </is>
      </c>
      <c r="S404" s="10" t="inlineStr"/>
    </row>
    <row r="405">
      <c r="A405" s="3" t="inlineStr">
        <is>
          <t>F00737</t>
        </is>
      </c>
      <c r="B405" s="4" t="inlineStr">
        <is>
          <t>F00737</t>
        </is>
      </c>
      <c r="C405" s="4" t="inlineStr"/>
      <c r="D405" s="4" t="inlineStr">
        <is>
          <t>6009705650514</t>
        </is>
      </c>
      <c r="E405" s="3" t="inlineStr">
        <is>
          <t>PLATE 10.5" PORC. BROAD BAND ASSTD</t>
        </is>
      </c>
      <c r="F405" s="4" t="inlineStr"/>
      <c r="G405" s="4" t="inlineStr"/>
      <c r="H405" s="4" t="inlineStr"/>
      <c r="I405" s="5" t="n">
        <v>8.949999999999999</v>
      </c>
      <c r="J405" s="6" t="n">
        <v>15</v>
      </c>
      <c r="K405" s="7">
        <f>IF(I405="","",I405*(1+J405/100))</f>
        <v/>
      </c>
      <c r="L405" s="12" t="inlineStr"/>
      <c r="M405" s="8">
        <f>IF(OR(L405="",K405="",L405=0),"",
  (L405-K405)/L405*100)</f>
        <v/>
      </c>
      <c r="N405" s="9" t="inlineStr"/>
      <c r="O405" s="4" t="inlineStr"/>
      <c r="P405" s="4" t="inlineStr"/>
      <c r="Q405" s="4" t="inlineStr"/>
      <c r="R405" s="4" t="inlineStr">
        <is>
          <t>2026-03-12</t>
        </is>
      </c>
      <c r="S405" s="4" t="inlineStr"/>
    </row>
    <row r="406">
      <c r="A406" s="10" t="inlineStr">
        <is>
          <t>F00738</t>
        </is>
      </c>
      <c r="B406" s="10" t="inlineStr">
        <is>
          <t>F00738</t>
        </is>
      </c>
      <c r="C406" s="10" t="inlineStr"/>
      <c r="D406" s="10" t="inlineStr">
        <is>
          <t>6009705651191</t>
        </is>
      </c>
      <c r="E406" s="10" t="inlineStr">
        <is>
          <t>DRINK SET 7PC GOLD ROYAL SENSTAION - G21</t>
        </is>
      </c>
      <c r="F406" s="10" t="inlineStr"/>
      <c r="G406" s="10" t="inlineStr"/>
      <c r="H406" s="10" t="inlineStr"/>
      <c r="I406" s="11" t="n">
        <v>57.14</v>
      </c>
      <c r="J406" s="6" t="n">
        <v>15</v>
      </c>
      <c r="K406" s="7">
        <f>IF(I406="","",I406*(1+J406/100))</f>
        <v/>
      </c>
      <c r="L406" s="12" t="inlineStr"/>
      <c r="M406" s="8">
        <f>IF(OR(L406="",K406="",L406=0),"",
  (L406-K406)/L406*100)</f>
        <v/>
      </c>
      <c r="N406" s="9" t="inlineStr"/>
      <c r="O406" s="10" t="inlineStr"/>
      <c r="P406" s="10" t="inlineStr"/>
      <c r="Q406" s="10" t="inlineStr"/>
      <c r="R406" s="10" t="inlineStr">
        <is>
          <t>2026-03-12</t>
        </is>
      </c>
      <c r="S406" s="10" t="inlineStr"/>
    </row>
    <row r="407">
      <c r="A407" s="3" t="inlineStr">
        <is>
          <t>F00739</t>
        </is>
      </c>
      <c r="B407" s="4" t="inlineStr">
        <is>
          <t>F00739</t>
        </is>
      </c>
      <c r="C407" s="4" t="inlineStr"/>
      <c r="D407" s="4" t="inlineStr">
        <is>
          <t>6009705651207</t>
        </is>
      </c>
      <c r="E407" s="3" t="inlineStr">
        <is>
          <t>DRINK SET 7PC SILVER ROYAL SENSATIO - G2</t>
        </is>
      </c>
      <c r="F407" s="4" t="inlineStr"/>
      <c r="G407" s="4" t="inlineStr"/>
      <c r="H407" s="4" t="inlineStr"/>
      <c r="I407" s="5" t="n">
        <v>78.95</v>
      </c>
      <c r="J407" s="6" t="n">
        <v>15</v>
      </c>
      <c r="K407" s="7">
        <f>IF(I407="","",I407*(1+J407/100))</f>
        <v/>
      </c>
      <c r="L407" s="12" t="inlineStr"/>
      <c r="M407" s="8">
        <f>IF(OR(L407="",K407="",L407=0),"",
  (L407-K407)/L407*100)</f>
        <v/>
      </c>
      <c r="N407" s="9" t="inlineStr"/>
      <c r="O407" s="4" t="inlineStr"/>
      <c r="P407" s="4" t="inlineStr"/>
      <c r="Q407" s="4" t="inlineStr"/>
      <c r="R407" s="4" t="inlineStr">
        <is>
          <t>2026-03-12</t>
        </is>
      </c>
      <c r="S407" s="4" t="inlineStr"/>
    </row>
    <row r="408">
      <c r="A408" s="10" t="inlineStr">
        <is>
          <t>F00740</t>
        </is>
      </c>
      <c r="B408" s="10" t="inlineStr">
        <is>
          <t>F00740</t>
        </is>
      </c>
      <c r="C408" s="10" t="inlineStr"/>
      <c r="D408" s="10" t="inlineStr">
        <is>
          <t>6009705651214</t>
        </is>
      </c>
      <c r="E408" s="10" t="inlineStr">
        <is>
          <t>DRINK SET 7PC GOLD ROYAL SENSATION - G21</t>
        </is>
      </c>
      <c r="F408" s="10" t="inlineStr"/>
      <c r="G408" s="10" t="inlineStr"/>
      <c r="H408" s="10" t="inlineStr"/>
      <c r="I408" s="11" t="n">
        <v>78.95</v>
      </c>
      <c r="J408" s="6" t="n">
        <v>15</v>
      </c>
      <c r="K408" s="7">
        <f>IF(I408="","",I408*(1+J408/100))</f>
        <v/>
      </c>
      <c r="L408" s="12" t="inlineStr"/>
      <c r="M408" s="8">
        <f>IF(OR(L408="",K408="",L408=0),"",
  (L408-K408)/L408*100)</f>
        <v/>
      </c>
      <c r="N408" s="9" t="inlineStr"/>
      <c r="O408" s="10" t="inlineStr"/>
      <c r="P408" s="10" t="inlineStr"/>
      <c r="Q408" s="10" t="inlineStr"/>
      <c r="R408" s="10" t="inlineStr">
        <is>
          <t>2026-03-12</t>
        </is>
      </c>
      <c r="S408" s="10" t="inlineStr"/>
    </row>
    <row r="409">
      <c r="A409" s="3" t="inlineStr">
        <is>
          <t>F00742</t>
        </is>
      </c>
      <c r="B409" s="4" t="inlineStr">
        <is>
          <t>F00742</t>
        </is>
      </c>
      <c r="C409" s="4" t="inlineStr"/>
      <c r="D409" s="4" t="inlineStr">
        <is>
          <t>6009705651634</t>
        </is>
      </c>
      <c r="E409" s="3" t="inlineStr">
        <is>
          <t>TABLE ROUND 5FT 1.5M</t>
        </is>
      </c>
      <c r="F409" s="4" t="inlineStr"/>
      <c r="G409" s="4" t="inlineStr"/>
      <c r="H409" s="4" t="inlineStr"/>
      <c r="I409" s="5" t="n">
        <v>949</v>
      </c>
      <c r="J409" s="6" t="n">
        <v>15</v>
      </c>
      <c r="K409" s="7">
        <f>IF(I409="","",I409*(1+J409/100))</f>
        <v/>
      </c>
      <c r="L409" s="12" t="inlineStr"/>
      <c r="M409" s="8">
        <f>IF(OR(L409="",K409="",L409=0),"",
  (L409-K409)/L409*100)</f>
        <v/>
      </c>
      <c r="N409" s="9" t="inlineStr"/>
      <c r="O409" s="4" t="inlineStr"/>
      <c r="P409" s="4" t="inlineStr"/>
      <c r="Q409" s="4" t="inlineStr"/>
      <c r="R409" s="4" t="inlineStr">
        <is>
          <t>2026-03-12</t>
        </is>
      </c>
      <c r="S409" s="4" t="inlineStr"/>
    </row>
    <row r="410">
      <c r="A410" s="10" t="inlineStr">
        <is>
          <t>F00743</t>
        </is>
      </c>
      <c r="B410" s="10" t="inlineStr">
        <is>
          <t>F00743</t>
        </is>
      </c>
      <c r="C410" s="10" t="inlineStr"/>
      <c r="D410" s="10" t="inlineStr">
        <is>
          <t>6009705651641</t>
        </is>
      </c>
      <c r="E410" s="10" t="inlineStr">
        <is>
          <t>TABLE ROUND 4FT 1.2M (Y122)</t>
        </is>
      </c>
      <c r="F410" s="10" t="inlineStr"/>
      <c r="G410" s="10" t="inlineStr"/>
      <c r="H410" s="10" t="inlineStr"/>
      <c r="I410" s="11" t="n">
        <v>539</v>
      </c>
      <c r="J410" s="6" t="n">
        <v>15</v>
      </c>
      <c r="K410" s="7">
        <f>IF(I410="","",I410*(1+J410/100))</f>
        <v/>
      </c>
      <c r="L410" s="12" t="inlineStr"/>
      <c r="M410" s="8">
        <f>IF(OR(L410="",K410="",L410=0),"",
  (L410-K410)/L410*100)</f>
        <v/>
      </c>
      <c r="N410" s="9" t="inlineStr"/>
      <c r="O410" s="10" t="inlineStr"/>
      <c r="P410" s="10" t="inlineStr"/>
      <c r="Q410" s="10" t="inlineStr"/>
      <c r="R410" s="10" t="inlineStr">
        <is>
          <t>2026-03-12</t>
        </is>
      </c>
      <c r="S410" s="10" t="inlineStr"/>
    </row>
    <row r="411">
      <c r="A411" s="3" t="inlineStr">
        <is>
          <t>F00744</t>
        </is>
      </c>
      <c r="B411" s="4" t="inlineStr">
        <is>
          <t>F00744</t>
        </is>
      </c>
      <c r="C411" s="4" t="inlineStr"/>
      <c r="D411" s="4" t="inlineStr">
        <is>
          <t>6009705651610</t>
        </is>
      </c>
      <c r="E411" s="3" t="inlineStr">
        <is>
          <t>CHAIR FOLDING WHITE HEAVY DUTY METAL</t>
        </is>
      </c>
      <c r="F411" s="4" t="inlineStr"/>
      <c r="G411" s="4" t="inlineStr"/>
      <c r="H411" s="4" t="inlineStr"/>
      <c r="I411" s="5" t="n">
        <v>269.95</v>
      </c>
      <c r="J411" s="6" t="n">
        <v>15</v>
      </c>
      <c r="K411" s="7">
        <f>IF(I411="","",I411*(1+J411/100))</f>
        <v/>
      </c>
      <c r="L411" s="12" t="inlineStr"/>
      <c r="M411" s="8">
        <f>IF(OR(L411="",K411="",L411=0),"",
  (L411-K411)/L411*100)</f>
        <v/>
      </c>
      <c r="N411" s="9" t="inlineStr"/>
      <c r="O411" s="4" t="inlineStr"/>
      <c r="P411" s="4" t="inlineStr"/>
      <c r="Q411" s="4" t="inlineStr"/>
      <c r="R411" s="4" t="inlineStr">
        <is>
          <t>2026-03-12</t>
        </is>
      </c>
      <c r="S411" s="4" t="inlineStr"/>
    </row>
    <row r="412">
      <c r="A412" s="10" t="inlineStr">
        <is>
          <t>F00745</t>
        </is>
      </c>
      <c r="B412" s="10" t="inlineStr">
        <is>
          <t>F00745</t>
        </is>
      </c>
      <c r="C412" s="10" t="inlineStr"/>
      <c r="D412" s="10" t="inlineStr">
        <is>
          <t>6009705651627</t>
        </is>
      </c>
      <c r="E412" s="10" t="inlineStr">
        <is>
          <t>BENCH FOLDING</t>
        </is>
      </c>
      <c r="F412" s="10" t="inlineStr"/>
      <c r="G412" s="10" t="inlineStr"/>
      <c r="H412" s="10" t="inlineStr"/>
      <c r="I412" s="11" t="n">
        <v>359</v>
      </c>
      <c r="J412" s="6" t="n">
        <v>15</v>
      </c>
      <c r="K412" s="7">
        <f>IF(I412="","",I412*(1+J412/100))</f>
        <v/>
      </c>
      <c r="L412" s="12" t="inlineStr"/>
      <c r="M412" s="8">
        <f>IF(OR(L412="",K412="",L412=0),"",
  (L412-K412)/L412*100)</f>
        <v/>
      </c>
      <c r="N412" s="9" t="inlineStr"/>
      <c r="O412" s="10" t="inlineStr"/>
      <c r="P412" s="10" t="inlineStr"/>
      <c r="Q412" s="10" t="inlineStr"/>
      <c r="R412" s="10" t="inlineStr">
        <is>
          <t>2026-03-12</t>
        </is>
      </c>
      <c r="S412" s="10" t="inlineStr"/>
    </row>
    <row r="413">
      <c r="A413" s="3" t="inlineStr">
        <is>
          <t>F00746</t>
        </is>
      </c>
      <c r="B413" s="4" t="inlineStr">
        <is>
          <t>F00746</t>
        </is>
      </c>
      <c r="C413" s="4" t="inlineStr"/>
      <c r="D413" s="4" t="inlineStr">
        <is>
          <t>4895108356489</t>
        </is>
      </c>
      <c r="E413" s="3" t="inlineStr">
        <is>
          <t>IRONING BOARD 48" MESH - DC-648B</t>
        </is>
      </c>
      <c r="F413" s="4" t="inlineStr"/>
      <c r="G413" s="4" t="inlineStr"/>
      <c r="H413" s="4" t="inlineStr"/>
      <c r="I413" s="5" t="n">
        <v>105</v>
      </c>
      <c r="J413" s="6" t="n">
        <v>15</v>
      </c>
      <c r="K413" s="7">
        <f>IF(I413="","",I413*(1+J413/100))</f>
        <v/>
      </c>
      <c r="L413" s="12" t="inlineStr"/>
      <c r="M413" s="8">
        <f>IF(OR(L413="",K413="",L413=0),"",
  (L413-K413)/L413*100)</f>
        <v/>
      </c>
      <c r="N413" s="9" t="inlineStr"/>
      <c r="O413" s="4" t="inlineStr"/>
      <c r="P413" s="4" t="inlineStr"/>
      <c r="Q413" s="4" t="inlineStr"/>
      <c r="R413" s="4" t="inlineStr">
        <is>
          <t>2026-03-12</t>
        </is>
      </c>
      <c r="S413" s="4" t="inlineStr"/>
    </row>
    <row r="414">
      <c r="A414" s="10" t="inlineStr">
        <is>
          <t>F00747</t>
        </is>
      </c>
      <c r="B414" s="10" t="inlineStr">
        <is>
          <t>F00747</t>
        </is>
      </c>
      <c r="C414" s="10" t="inlineStr">
        <is>
          <t>19357</t>
        </is>
      </c>
      <c r="D414" s="10" t="inlineStr">
        <is>
          <t>6009697452820</t>
        </is>
      </c>
      <c r="E414" s="10" t="inlineStr">
        <is>
          <t>MAT CANDY STRIPE 57X37 SMALL PLS3757</t>
        </is>
      </c>
      <c r="F414" s="10" t="inlineStr"/>
      <c r="G414" s="10" t="inlineStr"/>
      <c r="H414" s="10" t="inlineStr"/>
      <c r="I414" s="11" t="n">
        <v>19.95</v>
      </c>
      <c r="J414" s="6" t="n">
        <v>15</v>
      </c>
      <c r="K414" s="7">
        <f>IF(I414="","",I414*(1+J414/100))</f>
        <v/>
      </c>
      <c r="L414" s="12" t="inlineStr"/>
      <c r="M414" s="8">
        <f>IF(OR(L414="",K414="",L414=0),"",
  (L414-K414)/L414*100)</f>
        <v/>
      </c>
      <c r="N414" s="9" t="inlineStr"/>
      <c r="O414" s="10" t="inlineStr"/>
      <c r="P414" s="10" t="inlineStr"/>
      <c r="Q414" s="10" t="inlineStr"/>
      <c r="R414" s="10" t="inlineStr">
        <is>
          <t>2026-03-12</t>
        </is>
      </c>
      <c r="S414" s="10" t="inlineStr"/>
    </row>
    <row r="415">
      <c r="A415" s="3" t="inlineStr">
        <is>
          <t>F00750</t>
        </is>
      </c>
      <c r="B415" s="4" t="inlineStr">
        <is>
          <t>F00750</t>
        </is>
      </c>
      <c r="C415" s="4" t="inlineStr"/>
      <c r="D415" s="4" t="inlineStr">
        <is>
          <t>6009705651702</t>
        </is>
      </c>
      <c r="E415" s="3" t="inlineStr">
        <is>
          <t>PLATE SOUP ENAMEL 22CM 12'S</t>
        </is>
      </c>
      <c r="F415" s="4" t="inlineStr"/>
      <c r="G415" s="4" t="inlineStr"/>
      <c r="H415" s="4" t="inlineStr"/>
      <c r="I415" s="5" t="n">
        <v>53.95</v>
      </c>
      <c r="J415" s="6" t="n">
        <v>15</v>
      </c>
      <c r="K415" s="7">
        <f>IF(I415="","",I415*(1+J415/100))</f>
        <v/>
      </c>
      <c r="L415" s="12" t="inlineStr"/>
      <c r="M415" s="8">
        <f>IF(OR(L415="",K415="",L415=0),"",
  (L415-K415)/L415*100)</f>
        <v/>
      </c>
      <c r="N415" s="9" t="inlineStr"/>
      <c r="O415" s="4" t="inlineStr"/>
      <c r="P415" s="4" t="inlineStr"/>
      <c r="Q415" s="4" t="inlineStr"/>
      <c r="R415" s="4" t="inlineStr">
        <is>
          <t>2026-03-12</t>
        </is>
      </c>
      <c r="S415" s="4" t="inlineStr"/>
    </row>
    <row r="416">
      <c r="A416" s="10" t="inlineStr">
        <is>
          <t>F00751</t>
        </is>
      </c>
      <c r="B416" s="10" t="inlineStr">
        <is>
          <t>F00751</t>
        </is>
      </c>
      <c r="C416" s="10" t="inlineStr"/>
      <c r="D416" s="10" t="inlineStr">
        <is>
          <t>6009705651719</t>
        </is>
      </c>
      <c r="E416" s="10" t="inlineStr">
        <is>
          <t>PLATE SOUP ENAMEL 24CM 12'S</t>
        </is>
      </c>
      <c r="F416" s="10" t="inlineStr"/>
      <c r="G416" s="10" t="inlineStr"/>
      <c r="H416" s="10" t="inlineStr"/>
      <c r="I416" s="11" t="n">
        <v>63.95</v>
      </c>
      <c r="J416" s="6" t="n">
        <v>15</v>
      </c>
      <c r="K416" s="7">
        <f>IF(I416="","",I416*(1+J416/100))</f>
        <v/>
      </c>
      <c r="L416" s="12" t="inlineStr"/>
      <c r="M416" s="8">
        <f>IF(OR(L416="",K416="",L416=0),"",
  (L416-K416)/L416*100)</f>
        <v/>
      </c>
      <c r="N416" s="9" t="inlineStr"/>
      <c r="O416" s="10" t="inlineStr"/>
      <c r="P416" s="10" t="inlineStr"/>
      <c r="Q416" s="10" t="inlineStr"/>
      <c r="R416" s="10" t="inlineStr">
        <is>
          <t>2026-03-12</t>
        </is>
      </c>
      <c r="S416" s="10" t="inlineStr"/>
    </row>
    <row r="417">
      <c r="A417" s="3" t="inlineStr">
        <is>
          <t>F00752</t>
        </is>
      </c>
      <c r="B417" s="4" t="inlineStr">
        <is>
          <t>F00752</t>
        </is>
      </c>
      <c r="C417" s="4" t="inlineStr"/>
      <c r="D417" s="4" t="inlineStr"/>
      <c r="E417" s="3" t="inlineStr">
        <is>
          <t>CHAIR FOLDING RED</t>
        </is>
      </c>
      <c r="F417" s="4" t="inlineStr"/>
      <c r="G417" s="4" t="inlineStr"/>
      <c r="H417" s="4" t="inlineStr"/>
      <c r="I417" s="5" t="n">
        <v>225</v>
      </c>
      <c r="J417" s="6" t="n">
        <v>15</v>
      </c>
      <c r="K417" s="7">
        <f>IF(I417="","",I417*(1+J417/100))</f>
        <v/>
      </c>
      <c r="L417" s="12" t="inlineStr"/>
      <c r="M417" s="8">
        <f>IF(OR(L417="",K417="",L417=0),"",
  (L417-K417)/L417*100)</f>
        <v/>
      </c>
      <c r="N417" s="9" t="inlineStr"/>
      <c r="O417" s="4" t="inlineStr"/>
      <c r="P417" s="4" t="inlineStr"/>
      <c r="Q417" s="4" t="inlineStr"/>
      <c r="R417" s="4" t="inlineStr">
        <is>
          <t>2026-03-12</t>
        </is>
      </c>
      <c r="S417" s="4" t="inlineStr"/>
    </row>
    <row r="418">
      <c r="A418" s="10" t="inlineStr">
        <is>
          <t>F00753</t>
        </is>
      </c>
      <c r="B418" s="10" t="inlineStr">
        <is>
          <t>F00753</t>
        </is>
      </c>
      <c r="C418" s="10" t="inlineStr"/>
      <c r="D418" s="10" t="inlineStr"/>
      <c r="E418" s="10" t="inlineStr">
        <is>
          <t>CHAIR FOLDING YELLOW</t>
        </is>
      </c>
      <c r="F418" s="10" t="inlineStr"/>
      <c r="G418" s="10" t="inlineStr"/>
      <c r="H418" s="10" t="inlineStr"/>
      <c r="I418" s="11" t="n">
        <v>209</v>
      </c>
      <c r="J418" s="6" t="n">
        <v>15</v>
      </c>
      <c r="K418" s="7">
        <f>IF(I418="","",I418*(1+J418/100))</f>
        <v/>
      </c>
      <c r="L418" s="12" t="inlineStr"/>
      <c r="M418" s="8">
        <f>IF(OR(L418="",K418="",L418=0),"",
  (L418-K418)/L418*100)</f>
        <v/>
      </c>
      <c r="N418" s="9" t="inlineStr"/>
      <c r="O418" s="10" t="inlineStr"/>
      <c r="P418" s="10" t="inlineStr"/>
      <c r="Q418" s="10" t="inlineStr"/>
      <c r="R418" s="10" t="inlineStr">
        <is>
          <t>2026-03-12</t>
        </is>
      </c>
      <c r="S418" s="10" t="inlineStr"/>
    </row>
    <row r="419">
      <c r="A419" s="3" t="inlineStr">
        <is>
          <t>F00754</t>
        </is>
      </c>
      <c r="B419" s="4" t="inlineStr">
        <is>
          <t>F00754</t>
        </is>
      </c>
      <c r="C419" s="4" t="inlineStr"/>
      <c r="D419" s="4" t="inlineStr"/>
      <c r="E419" s="3" t="inlineStr">
        <is>
          <t>CHAIR FOLDING BLACK</t>
        </is>
      </c>
      <c r="F419" s="4" t="inlineStr"/>
      <c r="G419" s="4" t="inlineStr"/>
      <c r="H419" s="4" t="inlineStr"/>
      <c r="I419" s="5" t="n">
        <v>209</v>
      </c>
      <c r="J419" s="6" t="n">
        <v>15</v>
      </c>
      <c r="K419" s="7">
        <f>IF(I419="","",I419*(1+J419/100))</f>
        <v/>
      </c>
      <c r="L419" s="12" t="inlineStr"/>
      <c r="M419" s="8">
        <f>IF(OR(L419="",K419="",L419=0),"",
  (L419-K419)/L419*100)</f>
        <v/>
      </c>
      <c r="N419" s="9" t="inlineStr"/>
      <c r="O419" s="4" t="inlineStr"/>
      <c r="P419" s="4" t="inlineStr"/>
      <c r="Q419" s="4" t="inlineStr"/>
      <c r="R419" s="4" t="inlineStr">
        <is>
          <t>2026-03-12</t>
        </is>
      </c>
      <c r="S419" s="4" t="inlineStr"/>
    </row>
    <row r="420">
      <c r="A420" s="10" t="inlineStr">
        <is>
          <t>F00755</t>
        </is>
      </c>
      <c r="B420" s="10" t="inlineStr">
        <is>
          <t>F00755</t>
        </is>
      </c>
      <c r="C420" s="10" t="inlineStr"/>
      <c r="D420" s="10" t="inlineStr">
        <is>
          <t>6910950053381</t>
        </is>
      </c>
      <c r="E420" s="10" t="inlineStr">
        <is>
          <t>CHEFING DISH SINGLE</t>
        </is>
      </c>
      <c r="F420" s="10" t="inlineStr"/>
      <c r="G420" s="10" t="inlineStr"/>
      <c r="H420" s="10" t="inlineStr"/>
      <c r="I420" s="11" t="n">
        <v>289</v>
      </c>
      <c r="J420" s="6" t="n">
        <v>15</v>
      </c>
      <c r="K420" s="7">
        <f>IF(I420="","",I420*(1+J420/100))</f>
        <v/>
      </c>
      <c r="L420" s="12" t="inlineStr"/>
      <c r="M420" s="8">
        <f>IF(OR(L420="",K420="",L420=0),"",
  (L420-K420)/L420*100)</f>
        <v/>
      </c>
      <c r="N420" s="9" t="inlineStr"/>
      <c r="O420" s="10" t="inlineStr"/>
      <c r="P420" s="10" t="inlineStr"/>
      <c r="Q420" s="10" t="inlineStr"/>
      <c r="R420" s="10" t="inlineStr">
        <is>
          <t>2026-03-12</t>
        </is>
      </c>
      <c r="S420" s="10" t="inlineStr"/>
    </row>
    <row r="421">
      <c r="A421" s="3" t="inlineStr">
        <is>
          <t>F00756</t>
        </is>
      </c>
      <c r="B421" s="4" t="inlineStr">
        <is>
          <t>F00756</t>
        </is>
      </c>
      <c r="C421" s="4" t="inlineStr"/>
      <c r="D421" s="4" t="inlineStr"/>
      <c r="E421" s="3" t="inlineStr">
        <is>
          <t>CHEFING DISH DOUBLE</t>
        </is>
      </c>
      <c r="F421" s="4" t="inlineStr"/>
      <c r="G421" s="4" t="inlineStr"/>
      <c r="H421" s="4" t="inlineStr"/>
      <c r="I421" s="5" t="n">
        <v>299</v>
      </c>
      <c r="J421" s="6" t="n">
        <v>15</v>
      </c>
      <c r="K421" s="7">
        <f>IF(I421="","",I421*(1+J421/100))</f>
        <v/>
      </c>
      <c r="L421" s="12" t="inlineStr"/>
      <c r="M421" s="8">
        <f>IF(OR(L421="",K421="",L421=0),"",
  (L421-K421)/L421*100)</f>
        <v/>
      </c>
      <c r="N421" s="9" t="inlineStr"/>
      <c r="O421" s="4" t="inlineStr"/>
      <c r="P421" s="4" t="inlineStr"/>
      <c r="Q421" s="4" t="inlineStr"/>
      <c r="R421" s="4" t="inlineStr">
        <is>
          <t>2026-03-12</t>
        </is>
      </c>
      <c r="S421" s="4" t="inlineStr"/>
    </row>
    <row r="422">
      <c r="A422" s="10" t="inlineStr">
        <is>
          <t>F00757</t>
        </is>
      </c>
      <c r="B422" s="10" t="inlineStr">
        <is>
          <t>F00757</t>
        </is>
      </c>
      <c r="C422" s="10" t="inlineStr"/>
      <c r="D422" s="10" t="inlineStr">
        <is>
          <t>6009697452981</t>
        </is>
      </c>
      <c r="E422" s="10" t="inlineStr">
        <is>
          <t>PLATE WHITE ROUND PORC 10/10.5" (36/40)</t>
        </is>
      </c>
      <c r="F422" s="10" t="inlineStr"/>
      <c r="G422" s="10" t="inlineStr"/>
      <c r="H422" s="10" t="inlineStr"/>
      <c r="I422" s="11" t="n">
        <v>12.95</v>
      </c>
      <c r="J422" s="6" t="n">
        <v>15</v>
      </c>
      <c r="K422" s="7">
        <f>IF(I422="","",I422*(1+J422/100))</f>
        <v/>
      </c>
      <c r="L422" s="12" t="inlineStr"/>
      <c r="M422" s="8">
        <f>IF(OR(L422="",K422="",L422=0),"",
  (L422-K422)/L422*100)</f>
        <v/>
      </c>
      <c r="N422" s="13" t="n">
        <v>72</v>
      </c>
      <c r="O422" s="10" t="inlineStr"/>
      <c r="P422" s="10" t="inlineStr"/>
      <c r="Q422" s="10" t="inlineStr"/>
      <c r="R422" s="10" t="inlineStr">
        <is>
          <t>2026-03-12</t>
        </is>
      </c>
      <c r="S422" s="10" t="inlineStr"/>
    </row>
    <row r="423">
      <c r="A423" s="3" t="inlineStr">
        <is>
          <t>F00758</t>
        </is>
      </c>
      <c r="B423" s="4" t="inlineStr">
        <is>
          <t>F00758</t>
        </is>
      </c>
      <c r="C423" s="4" t="inlineStr"/>
      <c r="D423" s="4" t="inlineStr">
        <is>
          <t>6009697459102</t>
        </is>
      </c>
      <c r="E423" s="3" t="inlineStr">
        <is>
          <t>ROPE 5MM X 5M (SK505)</t>
        </is>
      </c>
      <c r="F423" s="4" t="inlineStr"/>
      <c r="G423" s="4" t="inlineStr"/>
      <c r="H423" s="4" t="inlineStr"/>
      <c r="I423" s="5" t="n">
        <v>3.99</v>
      </c>
      <c r="J423" s="6" t="n">
        <v>15</v>
      </c>
      <c r="K423" s="7">
        <f>IF(I423="","",I423*(1+J423/100))</f>
        <v/>
      </c>
      <c r="L423" s="12" t="inlineStr"/>
      <c r="M423" s="8">
        <f>IF(OR(L423="",K423="",L423=0),"",
  (L423-K423)/L423*100)</f>
        <v/>
      </c>
      <c r="N423" s="9" t="inlineStr"/>
      <c r="O423" s="4" t="inlineStr"/>
      <c r="P423" s="4" t="inlineStr"/>
      <c r="Q423" s="4" t="inlineStr"/>
      <c r="R423" s="4" t="inlineStr">
        <is>
          <t>2026-03-12</t>
        </is>
      </c>
      <c r="S423" s="4" t="inlineStr"/>
    </row>
    <row r="424">
      <c r="A424" s="10" t="inlineStr">
        <is>
          <t>F00759</t>
        </is>
      </c>
      <c r="B424" s="10" t="inlineStr">
        <is>
          <t>F00759</t>
        </is>
      </c>
      <c r="C424" s="10" t="inlineStr"/>
      <c r="D424" s="10" t="inlineStr"/>
      <c r="E424" s="10" t="inlineStr">
        <is>
          <t>ROPE 10MM X 400M NYLON</t>
        </is>
      </c>
      <c r="F424" s="10" t="inlineStr"/>
      <c r="G424" s="10" t="inlineStr"/>
      <c r="H424" s="10" t="inlineStr"/>
      <c r="I424" s="11" t="n">
        <v>369</v>
      </c>
      <c r="J424" s="6" t="n">
        <v>15</v>
      </c>
      <c r="K424" s="7">
        <f>IF(I424="","",I424*(1+J424/100))</f>
        <v/>
      </c>
      <c r="L424" s="12" t="inlineStr"/>
      <c r="M424" s="8">
        <f>IF(OR(L424="",K424="",L424=0),"",
  (L424-K424)/L424*100)</f>
        <v/>
      </c>
      <c r="N424" s="9" t="inlineStr"/>
      <c r="O424" s="10" t="inlineStr"/>
      <c r="P424" s="10" t="inlineStr"/>
      <c r="Q424" s="10" t="inlineStr"/>
      <c r="R424" s="10" t="inlineStr">
        <is>
          <t>2026-03-12</t>
        </is>
      </c>
      <c r="S424" s="10" t="inlineStr"/>
    </row>
    <row r="425">
      <c r="A425" s="3" t="inlineStr">
        <is>
          <t>F00760</t>
        </is>
      </c>
      <c r="B425" s="4" t="inlineStr">
        <is>
          <t>F00760</t>
        </is>
      </c>
      <c r="C425" s="4" t="inlineStr"/>
      <c r="D425" s="4" t="inlineStr"/>
      <c r="E425" s="3" t="inlineStr">
        <is>
          <t>LANTERN SOLAR</t>
        </is>
      </c>
      <c r="F425" s="4" t="inlineStr"/>
      <c r="G425" s="4" t="inlineStr"/>
      <c r="H425" s="4" t="inlineStr"/>
      <c r="I425" s="5" t="n">
        <v>30</v>
      </c>
      <c r="J425" s="6" t="n">
        <v>15</v>
      </c>
      <c r="K425" s="7">
        <f>IF(I425="","",I425*(1+J425/100))</f>
        <v/>
      </c>
      <c r="L425" s="12" t="inlineStr"/>
      <c r="M425" s="8">
        <f>IF(OR(L425="",K425="",L425=0),"",
  (L425-K425)/L425*100)</f>
        <v/>
      </c>
      <c r="N425" s="9" t="inlineStr"/>
      <c r="O425" s="4" t="inlineStr"/>
      <c r="P425" s="4" t="inlineStr"/>
      <c r="Q425" s="4" t="inlineStr"/>
      <c r="R425" s="4" t="inlineStr">
        <is>
          <t>2026-03-12</t>
        </is>
      </c>
      <c r="S425" s="4" t="inlineStr"/>
    </row>
    <row r="426">
      <c r="A426" s="10" t="inlineStr">
        <is>
          <t>F00770</t>
        </is>
      </c>
      <c r="B426" s="10" t="inlineStr">
        <is>
          <t>F00770</t>
        </is>
      </c>
      <c r="C426" s="10" t="inlineStr"/>
      <c r="D426" s="10" t="inlineStr"/>
      <c r="E426" s="10" t="inlineStr">
        <is>
          <t>WHEEL CHAIR</t>
        </is>
      </c>
      <c r="F426" s="10" t="inlineStr"/>
      <c r="G426" s="10" t="inlineStr"/>
      <c r="H426" s="10" t="inlineStr"/>
      <c r="I426" s="11" t="n">
        <v>7000</v>
      </c>
      <c r="J426" s="6" t="n">
        <v>15</v>
      </c>
      <c r="K426" s="7">
        <f>IF(I426="","",I426*(1+J426/100))</f>
        <v/>
      </c>
      <c r="L426" s="12" t="inlineStr"/>
      <c r="M426" s="8">
        <f>IF(OR(L426="",K426="",L426=0),"",
  (L426-K426)/L426*100)</f>
        <v/>
      </c>
      <c r="N426" s="9" t="inlineStr"/>
      <c r="O426" s="10" t="inlineStr"/>
      <c r="P426" s="10" t="inlineStr"/>
      <c r="Q426" s="10" t="inlineStr"/>
      <c r="R426" s="10" t="inlineStr">
        <is>
          <t>2026-03-12</t>
        </is>
      </c>
      <c r="S426" s="10" t="inlineStr"/>
    </row>
    <row r="427">
      <c r="A427" s="3" t="inlineStr">
        <is>
          <t>F00771</t>
        </is>
      </c>
      <c r="B427" s="4" t="inlineStr">
        <is>
          <t>F00771</t>
        </is>
      </c>
      <c r="C427" s="4" t="inlineStr"/>
      <c r="D427" s="4" t="inlineStr">
        <is>
          <t>6009697459768</t>
        </is>
      </c>
      <c r="E427" s="3" t="inlineStr">
        <is>
          <t>MUFFIN TRAY 6 CUP CAKE MOULD</t>
        </is>
      </c>
      <c r="F427" s="4" t="inlineStr"/>
      <c r="G427" s="4" t="inlineStr"/>
      <c r="H427" s="4" t="inlineStr"/>
      <c r="I427" s="5" t="n">
        <v>18.5</v>
      </c>
      <c r="J427" s="6" t="n">
        <v>15</v>
      </c>
      <c r="K427" s="7">
        <f>IF(I427="","",I427*(1+J427/100))</f>
        <v/>
      </c>
      <c r="L427" s="12" t="inlineStr"/>
      <c r="M427" s="8">
        <f>IF(OR(L427="",K427="",L427=0),"",
  (L427-K427)/L427*100)</f>
        <v/>
      </c>
      <c r="N427" s="14" t="n">
        <v>1</v>
      </c>
      <c r="O427" s="4" t="inlineStr"/>
      <c r="P427" s="4" t="inlineStr"/>
      <c r="Q427" s="4" t="inlineStr"/>
      <c r="R427" s="4" t="inlineStr">
        <is>
          <t>2026-03-12</t>
        </is>
      </c>
      <c r="S427" s="4" t="inlineStr"/>
    </row>
    <row r="428">
      <c r="A428" s="10" t="inlineStr">
        <is>
          <t>F00772</t>
        </is>
      </c>
      <c r="B428" s="10" t="inlineStr">
        <is>
          <t>F00772</t>
        </is>
      </c>
      <c r="C428" s="10" t="inlineStr"/>
      <c r="D428" s="10" t="inlineStr">
        <is>
          <t>6009697459775</t>
        </is>
      </c>
      <c r="E428" s="10" t="inlineStr">
        <is>
          <t>MUFFIN TRAY 12 CUP CAKE  MOULD</t>
        </is>
      </c>
      <c r="F428" s="10" t="inlineStr"/>
      <c r="G428" s="10" t="inlineStr"/>
      <c r="H428" s="10" t="inlineStr"/>
      <c r="I428" s="11" t="n">
        <v>34.95</v>
      </c>
      <c r="J428" s="6" t="n">
        <v>15</v>
      </c>
      <c r="K428" s="7">
        <f>IF(I428="","",I428*(1+J428/100))</f>
        <v/>
      </c>
      <c r="L428" s="12" t="inlineStr"/>
      <c r="M428" s="8">
        <f>IF(OR(L428="",K428="",L428=0),"",
  (L428-K428)/L428*100)</f>
        <v/>
      </c>
      <c r="N428" s="13" t="n">
        <v>2</v>
      </c>
      <c r="O428" s="10" t="inlineStr"/>
      <c r="P428" s="10" t="inlineStr"/>
      <c r="Q428" s="10" t="inlineStr"/>
      <c r="R428" s="10" t="inlineStr">
        <is>
          <t>2026-03-12</t>
        </is>
      </c>
      <c r="S428" s="10" t="inlineStr"/>
    </row>
    <row r="429">
      <c r="A429" s="3" t="inlineStr">
        <is>
          <t>F00773</t>
        </is>
      </c>
      <c r="B429" s="4" t="inlineStr">
        <is>
          <t>F00773</t>
        </is>
      </c>
      <c r="C429" s="4" t="inlineStr"/>
      <c r="D429" s="4" t="inlineStr">
        <is>
          <t>6009697459751</t>
        </is>
      </c>
      <c r="E429" s="3" t="inlineStr">
        <is>
          <t>PLS-DS01 TV TABLE STAND (3 TIER SOLID)</t>
        </is>
      </c>
      <c r="F429" s="4" t="inlineStr"/>
      <c r="G429" s="4" t="inlineStr"/>
      <c r="H429" s="4" t="inlineStr"/>
      <c r="I429" s="5" t="n">
        <v>80.67</v>
      </c>
      <c r="J429" s="6" t="n">
        <v>15</v>
      </c>
      <c r="K429" s="7">
        <f>IF(I429="","",I429*(1+J429/100))</f>
        <v/>
      </c>
      <c r="L429" s="12" t="inlineStr"/>
      <c r="M429" s="8">
        <f>IF(OR(L429="",K429="",L429=0),"",
  (L429-K429)/L429*100)</f>
        <v/>
      </c>
      <c r="N429" s="9" t="inlineStr"/>
      <c r="O429" s="4" t="inlineStr"/>
      <c r="P429" s="4" t="inlineStr"/>
      <c r="Q429" s="4" t="inlineStr"/>
      <c r="R429" s="4" t="inlineStr">
        <is>
          <t>2026-03-12</t>
        </is>
      </c>
      <c r="S429" s="4" t="inlineStr"/>
    </row>
    <row r="430">
      <c r="A430" s="10" t="inlineStr">
        <is>
          <t>F00774</t>
        </is>
      </c>
      <c r="B430" s="10" t="inlineStr">
        <is>
          <t>F00774</t>
        </is>
      </c>
      <c r="C430" s="10" t="inlineStr"/>
      <c r="D430" s="10" t="inlineStr">
        <is>
          <t>6009697459812</t>
        </is>
      </c>
      <c r="E430" s="10" t="inlineStr">
        <is>
          <t>BOOSTER CABLE GOOD QUALITY 400 AMP</t>
        </is>
      </c>
      <c r="F430" s="10" t="inlineStr"/>
      <c r="G430" s="10" t="inlineStr"/>
      <c r="H430" s="10" t="inlineStr"/>
      <c r="I430" s="11" t="n">
        <v>87.95</v>
      </c>
      <c r="J430" s="6" t="n">
        <v>15</v>
      </c>
      <c r="K430" s="7">
        <f>IF(I430="","",I430*(1+J430/100))</f>
        <v/>
      </c>
      <c r="L430" s="12" t="inlineStr"/>
      <c r="M430" s="8">
        <f>IF(OR(L430="",K430="",L430=0),"",
  (L430-K430)/L430*100)</f>
        <v/>
      </c>
      <c r="N430" s="9" t="inlineStr"/>
      <c r="O430" s="10" t="inlineStr"/>
      <c r="P430" s="10" t="inlineStr"/>
      <c r="Q430" s="10" t="inlineStr"/>
      <c r="R430" s="10" t="inlineStr">
        <is>
          <t>2026-03-12</t>
        </is>
      </c>
      <c r="S430" s="10" t="inlineStr"/>
    </row>
    <row r="431">
      <c r="A431" s="3" t="inlineStr">
        <is>
          <t>F00775</t>
        </is>
      </c>
      <c r="B431" s="4" t="inlineStr">
        <is>
          <t>F00775</t>
        </is>
      </c>
      <c r="C431" s="4" t="inlineStr"/>
      <c r="D431" s="4" t="inlineStr">
        <is>
          <t>6009697459836</t>
        </is>
      </c>
      <c r="E431" s="3" t="inlineStr">
        <is>
          <t>BOOSTER CABLE GOOD QUALITY 800 AMP</t>
        </is>
      </c>
      <c r="F431" s="4" t="inlineStr"/>
      <c r="G431" s="4" t="inlineStr"/>
      <c r="H431" s="4" t="inlineStr"/>
      <c r="I431" s="5" t="n">
        <v>115</v>
      </c>
      <c r="J431" s="6" t="n">
        <v>15</v>
      </c>
      <c r="K431" s="7">
        <f>IF(I431="","",I431*(1+J431/100))</f>
        <v/>
      </c>
      <c r="L431" s="12" t="inlineStr"/>
      <c r="M431" s="8">
        <f>IF(OR(L431="",K431="",L431=0),"",
  (L431-K431)/L431*100)</f>
        <v/>
      </c>
      <c r="N431" s="9" t="inlineStr"/>
      <c r="O431" s="4" t="inlineStr"/>
      <c r="P431" s="4" t="inlineStr"/>
      <c r="Q431" s="4" t="inlineStr"/>
      <c r="R431" s="4" t="inlineStr">
        <is>
          <t>2026-03-12</t>
        </is>
      </c>
      <c r="S431" s="4" t="inlineStr"/>
    </row>
    <row r="432">
      <c r="A432" s="10" t="inlineStr">
        <is>
          <t>F00776</t>
        </is>
      </c>
      <c r="B432" s="10" t="inlineStr">
        <is>
          <t>F00776</t>
        </is>
      </c>
      <c r="C432" s="10" t="inlineStr"/>
      <c r="D432" s="10" t="inlineStr">
        <is>
          <t>6009697459829</t>
        </is>
      </c>
      <c r="E432" s="10" t="inlineStr">
        <is>
          <t>BOOSTER CABLE GOOD QUALITY 1200 AMP</t>
        </is>
      </c>
      <c r="F432" s="10" t="inlineStr"/>
      <c r="G432" s="10" t="inlineStr"/>
      <c r="H432" s="10" t="inlineStr"/>
      <c r="I432" s="11" t="n">
        <v>93.37</v>
      </c>
      <c r="J432" s="6" t="n">
        <v>15</v>
      </c>
      <c r="K432" s="7">
        <f>IF(I432="","",I432*(1+J432/100))</f>
        <v/>
      </c>
      <c r="L432" s="12" t="inlineStr"/>
      <c r="M432" s="8">
        <f>IF(OR(L432="",K432="",L432=0),"",
  (L432-K432)/L432*100)</f>
        <v/>
      </c>
      <c r="N432" s="9" t="inlineStr"/>
      <c r="O432" s="10" t="inlineStr"/>
      <c r="P432" s="10" t="inlineStr"/>
      <c r="Q432" s="10" t="inlineStr"/>
      <c r="R432" s="10" t="inlineStr">
        <is>
          <t>2026-03-12</t>
        </is>
      </c>
      <c r="S432" s="10" t="inlineStr"/>
    </row>
    <row r="433">
      <c r="A433" s="3" t="inlineStr">
        <is>
          <t>F00777</t>
        </is>
      </c>
      <c r="B433" s="4" t="inlineStr">
        <is>
          <t>F00777</t>
        </is>
      </c>
      <c r="C433" s="4" t="inlineStr"/>
      <c r="D433" s="4" t="inlineStr">
        <is>
          <t>6009697459856</t>
        </is>
      </c>
      <c r="E433" s="3" t="inlineStr">
        <is>
          <t>PLS-3723 H801 GRATER &amp; CUTTING BOARD SET</t>
        </is>
      </c>
      <c r="F433" s="4" t="inlineStr"/>
      <c r="G433" s="4" t="inlineStr"/>
      <c r="H433" s="4" t="inlineStr"/>
      <c r="I433" s="5" t="n">
        <v>33.95</v>
      </c>
      <c r="J433" s="6" t="n">
        <v>15</v>
      </c>
      <c r="K433" s="7">
        <f>IF(I433="","",I433*(1+J433/100))</f>
        <v/>
      </c>
      <c r="L433" s="12" t="inlineStr"/>
      <c r="M433" s="8">
        <f>IF(OR(L433="",K433="",L433=0),"",
  (L433-K433)/L433*100)</f>
        <v/>
      </c>
      <c r="N433" s="9" t="inlineStr"/>
      <c r="O433" s="4" t="inlineStr"/>
      <c r="P433" s="4" t="inlineStr"/>
      <c r="Q433" s="4" t="inlineStr"/>
      <c r="R433" s="4" t="inlineStr">
        <is>
          <t>2026-03-12</t>
        </is>
      </c>
      <c r="S433" s="4" t="inlineStr"/>
    </row>
    <row r="434">
      <c r="A434" s="10" t="inlineStr">
        <is>
          <t>F00778</t>
        </is>
      </c>
      <c r="B434" s="10" t="inlineStr">
        <is>
          <t>F00778</t>
        </is>
      </c>
      <c r="C434" s="10" t="inlineStr"/>
      <c r="D434" s="10" t="inlineStr">
        <is>
          <t>6009697459867</t>
        </is>
      </c>
      <c r="E434" s="10" t="inlineStr">
        <is>
          <t>PLS-8988K PLASTIC CUTTING BOARD + KNIFE</t>
        </is>
      </c>
      <c r="F434" s="10" t="inlineStr"/>
      <c r="G434" s="10" t="inlineStr"/>
      <c r="H434" s="10" t="inlineStr"/>
      <c r="I434" s="11" t="n">
        <v>11.3</v>
      </c>
      <c r="J434" s="6" t="n">
        <v>15</v>
      </c>
      <c r="K434" s="7">
        <f>IF(I434="","",I434*(1+J434/100))</f>
        <v/>
      </c>
      <c r="L434" s="12" t="inlineStr"/>
      <c r="M434" s="8">
        <f>IF(OR(L434="",K434="",L434=0),"",
  (L434-K434)/L434*100)</f>
        <v/>
      </c>
      <c r="N434" s="9" t="inlineStr"/>
      <c r="O434" s="10" t="inlineStr"/>
      <c r="P434" s="10" t="inlineStr"/>
      <c r="Q434" s="10" t="inlineStr"/>
      <c r="R434" s="10" t="inlineStr">
        <is>
          <t>2026-03-12</t>
        </is>
      </c>
      <c r="S434" s="10" t="inlineStr"/>
    </row>
    <row r="435">
      <c r="A435" s="3" t="inlineStr">
        <is>
          <t>F00779</t>
        </is>
      </c>
      <c r="B435" s="4" t="inlineStr">
        <is>
          <t>F00779</t>
        </is>
      </c>
      <c r="C435" s="4" t="inlineStr"/>
      <c r="D435" s="4" t="inlineStr">
        <is>
          <t>6009697459784</t>
        </is>
      </c>
      <c r="E435" s="3" t="inlineStr">
        <is>
          <t>PLS-6845 GRATER PLASTIC</t>
        </is>
      </c>
      <c r="F435" s="4" t="inlineStr"/>
      <c r="G435" s="4" t="inlineStr"/>
      <c r="H435" s="4" t="inlineStr"/>
      <c r="I435" s="5" t="n">
        <v>5.98</v>
      </c>
      <c r="J435" s="6" t="n">
        <v>15</v>
      </c>
      <c r="K435" s="7">
        <f>IF(I435="","",I435*(1+J435/100))</f>
        <v/>
      </c>
      <c r="L435" s="12" t="inlineStr"/>
      <c r="M435" s="8">
        <f>IF(OR(L435="",K435="",L435=0),"",
  (L435-K435)/L435*100)</f>
        <v/>
      </c>
      <c r="N435" s="9" t="inlineStr"/>
      <c r="O435" s="4" t="inlineStr"/>
      <c r="P435" s="4" t="inlineStr"/>
      <c r="Q435" s="4" t="inlineStr"/>
      <c r="R435" s="4" t="inlineStr">
        <is>
          <t>2026-03-12</t>
        </is>
      </c>
      <c r="S435" s="4" t="inlineStr"/>
    </row>
    <row r="436">
      <c r="A436" s="10" t="inlineStr">
        <is>
          <t>F00780</t>
        </is>
      </c>
      <c r="B436" s="10" t="inlineStr">
        <is>
          <t>F00780</t>
        </is>
      </c>
      <c r="C436" s="10" t="inlineStr"/>
      <c r="D436" s="10" t="inlineStr">
        <is>
          <t>6009708400499</t>
        </is>
      </c>
      <c r="E436" s="10" t="inlineStr">
        <is>
          <t>METAL CAN + BOTTLE OPENER</t>
        </is>
      </c>
      <c r="F436" s="10" t="inlineStr"/>
      <c r="G436" s="10" t="inlineStr"/>
      <c r="H436" s="10" t="inlineStr"/>
      <c r="I436" s="11" t="n">
        <v>10.95</v>
      </c>
      <c r="J436" s="6" t="n">
        <v>15</v>
      </c>
      <c r="K436" s="7">
        <f>IF(I436="","",I436*(1+J436/100))</f>
        <v/>
      </c>
      <c r="L436" s="12" t="inlineStr"/>
      <c r="M436" s="8">
        <f>IF(OR(L436="",K436="",L436=0),"",
  (L436-K436)/L436*100)</f>
        <v/>
      </c>
      <c r="N436" s="13" t="n">
        <v>581</v>
      </c>
      <c r="O436" s="10" t="inlineStr"/>
      <c r="P436" s="10" t="inlineStr"/>
      <c r="Q436" s="10" t="inlineStr"/>
      <c r="R436" s="10" t="inlineStr">
        <is>
          <t>2026-03-12</t>
        </is>
      </c>
      <c r="S436" s="10" t="inlineStr"/>
    </row>
    <row r="437">
      <c r="A437" s="3" t="inlineStr">
        <is>
          <t>F00781</t>
        </is>
      </c>
      <c r="B437" s="4" t="inlineStr">
        <is>
          <t>F00781</t>
        </is>
      </c>
      <c r="C437" s="4" t="inlineStr"/>
      <c r="D437" s="4" t="inlineStr">
        <is>
          <t>6009705652280</t>
        </is>
      </c>
      <c r="E437" s="3" t="inlineStr">
        <is>
          <t>PLS-6994B BROOM + HANDLE</t>
        </is>
      </c>
      <c r="F437" s="4" t="inlineStr"/>
      <c r="G437" s="4" t="inlineStr"/>
      <c r="H437" s="4" t="inlineStr"/>
      <c r="I437" s="5" t="n">
        <v>11.95</v>
      </c>
      <c r="J437" s="6" t="n">
        <v>15</v>
      </c>
      <c r="K437" s="7">
        <f>IF(I437="","",I437*(1+J437/100))</f>
        <v/>
      </c>
      <c r="L437" s="12" t="inlineStr"/>
      <c r="M437" s="8">
        <f>IF(OR(L437="",K437="",L437=0),"",
  (L437-K437)/L437*100)</f>
        <v/>
      </c>
      <c r="N437" s="9" t="inlineStr"/>
      <c r="O437" s="4" t="inlineStr"/>
      <c r="P437" s="4" t="inlineStr"/>
      <c r="Q437" s="4" t="inlineStr"/>
      <c r="R437" s="4" t="inlineStr">
        <is>
          <t>2026-03-12</t>
        </is>
      </c>
      <c r="S437" s="4" t="inlineStr"/>
    </row>
    <row r="438">
      <c r="A438" s="10" t="inlineStr">
        <is>
          <t>F00782</t>
        </is>
      </c>
      <c r="B438" s="10" t="inlineStr">
        <is>
          <t>F00782</t>
        </is>
      </c>
      <c r="C438" s="10" t="inlineStr"/>
      <c r="D438" s="10" t="inlineStr"/>
      <c r="E438" s="10" t="inlineStr">
        <is>
          <t>PLS-022 BROOMSTICK</t>
        </is>
      </c>
      <c r="F438" s="10" t="inlineStr"/>
      <c r="G438" s="10" t="inlineStr"/>
      <c r="H438" s="10" t="inlineStr"/>
      <c r="I438" s="11" t="n">
        <v>6.95</v>
      </c>
      <c r="J438" s="6" t="n">
        <v>15</v>
      </c>
      <c r="K438" s="7">
        <f>IF(I438="","",I438*(1+J438/100))</f>
        <v/>
      </c>
      <c r="L438" s="12" t="inlineStr"/>
      <c r="M438" s="8">
        <f>IF(OR(L438="",K438="",L438=0),"",
  (L438-K438)/L438*100)</f>
        <v/>
      </c>
      <c r="N438" s="9" t="inlineStr"/>
      <c r="O438" s="10" t="inlineStr"/>
      <c r="P438" s="10" t="inlineStr"/>
      <c r="Q438" s="10" t="inlineStr"/>
      <c r="R438" s="10" t="inlineStr">
        <is>
          <t>2026-03-12</t>
        </is>
      </c>
      <c r="S438" s="10" t="inlineStr"/>
    </row>
    <row r="439">
      <c r="A439" s="3" t="inlineStr">
        <is>
          <t>F00783</t>
        </is>
      </c>
      <c r="B439" s="4" t="inlineStr">
        <is>
          <t>F00783</t>
        </is>
      </c>
      <c r="C439" s="4" t="inlineStr"/>
      <c r="D439" s="4" t="inlineStr">
        <is>
          <t>6009705652303</t>
        </is>
      </c>
      <c r="E439" s="3" t="inlineStr">
        <is>
          <t>PLS-222 DUSTPAN WITH LIP + BRUSH</t>
        </is>
      </c>
      <c r="F439" s="4" t="inlineStr"/>
      <c r="G439" s="4" t="inlineStr"/>
      <c r="H439" s="4" t="inlineStr"/>
      <c r="I439" s="5" t="n">
        <v>6.1</v>
      </c>
      <c r="J439" s="6" t="n">
        <v>15</v>
      </c>
      <c r="K439" s="7">
        <f>IF(I439="","",I439*(1+J439/100))</f>
        <v/>
      </c>
      <c r="L439" s="12" t="inlineStr"/>
      <c r="M439" s="8">
        <f>IF(OR(L439="",K439="",L439=0),"",
  (L439-K439)/L439*100)</f>
        <v/>
      </c>
      <c r="N439" s="9" t="inlineStr"/>
      <c r="O439" s="4" t="inlineStr"/>
      <c r="P439" s="4" t="inlineStr"/>
      <c r="Q439" s="4" t="inlineStr"/>
      <c r="R439" s="4" t="inlineStr">
        <is>
          <t>2026-03-12</t>
        </is>
      </c>
      <c r="S439" s="4" t="inlineStr"/>
    </row>
    <row r="440">
      <c r="A440" s="10" t="inlineStr">
        <is>
          <t>F00784</t>
        </is>
      </c>
      <c r="B440" s="10" t="inlineStr">
        <is>
          <t>F00784</t>
        </is>
      </c>
      <c r="C440" s="10" t="inlineStr"/>
      <c r="D440" s="10" t="inlineStr">
        <is>
          <t>6009697453919</t>
        </is>
      </c>
      <c r="E440" s="10" t="inlineStr">
        <is>
          <t>MUG TRAVEL MUG METAL 450ML</t>
        </is>
      </c>
      <c r="F440" s="10" t="inlineStr"/>
      <c r="G440" s="10" t="inlineStr"/>
      <c r="H440" s="10" t="inlineStr"/>
      <c r="I440" s="11" t="n">
        <v>19.5</v>
      </c>
      <c r="J440" s="6" t="n">
        <v>15</v>
      </c>
      <c r="K440" s="7">
        <f>IF(I440="","",I440*(1+J440/100))</f>
        <v/>
      </c>
      <c r="L440" s="12" t="inlineStr"/>
      <c r="M440" s="8">
        <f>IF(OR(L440="",K440="",L440=0),"",
  (L440-K440)/L440*100)</f>
        <v/>
      </c>
      <c r="N440" s="9" t="inlineStr"/>
      <c r="O440" s="10" t="inlineStr"/>
      <c r="P440" s="10" t="inlineStr"/>
      <c r="Q440" s="10" t="inlineStr"/>
      <c r="R440" s="10" t="inlineStr">
        <is>
          <t>2026-03-12</t>
        </is>
      </c>
      <c r="S440" s="10" t="inlineStr"/>
    </row>
    <row r="441">
      <c r="A441" s="3" t="inlineStr">
        <is>
          <t>F00785</t>
        </is>
      </c>
      <c r="B441" s="4" t="inlineStr">
        <is>
          <t>F00785</t>
        </is>
      </c>
      <c r="C441" s="4" t="inlineStr"/>
      <c r="D441" s="4" t="inlineStr">
        <is>
          <t>6009697453926</t>
        </is>
      </c>
      <c r="E441" s="3" t="inlineStr">
        <is>
          <t>MUG TRAVEL  MUG PLASTIC 425ML</t>
        </is>
      </c>
      <c r="F441" s="4" t="inlineStr"/>
      <c r="G441" s="4" t="inlineStr"/>
      <c r="H441" s="4" t="inlineStr"/>
      <c r="I441" s="5" t="n">
        <v>16.95</v>
      </c>
      <c r="J441" s="6" t="n">
        <v>15</v>
      </c>
      <c r="K441" s="7">
        <f>IF(I441="","",I441*(1+J441/100))</f>
        <v/>
      </c>
      <c r="L441" s="12" t="inlineStr"/>
      <c r="M441" s="8">
        <f>IF(OR(L441="",K441="",L441=0),"",
  (L441-K441)/L441*100)</f>
        <v/>
      </c>
      <c r="N441" s="14" t="n">
        <v>1665</v>
      </c>
      <c r="O441" s="4" t="inlineStr"/>
      <c r="P441" s="4" t="inlineStr"/>
      <c r="Q441" s="4" t="inlineStr"/>
      <c r="R441" s="4" t="inlineStr">
        <is>
          <t>2026-03-12</t>
        </is>
      </c>
      <c r="S441" s="4" t="inlineStr"/>
    </row>
    <row r="442">
      <c r="A442" s="10" t="inlineStr">
        <is>
          <t>F00786</t>
        </is>
      </c>
      <c r="B442" s="10" t="inlineStr">
        <is>
          <t>F00786</t>
        </is>
      </c>
      <c r="C442" s="10" t="inlineStr"/>
      <c r="D442" s="10" t="inlineStr">
        <is>
          <t>6009697459928</t>
        </is>
      </c>
      <c r="E442" s="10" t="inlineStr">
        <is>
          <t>PLS-H4430 VACUUM FLASK STEEL 350ML</t>
        </is>
      </c>
      <c r="F442" s="10" t="inlineStr"/>
      <c r="G442" s="10" t="inlineStr"/>
      <c r="H442" s="10" t="inlineStr"/>
      <c r="I442" s="11" t="n">
        <v>19.5</v>
      </c>
      <c r="J442" s="6" t="n">
        <v>15</v>
      </c>
      <c r="K442" s="7">
        <f>IF(I442="","",I442*(1+J442/100))</f>
        <v/>
      </c>
      <c r="L442" s="12" t="inlineStr"/>
      <c r="M442" s="8">
        <f>IF(OR(L442="",K442="",L442=0),"",
  (L442-K442)/L442*100)</f>
        <v/>
      </c>
      <c r="N442" s="9" t="inlineStr"/>
      <c r="O442" s="10" t="inlineStr"/>
      <c r="P442" s="10" t="inlineStr"/>
      <c r="Q442" s="10" t="inlineStr"/>
      <c r="R442" s="10" t="inlineStr">
        <is>
          <t>2026-03-12</t>
        </is>
      </c>
      <c r="S442" s="10" t="inlineStr"/>
    </row>
    <row r="443">
      <c r="A443" s="3" t="inlineStr">
        <is>
          <t>F00787</t>
        </is>
      </c>
      <c r="B443" s="4" t="inlineStr">
        <is>
          <t>F00787</t>
        </is>
      </c>
      <c r="C443" s="4" t="inlineStr"/>
      <c r="D443" s="4" t="inlineStr">
        <is>
          <t>6009697453902</t>
        </is>
      </c>
      <c r="E443" s="3" t="inlineStr">
        <is>
          <t>PLS-H5460 VACUUM FLASK STEEL 500ML</t>
        </is>
      </c>
      <c r="F443" s="4" t="inlineStr"/>
      <c r="G443" s="4" t="inlineStr"/>
      <c r="H443" s="4" t="inlineStr"/>
      <c r="I443" s="5" t="n">
        <v>25.75</v>
      </c>
      <c r="J443" s="6" t="n">
        <v>15</v>
      </c>
      <c r="K443" s="7">
        <f>IF(I443="","",I443*(1+J443/100))</f>
        <v/>
      </c>
      <c r="L443" s="12" t="inlineStr"/>
      <c r="M443" s="8">
        <f>IF(OR(L443="",K443="",L443=0),"",
  (L443-K443)/L443*100)</f>
        <v/>
      </c>
      <c r="N443" s="9" t="inlineStr"/>
      <c r="O443" s="4" t="inlineStr"/>
      <c r="P443" s="4" t="inlineStr"/>
      <c r="Q443" s="4" t="inlineStr"/>
      <c r="R443" s="4" t="inlineStr">
        <is>
          <t>2026-03-12</t>
        </is>
      </c>
      <c r="S443" s="4" t="inlineStr"/>
    </row>
    <row r="444">
      <c r="A444" s="10" t="inlineStr">
        <is>
          <t>F00788</t>
        </is>
      </c>
      <c r="B444" s="10" t="inlineStr">
        <is>
          <t>F00788</t>
        </is>
      </c>
      <c r="C444" s="10" t="inlineStr"/>
      <c r="D444" s="10" t="inlineStr">
        <is>
          <t>6009705652167</t>
        </is>
      </c>
      <c r="E444" s="10" t="inlineStr">
        <is>
          <t>BOTTLE PLASTIC WATER  + STRAW 6</t>
        </is>
      </c>
      <c r="F444" s="10" t="inlineStr"/>
      <c r="G444" s="10" t="inlineStr"/>
      <c r="H444" s="10" t="inlineStr"/>
      <c r="I444" s="11" t="n">
        <v>10.34</v>
      </c>
      <c r="J444" s="6" t="n">
        <v>15</v>
      </c>
      <c r="K444" s="7">
        <f>IF(I444="","",I444*(1+J444/100))</f>
        <v/>
      </c>
      <c r="L444" s="12" t="inlineStr"/>
      <c r="M444" s="8">
        <f>IF(OR(L444="",K444="",L444=0),"",
  (L444-K444)/L444*100)</f>
        <v/>
      </c>
      <c r="N444" s="9" t="inlineStr"/>
      <c r="O444" s="10" t="inlineStr"/>
      <c r="P444" s="10" t="inlineStr"/>
      <c r="Q444" s="10" t="inlineStr"/>
      <c r="R444" s="10" t="inlineStr">
        <is>
          <t>2026-03-12</t>
        </is>
      </c>
      <c r="S444" s="10" t="inlineStr"/>
    </row>
    <row r="445">
      <c r="A445" s="3" t="inlineStr">
        <is>
          <t>F00789</t>
        </is>
      </c>
      <c r="B445" s="4" t="inlineStr">
        <is>
          <t>F00789</t>
        </is>
      </c>
      <c r="C445" s="4" t="inlineStr"/>
      <c r="D445" s="4" t="inlineStr">
        <is>
          <t>6009705652198</t>
        </is>
      </c>
      <c r="E445" s="3" t="inlineStr">
        <is>
          <t>PLS-4895 (508-3) PVC MAT RUBBER + DESIGN</t>
        </is>
      </c>
      <c r="F445" s="4" t="inlineStr"/>
      <c r="G445" s="4" t="inlineStr"/>
      <c r="H445" s="4" t="inlineStr"/>
      <c r="I445" s="5" t="n">
        <v>20.5</v>
      </c>
      <c r="J445" s="6" t="n">
        <v>15</v>
      </c>
      <c r="K445" s="7">
        <f>IF(I445="","",I445*(1+J445/100))</f>
        <v/>
      </c>
      <c r="L445" s="12" t="inlineStr"/>
      <c r="M445" s="8">
        <f>IF(OR(L445="",K445="",L445=0),"",
  (L445-K445)/L445*100)</f>
        <v/>
      </c>
      <c r="N445" s="9" t="inlineStr"/>
      <c r="O445" s="4" t="inlineStr"/>
      <c r="P445" s="4" t="inlineStr"/>
      <c r="Q445" s="4" t="inlineStr"/>
      <c r="R445" s="4" t="inlineStr">
        <is>
          <t>2026-03-12</t>
        </is>
      </c>
      <c r="S445" s="4" t="inlineStr"/>
    </row>
    <row r="446">
      <c r="A446" s="10" t="inlineStr">
        <is>
          <t>F00790</t>
        </is>
      </c>
      <c r="B446" s="10" t="inlineStr">
        <is>
          <t>F00790</t>
        </is>
      </c>
      <c r="C446" s="10" t="inlineStr">
        <is>
          <t>19354</t>
        </is>
      </c>
      <c r="D446" s="10" t="inlineStr">
        <is>
          <t>6009697450499</t>
        </is>
      </c>
      <c r="E446" s="10" t="inlineStr">
        <is>
          <t>MAT CANDY  STRIPED (47X77PLS-4777(508-2)</t>
        </is>
      </c>
      <c r="F446" s="10" t="inlineStr"/>
      <c r="G446" s="10" t="inlineStr"/>
      <c r="H446" s="10" t="inlineStr"/>
      <c r="I446" s="11" t="n">
        <v>32.95</v>
      </c>
      <c r="J446" s="6" t="n">
        <v>15</v>
      </c>
      <c r="K446" s="7">
        <f>IF(I446="","",I446*(1+J446/100))</f>
        <v/>
      </c>
      <c r="L446" s="12" t="inlineStr"/>
      <c r="M446" s="8">
        <f>IF(OR(L446="",K446="",L446=0),"",
  (L446-K446)/L446*100)</f>
        <v/>
      </c>
      <c r="N446" s="9" t="inlineStr"/>
      <c r="O446" s="10" t="inlineStr"/>
      <c r="P446" s="10" t="inlineStr"/>
      <c r="Q446" s="10" t="inlineStr"/>
      <c r="R446" s="10" t="inlineStr">
        <is>
          <t>2026-03-12</t>
        </is>
      </c>
      <c r="S446" s="10" t="inlineStr"/>
    </row>
    <row r="447">
      <c r="A447" s="3" t="inlineStr">
        <is>
          <t>F00791</t>
        </is>
      </c>
      <c r="B447" s="4" t="inlineStr">
        <is>
          <t>F00791</t>
        </is>
      </c>
      <c r="C447" s="4" t="inlineStr"/>
      <c r="D447" s="4" t="inlineStr">
        <is>
          <t>6946614108883</t>
        </is>
      </c>
      <c r="E447" s="3" t="inlineStr">
        <is>
          <t>PLS-TC502 SUPER GLUE 12S ON CARD</t>
        </is>
      </c>
      <c r="F447" s="4" t="inlineStr"/>
      <c r="G447" s="4" t="inlineStr"/>
      <c r="H447" s="4" t="inlineStr"/>
      <c r="I447" s="5" t="n">
        <v>7.79</v>
      </c>
      <c r="J447" s="6" t="n">
        <v>15</v>
      </c>
      <c r="K447" s="7">
        <f>IF(I447="","",I447*(1+J447/100))</f>
        <v/>
      </c>
      <c r="L447" s="12" t="inlineStr"/>
      <c r="M447" s="8">
        <f>IF(OR(L447="",K447="",L447=0),"",
  (L447-K447)/L447*100)</f>
        <v/>
      </c>
      <c r="N447" s="9" t="inlineStr"/>
      <c r="O447" s="4" t="inlineStr"/>
      <c r="P447" s="4" t="inlineStr"/>
      <c r="Q447" s="4" t="inlineStr"/>
      <c r="R447" s="4" t="inlineStr">
        <is>
          <t>2026-03-12</t>
        </is>
      </c>
      <c r="S447" s="4" t="inlineStr"/>
    </row>
    <row r="448">
      <c r="A448" s="10" t="inlineStr">
        <is>
          <t>F00792</t>
        </is>
      </c>
      <c r="B448" s="10" t="inlineStr">
        <is>
          <t>F00792</t>
        </is>
      </c>
      <c r="C448" s="10" t="inlineStr"/>
      <c r="D448" s="10" t="inlineStr">
        <is>
          <t>6009697459744</t>
        </is>
      </c>
      <c r="E448" s="10" t="inlineStr">
        <is>
          <t>PLS-20P PEGS SUPA STRONG 20S</t>
        </is>
      </c>
      <c r="F448" s="10" t="inlineStr"/>
      <c r="G448" s="10" t="inlineStr"/>
      <c r="H448" s="10" t="inlineStr"/>
      <c r="I448" s="11" t="n">
        <v>4.95</v>
      </c>
      <c r="J448" s="6" t="n">
        <v>15</v>
      </c>
      <c r="K448" s="7">
        <f>IF(I448="","",I448*(1+J448/100))</f>
        <v/>
      </c>
      <c r="L448" s="12" t="inlineStr"/>
      <c r="M448" s="8">
        <f>IF(OR(L448="",K448="",L448=0),"",
  (L448-K448)/L448*100)</f>
        <v/>
      </c>
      <c r="N448" s="9" t="inlineStr"/>
      <c r="O448" s="10" t="inlineStr"/>
      <c r="P448" s="10" t="inlineStr"/>
      <c r="Q448" s="10" t="inlineStr"/>
      <c r="R448" s="10" t="inlineStr">
        <is>
          <t>2026-03-12</t>
        </is>
      </c>
      <c r="S448" s="10" t="inlineStr"/>
    </row>
    <row r="449">
      <c r="A449" s="3" t="inlineStr">
        <is>
          <t>F00798</t>
        </is>
      </c>
      <c r="B449" s="4" t="inlineStr">
        <is>
          <t>F00798</t>
        </is>
      </c>
      <c r="C449" s="4" t="inlineStr"/>
      <c r="D449" s="4" t="inlineStr">
        <is>
          <t>6009705656049</t>
        </is>
      </c>
      <c r="E449" s="3" t="inlineStr">
        <is>
          <t>BOWL WHITE DEEP 6''</t>
        </is>
      </c>
      <c r="F449" s="4" t="inlineStr"/>
      <c r="G449" s="4" t="inlineStr"/>
      <c r="H449" s="4" t="inlineStr"/>
      <c r="I449" s="5" t="n">
        <v>7.95</v>
      </c>
      <c r="J449" s="6" t="n">
        <v>15</v>
      </c>
      <c r="K449" s="7">
        <f>IF(I449="","",I449*(1+J449/100))</f>
        <v/>
      </c>
      <c r="L449" s="12" t="inlineStr"/>
      <c r="M449" s="8">
        <f>IF(OR(L449="",K449="",L449=0),"",
  (L449-K449)/L449*100)</f>
        <v/>
      </c>
      <c r="N449" s="9" t="inlineStr"/>
      <c r="O449" s="4" t="inlineStr"/>
      <c r="P449" s="4" t="inlineStr"/>
      <c r="Q449" s="4" t="inlineStr"/>
      <c r="R449" s="4" t="inlineStr">
        <is>
          <t>2026-03-12</t>
        </is>
      </c>
      <c r="S449" s="4" t="inlineStr"/>
    </row>
    <row r="450">
      <c r="A450" s="10" t="inlineStr">
        <is>
          <t>F00799</t>
        </is>
      </c>
      <c r="B450" s="10" t="inlineStr">
        <is>
          <t>F00799</t>
        </is>
      </c>
      <c r="C450" s="10" t="inlineStr"/>
      <c r="D450" s="10" t="inlineStr">
        <is>
          <t>6009705652273</t>
        </is>
      </c>
      <c r="E450" s="10" t="inlineStr">
        <is>
          <t>BOWL WHITE DEEP 7' PLS-11 SHIPM</t>
        </is>
      </c>
      <c r="F450" s="10" t="inlineStr"/>
      <c r="G450" s="10" t="inlineStr"/>
      <c r="H450" s="10" t="inlineStr"/>
      <c r="I450" s="11" t="n">
        <v>8.5</v>
      </c>
      <c r="J450" s="6" t="n">
        <v>15</v>
      </c>
      <c r="K450" s="7">
        <f>IF(I450="","",I450*(1+J450/100))</f>
        <v/>
      </c>
      <c r="L450" s="12" t="inlineStr"/>
      <c r="M450" s="8">
        <f>IF(OR(L450="",K450="",L450=0),"",
  (L450-K450)/L450*100)</f>
        <v/>
      </c>
      <c r="N450" s="13" t="n">
        <v>7560</v>
      </c>
      <c r="O450" s="10" t="inlineStr"/>
      <c r="P450" s="10" t="inlineStr"/>
      <c r="Q450" s="10" t="inlineStr"/>
      <c r="R450" s="10" t="inlineStr">
        <is>
          <t>2026-03-12</t>
        </is>
      </c>
      <c r="S450" s="10" t="inlineStr"/>
    </row>
    <row r="451">
      <c r="A451" s="3" t="inlineStr">
        <is>
          <t>F00800</t>
        </is>
      </c>
      <c r="B451" s="4" t="inlineStr">
        <is>
          <t>F00800</t>
        </is>
      </c>
      <c r="C451" s="4" t="inlineStr"/>
      <c r="D451" s="4" t="inlineStr">
        <is>
          <t>6009705652174</t>
        </is>
      </c>
      <c r="E451" s="3" t="inlineStr">
        <is>
          <t>PLS-4060A (508-1)MAT RUBBER NONSLIP (BAT</t>
        </is>
      </c>
      <c r="F451" s="4" t="inlineStr"/>
      <c r="G451" s="4" t="inlineStr"/>
      <c r="H451" s="4" t="inlineStr"/>
      <c r="I451" s="5" t="n">
        <v>17.95</v>
      </c>
      <c r="J451" s="6" t="n">
        <v>15</v>
      </c>
      <c r="K451" s="7">
        <f>IF(I451="","",I451*(1+J451/100))</f>
        <v/>
      </c>
      <c r="L451" s="12" t="inlineStr"/>
      <c r="M451" s="8">
        <f>IF(OR(L451="",K451="",L451=0),"",
  (L451-K451)/L451*100)</f>
        <v/>
      </c>
      <c r="N451" s="9" t="inlineStr"/>
      <c r="O451" s="4" t="inlineStr"/>
      <c r="P451" s="4" t="inlineStr"/>
      <c r="Q451" s="4" t="inlineStr"/>
      <c r="R451" s="4" t="inlineStr">
        <is>
          <t>2026-03-12</t>
        </is>
      </c>
      <c r="S451" s="4" t="inlineStr"/>
    </row>
    <row r="452">
      <c r="A452" s="10" t="inlineStr">
        <is>
          <t>F00801</t>
        </is>
      </c>
      <c r="B452" s="10" t="inlineStr">
        <is>
          <t>F00801</t>
        </is>
      </c>
      <c r="C452" s="10" t="inlineStr"/>
      <c r="D452" s="10" t="inlineStr"/>
      <c r="E452" s="10" t="inlineStr">
        <is>
          <t>PLS-4060A MAT RUBBER NONSLIP (BATH) 120'</t>
        </is>
      </c>
      <c r="F452" s="10" t="inlineStr"/>
      <c r="G452" s="10" t="inlineStr"/>
      <c r="H452" s="10" t="inlineStr"/>
      <c r="I452" s="11" t="n">
        <v>19.95</v>
      </c>
      <c r="J452" s="6" t="n">
        <v>15</v>
      </c>
      <c r="K452" s="7">
        <f>IF(I452="","",I452*(1+J452/100))</f>
        <v/>
      </c>
      <c r="L452" s="12" t="inlineStr"/>
      <c r="M452" s="8">
        <f>IF(OR(L452="",K452="",L452=0),"",
  (L452-K452)/L452*100)</f>
        <v/>
      </c>
      <c r="N452" s="9" t="inlineStr"/>
      <c r="O452" s="10" t="inlineStr"/>
      <c r="P452" s="10" t="inlineStr"/>
      <c r="Q452" s="10" t="inlineStr"/>
      <c r="R452" s="10" t="inlineStr">
        <is>
          <t>2026-03-12</t>
        </is>
      </c>
      <c r="S452" s="10" t="inlineStr"/>
    </row>
    <row r="453">
      <c r="A453" s="3" t="inlineStr">
        <is>
          <t>F00802</t>
        </is>
      </c>
      <c r="B453" s="4" t="inlineStr">
        <is>
          <t>F00802</t>
        </is>
      </c>
      <c r="C453" s="4" t="inlineStr"/>
      <c r="D453" s="4" t="inlineStr">
        <is>
          <t>6009705652181</t>
        </is>
      </c>
      <c r="E453" s="3" t="inlineStr">
        <is>
          <t>PLS-4060B MAT RUBBER NONSLIP (BATH) 120s</t>
        </is>
      </c>
      <c r="F453" s="4" t="inlineStr"/>
      <c r="G453" s="4" t="inlineStr"/>
      <c r="H453" s="4" t="inlineStr"/>
      <c r="I453" s="5" t="n">
        <v>17.95</v>
      </c>
      <c r="J453" s="6" t="n">
        <v>15</v>
      </c>
      <c r="K453" s="7">
        <f>IF(I453="","",I453*(1+J453/100))</f>
        <v/>
      </c>
      <c r="L453" s="12" t="inlineStr"/>
      <c r="M453" s="8">
        <f>IF(OR(L453="",K453="",L453=0),"",
  (L453-K453)/L453*100)</f>
        <v/>
      </c>
      <c r="N453" s="9" t="inlineStr"/>
      <c r="O453" s="4" t="inlineStr"/>
      <c r="P453" s="4" t="inlineStr"/>
      <c r="Q453" s="4" t="inlineStr"/>
      <c r="R453" s="4" t="inlineStr">
        <is>
          <t>2026-03-12</t>
        </is>
      </c>
      <c r="S453" s="4" t="inlineStr"/>
    </row>
    <row r="454">
      <c r="A454" s="10" t="inlineStr">
        <is>
          <t>F00803</t>
        </is>
      </c>
      <c r="B454" s="10" t="inlineStr">
        <is>
          <t>F00803</t>
        </is>
      </c>
      <c r="C454" s="10" t="inlineStr"/>
      <c r="D454" s="10" t="inlineStr">
        <is>
          <t>6009705652464</t>
        </is>
      </c>
      <c r="E454" s="10" t="inlineStr">
        <is>
          <t>BOWL 8'' NEW ETHNIC PORC.</t>
        </is>
      </c>
      <c r="F454" s="10" t="inlineStr"/>
      <c r="G454" s="10" t="inlineStr"/>
      <c r="H454" s="10" t="inlineStr"/>
      <c r="I454" s="11" t="n">
        <v>10.49</v>
      </c>
      <c r="J454" s="6" t="n">
        <v>15</v>
      </c>
      <c r="K454" s="7">
        <f>IF(I454="","",I454*(1+J454/100))</f>
        <v/>
      </c>
      <c r="L454" s="12" t="inlineStr"/>
      <c r="M454" s="8">
        <f>IF(OR(L454="",K454="",L454=0),"",
  (L454-K454)/L454*100)</f>
        <v/>
      </c>
      <c r="N454" s="9" t="inlineStr"/>
      <c r="O454" s="10" t="inlineStr"/>
      <c r="P454" s="10" t="inlineStr"/>
      <c r="Q454" s="10" t="inlineStr"/>
      <c r="R454" s="10" t="inlineStr">
        <is>
          <t>2026-03-12</t>
        </is>
      </c>
      <c r="S454" s="10" t="inlineStr"/>
    </row>
    <row r="455">
      <c r="A455" s="3" t="inlineStr">
        <is>
          <t>F00804</t>
        </is>
      </c>
      <c r="B455" s="4" t="inlineStr">
        <is>
          <t>F00804</t>
        </is>
      </c>
      <c r="C455" s="4" t="inlineStr"/>
      <c r="D455" s="4" t="inlineStr">
        <is>
          <t>6009705652792</t>
        </is>
      </c>
      <c r="E455" s="3" t="inlineStr">
        <is>
          <t>BASIN ENAMEL 45CM</t>
        </is>
      </c>
      <c r="F455" s="4" t="inlineStr"/>
      <c r="G455" s="4" t="inlineStr"/>
      <c r="H455" s="4" t="inlineStr"/>
      <c r="I455" s="5" t="n">
        <v>32.95</v>
      </c>
      <c r="J455" s="6" t="n">
        <v>15</v>
      </c>
      <c r="K455" s="7">
        <f>IF(I455="","",I455*(1+J455/100))</f>
        <v/>
      </c>
      <c r="L455" s="12" t="inlineStr"/>
      <c r="M455" s="8">
        <f>IF(OR(L455="",K455="",L455=0),"",
  (L455-K455)/L455*100)</f>
        <v/>
      </c>
      <c r="N455" s="9" t="inlineStr"/>
      <c r="O455" s="4" t="inlineStr"/>
      <c r="P455" s="4" t="inlineStr"/>
      <c r="Q455" s="4" t="inlineStr"/>
      <c r="R455" s="4" t="inlineStr">
        <is>
          <t>2026-03-12</t>
        </is>
      </c>
      <c r="S455" s="4" t="inlineStr"/>
    </row>
    <row r="456">
      <c r="A456" s="10" t="inlineStr">
        <is>
          <t>F00805</t>
        </is>
      </c>
      <c r="B456" s="10" t="inlineStr">
        <is>
          <t>F00805</t>
        </is>
      </c>
      <c r="C456" s="10" t="inlineStr"/>
      <c r="D456" s="10" t="inlineStr">
        <is>
          <t>6009705652761</t>
        </is>
      </c>
      <c r="E456" s="10" t="inlineStr">
        <is>
          <t>BASIN ENAMEL 50CM</t>
        </is>
      </c>
      <c r="F456" s="10" t="inlineStr"/>
      <c r="G456" s="10" t="inlineStr"/>
      <c r="H456" s="10" t="inlineStr"/>
      <c r="I456" s="11" t="n">
        <v>48.95</v>
      </c>
      <c r="J456" s="6" t="n">
        <v>15</v>
      </c>
      <c r="K456" s="7">
        <f>IF(I456="","",I456*(1+J456/100))</f>
        <v/>
      </c>
      <c r="L456" s="12" t="inlineStr"/>
      <c r="M456" s="8">
        <f>IF(OR(L456="",K456="",L456=0),"",
  (L456-K456)/L456*100)</f>
        <v/>
      </c>
      <c r="N456" s="9" t="inlineStr"/>
      <c r="O456" s="10" t="inlineStr"/>
      <c r="P456" s="10" t="inlineStr"/>
      <c r="Q456" s="10" t="inlineStr"/>
      <c r="R456" s="10" t="inlineStr">
        <is>
          <t>2026-03-12</t>
        </is>
      </c>
      <c r="S456" s="10" t="inlineStr"/>
    </row>
    <row r="457">
      <c r="A457" s="3" t="inlineStr">
        <is>
          <t>F00806</t>
        </is>
      </c>
      <c r="B457" s="4" t="inlineStr">
        <is>
          <t>F00806</t>
        </is>
      </c>
      <c r="C457" s="4" t="inlineStr"/>
      <c r="D457" s="4" t="inlineStr">
        <is>
          <t>6009705652778</t>
        </is>
      </c>
      <c r="E457" s="3" t="inlineStr">
        <is>
          <t>BASIN ENAMEL 60CM</t>
        </is>
      </c>
      <c r="F457" s="4" t="inlineStr"/>
      <c r="G457" s="4" t="inlineStr"/>
      <c r="H457" s="4" t="inlineStr"/>
      <c r="I457" s="5" t="n">
        <v>72.95</v>
      </c>
      <c r="J457" s="6" t="n">
        <v>15</v>
      </c>
      <c r="K457" s="7">
        <f>IF(I457="","",I457*(1+J457/100))</f>
        <v/>
      </c>
      <c r="L457" s="12" t="inlineStr"/>
      <c r="M457" s="8">
        <f>IF(OR(L457="",K457="",L457=0),"",
  (L457-K457)/L457*100)</f>
        <v/>
      </c>
      <c r="N457" s="9" t="inlineStr"/>
      <c r="O457" s="4" t="inlineStr"/>
      <c r="P457" s="4" t="inlineStr"/>
      <c r="Q457" s="4" t="inlineStr"/>
      <c r="R457" s="4" t="inlineStr">
        <is>
          <t>2026-03-12</t>
        </is>
      </c>
      <c r="S457" s="4" t="inlineStr"/>
    </row>
    <row r="458">
      <c r="A458" s="10" t="inlineStr">
        <is>
          <t>F00807</t>
        </is>
      </c>
      <c r="B458" s="10" t="inlineStr">
        <is>
          <t>F00807</t>
        </is>
      </c>
      <c r="C458" s="10" t="inlineStr"/>
      <c r="D458" s="10" t="inlineStr">
        <is>
          <t>6009705652785</t>
        </is>
      </c>
      <c r="E458" s="10" t="inlineStr">
        <is>
          <t>BASIN ENAMEL 70CM</t>
        </is>
      </c>
      <c r="F458" s="10" t="inlineStr"/>
      <c r="G458" s="10" t="inlineStr"/>
      <c r="H458" s="10" t="inlineStr"/>
      <c r="I458" s="11" t="n">
        <v>119</v>
      </c>
      <c r="J458" s="6" t="n">
        <v>15</v>
      </c>
      <c r="K458" s="7">
        <f>IF(I458="","",I458*(1+J458/100))</f>
        <v/>
      </c>
      <c r="L458" s="12" t="inlineStr"/>
      <c r="M458" s="8">
        <f>IF(OR(L458="",K458="",L458=0),"",
  (L458-K458)/L458*100)</f>
        <v/>
      </c>
      <c r="N458" s="9" t="inlineStr"/>
      <c r="O458" s="10" t="inlineStr"/>
      <c r="P458" s="10" t="inlineStr"/>
      <c r="Q458" s="10" t="inlineStr"/>
      <c r="R458" s="10" t="inlineStr">
        <is>
          <t>2026-03-12</t>
        </is>
      </c>
      <c r="S458" s="10" t="inlineStr"/>
    </row>
    <row r="459">
      <c r="A459" s="3" t="inlineStr">
        <is>
          <t>F00813</t>
        </is>
      </c>
      <c r="B459" s="4" t="inlineStr">
        <is>
          <t>F00813</t>
        </is>
      </c>
      <c r="C459" s="4" t="inlineStr"/>
      <c r="D459" s="4" t="inlineStr"/>
      <c r="E459" s="3" t="inlineStr">
        <is>
          <t>VINYL  SPONGE BAK 1.83TX30M</t>
        </is>
      </c>
      <c r="F459" s="4" t="inlineStr"/>
      <c r="G459" s="4" t="inlineStr"/>
      <c r="H459" s="4" t="inlineStr"/>
      <c r="I459" s="5" t="n">
        <v>729</v>
      </c>
      <c r="J459" s="6" t="n">
        <v>15</v>
      </c>
      <c r="K459" s="7">
        <f>IF(I459="","",I459*(1+J459/100))</f>
        <v/>
      </c>
      <c r="L459" s="12" t="inlineStr"/>
      <c r="M459" s="8">
        <f>IF(OR(L459="",K459="",L459=0),"",
  (L459-K459)/L459*100)</f>
        <v/>
      </c>
      <c r="N459" s="14" t="n">
        <v>1959</v>
      </c>
      <c r="O459" s="4" t="inlineStr"/>
      <c r="P459" s="4" t="inlineStr"/>
      <c r="Q459" s="4" t="inlineStr"/>
      <c r="R459" s="4" t="inlineStr">
        <is>
          <t>2026-03-12</t>
        </is>
      </c>
      <c r="S459" s="4" t="inlineStr"/>
    </row>
    <row r="460">
      <c r="A460" s="10" t="inlineStr">
        <is>
          <t>F00814</t>
        </is>
      </c>
      <c r="B460" s="10" t="inlineStr">
        <is>
          <t>F00814</t>
        </is>
      </c>
      <c r="C460" s="10" t="inlineStr"/>
      <c r="D460" s="10" t="inlineStr">
        <is>
          <t>6009705652808</t>
        </is>
      </c>
      <c r="E460" s="10" t="inlineStr">
        <is>
          <t>VINYL SPONGE BAK 1.83MX5M(SHRINK)</t>
        </is>
      </c>
      <c r="F460" s="10" t="inlineStr"/>
      <c r="G460" s="10" t="inlineStr"/>
      <c r="H460" s="10" t="inlineStr"/>
      <c r="I460" s="11" t="n">
        <v>145</v>
      </c>
      <c r="J460" s="6" t="n">
        <v>15</v>
      </c>
      <c r="K460" s="7">
        <f>IF(I460="","",I460*(1+J460/100))</f>
        <v/>
      </c>
      <c r="L460" s="12" t="inlineStr"/>
      <c r="M460" s="8">
        <f>IF(OR(L460="",K460="",L460=0),"",
  (L460-K460)/L460*100)</f>
        <v/>
      </c>
      <c r="N460" s="9" t="inlineStr"/>
      <c r="O460" s="10" t="inlineStr"/>
      <c r="P460" s="10" t="inlineStr"/>
      <c r="Q460" s="10" t="inlineStr"/>
      <c r="R460" s="10" t="inlineStr">
        <is>
          <t>2026-03-12</t>
        </is>
      </c>
      <c r="S460" s="10" t="inlineStr"/>
    </row>
    <row r="461">
      <c r="A461" s="3" t="inlineStr">
        <is>
          <t>F00815</t>
        </is>
      </c>
      <c r="B461" s="4" t="inlineStr">
        <is>
          <t>F00815</t>
        </is>
      </c>
      <c r="C461" s="4" t="inlineStr"/>
      <c r="D461" s="4" t="inlineStr">
        <is>
          <t>6009705652044</t>
        </is>
      </c>
      <c r="E461" s="3" t="inlineStr">
        <is>
          <t>DRINK SET 7 PC PLS-MJHL-7</t>
        </is>
      </c>
      <c r="F461" s="4" t="inlineStr"/>
      <c r="G461" s="4" t="inlineStr"/>
      <c r="H461" s="4" t="inlineStr"/>
      <c r="I461" s="5" t="n">
        <v>44.02</v>
      </c>
      <c r="J461" s="6" t="n">
        <v>15</v>
      </c>
      <c r="K461" s="7">
        <f>IF(I461="","",I461*(1+J461/100))</f>
        <v/>
      </c>
      <c r="L461" s="12" t="inlineStr"/>
      <c r="M461" s="8">
        <f>IF(OR(L461="",K461="",L461=0),"",
  (L461-K461)/L461*100)</f>
        <v/>
      </c>
      <c r="N461" s="9" t="inlineStr"/>
      <c r="O461" s="4" t="inlineStr"/>
      <c r="P461" s="4" t="inlineStr"/>
      <c r="Q461" s="4" t="inlineStr"/>
      <c r="R461" s="4" t="inlineStr">
        <is>
          <t>2026-03-12</t>
        </is>
      </c>
      <c r="S461" s="4" t="inlineStr"/>
    </row>
    <row r="462">
      <c r="A462" s="10" t="inlineStr">
        <is>
          <t>F00816</t>
        </is>
      </c>
      <c r="B462" s="10" t="inlineStr">
        <is>
          <t>F00816</t>
        </is>
      </c>
      <c r="C462" s="10" t="inlineStr"/>
      <c r="D462" s="10" t="inlineStr">
        <is>
          <t>6009705652051</t>
        </is>
      </c>
      <c r="E462" s="10" t="inlineStr">
        <is>
          <t>DRINK SET 7PC - PLS-P06-908</t>
        </is>
      </c>
      <c r="F462" s="10" t="inlineStr"/>
      <c r="G462" s="10" t="inlineStr"/>
      <c r="H462" s="10" t="inlineStr"/>
      <c r="I462" s="11" t="n">
        <v>49.95</v>
      </c>
      <c r="J462" s="6" t="n">
        <v>15</v>
      </c>
      <c r="K462" s="7">
        <f>IF(I462="","",I462*(1+J462/100))</f>
        <v/>
      </c>
      <c r="L462" s="12" t="inlineStr"/>
      <c r="M462" s="8">
        <f>IF(OR(L462="",K462="",L462=0),"",
  (L462-K462)/L462*100)</f>
        <v/>
      </c>
      <c r="N462" s="9" t="inlineStr"/>
      <c r="O462" s="10" t="inlineStr"/>
      <c r="P462" s="10" t="inlineStr"/>
      <c r="Q462" s="10" t="inlineStr"/>
      <c r="R462" s="10" t="inlineStr">
        <is>
          <t>2026-03-12</t>
        </is>
      </c>
      <c r="S462" s="10" t="inlineStr"/>
    </row>
    <row r="463">
      <c r="A463" s="3" t="inlineStr">
        <is>
          <t>F00817</t>
        </is>
      </c>
      <c r="B463" s="4" t="inlineStr">
        <is>
          <t>F00817</t>
        </is>
      </c>
      <c r="C463" s="4" t="inlineStr"/>
      <c r="D463" s="4" t="inlineStr">
        <is>
          <t>6009705652068</t>
        </is>
      </c>
      <c r="E463" s="3" t="inlineStr">
        <is>
          <t>DRINK SET 7PC - PLS-P06-10</t>
        </is>
      </c>
      <c r="F463" s="4" t="inlineStr"/>
      <c r="G463" s="4" t="inlineStr"/>
      <c r="H463" s="4" t="inlineStr"/>
      <c r="I463" s="5" t="n">
        <v>56.95</v>
      </c>
      <c r="J463" s="6" t="n">
        <v>15</v>
      </c>
      <c r="K463" s="7">
        <f>IF(I463="","",I463*(1+J463/100))</f>
        <v/>
      </c>
      <c r="L463" s="12" t="inlineStr"/>
      <c r="M463" s="8">
        <f>IF(OR(L463="",K463="",L463=0),"",
  (L463-K463)/L463*100)</f>
        <v/>
      </c>
      <c r="N463" s="9" t="inlineStr"/>
      <c r="O463" s="4" t="inlineStr"/>
      <c r="P463" s="4" t="inlineStr"/>
      <c r="Q463" s="4" t="inlineStr"/>
      <c r="R463" s="4" t="inlineStr">
        <is>
          <t>2026-03-12</t>
        </is>
      </c>
      <c r="S463" s="4" t="inlineStr"/>
    </row>
    <row r="464">
      <c r="A464" s="10" t="inlineStr">
        <is>
          <t>F00818</t>
        </is>
      </c>
      <c r="B464" s="10" t="inlineStr">
        <is>
          <t>F00818</t>
        </is>
      </c>
      <c r="C464" s="10" t="inlineStr"/>
      <c r="D464" s="10" t="inlineStr">
        <is>
          <t>6009677011184</t>
        </is>
      </c>
      <c r="E464" s="10" t="inlineStr">
        <is>
          <t>VINYL  SPONGE BAK 1.83X4.28M(SHRINK)</t>
        </is>
      </c>
      <c r="F464" s="10" t="inlineStr"/>
      <c r="G464" s="10" t="inlineStr"/>
      <c r="H464" s="10" t="inlineStr"/>
      <c r="I464" s="11" t="n">
        <v>129</v>
      </c>
      <c r="J464" s="6" t="n">
        <v>15</v>
      </c>
      <c r="K464" s="7">
        <f>IF(I464="","",I464*(1+J464/100))</f>
        <v/>
      </c>
      <c r="L464" s="12" t="inlineStr"/>
      <c r="M464" s="8">
        <f>IF(OR(L464="",K464="",L464=0),"",
  (L464-K464)/L464*100)</f>
        <v/>
      </c>
      <c r="N464" s="9" t="inlineStr"/>
      <c r="O464" s="10" t="inlineStr"/>
      <c r="P464" s="10" t="inlineStr"/>
      <c r="Q464" s="10" t="inlineStr"/>
      <c r="R464" s="10" t="inlineStr">
        <is>
          <t>2026-03-12</t>
        </is>
      </c>
      <c r="S464" s="10" t="inlineStr"/>
    </row>
    <row r="465">
      <c r="A465" s="3" t="inlineStr">
        <is>
          <t>F00819</t>
        </is>
      </c>
      <c r="B465" s="4" t="inlineStr">
        <is>
          <t>F00819</t>
        </is>
      </c>
      <c r="C465" s="4" t="inlineStr"/>
      <c r="D465" s="4" t="inlineStr">
        <is>
          <t>6009705652891</t>
        </is>
      </c>
      <c r="E465" s="3" t="inlineStr">
        <is>
          <t>MUGS  11 OZ  WHITE  STRAIGHT</t>
        </is>
      </c>
      <c r="F465" s="4" t="inlineStr"/>
      <c r="G465" s="4" t="inlineStr"/>
      <c r="H465" s="4" t="inlineStr"/>
      <c r="I465" s="5" t="n">
        <v>7.95</v>
      </c>
      <c r="J465" s="6" t="n">
        <v>15</v>
      </c>
      <c r="K465" s="7">
        <f>IF(I465="","",I465*(1+J465/100))</f>
        <v/>
      </c>
      <c r="L465" s="12" t="inlineStr"/>
      <c r="M465" s="8">
        <f>IF(OR(L465="",K465="",L465=0),"",
  (L465-K465)/L465*100)</f>
        <v/>
      </c>
      <c r="N465" s="9" t="inlineStr"/>
      <c r="O465" s="4" t="inlineStr"/>
      <c r="P465" s="4" t="inlineStr"/>
      <c r="Q465" s="4" t="inlineStr"/>
      <c r="R465" s="4" t="inlineStr">
        <is>
          <t>2026-03-12</t>
        </is>
      </c>
      <c r="S465" s="4" t="inlineStr"/>
    </row>
    <row r="466">
      <c r="A466" s="10" t="inlineStr">
        <is>
          <t>F00820</t>
        </is>
      </c>
      <c r="B466" s="10" t="inlineStr">
        <is>
          <t>F00820</t>
        </is>
      </c>
      <c r="C466" s="10" t="inlineStr"/>
      <c r="D466" s="10" t="inlineStr">
        <is>
          <t>6009705652884</t>
        </is>
      </c>
      <c r="E466" s="10" t="inlineStr">
        <is>
          <t>MUG 14 OZ ASSTD GLAZED</t>
        </is>
      </c>
      <c r="F466" s="10" t="inlineStr"/>
      <c r="G466" s="10" t="inlineStr"/>
      <c r="H466" s="10" t="inlineStr"/>
      <c r="I466" s="11" t="n">
        <v>7.29</v>
      </c>
      <c r="J466" s="6" t="n">
        <v>15</v>
      </c>
      <c r="K466" s="7">
        <f>IF(I466="","",I466*(1+J466/100))</f>
        <v/>
      </c>
      <c r="L466" s="12" t="inlineStr"/>
      <c r="M466" s="8">
        <f>IF(OR(L466="",K466="",L466=0),"",
  (L466-K466)/L466*100)</f>
        <v/>
      </c>
      <c r="N466" s="9" t="inlineStr"/>
      <c r="O466" s="10" t="inlineStr"/>
      <c r="P466" s="10" t="inlineStr"/>
      <c r="Q466" s="10" t="inlineStr"/>
      <c r="R466" s="10" t="inlineStr">
        <is>
          <t>2026-03-12</t>
        </is>
      </c>
      <c r="S466" s="10" t="inlineStr"/>
    </row>
    <row r="467">
      <c r="A467" s="3" t="inlineStr">
        <is>
          <t>F00821</t>
        </is>
      </c>
      <c r="B467" s="4" t="inlineStr">
        <is>
          <t>F00821</t>
        </is>
      </c>
      <c r="C467" s="4" t="inlineStr"/>
      <c r="D467" s="4" t="inlineStr">
        <is>
          <t>6009705650514</t>
        </is>
      </c>
      <c r="E467" s="3" t="inlineStr">
        <is>
          <t>PLATE ROUND DECAL10.5"</t>
        </is>
      </c>
      <c r="F467" s="4" t="inlineStr"/>
      <c r="G467" s="4" t="inlineStr"/>
      <c r="H467" s="4" t="inlineStr"/>
      <c r="I467" s="5" t="n">
        <v>10.84</v>
      </c>
      <c r="J467" s="6" t="n">
        <v>15</v>
      </c>
      <c r="K467" s="7">
        <f>IF(I467="","",I467*(1+J467/100))</f>
        <v/>
      </c>
      <c r="L467" s="12" t="inlineStr"/>
      <c r="M467" s="8">
        <f>IF(OR(L467="",K467="",L467=0),"",
  (L467-K467)/L467*100)</f>
        <v/>
      </c>
      <c r="N467" s="9" t="inlineStr"/>
      <c r="O467" s="4" t="inlineStr"/>
      <c r="P467" s="4" t="inlineStr"/>
      <c r="Q467" s="4" t="inlineStr"/>
      <c r="R467" s="4" t="inlineStr">
        <is>
          <t>2026-03-12</t>
        </is>
      </c>
      <c r="S467" s="4" t="inlineStr"/>
    </row>
    <row r="468">
      <c r="A468" s="10" t="inlineStr">
        <is>
          <t>F00825</t>
        </is>
      </c>
      <c r="B468" s="10" t="inlineStr">
        <is>
          <t>F00825</t>
        </is>
      </c>
      <c r="C468" s="10" t="inlineStr"/>
      <c r="D468" s="10" t="inlineStr">
        <is>
          <t>6009705650811</t>
        </is>
      </c>
      <c r="E468" s="10" t="inlineStr">
        <is>
          <t>DRINK SET  7PC CRYSTAL VERSACE  DESIGN S</t>
        </is>
      </c>
      <c r="F468" s="10" t="inlineStr"/>
      <c r="G468" s="10" t="inlineStr"/>
      <c r="H468" s="10" t="inlineStr"/>
      <c r="I468" s="11" t="n">
        <v>55.89</v>
      </c>
      <c r="J468" s="6" t="n">
        <v>15</v>
      </c>
      <c r="K468" s="7">
        <f>IF(I468="","",I468*(1+J468/100))</f>
        <v/>
      </c>
      <c r="L468" s="12" t="inlineStr"/>
      <c r="M468" s="8">
        <f>IF(OR(L468="",K468="",L468=0),"",
  (L468-K468)/L468*100)</f>
        <v/>
      </c>
      <c r="N468" s="9" t="inlineStr"/>
      <c r="O468" s="10" t="inlineStr"/>
      <c r="P468" s="10" t="inlineStr"/>
      <c r="Q468" s="10" t="inlineStr"/>
      <c r="R468" s="10" t="inlineStr">
        <is>
          <t>2026-03-12</t>
        </is>
      </c>
      <c r="S468" s="10" t="inlineStr"/>
    </row>
    <row r="469">
      <c r="A469" s="3" t="inlineStr">
        <is>
          <t>F00826</t>
        </is>
      </c>
      <c r="B469" s="4" t="inlineStr">
        <is>
          <t>F00826</t>
        </is>
      </c>
      <c r="C469" s="4" t="inlineStr"/>
      <c r="D469" s="4" t="inlineStr">
        <is>
          <t>6009705650835</t>
        </is>
      </c>
      <c r="E469" s="3" t="inlineStr">
        <is>
          <t>DRINK SET 7PC FROSTED GREEN /BLUE /PINK</t>
        </is>
      </c>
      <c r="F469" s="4" t="inlineStr"/>
      <c r="G469" s="4" t="inlineStr"/>
      <c r="H469" s="4" t="inlineStr"/>
      <c r="I469" s="5" t="n">
        <v>59.95</v>
      </c>
      <c r="J469" s="6" t="n">
        <v>15</v>
      </c>
      <c r="K469" s="7">
        <f>IF(I469="","",I469*(1+J469/100))</f>
        <v/>
      </c>
      <c r="L469" s="12" t="inlineStr"/>
      <c r="M469" s="8">
        <f>IF(OR(L469="",K469="",L469=0),"",
  (L469-K469)/L469*100)</f>
        <v/>
      </c>
      <c r="N469" s="9" t="inlineStr"/>
      <c r="O469" s="4" t="inlineStr"/>
      <c r="P469" s="4" t="inlineStr"/>
      <c r="Q469" s="4" t="inlineStr"/>
      <c r="R469" s="4" t="inlineStr">
        <is>
          <t>2026-03-12</t>
        </is>
      </c>
      <c r="S469" s="4" t="inlineStr"/>
    </row>
    <row r="470">
      <c r="A470" s="10" t="inlineStr">
        <is>
          <t>F00827</t>
        </is>
      </c>
      <c r="B470" s="10" t="inlineStr">
        <is>
          <t>F00827</t>
        </is>
      </c>
      <c r="C470" s="10" t="inlineStr"/>
      <c r="D470" s="10" t="inlineStr">
        <is>
          <t>6009705650859</t>
        </is>
      </c>
      <c r="E470" s="10" t="inlineStr">
        <is>
          <t>DRINK SET  7PC CRYSTAL CIRCLE  DESIGN SJ</t>
        </is>
      </c>
      <c r="F470" s="10" t="inlineStr"/>
      <c r="G470" s="10" t="inlineStr"/>
      <c r="H470" s="10" t="inlineStr"/>
      <c r="I470" s="11" t="n">
        <v>55.89</v>
      </c>
      <c r="J470" s="6" t="n">
        <v>15</v>
      </c>
      <c r="K470" s="7">
        <f>IF(I470="","",I470*(1+J470/100))</f>
        <v/>
      </c>
      <c r="L470" s="12" t="inlineStr"/>
      <c r="M470" s="8">
        <f>IF(OR(L470="",K470="",L470=0),"",
  (L470-K470)/L470*100)</f>
        <v/>
      </c>
      <c r="N470" s="9" t="inlineStr"/>
      <c r="O470" s="10" t="inlineStr"/>
      <c r="P470" s="10" t="inlineStr"/>
      <c r="Q470" s="10" t="inlineStr"/>
      <c r="R470" s="10" t="inlineStr">
        <is>
          <t>2026-03-12</t>
        </is>
      </c>
      <c r="S470" s="10" t="inlineStr"/>
    </row>
    <row r="471">
      <c r="A471" s="3" t="inlineStr">
        <is>
          <t>F00828</t>
        </is>
      </c>
      <c r="B471" s="4" t="inlineStr">
        <is>
          <t>F00828</t>
        </is>
      </c>
      <c r="C471" s="4" t="inlineStr"/>
      <c r="D471" s="4" t="inlineStr">
        <is>
          <t>6009705650873</t>
        </is>
      </c>
      <c r="E471" s="3" t="inlineStr">
        <is>
          <t>DRINK SET 7PC FLOWER /RED/PURPLE/YELLOW</t>
        </is>
      </c>
      <c r="F471" s="4" t="inlineStr"/>
      <c r="G471" s="4" t="inlineStr"/>
      <c r="H471" s="4" t="inlineStr"/>
      <c r="I471" s="5" t="n">
        <v>36.35</v>
      </c>
      <c r="J471" s="6" t="n">
        <v>15</v>
      </c>
      <c r="K471" s="7">
        <f>IF(I471="","",I471*(1+J471/100))</f>
        <v/>
      </c>
      <c r="L471" s="12" t="inlineStr"/>
      <c r="M471" s="8">
        <f>IF(OR(L471="",K471="",L471=0),"",
  (L471-K471)/L471*100)</f>
        <v/>
      </c>
      <c r="N471" s="9" t="inlineStr"/>
      <c r="O471" s="4" t="inlineStr"/>
      <c r="P471" s="4" t="inlineStr"/>
      <c r="Q471" s="4" t="inlineStr"/>
      <c r="R471" s="4" t="inlineStr">
        <is>
          <t>2026-03-12</t>
        </is>
      </c>
      <c r="S471" s="4" t="inlineStr"/>
    </row>
    <row r="472">
      <c r="A472" s="10" t="inlineStr">
        <is>
          <t>F00829</t>
        </is>
      </c>
      <c r="B472" s="10" t="inlineStr">
        <is>
          <t>F00829</t>
        </is>
      </c>
      <c r="C472" s="10" t="inlineStr"/>
      <c r="D472" s="10" t="inlineStr">
        <is>
          <t>600970650897</t>
        </is>
      </c>
      <c r="E472" s="10" t="inlineStr">
        <is>
          <t>DRINK SET 7PC GREEN/FLOWER + BLUE FLOWER</t>
        </is>
      </c>
      <c r="F472" s="10" t="inlineStr"/>
      <c r="G472" s="10" t="inlineStr"/>
      <c r="H472" s="10" t="inlineStr"/>
      <c r="I472" s="11" t="n">
        <v>71.95</v>
      </c>
      <c r="J472" s="6" t="n">
        <v>15</v>
      </c>
      <c r="K472" s="7">
        <f>IF(I472="","",I472*(1+J472/100))</f>
        <v/>
      </c>
      <c r="L472" s="12" t="inlineStr"/>
      <c r="M472" s="8">
        <f>IF(OR(L472="",K472="",L472=0),"",
  (L472-K472)/L472*100)</f>
        <v/>
      </c>
      <c r="N472" s="9" t="inlineStr"/>
      <c r="O472" s="10" t="inlineStr"/>
      <c r="P472" s="10" t="inlineStr"/>
      <c r="Q472" s="10" t="inlineStr"/>
      <c r="R472" s="10" t="inlineStr">
        <is>
          <t>2026-03-12</t>
        </is>
      </c>
      <c r="S472" s="10" t="inlineStr"/>
    </row>
    <row r="473">
      <c r="A473" s="3" t="inlineStr">
        <is>
          <t>F00831</t>
        </is>
      </c>
      <c r="B473" s="4" t="inlineStr">
        <is>
          <t>F00831</t>
        </is>
      </c>
      <c r="C473" s="4" t="inlineStr"/>
      <c r="D473" s="4" t="inlineStr">
        <is>
          <t>6456423456445</t>
        </is>
      </c>
      <c r="E473" s="3" t="inlineStr">
        <is>
          <t>MUG ENAMEL 8CM DECO</t>
        </is>
      </c>
      <c r="F473" s="4" t="inlineStr"/>
      <c r="G473" s="4" t="inlineStr"/>
      <c r="H473" s="4" t="inlineStr"/>
      <c r="I473" s="5" t="n">
        <v>52.95</v>
      </c>
      <c r="J473" s="6" t="n">
        <v>15</v>
      </c>
      <c r="K473" s="7">
        <f>IF(I473="","",I473*(1+J473/100))</f>
        <v/>
      </c>
      <c r="L473" s="12" t="inlineStr"/>
      <c r="M473" s="8">
        <f>IF(OR(L473="",K473="",L473=0),"",
  (L473-K473)/L473*100)</f>
        <v/>
      </c>
      <c r="N473" s="9" t="inlineStr"/>
      <c r="O473" s="4" t="inlineStr"/>
      <c r="P473" s="4" t="inlineStr"/>
      <c r="Q473" s="4" t="inlineStr"/>
      <c r="R473" s="4" t="inlineStr">
        <is>
          <t>2026-03-12</t>
        </is>
      </c>
      <c r="S473" s="4" t="inlineStr"/>
    </row>
    <row r="474">
      <c r="A474" s="10" t="inlineStr">
        <is>
          <t>F00832</t>
        </is>
      </c>
      <c r="B474" s="10" t="inlineStr">
        <is>
          <t>F00832</t>
        </is>
      </c>
      <c r="C474" s="10" t="inlineStr"/>
      <c r="D474" s="10" t="inlineStr"/>
      <c r="E474" s="10" t="inlineStr">
        <is>
          <t>FAN 16" DESK PLS5444</t>
        </is>
      </c>
      <c r="F474" s="10" t="inlineStr"/>
      <c r="G474" s="10" t="inlineStr"/>
      <c r="H474" s="10" t="inlineStr"/>
      <c r="I474" s="11" t="n">
        <v>124.95</v>
      </c>
      <c r="J474" s="6" t="n">
        <v>15</v>
      </c>
      <c r="K474" s="7">
        <f>IF(I474="","",I474*(1+J474/100))</f>
        <v/>
      </c>
      <c r="L474" s="12" t="inlineStr"/>
      <c r="M474" s="8">
        <f>IF(OR(L474="",K474="",L474=0),"",
  (L474-K474)/L474*100)</f>
        <v/>
      </c>
      <c r="N474" s="9" t="inlineStr"/>
      <c r="O474" s="10" t="inlineStr"/>
      <c r="P474" s="10" t="inlineStr"/>
      <c r="Q474" s="10" t="inlineStr"/>
      <c r="R474" s="10" t="inlineStr">
        <is>
          <t>2026-03-12</t>
        </is>
      </c>
      <c r="S474" s="10" t="inlineStr"/>
    </row>
    <row r="475">
      <c r="A475" s="3" t="inlineStr">
        <is>
          <t>F00833</t>
        </is>
      </c>
      <c r="B475" s="4" t="inlineStr">
        <is>
          <t>F00833</t>
        </is>
      </c>
      <c r="C475" s="4" t="inlineStr"/>
      <c r="D475" s="4" t="inlineStr"/>
      <c r="E475" s="3" t="inlineStr">
        <is>
          <t>PEEL &amp; STICK WDN 3.34SQM AG15-002</t>
        </is>
      </c>
      <c r="F475" s="4" t="inlineStr"/>
      <c r="G475" s="4" t="inlineStr"/>
      <c r="H475" s="4" t="inlineStr"/>
      <c r="I475" s="5" t="n">
        <v>169.95</v>
      </c>
      <c r="J475" s="6" t="n">
        <v>15</v>
      </c>
      <c r="K475" s="7">
        <f>IF(I475="","",I475*(1+J475/100))</f>
        <v/>
      </c>
      <c r="L475" s="12" t="inlineStr"/>
      <c r="M475" s="8">
        <f>IF(OR(L475="",K475="",L475=0),"",
  (L475-K475)/L475*100)</f>
        <v/>
      </c>
      <c r="N475" s="9" t="inlineStr"/>
      <c r="O475" s="4" t="inlineStr"/>
      <c r="P475" s="4" t="inlineStr"/>
      <c r="Q475" s="4" t="inlineStr"/>
      <c r="R475" s="4" t="inlineStr">
        <is>
          <t>2026-03-12</t>
        </is>
      </c>
      <c r="S475" s="4" t="inlineStr"/>
    </row>
    <row r="476">
      <c r="A476" s="10" t="inlineStr">
        <is>
          <t>F00834</t>
        </is>
      </c>
      <c r="B476" s="10" t="inlineStr">
        <is>
          <t>F00834</t>
        </is>
      </c>
      <c r="C476" s="10" t="inlineStr"/>
      <c r="D476" s="10" t="inlineStr"/>
      <c r="E476" s="10" t="inlineStr">
        <is>
          <t>PEEL &amp; STICK WDN 3.34SQM AG15-048</t>
        </is>
      </c>
      <c r="F476" s="10" t="inlineStr"/>
      <c r="G476" s="10" t="inlineStr"/>
      <c r="H476" s="10" t="inlineStr"/>
      <c r="I476" s="11" t="n">
        <v>169.95</v>
      </c>
      <c r="J476" s="6" t="n">
        <v>15</v>
      </c>
      <c r="K476" s="7">
        <f>IF(I476="","",I476*(1+J476/100))</f>
        <v/>
      </c>
      <c r="L476" s="12" t="inlineStr"/>
      <c r="M476" s="8">
        <f>IF(OR(L476="",K476="",L476=0),"",
  (L476-K476)/L476*100)</f>
        <v/>
      </c>
      <c r="N476" s="9" t="inlineStr"/>
      <c r="O476" s="10" t="inlineStr"/>
      <c r="P476" s="10" t="inlineStr"/>
      <c r="Q476" s="10" t="inlineStr"/>
      <c r="R476" s="10" t="inlineStr">
        <is>
          <t>2026-03-12</t>
        </is>
      </c>
      <c r="S476" s="10" t="inlineStr"/>
    </row>
    <row r="477">
      <c r="A477" s="3" t="inlineStr">
        <is>
          <t>F00835</t>
        </is>
      </c>
      <c r="B477" s="4" t="inlineStr">
        <is>
          <t>F00835</t>
        </is>
      </c>
      <c r="C477" s="4" t="inlineStr"/>
      <c r="D477" s="4" t="inlineStr"/>
      <c r="E477" s="3" t="inlineStr">
        <is>
          <t>PEEL &amp; STICK WDN 3.34SQM AG7061</t>
        </is>
      </c>
      <c r="F477" s="4" t="inlineStr"/>
      <c r="G477" s="4" t="inlineStr"/>
      <c r="H477" s="4" t="inlineStr"/>
      <c r="I477" s="5" t="n">
        <v>169.95</v>
      </c>
      <c r="J477" s="6" t="n">
        <v>15</v>
      </c>
      <c r="K477" s="7">
        <f>IF(I477="","",I477*(1+J477/100))</f>
        <v/>
      </c>
      <c r="L477" s="12" t="inlineStr"/>
      <c r="M477" s="8">
        <f>IF(OR(L477="",K477="",L477=0),"",
  (L477-K477)/L477*100)</f>
        <v/>
      </c>
      <c r="N477" s="9" t="inlineStr"/>
      <c r="O477" s="4" t="inlineStr"/>
      <c r="P477" s="4" t="inlineStr"/>
      <c r="Q477" s="4" t="inlineStr"/>
      <c r="R477" s="4" t="inlineStr">
        <is>
          <t>2026-03-12</t>
        </is>
      </c>
      <c r="S477" s="4" t="inlineStr"/>
    </row>
    <row r="478">
      <c r="A478" s="10" t="inlineStr">
        <is>
          <t>F00836</t>
        </is>
      </c>
      <c r="B478" s="10" t="inlineStr">
        <is>
          <t>F00836</t>
        </is>
      </c>
      <c r="C478" s="10" t="inlineStr"/>
      <c r="D478" s="10" t="inlineStr"/>
      <c r="E478" s="10" t="inlineStr">
        <is>
          <t>PEEL &amp; STICK WDN 3.34SQM AG15-036</t>
        </is>
      </c>
      <c r="F478" s="10" t="inlineStr"/>
      <c r="G478" s="10" t="inlineStr"/>
      <c r="H478" s="10" t="inlineStr"/>
      <c r="I478" s="11" t="n">
        <v>169.95</v>
      </c>
      <c r="J478" s="6" t="n">
        <v>15</v>
      </c>
      <c r="K478" s="7">
        <f>IF(I478="","",I478*(1+J478/100))</f>
        <v/>
      </c>
      <c r="L478" s="12" t="inlineStr"/>
      <c r="M478" s="8">
        <f>IF(OR(L478="",K478="",L478=0),"",
  (L478-K478)/L478*100)</f>
        <v/>
      </c>
      <c r="N478" s="9" t="inlineStr"/>
      <c r="O478" s="10" t="inlineStr"/>
      <c r="P478" s="10" t="inlineStr"/>
      <c r="Q478" s="10" t="inlineStr"/>
      <c r="R478" s="10" t="inlineStr">
        <is>
          <t>2026-03-12</t>
        </is>
      </c>
      <c r="S478" s="10" t="inlineStr"/>
    </row>
    <row r="479">
      <c r="A479" s="3" t="inlineStr">
        <is>
          <t>F00837</t>
        </is>
      </c>
      <c r="B479" s="4" t="inlineStr">
        <is>
          <t>F00837</t>
        </is>
      </c>
      <c r="C479" s="4" t="inlineStr"/>
      <c r="D479" s="4" t="inlineStr"/>
      <c r="E479" s="3" t="inlineStr">
        <is>
          <t>PEEL &amp; STICK WDN 3.34SQM AG31-6</t>
        </is>
      </c>
      <c r="F479" s="4" t="inlineStr"/>
      <c r="G479" s="4" t="inlineStr"/>
      <c r="H479" s="4" t="inlineStr"/>
      <c r="I479" s="5" t="n">
        <v>169.95</v>
      </c>
      <c r="J479" s="6" t="n">
        <v>15</v>
      </c>
      <c r="K479" s="7">
        <f>IF(I479="","",I479*(1+J479/100))</f>
        <v/>
      </c>
      <c r="L479" s="12" t="inlineStr"/>
      <c r="M479" s="8">
        <f>IF(OR(L479="",K479="",L479=0),"",
  (L479-K479)/L479*100)</f>
        <v/>
      </c>
      <c r="N479" s="9" t="inlineStr"/>
      <c r="O479" s="4" t="inlineStr"/>
      <c r="P479" s="4" t="inlineStr"/>
      <c r="Q479" s="4" t="inlineStr"/>
      <c r="R479" s="4" t="inlineStr">
        <is>
          <t>2026-03-12</t>
        </is>
      </c>
      <c r="S479" s="4" t="inlineStr"/>
    </row>
    <row r="480">
      <c r="A480" s="10" t="inlineStr">
        <is>
          <t>F00838</t>
        </is>
      </c>
      <c r="B480" s="10" t="inlineStr">
        <is>
          <t>F00838</t>
        </is>
      </c>
      <c r="C480" s="10" t="inlineStr"/>
      <c r="D480" s="10" t="inlineStr"/>
      <c r="E480" s="10" t="inlineStr">
        <is>
          <t>PEEL &amp; STICK WDN 3.34SQM AG7101</t>
        </is>
      </c>
      <c r="F480" s="10" t="inlineStr"/>
      <c r="G480" s="10" t="inlineStr"/>
      <c r="H480" s="10" t="inlineStr"/>
      <c r="I480" s="11" t="n">
        <v>169.95</v>
      </c>
      <c r="J480" s="6" t="n">
        <v>15</v>
      </c>
      <c r="K480" s="7">
        <f>IF(I480="","",I480*(1+J480/100))</f>
        <v/>
      </c>
      <c r="L480" s="12" t="inlineStr"/>
      <c r="M480" s="8">
        <f>IF(OR(L480="",K480="",L480=0),"",
  (L480-K480)/L480*100)</f>
        <v/>
      </c>
      <c r="N480" s="9" t="inlineStr"/>
      <c r="O480" s="10" t="inlineStr"/>
      <c r="P480" s="10" t="inlineStr"/>
      <c r="Q480" s="10" t="inlineStr"/>
      <c r="R480" s="10" t="inlineStr">
        <is>
          <t>2026-03-12</t>
        </is>
      </c>
      <c r="S480" s="10" t="inlineStr"/>
    </row>
    <row r="481">
      <c r="A481" s="3" t="inlineStr">
        <is>
          <t>F00839</t>
        </is>
      </c>
      <c r="B481" s="4" t="inlineStr">
        <is>
          <t>F00839</t>
        </is>
      </c>
      <c r="C481" s="4" t="inlineStr"/>
      <c r="D481" s="4" t="inlineStr"/>
      <c r="E481" s="3" t="inlineStr">
        <is>
          <t>PEEL &amp; STICK WDN 3.34SQM AG785-5</t>
        </is>
      </c>
      <c r="F481" s="4" t="inlineStr"/>
      <c r="G481" s="4" t="inlineStr"/>
      <c r="H481" s="4" t="inlineStr"/>
      <c r="I481" s="5" t="n">
        <v>169.95</v>
      </c>
      <c r="J481" s="6" t="n">
        <v>15</v>
      </c>
      <c r="K481" s="7">
        <f>IF(I481="","",I481*(1+J481/100))</f>
        <v/>
      </c>
      <c r="L481" s="12" t="inlineStr"/>
      <c r="M481" s="8">
        <f>IF(OR(L481="",K481="",L481=0),"",
  (L481-K481)/L481*100)</f>
        <v/>
      </c>
      <c r="N481" s="9" t="inlineStr"/>
      <c r="O481" s="4" t="inlineStr"/>
      <c r="P481" s="4" t="inlineStr"/>
      <c r="Q481" s="4" t="inlineStr"/>
      <c r="R481" s="4" t="inlineStr">
        <is>
          <t>2026-03-12</t>
        </is>
      </c>
      <c r="S481" s="4" t="inlineStr"/>
    </row>
    <row r="482">
      <c r="A482" s="10" t="inlineStr">
        <is>
          <t>F00840</t>
        </is>
      </c>
      <c r="B482" s="10" t="inlineStr">
        <is>
          <t>F00840</t>
        </is>
      </c>
      <c r="C482" s="10" t="inlineStr"/>
      <c r="D482" s="10" t="inlineStr"/>
      <c r="E482" s="10" t="inlineStr">
        <is>
          <t>PEEL &amp; STICK WDN 3.34SQM AG7192</t>
        </is>
      </c>
      <c r="F482" s="10" t="inlineStr"/>
      <c r="G482" s="10" t="inlineStr"/>
      <c r="H482" s="10" t="inlineStr"/>
      <c r="I482" s="11" t="n">
        <v>169.95</v>
      </c>
      <c r="J482" s="6" t="n">
        <v>15</v>
      </c>
      <c r="K482" s="7">
        <f>IF(I482="","",I482*(1+J482/100))</f>
        <v/>
      </c>
      <c r="L482" s="12" t="inlineStr"/>
      <c r="M482" s="8">
        <f>IF(OR(L482="",K482="",L482=0),"",
  (L482-K482)/L482*100)</f>
        <v/>
      </c>
      <c r="N482" s="9" t="inlineStr"/>
      <c r="O482" s="10" t="inlineStr"/>
      <c r="P482" s="10" t="inlineStr"/>
      <c r="Q482" s="10" t="inlineStr"/>
      <c r="R482" s="10" t="inlineStr">
        <is>
          <t>2026-03-12</t>
        </is>
      </c>
      <c r="S482" s="10" t="inlineStr"/>
    </row>
    <row r="483">
      <c r="A483" s="3" t="inlineStr">
        <is>
          <t>F00841</t>
        </is>
      </c>
      <c r="B483" s="4" t="inlineStr">
        <is>
          <t>F00841</t>
        </is>
      </c>
      <c r="C483" s="4" t="inlineStr"/>
      <c r="D483" s="4" t="inlineStr">
        <is>
          <t>6009705652877</t>
        </is>
      </c>
      <c r="E483" s="3" t="inlineStr">
        <is>
          <t>BOWL H/P 8.25'' ASSRTD GLAZED 48/36</t>
        </is>
      </c>
      <c r="F483" s="4" t="inlineStr"/>
      <c r="G483" s="4" t="inlineStr"/>
      <c r="H483" s="4" t="inlineStr"/>
      <c r="I483" s="5" t="n">
        <v>9.949999999999999</v>
      </c>
      <c r="J483" s="6" t="n">
        <v>15</v>
      </c>
      <c r="K483" s="7">
        <f>IF(I483="","",I483*(1+J483/100))</f>
        <v/>
      </c>
      <c r="L483" s="12" t="inlineStr"/>
      <c r="M483" s="8">
        <f>IF(OR(L483="",K483="",L483=0),"",
  (L483-K483)/L483*100)</f>
        <v/>
      </c>
      <c r="N483" s="14" t="n">
        <v>16297</v>
      </c>
      <c r="O483" s="4" t="inlineStr"/>
      <c r="P483" s="4" t="inlineStr"/>
      <c r="Q483" s="4" t="inlineStr"/>
      <c r="R483" s="4" t="inlineStr">
        <is>
          <t>2026-03-12</t>
        </is>
      </c>
      <c r="S483" s="4" t="inlineStr"/>
    </row>
    <row r="484">
      <c r="A484" s="10" t="inlineStr">
        <is>
          <t>F00842</t>
        </is>
      </c>
      <c r="B484" s="10" t="inlineStr">
        <is>
          <t>F00842</t>
        </is>
      </c>
      <c r="C484" s="10" t="inlineStr"/>
      <c r="D484" s="10" t="inlineStr">
        <is>
          <t>6009705652945</t>
        </is>
      </c>
      <c r="E484" s="10" t="inlineStr">
        <is>
          <t>BOWL WHITE DEEP 8''</t>
        </is>
      </c>
      <c r="F484" s="10" t="inlineStr"/>
      <c r="G484" s="10" t="inlineStr"/>
      <c r="H484" s="10" t="inlineStr"/>
      <c r="I484" s="11" t="n">
        <v>9.949999999999999</v>
      </c>
      <c r="J484" s="6" t="n">
        <v>15</v>
      </c>
      <c r="K484" s="7">
        <f>IF(I484="","",I484*(1+J484/100))</f>
        <v/>
      </c>
      <c r="L484" s="12" t="inlineStr"/>
      <c r="M484" s="8">
        <f>IF(OR(L484="",K484="",L484=0),"",
  (L484-K484)/L484*100)</f>
        <v/>
      </c>
      <c r="N484" s="13" t="n">
        <v>151</v>
      </c>
      <c r="O484" s="10" t="inlineStr"/>
      <c r="P484" s="10" t="inlineStr"/>
      <c r="Q484" s="10" t="inlineStr"/>
      <c r="R484" s="10" t="inlineStr">
        <is>
          <t>2026-03-12</t>
        </is>
      </c>
      <c r="S484" s="10" t="inlineStr"/>
    </row>
    <row r="485">
      <c r="A485" s="3" t="inlineStr">
        <is>
          <t>F00843</t>
        </is>
      </c>
      <c r="B485" s="4" t="inlineStr">
        <is>
          <t>F00843</t>
        </is>
      </c>
      <c r="C485" s="4" t="inlineStr"/>
      <c r="D485" s="4" t="inlineStr">
        <is>
          <t>6009705652952</t>
        </is>
      </c>
      <c r="E485" s="3" t="inlineStr">
        <is>
          <t>XK02 MUG 15OZ WHITE &amp; ASSTD COLOUR INSID</t>
        </is>
      </c>
      <c r="F485" s="4" t="inlineStr"/>
      <c r="G485" s="4" t="inlineStr"/>
      <c r="H485" s="4" t="inlineStr"/>
      <c r="I485" s="5" t="n">
        <v>5.99</v>
      </c>
      <c r="J485" s="6" t="n">
        <v>15</v>
      </c>
      <c r="K485" s="7">
        <f>IF(I485="","",I485*(1+J485/100))</f>
        <v/>
      </c>
      <c r="L485" s="12" t="inlineStr"/>
      <c r="M485" s="8">
        <f>IF(OR(L485="",K485="",L485=0),"",
  (L485-K485)/L485*100)</f>
        <v/>
      </c>
      <c r="N485" s="9" t="inlineStr"/>
      <c r="O485" s="4" t="inlineStr"/>
      <c r="P485" s="4" t="inlineStr"/>
      <c r="Q485" s="4" t="inlineStr"/>
      <c r="R485" s="4" t="inlineStr">
        <is>
          <t>2026-03-12</t>
        </is>
      </c>
      <c r="S485" s="4" t="inlineStr"/>
    </row>
    <row r="486">
      <c r="A486" s="10" t="inlineStr">
        <is>
          <t>F00844</t>
        </is>
      </c>
      <c r="B486" s="10" t="inlineStr">
        <is>
          <t>F00844</t>
        </is>
      </c>
      <c r="C486" s="10" t="inlineStr"/>
      <c r="D486" s="10" t="inlineStr">
        <is>
          <t>6009705652969</t>
        </is>
      </c>
      <c r="E486" s="10" t="inlineStr">
        <is>
          <t>XK03 501-9 G457 MUG 16OZ BLACK &amp; WHITE I</t>
        </is>
      </c>
      <c r="F486" s="10" t="inlineStr"/>
      <c r="G486" s="10" t="inlineStr"/>
      <c r="H486" s="10" t="inlineStr"/>
      <c r="I486" s="11" t="n">
        <v>3.17</v>
      </c>
      <c r="J486" s="6" t="n">
        <v>15</v>
      </c>
      <c r="K486" s="7">
        <f>IF(I486="","",I486*(1+J486/100))</f>
        <v/>
      </c>
      <c r="L486" s="12" t="inlineStr"/>
      <c r="M486" s="8">
        <f>IF(OR(L486="",K486="",L486=0),"",
  (L486-K486)/L486*100)</f>
        <v/>
      </c>
      <c r="N486" s="9" t="inlineStr"/>
      <c r="O486" s="10" t="inlineStr"/>
      <c r="P486" s="10" t="inlineStr"/>
      <c r="Q486" s="10" t="inlineStr"/>
      <c r="R486" s="10" t="inlineStr">
        <is>
          <t>2026-03-12</t>
        </is>
      </c>
      <c r="S486" s="10" t="inlineStr"/>
    </row>
    <row r="487">
      <c r="A487" s="3" t="inlineStr">
        <is>
          <t>F00845</t>
        </is>
      </c>
      <c r="B487" s="4" t="inlineStr">
        <is>
          <t>F00845</t>
        </is>
      </c>
      <c r="C487" s="4" t="inlineStr"/>
      <c r="D487" s="4" t="inlineStr">
        <is>
          <t>6009705652907</t>
        </is>
      </c>
      <c r="E487" s="3" t="inlineStr">
        <is>
          <t>7PC HIGH QUALITY DRINK SET P7008-1</t>
        </is>
      </c>
      <c r="F487" s="4" t="inlineStr"/>
      <c r="G487" s="4" t="inlineStr"/>
      <c r="H487" s="4" t="inlineStr"/>
      <c r="I487" s="5" t="n">
        <v>72.95</v>
      </c>
      <c r="J487" s="6" t="n">
        <v>15</v>
      </c>
      <c r="K487" s="7">
        <f>IF(I487="","",I487*(1+J487/100))</f>
        <v/>
      </c>
      <c r="L487" s="12" t="inlineStr"/>
      <c r="M487" s="8">
        <f>IF(OR(L487="",K487="",L487=0),"",
  (L487-K487)/L487*100)</f>
        <v/>
      </c>
      <c r="N487" s="9" t="inlineStr"/>
      <c r="O487" s="4" t="inlineStr"/>
      <c r="P487" s="4" t="inlineStr"/>
      <c r="Q487" s="4" t="inlineStr"/>
      <c r="R487" s="4" t="inlineStr">
        <is>
          <t>2026-03-12</t>
        </is>
      </c>
      <c r="S487" s="4" t="inlineStr"/>
    </row>
    <row r="488">
      <c r="A488" s="10" t="inlineStr">
        <is>
          <t>F00846</t>
        </is>
      </c>
      <c r="B488" s="10" t="inlineStr">
        <is>
          <t>F00846</t>
        </is>
      </c>
      <c r="C488" s="10" t="inlineStr"/>
      <c r="D488" s="10" t="inlineStr">
        <is>
          <t>6009705652914</t>
        </is>
      </c>
      <c r="E488" s="10" t="inlineStr">
        <is>
          <t>HIGH QUALITY CLEAR DESIGN TUMBLER SET-NA</t>
        </is>
      </c>
      <c r="F488" s="10" t="inlineStr"/>
      <c r="G488" s="10" t="inlineStr"/>
      <c r="H488" s="10" t="inlineStr"/>
      <c r="I488" s="11" t="n">
        <v>23.5</v>
      </c>
      <c r="J488" s="6" t="n">
        <v>15</v>
      </c>
      <c r="K488" s="7">
        <f>IF(I488="","",I488*(1+J488/100))</f>
        <v/>
      </c>
      <c r="L488" s="12" t="inlineStr"/>
      <c r="M488" s="8">
        <f>IF(OR(L488="",K488="",L488=0),"",
  (L488-K488)/L488*100)</f>
        <v/>
      </c>
      <c r="N488" s="9" t="inlineStr"/>
      <c r="O488" s="10" t="inlineStr"/>
      <c r="P488" s="10" t="inlineStr"/>
      <c r="Q488" s="10" t="inlineStr"/>
      <c r="R488" s="10" t="inlineStr">
        <is>
          <t>2026-03-12</t>
        </is>
      </c>
      <c r="S488" s="10" t="inlineStr"/>
    </row>
    <row r="489">
      <c r="A489" s="3" t="inlineStr">
        <is>
          <t>F00847</t>
        </is>
      </c>
      <c r="B489" s="4" t="inlineStr">
        <is>
          <t>F00847</t>
        </is>
      </c>
      <c r="C489" s="4" t="inlineStr"/>
      <c r="D489" s="4" t="inlineStr">
        <is>
          <t>6009705652907</t>
        </is>
      </c>
      <c r="E489" s="3" t="inlineStr">
        <is>
          <t>HIGH QUALITY CLEAR DESIGN TUMBLER SET-WI</t>
        </is>
      </c>
      <c r="F489" s="4" t="inlineStr"/>
      <c r="G489" s="4" t="inlineStr"/>
      <c r="H489" s="4" t="inlineStr"/>
      <c r="I489" s="5" t="n">
        <v>23.5</v>
      </c>
      <c r="J489" s="6" t="n">
        <v>15</v>
      </c>
      <c r="K489" s="7">
        <f>IF(I489="","",I489*(1+J489/100))</f>
        <v/>
      </c>
      <c r="L489" s="12" t="inlineStr"/>
      <c r="M489" s="8">
        <f>IF(OR(L489="",K489="",L489=0),"",
  (L489-K489)/L489*100)</f>
        <v/>
      </c>
      <c r="N489" s="9" t="inlineStr"/>
      <c r="O489" s="4" t="inlineStr"/>
      <c r="P489" s="4" t="inlineStr"/>
      <c r="Q489" s="4" t="inlineStr"/>
      <c r="R489" s="4" t="inlineStr">
        <is>
          <t>2026-03-12</t>
        </is>
      </c>
      <c r="S489" s="4" t="inlineStr"/>
    </row>
    <row r="490">
      <c r="A490" s="10" t="inlineStr">
        <is>
          <t>F00848</t>
        </is>
      </c>
      <c r="B490" s="10" t="inlineStr">
        <is>
          <t>F00848</t>
        </is>
      </c>
      <c r="C490" s="10" t="inlineStr"/>
      <c r="D490" s="10" t="inlineStr"/>
      <c r="E490" s="10" t="inlineStr">
        <is>
          <t>DOOR MERANTI 8 STABLE PANEL STAIN</t>
        </is>
      </c>
      <c r="F490" s="10" t="inlineStr"/>
      <c r="G490" s="10" t="inlineStr"/>
      <c r="H490" s="10" t="inlineStr"/>
      <c r="I490" s="11" t="n">
        <v>552.46</v>
      </c>
      <c r="J490" s="6" t="n">
        <v>15</v>
      </c>
      <c r="K490" s="7">
        <f>IF(I490="","",I490*(1+J490/100))</f>
        <v/>
      </c>
      <c r="L490" s="12" t="inlineStr"/>
      <c r="M490" s="8">
        <f>IF(OR(L490="",K490="",L490=0),"",
  (L490-K490)/L490*100)</f>
        <v/>
      </c>
      <c r="N490" s="9" t="inlineStr"/>
      <c r="O490" s="10" t="inlineStr"/>
      <c r="P490" s="10" t="inlineStr"/>
      <c r="Q490" s="10" t="inlineStr"/>
      <c r="R490" s="10" t="inlineStr">
        <is>
          <t>2026-03-12</t>
        </is>
      </c>
      <c r="S490" s="10" t="inlineStr"/>
    </row>
    <row r="491">
      <c r="A491" s="3" t="inlineStr">
        <is>
          <t>F00849</t>
        </is>
      </c>
      <c r="B491" s="4" t="inlineStr">
        <is>
          <t>F00849</t>
        </is>
      </c>
      <c r="C491" s="4" t="inlineStr"/>
      <c r="D491" s="4" t="inlineStr"/>
      <c r="E491" s="3" t="inlineStr">
        <is>
          <t>DOOR MERANTI 4 PANEL H</t>
        </is>
      </c>
      <c r="F491" s="4" t="inlineStr"/>
      <c r="G491" s="4" t="inlineStr"/>
      <c r="H491" s="4" t="inlineStr"/>
      <c r="I491" s="5" t="n">
        <v>519</v>
      </c>
      <c r="J491" s="6" t="n">
        <v>15</v>
      </c>
      <c r="K491" s="7">
        <f>IF(I491="","",I491*(1+J491/100))</f>
        <v/>
      </c>
      <c r="L491" s="12" t="inlineStr"/>
      <c r="M491" s="8">
        <f>IF(OR(L491="",K491="",L491=0),"",
  (L491-K491)/L491*100)</f>
        <v/>
      </c>
      <c r="N491" s="9" t="inlineStr"/>
      <c r="O491" s="4" t="inlineStr"/>
      <c r="P491" s="4" t="inlineStr"/>
      <c r="Q491" s="4" t="inlineStr"/>
      <c r="R491" s="4" t="inlineStr">
        <is>
          <t>2026-03-12</t>
        </is>
      </c>
      <c r="S491" s="4" t="inlineStr"/>
    </row>
    <row r="492">
      <c r="A492" s="10" t="inlineStr">
        <is>
          <t>F00850</t>
        </is>
      </c>
      <c r="B492" s="10" t="inlineStr">
        <is>
          <t>F00850</t>
        </is>
      </c>
      <c r="C492" s="10" t="inlineStr"/>
      <c r="D492" s="10" t="inlineStr"/>
      <c r="E492" s="10" t="inlineStr">
        <is>
          <t>DOOR MERANTI 6 PNL (H) NO STAIN CONTR</t>
        </is>
      </c>
      <c r="F492" s="10" t="inlineStr"/>
      <c r="G492" s="10" t="inlineStr"/>
      <c r="H492" s="10" t="inlineStr"/>
      <c r="I492" s="11" t="n">
        <v>769</v>
      </c>
      <c r="J492" s="6" t="n">
        <v>15</v>
      </c>
      <c r="K492" s="7">
        <f>IF(I492="","",I492*(1+J492/100))</f>
        <v/>
      </c>
      <c r="L492" s="12" t="inlineStr"/>
      <c r="M492" s="8">
        <f>IF(OR(L492="",K492="",L492=0),"",
  (L492-K492)/L492*100)</f>
        <v/>
      </c>
      <c r="N492" s="13" t="n">
        <v>1</v>
      </c>
      <c r="O492" s="10" t="inlineStr"/>
      <c r="P492" s="10" t="inlineStr"/>
      <c r="Q492" s="10" t="inlineStr"/>
      <c r="R492" s="10" t="inlineStr">
        <is>
          <t>2026-03-12</t>
        </is>
      </c>
      <c r="S492" s="10" t="inlineStr"/>
    </row>
    <row r="493">
      <c r="A493" s="3" t="inlineStr">
        <is>
          <t>F00851</t>
        </is>
      </c>
      <c r="B493" s="4" t="inlineStr">
        <is>
          <t>F00851</t>
        </is>
      </c>
      <c r="C493" s="4" t="inlineStr"/>
      <c r="D493" s="4" t="inlineStr"/>
      <c r="E493" s="3" t="inlineStr">
        <is>
          <t>DOOR HARDWOOD 8 PANEL ENGINEERED</t>
        </is>
      </c>
      <c r="F493" s="4" t="inlineStr"/>
      <c r="G493" s="4" t="inlineStr"/>
      <c r="H493" s="4" t="inlineStr"/>
      <c r="I493" s="5" t="n">
        <v>469</v>
      </c>
      <c r="J493" s="6" t="n">
        <v>15</v>
      </c>
      <c r="K493" s="7">
        <f>IF(I493="","",I493*(1+J493/100))</f>
        <v/>
      </c>
      <c r="L493" s="12" t="inlineStr"/>
      <c r="M493" s="8">
        <f>IF(OR(L493="",K493="",L493=0),"",
  (L493-K493)/L493*100)</f>
        <v/>
      </c>
      <c r="N493" s="9" t="inlineStr"/>
      <c r="O493" s="4" t="inlineStr"/>
      <c r="P493" s="4" t="inlineStr"/>
      <c r="Q493" s="4" t="inlineStr"/>
      <c r="R493" s="4" t="inlineStr">
        <is>
          <t>2026-03-12</t>
        </is>
      </c>
      <c r="S493" s="4" t="inlineStr"/>
    </row>
    <row r="494">
      <c r="A494" s="10" t="inlineStr">
        <is>
          <t>F00852</t>
        </is>
      </c>
      <c r="B494" s="10" t="inlineStr">
        <is>
          <t>F00852</t>
        </is>
      </c>
      <c r="C494" s="10" t="inlineStr"/>
      <c r="D494" s="10" t="inlineStr"/>
      <c r="E494" s="10" t="inlineStr">
        <is>
          <t>DOOR HARDWOOD 10 PANEL ENGINEERED</t>
        </is>
      </c>
      <c r="F494" s="10" t="inlineStr"/>
      <c r="G494" s="10" t="inlineStr"/>
      <c r="H494" s="10" t="inlineStr"/>
      <c r="I494" s="11" t="n">
        <v>639</v>
      </c>
      <c r="J494" s="6" t="n">
        <v>15</v>
      </c>
      <c r="K494" s="7">
        <f>IF(I494="","",I494*(1+J494/100))</f>
        <v/>
      </c>
      <c r="L494" s="12" t="inlineStr"/>
      <c r="M494" s="8">
        <f>IF(OR(L494="",K494="",L494=0),"",
  (L494-K494)/L494*100)</f>
        <v/>
      </c>
      <c r="N494" s="9" t="inlineStr"/>
      <c r="O494" s="10" t="inlineStr"/>
      <c r="P494" s="10" t="inlineStr"/>
      <c r="Q494" s="10" t="inlineStr"/>
      <c r="R494" s="10" t="inlineStr">
        <is>
          <t>2026-03-12</t>
        </is>
      </c>
      <c r="S494" s="10" t="inlineStr"/>
    </row>
    <row r="495">
      <c r="A495" s="3" t="inlineStr">
        <is>
          <t>F00853</t>
        </is>
      </c>
      <c r="B495" s="4" t="inlineStr">
        <is>
          <t>F00853</t>
        </is>
      </c>
      <c r="C495" s="4" t="inlineStr"/>
      <c r="D495" s="4" t="inlineStr"/>
      <c r="E495" s="3" t="inlineStr">
        <is>
          <t>DOOR MERANTI 8 PNL (H) NO STAIN CONTR</t>
        </is>
      </c>
      <c r="F495" s="4" t="inlineStr"/>
      <c r="G495" s="4" t="inlineStr"/>
      <c r="H495" s="4" t="inlineStr"/>
      <c r="I495" s="5" t="n">
        <v>769</v>
      </c>
      <c r="J495" s="6" t="n">
        <v>15</v>
      </c>
      <c r="K495" s="7">
        <f>IF(I495="","",I495*(1+J495/100))</f>
        <v/>
      </c>
      <c r="L495" s="12" t="inlineStr"/>
      <c r="M495" s="8">
        <f>IF(OR(L495="",K495="",L495=0),"",
  (L495-K495)/L495*100)</f>
        <v/>
      </c>
      <c r="N495" s="9" t="inlineStr"/>
      <c r="O495" s="4" t="inlineStr"/>
      <c r="P495" s="4" t="inlineStr"/>
      <c r="Q495" s="4" t="inlineStr"/>
      <c r="R495" s="4" t="inlineStr">
        <is>
          <t>2026-03-12</t>
        </is>
      </c>
      <c r="S495" s="4" t="inlineStr"/>
    </row>
    <row r="496">
      <c r="A496" s="10" t="inlineStr">
        <is>
          <t>F00854</t>
        </is>
      </c>
      <c r="B496" s="10" t="inlineStr">
        <is>
          <t>F00854</t>
        </is>
      </c>
      <c r="C496" s="10" t="inlineStr"/>
      <c r="D496" s="10" t="inlineStr"/>
      <c r="E496" s="10" t="inlineStr">
        <is>
          <t>DOOR MERANTI 10 PNL (H) NO STAIN CONTR</t>
        </is>
      </c>
      <c r="F496" s="10" t="inlineStr"/>
      <c r="G496" s="10" t="inlineStr"/>
      <c r="H496" s="10" t="inlineStr"/>
      <c r="I496" s="11" t="n">
        <v>769</v>
      </c>
      <c r="J496" s="6" t="n">
        <v>15</v>
      </c>
      <c r="K496" s="7">
        <f>IF(I496="","",I496*(1+J496/100))</f>
        <v/>
      </c>
      <c r="L496" s="12" t="inlineStr"/>
      <c r="M496" s="8">
        <f>IF(OR(L496="",K496="",L496=0),"",
  (L496-K496)/L496*100)</f>
        <v/>
      </c>
      <c r="N496" s="13" t="n">
        <v>1</v>
      </c>
      <c r="O496" s="10" t="inlineStr"/>
      <c r="P496" s="10" t="inlineStr"/>
      <c r="Q496" s="10" t="inlineStr"/>
      <c r="R496" s="10" t="inlineStr">
        <is>
          <t>2026-03-12</t>
        </is>
      </c>
      <c r="S496" s="10" t="inlineStr"/>
    </row>
    <row r="497">
      <c r="A497" s="3" t="inlineStr">
        <is>
          <t>F00855</t>
        </is>
      </c>
      <c r="B497" s="4" t="inlineStr">
        <is>
          <t>F00855</t>
        </is>
      </c>
      <c r="C497" s="4" t="inlineStr"/>
      <c r="D497" s="4" t="inlineStr"/>
      <c r="E497" s="3" t="inlineStr">
        <is>
          <t>DOOR HARDWOOD 6 PANEL ENGINEERED</t>
        </is>
      </c>
      <c r="F497" s="4" t="inlineStr"/>
      <c r="G497" s="4" t="inlineStr"/>
      <c r="H497" s="4" t="inlineStr"/>
      <c r="I497" s="5" t="n">
        <v>469</v>
      </c>
      <c r="J497" s="6" t="n">
        <v>15</v>
      </c>
      <c r="K497" s="7">
        <f>IF(I497="","",I497*(1+J497/100))</f>
        <v/>
      </c>
      <c r="L497" s="12" t="inlineStr"/>
      <c r="M497" s="8">
        <f>IF(OR(L497="",K497="",L497=0),"",
  (L497-K497)/L497*100)</f>
        <v/>
      </c>
      <c r="N497" s="9" t="inlineStr"/>
      <c r="O497" s="4" t="inlineStr"/>
      <c r="P497" s="4" t="inlineStr"/>
      <c r="Q497" s="4" t="inlineStr"/>
      <c r="R497" s="4" t="inlineStr">
        <is>
          <t>2026-03-12</t>
        </is>
      </c>
      <c r="S497" s="4" t="inlineStr"/>
    </row>
    <row r="498">
      <c r="A498" s="10" t="inlineStr">
        <is>
          <t>F00856</t>
        </is>
      </c>
      <c r="B498" s="10" t="inlineStr">
        <is>
          <t>F00856</t>
        </is>
      </c>
      <c r="C498" s="10" t="inlineStr"/>
      <c r="D498" s="10" t="inlineStr"/>
      <c r="E498" s="10" t="inlineStr">
        <is>
          <t>DOOR STEEL ARMOUR DOUBLE1200MM - AE045MJ</t>
        </is>
      </c>
      <c r="F498" s="10" t="inlineStr"/>
      <c r="G498" s="10" t="inlineStr"/>
      <c r="H498" s="10" t="inlineStr"/>
      <c r="I498" s="11" t="n">
        <v>1995</v>
      </c>
      <c r="J498" s="6" t="n">
        <v>15</v>
      </c>
      <c r="K498" s="7">
        <f>IF(I498="","",I498*(1+J498/100))</f>
        <v/>
      </c>
      <c r="L498" s="12" t="inlineStr"/>
      <c r="M498" s="8">
        <f>IF(OR(L498="",K498="",L498=0),"",
  (L498-K498)/L498*100)</f>
        <v/>
      </c>
      <c r="N498" s="9" t="inlineStr"/>
      <c r="O498" s="10" t="inlineStr"/>
      <c r="P498" s="10" t="inlineStr"/>
      <c r="Q498" s="10" t="inlineStr"/>
      <c r="R498" s="10" t="inlineStr">
        <is>
          <t>2026-03-12</t>
        </is>
      </c>
      <c r="S498" s="10" t="inlineStr"/>
    </row>
    <row r="499">
      <c r="A499" s="3" t="inlineStr">
        <is>
          <t>F00857</t>
        </is>
      </c>
      <c r="B499" s="4" t="inlineStr">
        <is>
          <t>F00857</t>
        </is>
      </c>
      <c r="C499" s="4" t="inlineStr"/>
      <c r="D499" s="4" t="inlineStr"/>
      <c r="E499" s="3" t="inlineStr">
        <is>
          <t>DOOR STEEL ARMOUR DOUBLE1200MM - AE8032M</t>
        </is>
      </c>
      <c r="F499" s="4" t="inlineStr"/>
      <c r="G499" s="4" t="inlineStr"/>
      <c r="H499" s="4" t="inlineStr"/>
      <c r="I499" s="5" t="n">
        <v>1995</v>
      </c>
      <c r="J499" s="6" t="n">
        <v>15</v>
      </c>
      <c r="K499" s="7">
        <f>IF(I499="","",I499*(1+J499/100))</f>
        <v/>
      </c>
      <c r="L499" s="12" t="inlineStr"/>
      <c r="M499" s="8">
        <f>IF(OR(L499="",K499="",L499=0),"",
  (L499-K499)/L499*100)</f>
        <v/>
      </c>
      <c r="N499" s="9" t="inlineStr"/>
      <c r="O499" s="4" t="inlineStr"/>
      <c r="P499" s="4" t="inlineStr"/>
      <c r="Q499" s="4" t="inlineStr"/>
      <c r="R499" s="4" t="inlineStr">
        <is>
          <t>2026-03-12</t>
        </is>
      </c>
      <c r="S499" s="4" t="inlineStr"/>
    </row>
    <row r="500">
      <c r="A500" s="10" t="inlineStr">
        <is>
          <t>F00858</t>
        </is>
      </c>
      <c r="B500" s="10" t="inlineStr">
        <is>
          <t>F00858</t>
        </is>
      </c>
      <c r="C500" s="10" t="inlineStr"/>
      <c r="D500" s="10" t="inlineStr"/>
      <c r="E500" s="10" t="inlineStr">
        <is>
          <t>DOOR STEEL ARMOUR DOUBLE1200MM - AE8052M</t>
        </is>
      </c>
      <c r="F500" s="10" t="inlineStr"/>
      <c r="G500" s="10" t="inlineStr"/>
      <c r="H500" s="10" t="inlineStr"/>
      <c r="I500" s="11" t="n">
        <v>1995</v>
      </c>
      <c r="J500" s="6" t="n">
        <v>15</v>
      </c>
      <c r="K500" s="7">
        <f>IF(I500="","",I500*(1+J500/100))</f>
        <v/>
      </c>
      <c r="L500" s="12" t="inlineStr"/>
      <c r="M500" s="8">
        <f>IF(OR(L500="",K500="",L500=0),"",
  (L500-K500)/L500*100)</f>
        <v/>
      </c>
      <c r="N500" s="9" t="inlineStr"/>
      <c r="O500" s="10" t="inlineStr"/>
      <c r="P500" s="10" t="inlineStr"/>
      <c r="Q500" s="10" t="inlineStr"/>
      <c r="R500" s="10" t="inlineStr">
        <is>
          <t>2026-03-12</t>
        </is>
      </c>
      <c r="S500" s="10" t="inlineStr"/>
    </row>
    <row r="501">
      <c r="A501" s="3" t="inlineStr">
        <is>
          <t>F00859</t>
        </is>
      </c>
      <c r="B501" s="4" t="inlineStr">
        <is>
          <t>F00859</t>
        </is>
      </c>
      <c r="C501" s="4" t="inlineStr"/>
      <c r="D501" s="4" t="inlineStr"/>
      <c r="E501" s="3" t="inlineStr">
        <is>
          <t>DOOR STEEL ARMOR SINGLE 860MM - AE602</t>
        </is>
      </c>
      <c r="F501" s="4" t="inlineStr"/>
      <c r="G501" s="4" t="inlineStr"/>
      <c r="H501" s="4" t="inlineStr"/>
      <c r="I501" s="5" t="n">
        <v>1295</v>
      </c>
      <c r="J501" s="6" t="n">
        <v>15</v>
      </c>
      <c r="K501" s="7">
        <f>IF(I501="","",I501*(1+J501/100))</f>
        <v/>
      </c>
      <c r="L501" s="12" t="inlineStr"/>
      <c r="M501" s="8">
        <f>IF(OR(L501="",K501="",L501=0),"",
  (L501-K501)/L501*100)</f>
        <v/>
      </c>
      <c r="N501" s="9" t="inlineStr"/>
      <c r="O501" s="4" t="inlineStr"/>
      <c r="P501" s="4" t="inlineStr"/>
      <c r="Q501" s="4" t="inlineStr"/>
      <c r="R501" s="4" t="inlineStr">
        <is>
          <t>2026-03-12</t>
        </is>
      </c>
      <c r="S501" s="4" t="inlineStr"/>
    </row>
    <row r="502">
      <c r="A502" s="10" t="inlineStr">
        <is>
          <t>F00860</t>
        </is>
      </c>
      <c r="B502" s="10" t="inlineStr">
        <is>
          <t>F00860</t>
        </is>
      </c>
      <c r="C502" s="10" t="inlineStr"/>
      <c r="D502" s="10" t="inlineStr"/>
      <c r="E502" s="10" t="inlineStr">
        <is>
          <t>DOOR STEEL(ARMOUR)SINGLE 860MM - AE703</t>
        </is>
      </c>
      <c r="F502" s="10" t="inlineStr"/>
      <c r="G502" s="10" t="inlineStr"/>
      <c r="H502" s="10" t="inlineStr"/>
      <c r="I502" s="11" t="n">
        <v>1295</v>
      </c>
      <c r="J502" s="6" t="n">
        <v>15</v>
      </c>
      <c r="K502" s="7">
        <f>IF(I502="","",I502*(1+J502/100))</f>
        <v/>
      </c>
      <c r="L502" s="12" t="inlineStr"/>
      <c r="M502" s="8">
        <f>IF(OR(L502="",K502="",L502=0),"",
  (L502-K502)/L502*100)</f>
        <v/>
      </c>
      <c r="N502" s="9" t="inlineStr"/>
      <c r="O502" s="10" t="inlineStr"/>
      <c r="P502" s="10" t="inlineStr"/>
      <c r="Q502" s="10" t="inlineStr"/>
      <c r="R502" s="10" t="inlineStr">
        <is>
          <t>2026-03-12</t>
        </is>
      </c>
      <c r="S502" s="10" t="inlineStr"/>
    </row>
    <row r="503">
      <c r="A503" s="3" t="inlineStr">
        <is>
          <t>F00861</t>
        </is>
      </c>
      <c r="B503" s="4" t="inlineStr">
        <is>
          <t>F00861</t>
        </is>
      </c>
      <c r="C503" s="4" t="inlineStr"/>
      <c r="D503" s="4" t="inlineStr"/>
      <c r="E503" s="3" t="inlineStr">
        <is>
          <t>DOOR STEEL ARMOUR SINGLE860MM - AE803</t>
        </is>
      </c>
      <c r="F503" s="4" t="inlineStr"/>
      <c r="G503" s="4" t="inlineStr"/>
      <c r="H503" s="4" t="inlineStr"/>
      <c r="I503" s="5" t="n">
        <v>1295</v>
      </c>
      <c r="J503" s="6" t="n">
        <v>15</v>
      </c>
      <c r="K503" s="7">
        <f>IF(I503="","",I503*(1+J503/100))</f>
        <v/>
      </c>
      <c r="L503" s="12" t="inlineStr"/>
      <c r="M503" s="8">
        <f>IF(OR(L503="",K503="",L503=0),"",
  (L503-K503)/L503*100)</f>
        <v/>
      </c>
      <c r="N503" s="9" t="inlineStr"/>
      <c r="O503" s="4" t="inlineStr"/>
      <c r="P503" s="4" t="inlineStr"/>
      <c r="Q503" s="4" t="inlineStr"/>
      <c r="R503" s="4" t="inlineStr">
        <is>
          <t>2026-03-12</t>
        </is>
      </c>
      <c r="S503" s="4" t="inlineStr"/>
    </row>
    <row r="504">
      <c r="A504" s="10" t="inlineStr">
        <is>
          <t>F00862</t>
        </is>
      </c>
      <c r="B504" s="10" t="inlineStr">
        <is>
          <t>F00862</t>
        </is>
      </c>
      <c r="C504" s="10" t="inlineStr"/>
      <c r="D504" s="10" t="inlineStr"/>
      <c r="E504" s="10" t="inlineStr">
        <is>
          <t>DOOR STEEL ARMOUR SINGLE 860MM - AE805</t>
        </is>
      </c>
      <c r="F504" s="10" t="inlineStr"/>
      <c r="G504" s="10" t="inlineStr"/>
      <c r="H504" s="10" t="inlineStr"/>
      <c r="I504" s="11" t="n">
        <v>1295</v>
      </c>
      <c r="J504" s="6" t="n">
        <v>15</v>
      </c>
      <c r="K504" s="7">
        <f>IF(I504="","",I504*(1+J504/100))</f>
        <v/>
      </c>
      <c r="L504" s="12" t="inlineStr"/>
      <c r="M504" s="8">
        <f>IF(OR(L504="",K504="",L504=0),"",
  (L504-K504)/L504*100)</f>
        <v/>
      </c>
      <c r="N504" s="9" t="inlineStr"/>
      <c r="O504" s="10" t="inlineStr"/>
      <c r="P504" s="10" t="inlineStr"/>
      <c r="Q504" s="10" t="inlineStr"/>
      <c r="R504" s="10" t="inlineStr">
        <is>
          <t>2026-03-12</t>
        </is>
      </c>
      <c r="S504" s="10" t="inlineStr"/>
    </row>
    <row r="505">
      <c r="A505" s="3" t="inlineStr">
        <is>
          <t>F00863</t>
        </is>
      </c>
      <c r="B505" s="4" t="inlineStr">
        <is>
          <t>F00863</t>
        </is>
      </c>
      <c r="C505" s="4" t="inlineStr"/>
      <c r="D505" s="4" t="inlineStr"/>
      <c r="E505" s="3" t="inlineStr">
        <is>
          <t>DOOR STEEL ARMOR SINGLE 860MM - AE702</t>
        </is>
      </c>
      <c r="F505" s="4" t="inlineStr"/>
      <c r="G505" s="4" t="inlineStr"/>
      <c r="H505" s="4" t="inlineStr"/>
      <c r="I505" s="5" t="n">
        <v>1295</v>
      </c>
      <c r="J505" s="6" t="n">
        <v>15</v>
      </c>
      <c r="K505" s="7">
        <f>IF(I505="","",I505*(1+J505/100))</f>
        <v/>
      </c>
      <c r="L505" s="12" t="inlineStr"/>
      <c r="M505" s="8">
        <f>IF(OR(L505="",K505="",L505=0),"",
  (L505-K505)/L505*100)</f>
        <v/>
      </c>
      <c r="N505" s="9" t="inlineStr"/>
      <c r="O505" s="4" t="inlineStr"/>
      <c r="P505" s="4" t="inlineStr"/>
      <c r="Q505" s="4" t="inlineStr"/>
      <c r="R505" s="4" t="inlineStr">
        <is>
          <t>2026-03-12</t>
        </is>
      </c>
      <c r="S505" s="4" t="inlineStr"/>
    </row>
    <row r="506">
      <c r="A506" s="10" t="inlineStr">
        <is>
          <t>F00864</t>
        </is>
      </c>
      <c r="B506" s="10" t="inlineStr">
        <is>
          <t>F00864</t>
        </is>
      </c>
      <c r="C506" s="10" t="inlineStr"/>
      <c r="D506" s="10" t="inlineStr"/>
      <c r="E506" s="10" t="inlineStr">
        <is>
          <t>DOOR STEEL ARMOUR SINGLE - AE803-2</t>
        </is>
      </c>
      <c r="F506" s="10" t="inlineStr"/>
      <c r="G506" s="10" t="inlineStr"/>
      <c r="H506" s="10" t="inlineStr"/>
      <c r="I506" s="11" t="n">
        <v>1295</v>
      </c>
      <c r="J506" s="6" t="n">
        <v>15</v>
      </c>
      <c r="K506" s="7">
        <f>IF(I506="","",I506*(1+J506/100))</f>
        <v/>
      </c>
      <c r="L506" s="12" t="inlineStr"/>
      <c r="M506" s="8">
        <f>IF(OR(L506="",K506="",L506=0),"",
  (L506-K506)/L506*100)</f>
        <v/>
      </c>
      <c r="N506" s="9" t="inlineStr"/>
      <c r="O506" s="10" t="inlineStr"/>
      <c r="P506" s="10" t="inlineStr"/>
      <c r="Q506" s="10" t="inlineStr"/>
      <c r="R506" s="10" t="inlineStr">
        <is>
          <t>2026-03-12</t>
        </is>
      </c>
      <c r="S506" s="10" t="inlineStr"/>
    </row>
    <row r="507">
      <c r="A507" s="3" t="inlineStr">
        <is>
          <t>F00865</t>
        </is>
      </c>
      <c r="B507" s="4" t="inlineStr">
        <is>
          <t>F00865</t>
        </is>
      </c>
      <c r="C507" s="4" t="inlineStr"/>
      <c r="D507" s="4" t="inlineStr"/>
      <c r="E507" s="3" t="inlineStr">
        <is>
          <t>DOOR STEEL ARMOUR SINGLE - AE701</t>
        </is>
      </c>
      <c r="F507" s="4" t="inlineStr"/>
      <c r="G507" s="4" t="inlineStr"/>
      <c r="H507" s="4" t="inlineStr"/>
      <c r="I507" s="5" t="n">
        <v>1295</v>
      </c>
      <c r="J507" s="6" t="n">
        <v>15</v>
      </c>
      <c r="K507" s="7">
        <f>IF(I507="","",I507*(1+J507/100))</f>
        <v/>
      </c>
      <c r="L507" s="12" t="inlineStr"/>
      <c r="M507" s="8">
        <f>IF(OR(L507="",K507="",L507=0),"",
  (L507-K507)/L507*100)</f>
        <v/>
      </c>
      <c r="N507" s="9" t="inlineStr"/>
      <c r="O507" s="4" t="inlineStr"/>
      <c r="P507" s="4" t="inlineStr"/>
      <c r="Q507" s="4" t="inlineStr"/>
      <c r="R507" s="4" t="inlineStr">
        <is>
          <t>2026-03-12</t>
        </is>
      </c>
      <c r="S507" s="4" t="inlineStr"/>
    </row>
    <row r="508">
      <c r="A508" s="10" t="inlineStr">
        <is>
          <t>F00866</t>
        </is>
      </c>
      <c r="B508" s="10" t="inlineStr">
        <is>
          <t>F00866</t>
        </is>
      </c>
      <c r="C508" s="10" t="inlineStr"/>
      <c r="D508" s="10" t="inlineStr">
        <is>
          <t>6009697458594</t>
        </is>
      </c>
      <c r="E508" s="10" t="inlineStr">
        <is>
          <t>DOOR 2XG</t>
        </is>
      </c>
      <c r="F508" s="10" t="inlineStr"/>
      <c r="G508" s="10" t="inlineStr"/>
      <c r="H508" s="10" t="inlineStr"/>
      <c r="I508" s="11" t="n">
        <v>586</v>
      </c>
      <c r="J508" s="6" t="n">
        <v>15</v>
      </c>
      <c r="K508" s="7">
        <f>IF(I508="","",I508*(1+J508/100))</f>
        <v/>
      </c>
      <c r="L508" s="12" t="inlineStr"/>
      <c r="M508" s="8">
        <f>IF(OR(L508="",K508="",L508=0),"",
  (L508-K508)/L508*100)</f>
        <v/>
      </c>
      <c r="N508" s="9" t="inlineStr"/>
      <c r="O508" s="10" t="inlineStr"/>
      <c r="P508" s="10" t="inlineStr"/>
      <c r="Q508" s="10" t="inlineStr"/>
      <c r="R508" s="10" t="inlineStr">
        <is>
          <t>2026-03-12</t>
        </is>
      </c>
      <c r="S508" s="10" t="inlineStr"/>
    </row>
    <row r="509">
      <c r="A509" s="3" t="inlineStr">
        <is>
          <t>F00867</t>
        </is>
      </c>
      <c r="B509" s="4" t="inlineStr">
        <is>
          <t>F00867</t>
        </is>
      </c>
      <c r="C509" s="4" t="inlineStr"/>
      <c r="D509" s="4" t="inlineStr"/>
      <c r="E509" s="3" t="inlineStr">
        <is>
          <t>DOOR KENTUCKY</t>
        </is>
      </c>
      <c r="F509" s="4" t="inlineStr"/>
      <c r="G509" s="4" t="inlineStr"/>
      <c r="H509" s="4" t="inlineStr"/>
      <c r="I509" s="5" t="n">
        <v>559</v>
      </c>
      <c r="J509" s="6" t="n">
        <v>15</v>
      </c>
      <c r="K509" s="7">
        <f>IF(I509="","",I509*(1+J509/100))</f>
        <v/>
      </c>
      <c r="L509" s="12" t="inlineStr"/>
      <c r="M509" s="8">
        <f>IF(OR(L509="",K509="",L509=0),"",
  (L509-K509)/L509*100)</f>
        <v/>
      </c>
      <c r="N509" s="9" t="inlineStr"/>
      <c r="O509" s="4" t="inlineStr"/>
      <c r="P509" s="4" t="inlineStr"/>
      <c r="Q509" s="4" t="inlineStr"/>
      <c r="R509" s="4" t="inlineStr">
        <is>
          <t>2026-03-12</t>
        </is>
      </c>
      <c r="S509" s="4" t="inlineStr"/>
    </row>
    <row r="510">
      <c r="A510" s="10" t="inlineStr">
        <is>
          <t>F00868</t>
        </is>
      </c>
      <c r="B510" s="10" t="inlineStr">
        <is>
          <t>F00868</t>
        </is>
      </c>
      <c r="C510" s="10" t="inlineStr"/>
      <c r="D510" s="10" t="inlineStr"/>
      <c r="E510" s="10" t="inlineStr">
        <is>
          <t>DOOR CAROLINA 4P</t>
        </is>
      </c>
      <c r="F510" s="10" t="inlineStr"/>
      <c r="G510" s="10" t="inlineStr"/>
      <c r="H510" s="10" t="inlineStr"/>
      <c r="I510" s="11" t="n">
        <v>589</v>
      </c>
      <c r="J510" s="6" t="n">
        <v>15</v>
      </c>
      <c r="K510" s="7">
        <f>IF(I510="","",I510*(1+J510/100))</f>
        <v/>
      </c>
      <c r="L510" s="12" t="inlineStr"/>
      <c r="M510" s="8">
        <f>IF(OR(L510="",K510="",L510=0),"",
  (L510-K510)/L510*100)</f>
        <v/>
      </c>
      <c r="N510" s="9" t="inlineStr"/>
      <c r="O510" s="10" t="inlineStr"/>
      <c r="P510" s="10" t="inlineStr"/>
      <c r="Q510" s="10" t="inlineStr"/>
      <c r="R510" s="10" t="inlineStr">
        <is>
          <t>2026-03-12</t>
        </is>
      </c>
      <c r="S510" s="10" t="inlineStr"/>
    </row>
    <row r="511">
      <c r="A511" s="3" t="inlineStr">
        <is>
          <t>F00869</t>
        </is>
      </c>
      <c r="B511" s="4" t="inlineStr">
        <is>
          <t>F00869</t>
        </is>
      </c>
      <c r="C511" s="4" t="inlineStr"/>
      <c r="D511" s="4" t="inlineStr">
        <is>
          <t>6009697458587</t>
        </is>
      </c>
      <c r="E511" s="3" t="inlineStr">
        <is>
          <t>DOOR RICHMOND</t>
        </is>
      </c>
      <c r="F511" s="4" t="inlineStr"/>
      <c r="G511" s="4" t="inlineStr"/>
      <c r="H511" s="4" t="inlineStr"/>
      <c r="I511" s="5" t="n">
        <v>559</v>
      </c>
      <c r="J511" s="6" t="n">
        <v>15</v>
      </c>
      <c r="K511" s="7">
        <f>IF(I511="","",I511*(1+J511/100))</f>
        <v/>
      </c>
      <c r="L511" s="12" t="inlineStr"/>
      <c r="M511" s="8">
        <f>IF(OR(L511="",K511="",L511=0),"",
  (L511-K511)/L511*100)</f>
        <v/>
      </c>
      <c r="N511" s="9" t="inlineStr"/>
      <c r="O511" s="4" t="inlineStr"/>
      <c r="P511" s="4" t="inlineStr"/>
      <c r="Q511" s="4" t="inlineStr"/>
      <c r="R511" s="4" t="inlineStr">
        <is>
          <t>2026-03-12</t>
        </is>
      </c>
      <c r="S511" s="4" t="inlineStr"/>
    </row>
    <row r="512">
      <c r="A512" s="10" t="inlineStr">
        <is>
          <t>F00870</t>
        </is>
      </c>
      <c r="B512" s="10" t="inlineStr">
        <is>
          <t>F00870</t>
        </is>
      </c>
      <c r="C512" s="10" t="inlineStr"/>
      <c r="D512" s="10" t="inlineStr">
        <is>
          <t>6009697458570</t>
        </is>
      </c>
      <c r="E512" s="10" t="inlineStr">
        <is>
          <t>DOOR MALTON</t>
        </is>
      </c>
      <c r="F512" s="10" t="inlineStr"/>
      <c r="G512" s="10" t="inlineStr"/>
      <c r="H512" s="10" t="inlineStr"/>
      <c r="I512" s="11" t="n">
        <v>586</v>
      </c>
      <c r="J512" s="6" t="n">
        <v>15</v>
      </c>
      <c r="K512" s="7">
        <f>IF(I512="","",I512*(1+J512/100))</f>
        <v/>
      </c>
      <c r="L512" s="12" t="inlineStr"/>
      <c r="M512" s="8">
        <f>IF(OR(L512="",K512="",L512=0),"",
  (L512-K512)/L512*100)</f>
        <v/>
      </c>
      <c r="N512" s="9" t="inlineStr"/>
      <c r="O512" s="10" t="inlineStr"/>
      <c r="P512" s="10" t="inlineStr"/>
      <c r="Q512" s="10" t="inlineStr"/>
      <c r="R512" s="10" t="inlineStr">
        <is>
          <t>2026-03-12</t>
        </is>
      </c>
      <c r="S512" s="10" t="inlineStr"/>
    </row>
    <row r="513">
      <c r="A513" s="3" t="inlineStr">
        <is>
          <t>F00871</t>
        </is>
      </c>
      <c r="B513" s="4" t="inlineStr">
        <is>
          <t>F00871</t>
        </is>
      </c>
      <c r="C513" s="4" t="inlineStr"/>
      <c r="D513" s="4" t="inlineStr">
        <is>
          <t>6009677015175</t>
        </is>
      </c>
      <c r="E513" s="3" t="inlineStr">
        <is>
          <t>MORTICE LOCK CHRM 5L 2K 30/32 - CP5L ALC</t>
        </is>
      </c>
      <c r="F513" s="4" t="inlineStr"/>
      <c r="G513" s="4" t="inlineStr"/>
      <c r="H513" s="4" t="inlineStr"/>
      <c r="I513" s="5" t="n">
        <v>28.5</v>
      </c>
      <c r="J513" s="6" t="n">
        <v>15</v>
      </c>
      <c r="K513" s="7">
        <f>IF(I513="","",I513*(1+J513/100))</f>
        <v/>
      </c>
      <c r="L513" s="12" t="inlineStr"/>
      <c r="M513" s="8">
        <f>IF(OR(L513="",K513="",L513=0),"",
  (L513-K513)/L513*100)</f>
        <v/>
      </c>
      <c r="N513" s="9" t="inlineStr"/>
      <c r="O513" s="4" t="inlineStr"/>
      <c r="P513" s="4" t="inlineStr"/>
      <c r="Q513" s="4" t="inlineStr"/>
      <c r="R513" s="4" t="inlineStr">
        <is>
          <t>2026-03-12</t>
        </is>
      </c>
      <c r="S513" s="4" t="inlineStr"/>
    </row>
    <row r="514">
      <c r="A514" s="10" t="inlineStr">
        <is>
          <t>F00872</t>
        </is>
      </c>
      <c r="B514" s="10" t="inlineStr">
        <is>
          <t>F00872</t>
        </is>
      </c>
      <c r="C514" s="10" t="inlineStr">
        <is>
          <t>21199</t>
        </is>
      </c>
      <c r="D514" s="10" t="inlineStr">
        <is>
          <t>6009677015519</t>
        </is>
      </c>
      <c r="E514" s="10" t="inlineStr">
        <is>
          <t>MORTICE LOCK BRASS 5L 2K 30/32 -  BP5L A</t>
        </is>
      </c>
      <c r="F514" s="10" t="inlineStr"/>
      <c r="G514" s="10" t="inlineStr"/>
      <c r="H514" s="10" t="inlineStr"/>
      <c r="I514" s="11" t="n">
        <v>26.95</v>
      </c>
      <c r="J514" s="6" t="n">
        <v>15</v>
      </c>
      <c r="K514" s="7">
        <f>IF(I514="","",I514*(1+J514/100))</f>
        <v/>
      </c>
      <c r="L514" s="11" t="n">
        <v>99</v>
      </c>
      <c r="M514" s="8">
        <f>IF(OR(L514="",K514="",L514=0),"",
  (L514-K514)/L514*100)</f>
        <v/>
      </c>
      <c r="N514" s="13" t="n">
        <v>49</v>
      </c>
      <c r="O514" s="10" t="inlineStr"/>
      <c r="P514" s="10" t="inlineStr"/>
      <c r="Q514" s="10" t="inlineStr"/>
      <c r="R514" s="10" t="inlineStr">
        <is>
          <t>2026-03-12</t>
        </is>
      </c>
      <c r="S514" s="10" t="inlineStr"/>
    </row>
    <row r="515">
      <c r="A515" s="3" t="inlineStr">
        <is>
          <t>F00873</t>
        </is>
      </c>
      <c r="B515" s="4" t="inlineStr">
        <is>
          <t>F00873</t>
        </is>
      </c>
      <c r="C515" s="4" t="inlineStr"/>
      <c r="D515" s="4" t="inlineStr">
        <is>
          <t>6009677019005</t>
        </is>
      </c>
      <c r="E515" s="3" t="inlineStr">
        <is>
          <t>MORTICE LOCK CHR 5L2K PL HANDL - CP5LP P</t>
        </is>
      </c>
      <c r="F515" s="4" t="inlineStr"/>
      <c r="G515" s="4" t="inlineStr"/>
      <c r="H515" s="4" t="inlineStr"/>
      <c r="I515" s="5" t="n">
        <v>21.75</v>
      </c>
      <c r="J515" s="6" t="n">
        <v>15</v>
      </c>
      <c r="K515" s="7">
        <f>IF(I515="","",I515*(1+J515/100))</f>
        <v/>
      </c>
      <c r="L515" s="12" t="inlineStr"/>
      <c r="M515" s="8">
        <f>IF(OR(L515="",K515="",L515=0),"",
  (L515-K515)/L515*100)</f>
        <v/>
      </c>
      <c r="N515" s="9" t="inlineStr"/>
      <c r="O515" s="4" t="inlineStr"/>
      <c r="P515" s="4" t="inlineStr"/>
      <c r="Q515" s="4" t="inlineStr"/>
      <c r="R515" s="4" t="inlineStr">
        <is>
          <t>2026-03-12</t>
        </is>
      </c>
      <c r="S515" s="4" t="inlineStr"/>
    </row>
    <row r="516">
      <c r="A516" s="10" t="inlineStr">
        <is>
          <t>F00874</t>
        </is>
      </c>
      <c r="B516" s="10" t="inlineStr">
        <is>
          <t>F00874</t>
        </is>
      </c>
      <c r="C516" s="10" t="inlineStr"/>
      <c r="D516" s="10" t="inlineStr">
        <is>
          <t>6009697450055</t>
        </is>
      </c>
      <c r="E516" s="10" t="inlineStr">
        <is>
          <t>LOCK SET-CYL ENTRANC POLISH BRASS - 587P</t>
        </is>
      </c>
      <c r="F516" s="10" t="inlineStr"/>
      <c r="G516" s="10" t="inlineStr"/>
      <c r="H516" s="10" t="inlineStr"/>
      <c r="I516" s="11" t="n">
        <v>47.95</v>
      </c>
      <c r="J516" s="6" t="n">
        <v>15</v>
      </c>
      <c r="K516" s="7">
        <f>IF(I516="","",I516*(1+J516/100))</f>
        <v/>
      </c>
      <c r="L516" s="12" t="inlineStr"/>
      <c r="M516" s="8">
        <f>IF(OR(L516="",K516="",L516=0),"",
  (L516-K516)/L516*100)</f>
        <v/>
      </c>
      <c r="N516" s="9" t="inlineStr"/>
      <c r="O516" s="10" t="inlineStr"/>
      <c r="P516" s="10" t="inlineStr"/>
      <c r="Q516" s="10" t="inlineStr"/>
      <c r="R516" s="10" t="inlineStr">
        <is>
          <t>2026-03-12</t>
        </is>
      </c>
      <c r="S516" s="10" t="inlineStr"/>
    </row>
    <row r="517">
      <c r="A517" s="3" t="inlineStr">
        <is>
          <t>F00875</t>
        </is>
      </c>
      <c r="B517" s="4" t="inlineStr">
        <is>
          <t>F00875</t>
        </is>
      </c>
      <c r="C517" s="4" t="inlineStr"/>
      <c r="D517" s="4" t="inlineStr">
        <is>
          <t>6009697450086</t>
        </is>
      </c>
      <c r="E517" s="3" t="inlineStr">
        <is>
          <t>LOCK SET-CYL ENTRANC ANTIQUE COPPER - 58</t>
        </is>
      </c>
      <c r="F517" s="4" t="inlineStr"/>
      <c r="G517" s="4" t="inlineStr"/>
      <c r="H517" s="4" t="inlineStr"/>
      <c r="I517" s="5" t="n">
        <v>47.95</v>
      </c>
      <c r="J517" s="6" t="n">
        <v>15</v>
      </c>
      <c r="K517" s="7">
        <f>IF(I517="","",I517*(1+J517/100))</f>
        <v/>
      </c>
      <c r="L517" s="12" t="inlineStr"/>
      <c r="M517" s="8">
        <f>IF(OR(L517="",K517="",L517=0),"",
  (L517-K517)/L517*100)</f>
        <v/>
      </c>
      <c r="N517" s="9" t="inlineStr"/>
      <c r="O517" s="4" t="inlineStr"/>
      <c r="P517" s="4" t="inlineStr"/>
      <c r="Q517" s="4" t="inlineStr"/>
      <c r="R517" s="4" t="inlineStr">
        <is>
          <t>2026-03-12</t>
        </is>
      </c>
      <c r="S517" s="4" t="inlineStr"/>
    </row>
    <row r="518">
      <c r="A518" s="10" t="inlineStr">
        <is>
          <t>F00876</t>
        </is>
      </c>
      <c r="B518" s="10" t="inlineStr">
        <is>
          <t>F00876</t>
        </is>
      </c>
      <c r="C518" s="10" t="inlineStr"/>
      <c r="D518" s="10" t="inlineStr">
        <is>
          <t>6009697450079</t>
        </is>
      </c>
      <c r="E518" s="10" t="inlineStr">
        <is>
          <t>LOCK SET-CYL ENTRANC S/STEEL - 587SS</t>
        </is>
      </c>
      <c r="F518" s="10" t="inlineStr"/>
      <c r="G518" s="10" t="inlineStr"/>
      <c r="H518" s="10" t="inlineStr"/>
      <c r="I518" s="11" t="n">
        <v>47.95</v>
      </c>
      <c r="J518" s="6" t="n">
        <v>15</v>
      </c>
      <c r="K518" s="7">
        <f>IF(I518="","",I518*(1+J518/100))</f>
        <v/>
      </c>
      <c r="L518" s="12" t="inlineStr"/>
      <c r="M518" s="8">
        <f>IF(OR(L518="",K518="",L518=0),"",
  (L518-K518)/L518*100)</f>
        <v/>
      </c>
      <c r="N518" s="9" t="inlineStr"/>
      <c r="O518" s="10" t="inlineStr"/>
      <c r="P518" s="10" t="inlineStr"/>
      <c r="Q518" s="10" t="inlineStr"/>
      <c r="R518" s="10" t="inlineStr">
        <is>
          <t>2026-03-12</t>
        </is>
      </c>
      <c r="S518" s="10" t="inlineStr"/>
    </row>
    <row r="519">
      <c r="A519" s="3" t="inlineStr">
        <is>
          <t>F00877</t>
        </is>
      </c>
      <c r="B519" s="4" t="inlineStr">
        <is>
          <t>F00877</t>
        </is>
      </c>
      <c r="C519" s="4" t="inlineStr"/>
      <c r="D519" s="4" t="inlineStr">
        <is>
          <t>6009697450062</t>
        </is>
      </c>
      <c r="E519" s="3" t="inlineStr">
        <is>
          <t>LOCK SET-CYL ENTRANC ANTIQUE BRASS - 587</t>
        </is>
      </c>
      <c r="F519" s="4" t="inlineStr"/>
      <c r="G519" s="4" t="inlineStr"/>
      <c r="H519" s="4" t="inlineStr"/>
      <c r="I519" s="5" t="n">
        <v>47.95</v>
      </c>
      <c r="J519" s="6" t="n">
        <v>15</v>
      </c>
      <c r="K519" s="7">
        <f>IF(I519="","",I519*(1+J519/100))</f>
        <v/>
      </c>
      <c r="L519" s="12" t="inlineStr"/>
      <c r="M519" s="8">
        <f>IF(OR(L519="",K519="",L519=0),"",
  (L519-K519)/L519*100)</f>
        <v/>
      </c>
      <c r="N519" s="9" t="inlineStr"/>
      <c r="O519" s="4" t="inlineStr"/>
      <c r="P519" s="4" t="inlineStr"/>
      <c r="Q519" s="4" t="inlineStr"/>
      <c r="R519" s="4" t="inlineStr">
        <is>
          <t>2026-03-12</t>
        </is>
      </c>
      <c r="S519" s="4" t="inlineStr"/>
    </row>
    <row r="520">
      <c r="A520" s="10" t="inlineStr">
        <is>
          <t>F00882</t>
        </is>
      </c>
      <c r="B520" s="10" t="inlineStr">
        <is>
          <t>F00882</t>
        </is>
      </c>
      <c r="C520" s="10" t="inlineStr">
        <is>
          <t>18431</t>
        </is>
      </c>
      <c r="D520" s="10" t="inlineStr">
        <is>
          <t>6009677017537</t>
        </is>
      </c>
      <c r="E520" s="10" t="inlineStr">
        <is>
          <t>LOCK DISCUS 70MM S/STEEL</t>
        </is>
      </c>
      <c r="F520" s="10" t="inlineStr"/>
      <c r="G520" s="10" t="inlineStr"/>
      <c r="H520" s="10" t="inlineStr"/>
      <c r="I520" s="11" t="n">
        <v>27.95</v>
      </c>
      <c r="J520" s="6" t="n">
        <v>15</v>
      </c>
      <c r="K520" s="7">
        <f>IF(I520="","",I520*(1+J520/100))</f>
        <v/>
      </c>
      <c r="L520" s="11" t="n">
        <v>69</v>
      </c>
      <c r="M520" s="8">
        <f>IF(OR(L520="",K520="",L520=0),"",
  (L520-K520)/L520*100)</f>
        <v/>
      </c>
      <c r="N520" s="13" t="n">
        <v>904</v>
      </c>
      <c r="O520" s="10" t="inlineStr"/>
      <c r="P520" s="10" t="inlineStr"/>
      <c r="Q520" s="10" t="inlineStr"/>
      <c r="R520" s="10" t="inlineStr">
        <is>
          <t>2026-03-12</t>
        </is>
      </c>
      <c r="S520" s="10" t="inlineStr"/>
    </row>
    <row r="521">
      <c r="A521" s="3" t="inlineStr">
        <is>
          <t>F00883</t>
        </is>
      </c>
      <c r="B521" s="4" t="inlineStr">
        <is>
          <t>F00883</t>
        </is>
      </c>
      <c r="C521" s="4" t="inlineStr">
        <is>
          <t>18433</t>
        </is>
      </c>
      <c r="D521" s="4" t="inlineStr">
        <is>
          <t>6009677017544</t>
        </is>
      </c>
      <c r="E521" s="3" t="inlineStr">
        <is>
          <t>LOCK DISCUS 90MM S/STEEL</t>
        </is>
      </c>
      <c r="F521" s="4" t="inlineStr"/>
      <c r="G521" s="4" t="inlineStr"/>
      <c r="H521" s="4" t="inlineStr"/>
      <c r="I521" s="5" t="n">
        <v>61.95</v>
      </c>
      <c r="J521" s="6" t="n">
        <v>15</v>
      </c>
      <c r="K521" s="7">
        <f>IF(I521="","",I521*(1+J521/100))</f>
        <v/>
      </c>
      <c r="L521" s="5" t="n">
        <v>199</v>
      </c>
      <c r="M521" s="8">
        <f>IF(OR(L521="",K521="",L521=0),"",
  (L521-K521)/L521*100)</f>
        <v/>
      </c>
      <c r="N521" s="14" t="n">
        <v>937</v>
      </c>
      <c r="O521" s="4" t="inlineStr"/>
      <c r="P521" s="4" t="inlineStr"/>
      <c r="Q521" s="4" t="inlineStr"/>
      <c r="R521" s="4" t="inlineStr">
        <is>
          <t>2026-03-12</t>
        </is>
      </c>
      <c r="S521" s="4" t="inlineStr"/>
    </row>
    <row r="522">
      <c r="A522" s="10" t="inlineStr">
        <is>
          <t>F00884</t>
        </is>
      </c>
      <c r="B522" s="10" t="inlineStr">
        <is>
          <t>F00884</t>
        </is>
      </c>
      <c r="C522" s="10" t="inlineStr">
        <is>
          <t>18430</t>
        </is>
      </c>
      <c r="D522" s="10" t="inlineStr">
        <is>
          <t>6009697452844</t>
        </is>
      </c>
      <c r="E522" s="10" t="inlineStr">
        <is>
          <t>LOCK DISCUS 60MM S/STEEL</t>
        </is>
      </c>
      <c r="F522" s="10" t="inlineStr"/>
      <c r="G522" s="10" t="inlineStr"/>
      <c r="H522" s="10" t="inlineStr"/>
      <c r="I522" s="11" t="n">
        <v>26.95</v>
      </c>
      <c r="J522" s="6" t="n">
        <v>15</v>
      </c>
      <c r="K522" s="7">
        <f>IF(I522="","",I522*(1+J522/100))</f>
        <v/>
      </c>
      <c r="L522" s="11" t="n">
        <v>49</v>
      </c>
      <c r="M522" s="8">
        <f>IF(OR(L522="",K522="",L522=0),"",
  (L522-K522)/L522*100)</f>
        <v/>
      </c>
      <c r="N522" s="13" t="n">
        <v>1238</v>
      </c>
      <c r="O522" s="10" t="inlineStr"/>
      <c r="P522" s="10" t="inlineStr"/>
      <c r="Q522" s="10" t="inlineStr"/>
      <c r="R522" s="10" t="inlineStr">
        <is>
          <t>2026-03-12</t>
        </is>
      </c>
      <c r="S522" s="10" t="inlineStr"/>
    </row>
    <row r="523">
      <c r="A523" s="3" t="inlineStr">
        <is>
          <t>F00885</t>
        </is>
      </c>
      <c r="B523" s="4" t="inlineStr">
        <is>
          <t>F00885</t>
        </is>
      </c>
      <c r="C523" s="4" t="inlineStr">
        <is>
          <t>18432</t>
        </is>
      </c>
      <c r="D523" s="4" t="inlineStr">
        <is>
          <t>6009697452851</t>
        </is>
      </c>
      <c r="E523" s="3" t="inlineStr">
        <is>
          <t>LOCK DISCUS 80MM S/STEEL 72/48</t>
        </is>
      </c>
      <c r="F523" s="4" t="inlineStr"/>
      <c r="G523" s="4" t="inlineStr"/>
      <c r="H523" s="4" t="inlineStr"/>
      <c r="I523" s="5" t="n">
        <v>51.95</v>
      </c>
      <c r="J523" s="6" t="n">
        <v>15</v>
      </c>
      <c r="K523" s="7">
        <f>IF(I523="","",I523*(1+J523/100))</f>
        <v/>
      </c>
      <c r="L523" s="5" t="n">
        <v>125</v>
      </c>
      <c r="M523" s="8">
        <f>IF(OR(L523="",K523="",L523=0),"",
  (L523-K523)/L523*100)</f>
        <v/>
      </c>
      <c r="N523" s="14" t="n">
        <v>195</v>
      </c>
      <c r="O523" s="4" t="inlineStr"/>
      <c r="P523" s="4" t="inlineStr"/>
      <c r="Q523" s="4" t="inlineStr"/>
      <c r="R523" s="4" t="inlineStr">
        <is>
          <t>2026-03-12</t>
        </is>
      </c>
      <c r="S523" s="4" t="inlineStr"/>
    </row>
    <row r="524">
      <c r="A524" s="10" t="inlineStr">
        <is>
          <t>F00886</t>
        </is>
      </c>
      <c r="B524" s="10" t="inlineStr">
        <is>
          <t>F00886</t>
        </is>
      </c>
      <c r="C524" s="10" t="inlineStr"/>
      <c r="D524" s="10" t="inlineStr">
        <is>
          <t>6009607011146</t>
        </is>
      </c>
      <c r="E524" s="10" t="inlineStr">
        <is>
          <t>LADDER 3 STEP ALUMINIUM - R-12203P</t>
        </is>
      </c>
      <c r="F524" s="10" t="inlineStr"/>
      <c r="G524" s="10" t="inlineStr"/>
      <c r="H524" s="10" t="inlineStr"/>
      <c r="I524" s="11" t="n">
        <v>245</v>
      </c>
      <c r="J524" s="6" t="n">
        <v>15</v>
      </c>
      <c r="K524" s="7">
        <f>IF(I524="","",I524*(1+J524/100))</f>
        <v/>
      </c>
      <c r="L524" s="12" t="inlineStr"/>
      <c r="M524" s="8">
        <f>IF(OR(L524="",K524="",L524=0),"",
  (L524-K524)/L524*100)</f>
        <v/>
      </c>
      <c r="N524" s="9" t="inlineStr"/>
      <c r="O524" s="10" t="inlineStr"/>
      <c r="P524" s="10" t="inlineStr"/>
      <c r="Q524" s="10" t="inlineStr"/>
      <c r="R524" s="10" t="inlineStr">
        <is>
          <t>2026-03-12</t>
        </is>
      </c>
      <c r="S524" s="10" t="inlineStr"/>
    </row>
    <row r="525">
      <c r="A525" s="3" t="inlineStr">
        <is>
          <t>F00887</t>
        </is>
      </c>
      <c r="B525" s="4" t="inlineStr">
        <is>
          <t>F00887</t>
        </is>
      </c>
      <c r="C525" s="4" t="inlineStr"/>
      <c r="D525" s="4" t="inlineStr">
        <is>
          <t>6009677011153</t>
        </is>
      </c>
      <c r="E525" s="3" t="inlineStr">
        <is>
          <t>LADDER 4 STEP ALUMINIUM DOUBLE SIDED 241</t>
        </is>
      </c>
      <c r="F525" s="4" t="inlineStr"/>
      <c r="G525" s="4" t="inlineStr"/>
      <c r="H525" s="4" t="inlineStr"/>
      <c r="I525" s="5" t="n">
        <v>345.1</v>
      </c>
      <c r="J525" s="6" t="n">
        <v>15</v>
      </c>
      <c r="K525" s="7">
        <f>IF(I525="","",I525*(1+J525/100))</f>
        <v/>
      </c>
      <c r="L525" s="12" t="inlineStr"/>
      <c r="M525" s="8">
        <f>IF(OR(L525="",K525="",L525=0),"",
  (L525-K525)/L525*100)</f>
        <v/>
      </c>
      <c r="N525" s="9" t="inlineStr"/>
      <c r="O525" s="4" t="inlineStr"/>
      <c r="P525" s="4" t="inlineStr"/>
      <c r="Q525" s="4" t="inlineStr"/>
      <c r="R525" s="4" t="inlineStr">
        <is>
          <t>2026-03-12</t>
        </is>
      </c>
      <c r="S525" s="4" t="inlineStr"/>
    </row>
    <row r="526">
      <c r="A526" s="10" t="inlineStr">
        <is>
          <t>F00888</t>
        </is>
      </c>
      <c r="B526" s="10" t="inlineStr">
        <is>
          <t>F00888</t>
        </is>
      </c>
      <c r="C526" s="10" t="inlineStr"/>
      <c r="D526" s="10" t="inlineStr">
        <is>
          <t>6009677011160</t>
        </is>
      </c>
      <c r="E526" s="10" t="inlineStr">
        <is>
          <t>LADDER 5 STEP ALUMINIUM - R-12205P</t>
        </is>
      </c>
      <c r="F526" s="10" t="inlineStr"/>
      <c r="G526" s="10" t="inlineStr"/>
      <c r="H526" s="10" t="inlineStr"/>
      <c r="I526" s="11" t="n">
        <v>345</v>
      </c>
      <c r="J526" s="6" t="n">
        <v>15</v>
      </c>
      <c r="K526" s="7">
        <f>IF(I526="","",I526*(1+J526/100))</f>
        <v/>
      </c>
      <c r="L526" s="12" t="inlineStr"/>
      <c r="M526" s="8">
        <f>IF(OR(L526="",K526="",L526=0),"",
  (L526-K526)/L526*100)</f>
        <v/>
      </c>
      <c r="N526" s="9" t="inlineStr"/>
      <c r="O526" s="10" t="inlineStr"/>
      <c r="P526" s="10" t="inlineStr"/>
      <c r="Q526" s="10" t="inlineStr"/>
      <c r="R526" s="10" t="inlineStr">
        <is>
          <t>2026-03-12</t>
        </is>
      </c>
      <c r="S526" s="10" t="inlineStr"/>
    </row>
    <row r="527">
      <c r="A527" s="3" t="inlineStr">
        <is>
          <t>F00889</t>
        </is>
      </c>
      <c r="B527" s="4" t="inlineStr">
        <is>
          <t>F00889</t>
        </is>
      </c>
      <c r="C527" s="4" t="inlineStr"/>
      <c r="D527" s="4" t="inlineStr">
        <is>
          <t>6009677010309</t>
        </is>
      </c>
      <c r="E527" s="3" t="inlineStr">
        <is>
          <t>LADDER 6 STEP ALUMINIUM DOUBLE SIDED 241</t>
        </is>
      </c>
      <c r="F527" s="4" t="inlineStr"/>
      <c r="G527" s="4" t="inlineStr"/>
      <c r="H527" s="4" t="inlineStr"/>
      <c r="I527" s="5" t="n">
        <v>599</v>
      </c>
      <c r="J527" s="6" t="n">
        <v>15</v>
      </c>
      <c r="K527" s="7">
        <f>IF(I527="","",I527*(1+J527/100))</f>
        <v/>
      </c>
      <c r="L527" s="12" t="inlineStr"/>
      <c r="M527" s="8">
        <f>IF(OR(L527="",K527="",L527=0),"",
  (L527-K527)/L527*100)</f>
        <v/>
      </c>
      <c r="N527" s="9" t="inlineStr"/>
      <c r="O527" s="4" t="inlineStr"/>
      <c r="P527" s="4" t="inlineStr"/>
      <c r="Q527" s="4" t="inlineStr"/>
      <c r="R527" s="4" t="inlineStr">
        <is>
          <t>2026-03-12</t>
        </is>
      </c>
      <c r="S527" s="4" t="inlineStr"/>
    </row>
    <row r="528">
      <c r="A528" s="10" t="inlineStr">
        <is>
          <t>F00890</t>
        </is>
      </c>
      <c r="B528" s="10" t="inlineStr">
        <is>
          <t>F00890</t>
        </is>
      </c>
      <c r="C528" s="10" t="inlineStr"/>
      <c r="D528" s="10" t="inlineStr">
        <is>
          <t>6009677010316</t>
        </is>
      </c>
      <c r="E528" s="10" t="inlineStr">
        <is>
          <t>LADDER 8 STEP ALUMINIUM DOUBLE SIDED 241</t>
        </is>
      </c>
      <c r="F528" s="10" t="inlineStr"/>
      <c r="G528" s="10" t="inlineStr"/>
      <c r="H528" s="10" t="inlineStr"/>
      <c r="I528" s="11" t="n">
        <v>705.3200000000001</v>
      </c>
      <c r="J528" s="6" t="n">
        <v>15</v>
      </c>
      <c r="K528" s="7">
        <f>IF(I528="","",I528*(1+J528/100))</f>
        <v/>
      </c>
      <c r="L528" s="12" t="inlineStr"/>
      <c r="M528" s="8">
        <f>IF(OR(L528="",K528="",L528=0),"",
  (L528-K528)/L528*100)</f>
        <v/>
      </c>
      <c r="N528" s="9" t="inlineStr"/>
      <c r="O528" s="10" t="inlineStr"/>
      <c r="P528" s="10" t="inlineStr"/>
      <c r="Q528" s="10" t="inlineStr"/>
      <c r="R528" s="10" t="inlineStr">
        <is>
          <t>2026-03-12</t>
        </is>
      </c>
      <c r="S528" s="10" t="inlineStr"/>
    </row>
    <row r="529">
      <c r="A529" s="3" t="inlineStr">
        <is>
          <t>F00891</t>
        </is>
      </c>
      <c r="B529" s="4" t="inlineStr">
        <is>
          <t>F00891</t>
        </is>
      </c>
      <c r="C529" s="4" t="inlineStr"/>
      <c r="D529" s="4" t="inlineStr">
        <is>
          <t>6009677010323</t>
        </is>
      </c>
      <c r="E529" s="3" t="inlineStr">
        <is>
          <t>LADDER 10 STEP ALUMINIUM DOUBLE SIDED 24</t>
        </is>
      </c>
      <c r="F529" s="4" t="inlineStr"/>
      <c r="G529" s="4" t="inlineStr"/>
      <c r="H529" s="4" t="inlineStr"/>
      <c r="I529" s="5" t="n">
        <v>899</v>
      </c>
      <c r="J529" s="6" t="n">
        <v>15</v>
      </c>
      <c r="K529" s="7">
        <f>IF(I529="","",I529*(1+J529/100))</f>
        <v/>
      </c>
      <c r="L529" s="12" t="inlineStr"/>
      <c r="M529" s="8">
        <f>IF(OR(L529="",K529="",L529=0),"",
  (L529-K529)/L529*100)</f>
        <v/>
      </c>
      <c r="N529" s="9" t="inlineStr"/>
      <c r="O529" s="4" t="inlineStr"/>
      <c r="P529" s="4" t="inlineStr"/>
      <c r="Q529" s="4" t="inlineStr"/>
      <c r="R529" s="4" t="inlineStr">
        <is>
          <t>2026-03-12</t>
        </is>
      </c>
      <c r="S529" s="4" t="inlineStr"/>
    </row>
    <row r="530">
      <c r="A530" s="10" t="inlineStr">
        <is>
          <t>F00892</t>
        </is>
      </c>
      <c r="B530" s="10" t="inlineStr">
        <is>
          <t>F00892</t>
        </is>
      </c>
      <c r="C530" s="10" t="inlineStr"/>
      <c r="D530" s="10" t="inlineStr">
        <is>
          <t>6009665104492</t>
        </is>
      </c>
      <c r="E530" s="10" t="inlineStr">
        <is>
          <t>PADBOLT 100MM CARDED GALV +SCREWS</t>
        </is>
      </c>
      <c r="F530" s="10" t="inlineStr"/>
      <c r="G530" s="10" t="inlineStr"/>
      <c r="H530" s="10" t="inlineStr"/>
      <c r="I530" s="11" t="n">
        <v>14.95</v>
      </c>
      <c r="J530" s="6" t="n">
        <v>15</v>
      </c>
      <c r="K530" s="7">
        <f>IF(I530="","",I530*(1+J530/100))</f>
        <v/>
      </c>
      <c r="L530" s="12" t="inlineStr"/>
      <c r="M530" s="8">
        <f>IF(OR(L530="",K530="",L530=0),"",
  (L530-K530)/L530*100)</f>
        <v/>
      </c>
      <c r="N530" s="13" t="n">
        <v>1113</v>
      </c>
      <c r="O530" s="10" t="inlineStr"/>
      <c r="P530" s="10" t="inlineStr"/>
      <c r="Q530" s="10" t="inlineStr"/>
      <c r="R530" s="10" t="inlineStr">
        <is>
          <t>2026-03-12</t>
        </is>
      </c>
      <c r="S530" s="10" t="inlineStr"/>
    </row>
    <row r="531">
      <c r="A531" s="3" t="inlineStr">
        <is>
          <t>F00893</t>
        </is>
      </c>
      <c r="B531" s="4" t="inlineStr">
        <is>
          <t>F00893</t>
        </is>
      </c>
      <c r="C531" s="4" t="inlineStr"/>
      <c r="D531" s="4" t="inlineStr">
        <is>
          <t>6009665104508</t>
        </is>
      </c>
      <c r="E531" s="3" t="inlineStr">
        <is>
          <t>PADBOLT 150MM CARDED GALV +SCREWS</t>
        </is>
      </c>
      <c r="F531" s="4" t="inlineStr"/>
      <c r="G531" s="4" t="inlineStr"/>
      <c r="H531" s="4" t="inlineStr"/>
      <c r="I531" s="5" t="n">
        <v>17.95</v>
      </c>
      <c r="J531" s="6" t="n">
        <v>15</v>
      </c>
      <c r="K531" s="7">
        <f>IF(I531="","",I531*(1+J531/100))</f>
        <v/>
      </c>
      <c r="L531" s="12" t="inlineStr"/>
      <c r="M531" s="8">
        <f>IF(OR(L531="",K531="",L531=0),"",
  (L531-K531)/L531*100)</f>
        <v/>
      </c>
      <c r="N531" s="14" t="n">
        <v>3611</v>
      </c>
      <c r="O531" s="4" t="inlineStr"/>
      <c r="P531" s="4" t="inlineStr"/>
      <c r="Q531" s="4" t="inlineStr"/>
      <c r="R531" s="4" t="inlineStr">
        <is>
          <t>2026-03-12</t>
        </is>
      </c>
      <c r="S531" s="4" t="inlineStr"/>
    </row>
    <row r="532">
      <c r="A532" s="10" t="inlineStr">
        <is>
          <t>F00894</t>
        </is>
      </c>
      <c r="B532" s="10" t="inlineStr">
        <is>
          <t>F00894</t>
        </is>
      </c>
      <c r="C532" s="10" t="inlineStr"/>
      <c r="D532" s="10" t="inlineStr">
        <is>
          <t>6009677016325</t>
        </is>
      </c>
      <c r="E532" s="10" t="inlineStr">
        <is>
          <t>PADBOLT 100MM OVAL CARDED GALV +SC</t>
        </is>
      </c>
      <c r="F532" s="10" t="inlineStr"/>
      <c r="G532" s="10" t="inlineStr"/>
      <c r="H532" s="10" t="inlineStr"/>
      <c r="I532" s="11" t="n">
        <v>18.5</v>
      </c>
      <c r="J532" s="6" t="n">
        <v>15</v>
      </c>
      <c r="K532" s="7">
        <f>IF(I532="","",I532*(1+J532/100))</f>
        <v/>
      </c>
      <c r="L532" s="12" t="inlineStr"/>
      <c r="M532" s="8">
        <f>IF(OR(L532="",K532="",L532=0),"",
  (L532-K532)/L532*100)</f>
        <v/>
      </c>
      <c r="N532" s="13" t="n">
        <v>4880</v>
      </c>
      <c r="O532" s="10" t="inlineStr"/>
      <c r="P532" s="10" t="inlineStr"/>
      <c r="Q532" s="10" t="inlineStr"/>
      <c r="R532" s="10" t="inlineStr">
        <is>
          <t>2026-03-12</t>
        </is>
      </c>
      <c r="S532" s="10" t="inlineStr"/>
    </row>
    <row r="533">
      <c r="A533" s="3" t="inlineStr">
        <is>
          <t>F00895</t>
        </is>
      </c>
      <c r="B533" s="4" t="inlineStr">
        <is>
          <t>F00895</t>
        </is>
      </c>
      <c r="C533" s="4" t="inlineStr"/>
      <c r="D533" s="4" t="inlineStr">
        <is>
          <t>6009677016370</t>
        </is>
      </c>
      <c r="E533" s="3" t="inlineStr">
        <is>
          <t>KEYHOLE BLOCKER</t>
        </is>
      </c>
      <c r="F533" s="4" t="inlineStr"/>
      <c r="G533" s="4" t="inlineStr"/>
      <c r="H533" s="4" t="inlineStr"/>
      <c r="I533" s="5" t="n">
        <v>6.18</v>
      </c>
      <c r="J533" s="6" t="n">
        <v>15</v>
      </c>
      <c r="K533" s="7">
        <f>IF(I533="","",I533*(1+J533/100))</f>
        <v/>
      </c>
      <c r="L533" s="12" t="inlineStr"/>
      <c r="M533" s="8">
        <f>IF(OR(L533="",K533="",L533=0),"",
  (L533-K533)/L533*100)</f>
        <v/>
      </c>
      <c r="N533" s="9" t="inlineStr"/>
      <c r="O533" s="4" t="inlineStr"/>
      <c r="P533" s="4" t="inlineStr"/>
      <c r="Q533" s="4" t="inlineStr"/>
      <c r="R533" s="4" t="inlineStr">
        <is>
          <t>2026-03-12</t>
        </is>
      </c>
      <c r="S533" s="4" t="inlineStr"/>
    </row>
    <row r="534">
      <c r="A534" s="10" t="inlineStr">
        <is>
          <t>F00896</t>
        </is>
      </c>
      <c r="B534" s="10" t="inlineStr">
        <is>
          <t>F00896</t>
        </is>
      </c>
      <c r="C534" s="10" t="inlineStr"/>
      <c r="D534" s="10" t="inlineStr">
        <is>
          <t>6009697450093</t>
        </is>
      </c>
      <c r="E534" s="10" t="inlineStr">
        <is>
          <t>RIM NIGHT LATCH #564</t>
        </is>
      </c>
      <c r="F534" s="10" t="inlineStr"/>
      <c r="G534" s="10" t="inlineStr"/>
      <c r="H534" s="10" t="inlineStr"/>
      <c r="I534" s="11" t="n">
        <v>63.95</v>
      </c>
      <c r="J534" s="6" t="n">
        <v>15</v>
      </c>
      <c r="K534" s="7">
        <f>IF(I534="","",I534*(1+J534/100))</f>
        <v/>
      </c>
      <c r="L534" s="12" t="inlineStr"/>
      <c r="M534" s="8">
        <f>IF(OR(L534="",K534="",L534=0),"",
  (L534-K534)/L534*100)</f>
        <v/>
      </c>
      <c r="N534" s="9" t="inlineStr"/>
      <c r="O534" s="10" t="inlineStr"/>
      <c r="P534" s="10" t="inlineStr"/>
      <c r="Q534" s="10" t="inlineStr"/>
      <c r="R534" s="10" t="inlineStr">
        <is>
          <t>2026-03-12</t>
        </is>
      </c>
      <c r="S534" s="10" t="inlineStr"/>
    </row>
    <row r="535">
      <c r="A535" s="3" t="inlineStr">
        <is>
          <t>F00897</t>
        </is>
      </c>
      <c r="B535" s="4" t="inlineStr">
        <is>
          <t>F00897</t>
        </is>
      </c>
      <c r="C535" s="4" t="inlineStr"/>
      <c r="D535" s="4" t="inlineStr">
        <is>
          <t>6006965435561</t>
        </is>
      </c>
      <c r="E535" s="3" t="inlineStr">
        <is>
          <t>LOCK SET CYLINDER BRASS 3L3K</t>
        </is>
      </c>
      <c r="F535" s="4" t="inlineStr"/>
      <c r="G535" s="4" t="inlineStr"/>
      <c r="H535" s="4" t="inlineStr"/>
      <c r="I535" s="5" t="n">
        <v>25.97</v>
      </c>
      <c r="J535" s="6" t="n">
        <v>15</v>
      </c>
      <c r="K535" s="7">
        <f>IF(I535="","",I535*(1+J535/100))</f>
        <v/>
      </c>
      <c r="L535" s="12" t="inlineStr"/>
      <c r="M535" s="8">
        <f>IF(OR(L535="",K535="",L535=0),"",
  (L535-K535)/L535*100)</f>
        <v/>
      </c>
      <c r="N535" s="9" t="inlineStr"/>
      <c r="O535" s="4" t="inlineStr"/>
      <c r="P535" s="4" t="inlineStr"/>
      <c r="Q535" s="4" t="inlineStr"/>
      <c r="R535" s="4" t="inlineStr">
        <is>
          <t>2026-03-12</t>
        </is>
      </c>
      <c r="S535" s="4" t="inlineStr"/>
    </row>
    <row r="536">
      <c r="A536" s="10" t="inlineStr">
        <is>
          <t>F00898</t>
        </is>
      </c>
      <c r="B536" s="10" t="inlineStr">
        <is>
          <t>F00898</t>
        </is>
      </c>
      <c r="C536" s="10" t="inlineStr"/>
      <c r="D536" s="10" t="inlineStr">
        <is>
          <t>6006965435554</t>
        </is>
      </c>
      <c r="E536" s="10" t="inlineStr">
        <is>
          <t>LOCK SET CYLINDER CHROME</t>
        </is>
      </c>
      <c r="F536" s="10" t="inlineStr"/>
      <c r="G536" s="10" t="inlineStr"/>
      <c r="H536" s="10" t="inlineStr"/>
      <c r="I536" s="11" t="n">
        <v>34.95</v>
      </c>
      <c r="J536" s="6" t="n">
        <v>15</v>
      </c>
      <c r="K536" s="7">
        <f>IF(I536="","",I536*(1+J536/100))</f>
        <v/>
      </c>
      <c r="L536" s="12" t="inlineStr"/>
      <c r="M536" s="8">
        <f>IF(OR(L536="",K536="",L536=0),"",
  (L536-K536)/L536*100)</f>
        <v/>
      </c>
      <c r="N536" s="9" t="inlineStr"/>
      <c r="O536" s="10" t="inlineStr"/>
      <c r="P536" s="10" t="inlineStr"/>
      <c r="Q536" s="10" t="inlineStr"/>
      <c r="R536" s="10" t="inlineStr">
        <is>
          <t>2026-03-12</t>
        </is>
      </c>
      <c r="S536" s="10" t="inlineStr"/>
    </row>
    <row r="537">
      <c r="A537" s="3" t="inlineStr">
        <is>
          <t>F00899</t>
        </is>
      </c>
      <c r="B537" s="4" t="inlineStr">
        <is>
          <t>F00899</t>
        </is>
      </c>
      <c r="C537" s="4" t="inlineStr"/>
      <c r="D537" s="4" t="inlineStr">
        <is>
          <t>6009697454664</t>
        </is>
      </c>
      <c r="E537" s="3" t="inlineStr">
        <is>
          <t>NAILS 2.5"COMMON BULK 25KG 63MM</t>
        </is>
      </c>
      <c r="F537" s="4" t="inlineStr"/>
      <c r="G537" s="4" t="inlineStr"/>
      <c r="H537" s="4" t="inlineStr"/>
      <c r="I537" s="5" t="n">
        <v>250</v>
      </c>
      <c r="J537" s="6" t="n">
        <v>15</v>
      </c>
      <c r="K537" s="7">
        <f>IF(I537="","",I537*(1+J537/100))</f>
        <v/>
      </c>
      <c r="L537" s="12" t="inlineStr"/>
      <c r="M537" s="8">
        <f>IF(OR(L537="",K537="",L537=0),"",
  (L537-K537)/L537*100)</f>
        <v/>
      </c>
      <c r="N537" s="9" t="inlineStr"/>
      <c r="O537" s="4" t="inlineStr"/>
      <c r="P537" s="4" t="inlineStr"/>
      <c r="Q537" s="4" t="inlineStr"/>
      <c r="R537" s="4" t="inlineStr">
        <is>
          <t>2026-03-12</t>
        </is>
      </c>
      <c r="S537" s="4" t="inlineStr"/>
    </row>
    <row r="538">
      <c r="A538" s="10" t="inlineStr">
        <is>
          <t>F00900</t>
        </is>
      </c>
      <c r="B538" s="10" t="inlineStr">
        <is>
          <t>F00900</t>
        </is>
      </c>
      <c r="C538" s="10" t="inlineStr"/>
      <c r="D538" s="10" t="inlineStr"/>
      <c r="E538" s="10" t="inlineStr">
        <is>
          <t>NAILS 3"COMMON  BULK 25KG 75MM</t>
        </is>
      </c>
      <c r="F538" s="10" t="inlineStr"/>
      <c r="G538" s="10" t="inlineStr"/>
      <c r="H538" s="10" t="inlineStr"/>
      <c r="I538" s="11" t="n">
        <v>225</v>
      </c>
      <c r="J538" s="6" t="n">
        <v>15</v>
      </c>
      <c r="K538" s="7">
        <f>IF(I538="","",I538*(1+J538/100))</f>
        <v/>
      </c>
      <c r="L538" s="12" t="inlineStr"/>
      <c r="M538" s="8">
        <f>IF(OR(L538="",K538="",L538=0),"",
  (L538-K538)/L538*100)</f>
        <v/>
      </c>
      <c r="N538" s="9" t="inlineStr"/>
      <c r="O538" s="10" t="inlineStr"/>
      <c r="P538" s="10" t="inlineStr"/>
      <c r="Q538" s="10" t="inlineStr"/>
      <c r="R538" s="10" t="inlineStr">
        <is>
          <t>2026-03-12</t>
        </is>
      </c>
      <c r="S538" s="10" t="inlineStr"/>
    </row>
    <row r="539">
      <c r="A539" s="3" t="inlineStr">
        <is>
          <t>F00901</t>
        </is>
      </c>
      <c r="B539" s="4" t="inlineStr">
        <is>
          <t>F00901</t>
        </is>
      </c>
      <c r="C539" s="4" t="inlineStr"/>
      <c r="D539" s="4" t="inlineStr"/>
      <c r="E539" s="3" t="inlineStr">
        <is>
          <t>NAILS 4"COMMON BULK 25KG 90MM</t>
        </is>
      </c>
      <c r="F539" s="4" t="inlineStr"/>
      <c r="G539" s="4" t="inlineStr"/>
      <c r="H539" s="4" t="inlineStr"/>
      <c r="I539" s="5" t="n">
        <v>225</v>
      </c>
      <c r="J539" s="6" t="n">
        <v>15</v>
      </c>
      <c r="K539" s="7">
        <f>IF(I539="","",I539*(1+J539/100))</f>
        <v/>
      </c>
      <c r="L539" s="12" t="inlineStr"/>
      <c r="M539" s="8">
        <f>IF(OR(L539="",K539="",L539=0),"",
  (L539-K539)/L539*100)</f>
        <v/>
      </c>
      <c r="N539" s="9" t="inlineStr"/>
      <c r="O539" s="4" t="inlineStr"/>
      <c r="P539" s="4" t="inlineStr"/>
      <c r="Q539" s="4" t="inlineStr"/>
      <c r="R539" s="4" t="inlineStr">
        <is>
          <t>2026-03-12</t>
        </is>
      </c>
      <c r="S539" s="4" t="inlineStr"/>
    </row>
    <row r="540">
      <c r="A540" s="10" t="inlineStr">
        <is>
          <t>F00902</t>
        </is>
      </c>
      <c r="B540" s="10" t="inlineStr">
        <is>
          <t>F00902</t>
        </is>
      </c>
      <c r="C540" s="10" t="inlineStr"/>
      <c r="D540" s="10" t="inlineStr">
        <is>
          <t>6009697454695</t>
        </is>
      </c>
      <c r="E540" s="10" t="inlineStr">
        <is>
          <t>NAILS 5" COMON BULK 25KG 120MM</t>
        </is>
      </c>
      <c r="F540" s="10" t="inlineStr"/>
      <c r="G540" s="10" t="inlineStr"/>
      <c r="H540" s="10" t="inlineStr"/>
      <c r="I540" s="11" t="n">
        <v>235</v>
      </c>
      <c r="J540" s="6" t="n">
        <v>15</v>
      </c>
      <c r="K540" s="7">
        <f>IF(I540="","",I540*(1+J540/100))</f>
        <v/>
      </c>
      <c r="L540" s="12" t="inlineStr"/>
      <c r="M540" s="8">
        <f>IF(OR(L540="",K540="",L540=0),"",
  (L540-K540)/L540*100)</f>
        <v/>
      </c>
      <c r="N540" s="9" t="inlineStr"/>
      <c r="O540" s="10" t="inlineStr"/>
      <c r="P540" s="10" t="inlineStr"/>
      <c r="Q540" s="10" t="inlineStr"/>
      <c r="R540" s="10" t="inlineStr">
        <is>
          <t>2026-03-12</t>
        </is>
      </c>
      <c r="S540" s="10" t="inlineStr"/>
    </row>
    <row r="541">
      <c r="A541" s="3" t="inlineStr">
        <is>
          <t>F00903</t>
        </is>
      </c>
      <c r="B541" s="4" t="inlineStr">
        <is>
          <t>F00903</t>
        </is>
      </c>
      <c r="C541" s="4" t="inlineStr"/>
      <c r="D541" s="4" t="inlineStr">
        <is>
          <t>6009697454671</t>
        </is>
      </c>
      <c r="E541" s="3" t="inlineStr">
        <is>
          <t>NAIL 3" COMON 25KG P/PACK 75MM</t>
        </is>
      </c>
      <c r="F541" s="4" t="inlineStr"/>
      <c r="G541" s="4" t="inlineStr"/>
      <c r="H541" s="4" t="inlineStr"/>
      <c r="I541" s="5" t="n">
        <v>239</v>
      </c>
      <c r="J541" s="6" t="n">
        <v>15</v>
      </c>
      <c r="K541" s="7">
        <f>IF(I541="","",I541*(1+J541/100))</f>
        <v/>
      </c>
      <c r="L541" s="12" t="inlineStr"/>
      <c r="M541" s="8">
        <f>IF(OR(L541="",K541="",L541=0),"",
  (L541-K541)/L541*100)</f>
        <v/>
      </c>
      <c r="N541" s="9" t="inlineStr"/>
      <c r="O541" s="4" t="inlineStr"/>
      <c r="P541" s="4" t="inlineStr"/>
      <c r="Q541" s="4" t="inlineStr"/>
      <c r="R541" s="4" t="inlineStr">
        <is>
          <t>2026-03-12</t>
        </is>
      </c>
      <c r="S541" s="4" t="inlineStr"/>
    </row>
    <row r="542">
      <c r="A542" s="10" t="inlineStr">
        <is>
          <t>F00904</t>
        </is>
      </c>
      <c r="B542" s="10" t="inlineStr">
        <is>
          <t>F00904</t>
        </is>
      </c>
      <c r="C542" s="10" t="inlineStr"/>
      <c r="D542" s="10" t="inlineStr">
        <is>
          <t>6009697454688</t>
        </is>
      </c>
      <c r="E542" s="10" t="inlineStr">
        <is>
          <t>NAIL 4" COMON 25KG P/PACK 90MM</t>
        </is>
      </c>
      <c r="F542" s="10" t="inlineStr"/>
      <c r="G542" s="10" t="inlineStr"/>
      <c r="H542" s="10" t="inlineStr"/>
      <c r="I542" s="11" t="n">
        <v>239</v>
      </c>
      <c r="J542" s="6" t="n">
        <v>15</v>
      </c>
      <c r="K542" s="7">
        <f>IF(I542="","",I542*(1+J542/100))</f>
        <v/>
      </c>
      <c r="L542" s="12" t="inlineStr"/>
      <c r="M542" s="8">
        <f>IF(OR(L542="",K542="",L542=0),"",
  (L542-K542)/L542*100)</f>
        <v/>
      </c>
      <c r="N542" s="9" t="inlineStr"/>
      <c r="O542" s="10" t="inlineStr"/>
      <c r="P542" s="10" t="inlineStr"/>
      <c r="Q542" s="10" t="inlineStr"/>
      <c r="R542" s="10" t="inlineStr">
        <is>
          <t>2026-03-12</t>
        </is>
      </c>
      <c r="S542" s="10" t="inlineStr"/>
    </row>
    <row r="543">
      <c r="A543" s="3" t="inlineStr">
        <is>
          <t>F00905</t>
        </is>
      </c>
      <c r="B543" s="4" t="inlineStr">
        <is>
          <t>F00905</t>
        </is>
      </c>
      <c r="C543" s="4" t="inlineStr"/>
      <c r="D543" s="4" t="inlineStr">
        <is>
          <t>6009697455913</t>
        </is>
      </c>
      <c r="E543" s="3" t="inlineStr">
        <is>
          <t>NAIL 1" COMON 25KG P/PACK 25MM</t>
        </is>
      </c>
      <c r="F543" s="4" t="inlineStr"/>
      <c r="G543" s="4" t="inlineStr"/>
      <c r="H543" s="4" t="inlineStr"/>
      <c r="I543" s="5" t="n">
        <v>259</v>
      </c>
      <c r="J543" s="6" t="n">
        <v>15</v>
      </c>
      <c r="K543" s="7">
        <f>IF(I543="","",I543*(1+J543/100))</f>
        <v/>
      </c>
      <c r="L543" s="12" t="inlineStr"/>
      <c r="M543" s="8">
        <f>IF(OR(L543="",K543="",L543=0),"",
  (L543-K543)/L543*100)</f>
        <v/>
      </c>
      <c r="N543" s="9" t="inlineStr"/>
      <c r="O543" s="4" t="inlineStr"/>
      <c r="P543" s="4" t="inlineStr"/>
      <c r="Q543" s="4" t="inlineStr"/>
      <c r="R543" s="4" t="inlineStr">
        <is>
          <t>2026-03-12</t>
        </is>
      </c>
      <c r="S543" s="4" t="inlineStr"/>
    </row>
    <row r="544">
      <c r="A544" s="10" t="inlineStr">
        <is>
          <t>F00906</t>
        </is>
      </c>
      <c r="B544" s="10" t="inlineStr">
        <is>
          <t>F00906</t>
        </is>
      </c>
      <c r="C544" s="10" t="inlineStr"/>
      <c r="D544" s="10" t="inlineStr">
        <is>
          <t>6009697455920</t>
        </is>
      </c>
      <c r="E544" s="10" t="inlineStr">
        <is>
          <t>NAIL 1.5" COMON 25KG P/PACK 40</t>
        </is>
      </c>
      <c r="F544" s="10" t="inlineStr"/>
      <c r="G544" s="10" t="inlineStr"/>
      <c r="H544" s="10" t="inlineStr"/>
      <c r="I544" s="11" t="n">
        <v>249</v>
      </c>
      <c r="J544" s="6" t="n">
        <v>15</v>
      </c>
      <c r="K544" s="7">
        <f>IF(I544="","",I544*(1+J544/100))</f>
        <v/>
      </c>
      <c r="L544" s="12" t="inlineStr"/>
      <c r="M544" s="8">
        <f>IF(OR(L544="",K544="",L544=0),"",
  (L544-K544)/L544*100)</f>
        <v/>
      </c>
      <c r="N544" s="9" t="inlineStr"/>
      <c r="O544" s="10" t="inlineStr"/>
      <c r="P544" s="10" t="inlineStr"/>
      <c r="Q544" s="10" t="inlineStr"/>
      <c r="R544" s="10" t="inlineStr">
        <is>
          <t>2026-03-12</t>
        </is>
      </c>
      <c r="S544" s="10" t="inlineStr"/>
    </row>
    <row r="545">
      <c r="A545" s="3" t="inlineStr">
        <is>
          <t>F00907</t>
        </is>
      </c>
      <c r="B545" s="4" t="inlineStr">
        <is>
          <t>F00907</t>
        </is>
      </c>
      <c r="C545" s="4" t="inlineStr"/>
      <c r="D545" s="4" t="inlineStr">
        <is>
          <t>6009697455937</t>
        </is>
      </c>
      <c r="E545" s="3" t="inlineStr">
        <is>
          <t>NAIL 2" COMON 25KG P/PACK 50MM</t>
        </is>
      </c>
      <c r="F545" s="4" t="inlineStr"/>
      <c r="G545" s="4" t="inlineStr"/>
      <c r="H545" s="4" t="inlineStr"/>
      <c r="I545" s="5" t="n">
        <v>259</v>
      </c>
      <c r="J545" s="6" t="n">
        <v>15</v>
      </c>
      <c r="K545" s="7">
        <f>IF(I545="","",I545*(1+J545/100))</f>
        <v/>
      </c>
      <c r="L545" s="12" t="inlineStr"/>
      <c r="M545" s="8">
        <f>IF(OR(L545="",K545="",L545=0),"",
  (L545-K545)/L545*100)</f>
        <v/>
      </c>
      <c r="N545" s="9" t="inlineStr"/>
      <c r="O545" s="4" t="inlineStr"/>
      <c r="P545" s="4" t="inlineStr"/>
      <c r="Q545" s="4" t="inlineStr"/>
      <c r="R545" s="4" t="inlineStr">
        <is>
          <t>2026-03-12</t>
        </is>
      </c>
      <c r="S545" s="4" t="inlineStr"/>
    </row>
    <row r="546">
      <c r="A546" s="10" t="inlineStr">
        <is>
          <t>F00908</t>
        </is>
      </c>
      <c r="B546" s="10" t="inlineStr">
        <is>
          <t>F00908</t>
        </is>
      </c>
      <c r="C546" s="10" t="inlineStr"/>
      <c r="D546" s="10" t="inlineStr">
        <is>
          <t>6009697455951</t>
        </is>
      </c>
      <c r="E546" s="10" t="inlineStr">
        <is>
          <t>NAIL 2.5" COMON 25KG P/PACK 63</t>
        </is>
      </c>
      <c r="F546" s="10" t="inlineStr"/>
      <c r="G546" s="10" t="inlineStr"/>
      <c r="H546" s="10" t="inlineStr"/>
      <c r="I546" s="11" t="n">
        <v>259</v>
      </c>
      <c r="J546" s="6" t="n">
        <v>15</v>
      </c>
      <c r="K546" s="7">
        <f>IF(I546="","",I546*(1+J546/100))</f>
        <v/>
      </c>
      <c r="L546" s="12" t="inlineStr"/>
      <c r="M546" s="8">
        <f>IF(OR(L546="",K546="",L546=0),"",
  (L546-K546)/L546*100)</f>
        <v/>
      </c>
      <c r="N546" s="9" t="inlineStr"/>
      <c r="O546" s="10" t="inlineStr"/>
      <c r="P546" s="10" t="inlineStr"/>
      <c r="Q546" s="10" t="inlineStr"/>
      <c r="R546" s="10" t="inlineStr">
        <is>
          <t>2026-03-12</t>
        </is>
      </c>
      <c r="S546" s="10" t="inlineStr"/>
    </row>
    <row r="547">
      <c r="A547" s="3" t="inlineStr">
        <is>
          <t>F00909</t>
        </is>
      </c>
      <c r="B547" s="4" t="inlineStr">
        <is>
          <t>F00909</t>
        </is>
      </c>
      <c r="C547" s="4" t="inlineStr"/>
      <c r="D547" s="4" t="inlineStr">
        <is>
          <t>6009697455975</t>
        </is>
      </c>
      <c r="E547" s="3" t="inlineStr">
        <is>
          <t>NAIL 5" COMON 25KG P/PACK 120M</t>
        </is>
      </c>
      <c r="F547" s="4" t="inlineStr"/>
      <c r="G547" s="4" t="inlineStr"/>
      <c r="H547" s="4" t="inlineStr"/>
      <c r="I547" s="5" t="n">
        <v>259</v>
      </c>
      <c r="J547" s="6" t="n">
        <v>15</v>
      </c>
      <c r="K547" s="7">
        <f>IF(I547="","",I547*(1+J547/100))</f>
        <v/>
      </c>
      <c r="L547" s="12" t="inlineStr"/>
      <c r="M547" s="8">
        <f>IF(OR(L547="",K547="",L547=0),"",
  (L547-K547)/L547*100)</f>
        <v/>
      </c>
      <c r="N547" s="9" t="inlineStr"/>
      <c r="O547" s="4" t="inlineStr"/>
      <c r="P547" s="4" t="inlineStr"/>
      <c r="Q547" s="4" t="inlineStr"/>
      <c r="R547" s="4" t="inlineStr">
        <is>
          <t>2026-03-12</t>
        </is>
      </c>
      <c r="S547" s="4" t="inlineStr"/>
    </row>
    <row r="548">
      <c r="A548" s="10" t="inlineStr">
        <is>
          <t>F00910</t>
        </is>
      </c>
      <c r="B548" s="10" t="inlineStr">
        <is>
          <t>F00910</t>
        </is>
      </c>
      <c r="C548" s="10" t="inlineStr"/>
      <c r="D548" s="10" t="inlineStr"/>
      <c r="E548" s="10" t="inlineStr">
        <is>
          <t>NAILS 1" COMON BULK 25KG 25MM</t>
        </is>
      </c>
      <c r="F548" s="10" t="inlineStr"/>
      <c r="G548" s="10" t="inlineStr"/>
      <c r="H548" s="10" t="inlineStr"/>
      <c r="I548" s="11" t="n">
        <v>275</v>
      </c>
      <c r="J548" s="6" t="n">
        <v>15</v>
      </c>
      <c r="K548" s="7">
        <f>IF(I548="","",I548*(1+J548/100))</f>
        <v/>
      </c>
      <c r="L548" s="12" t="inlineStr"/>
      <c r="M548" s="8">
        <f>IF(OR(L548="",K548="",L548=0),"",
  (L548-K548)/L548*100)</f>
        <v/>
      </c>
      <c r="N548" s="9" t="inlineStr"/>
      <c r="O548" s="10" t="inlineStr"/>
      <c r="P548" s="10" t="inlineStr"/>
      <c r="Q548" s="10" t="inlineStr"/>
      <c r="R548" s="10" t="inlineStr">
        <is>
          <t>2026-03-12</t>
        </is>
      </c>
      <c r="S548" s="10" t="inlineStr"/>
    </row>
    <row r="549">
      <c r="A549" s="3" t="inlineStr">
        <is>
          <t>F00911</t>
        </is>
      </c>
      <c r="B549" s="4" t="inlineStr">
        <is>
          <t>F00911</t>
        </is>
      </c>
      <c r="C549" s="4" t="inlineStr"/>
      <c r="D549" s="4" t="inlineStr"/>
      <c r="E549" s="3" t="inlineStr">
        <is>
          <t>NAILS1.5"COMON BULK 25KG 40MM</t>
        </is>
      </c>
      <c r="F549" s="4" t="inlineStr"/>
      <c r="G549" s="4" t="inlineStr"/>
      <c r="H549" s="4" t="inlineStr"/>
      <c r="I549" s="5" t="n">
        <v>265</v>
      </c>
      <c r="J549" s="6" t="n">
        <v>15</v>
      </c>
      <c r="K549" s="7">
        <f>IF(I549="","",I549*(1+J549/100))</f>
        <v/>
      </c>
      <c r="L549" s="12" t="inlineStr"/>
      <c r="M549" s="8">
        <f>IF(OR(L549="",K549="",L549=0),"",
  (L549-K549)/L549*100)</f>
        <v/>
      </c>
      <c r="N549" s="9" t="inlineStr"/>
      <c r="O549" s="4" t="inlineStr"/>
      <c r="P549" s="4" t="inlineStr"/>
      <c r="Q549" s="4" t="inlineStr"/>
      <c r="R549" s="4" t="inlineStr">
        <is>
          <t>2026-03-12</t>
        </is>
      </c>
      <c r="S549" s="4" t="inlineStr"/>
    </row>
    <row r="550">
      <c r="A550" s="10" t="inlineStr">
        <is>
          <t>F00912</t>
        </is>
      </c>
      <c r="B550" s="10" t="inlineStr">
        <is>
          <t>F00912</t>
        </is>
      </c>
      <c r="C550" s="10" t="inlineStr"/>
      <c r="D550" s="10" t="inlineStr"/>
      <c r="E550" s="10" t="inlineStr">
        <is>
          <t>NAILS 2" COMMON BULK25KG 50MM</t>
        </is>
      </c>
      <c r="F550" s="10" t="inlineStr"/>
      <c r="G550" s="10" t="inlineStr"/>
      <c r="H550" s="10" t="inlineStr"/>
      <c r="I550" s="11" t="n">
        <v>255</v>
      </c>
      <c r="J550" s="6" t="n">
        <v>15</v>
      </c>
      <c r="K550" s="7">
        <f>IF(I550="","",I550*(1+J550/100))</f>
        <v/>
      </c>
      <c r="L550" s="12" t="inlineStr"/>
      <c r="M550" s="8">
        <f>IF(OR(L550="",K550="",L550=0),"",
  (L550-K550)/L550*100)</f>
        <v/>
      </c>
      <c r="N550" s="9" t="inlineStr"/>
      <c r="O550" s="10" t="inlineStr"/>
      <c r="P550" s="10" t="inlineStr"/>
      <c r="Q550" s="10" t="inlineStr"/>
      <c r="R550" s="10" t="inlineStr">
        <is>
          <t>2026-03-12</t>
        </is>
      </c>
      <c r="S550" s="10" t="inlineStr"/>
    </row>
    <row r="551">
      <c r="A551" s="3" t="inlineStr">
        <is>
          <t>F00913</t>
        </is>
      </c>
      <c r="B551" s="4" t="inlineStr">
        <is>
          <t>F00913</t>
        </is>
      </c>
      <c r="C551" s="4" t="inlineStr">
        <is>
          <t>20649</t>
        </is>
      </c>
      <c r="D551" s="4" t="inlineStr">
        <is>
          <t>6001023604088</t>
        </is>
      </c>
      <c r="E551" s="3" t="inlineStr">
        <is>
          <t>SCREWDRIVER 6 PCS - SC-3901</t>
        </is>
      </c>
      <c r="F551" s="4" t="inlineStr"/>
      <c r="G551" s="4" t="inlineStr"/>
      <c r="H551" s="4" t="inlineStr"/>
      <c r="I551" s="5" t="n">
        <v>79.95</v>
      </c>
      <c r="J551" s="6" t="n">
        <v>15</v>
      </c>
      <c r="K551" s="7">
        <f>IF(I551="","",I551*(1+J551/100))</f>
        <v/>
      </c>
      <c r="L551" s="5" t="n">
        <v>250</v>
      </c>
      <c r="M551" s="8">
        <f>IF(OR(L551="",K551="",L551=0),"",
  (L551-K551)/L551*100)</f>
        <v/>
      </c>
      <c r="N551" s="14" t="n">
        <v>57</v>
      </c>
      <c r="O551" s="4" t="inlineStr"/>
      <c r="P551" s="4" t="inlineStr"/>
      <c r="Q551" s="4" t="inlineStr"/>
      <c r="R551" s="4" t="inlineStr">
        <is>
          <t>2026-03-12</t>
        </is>
      </c>
      <c r="S551" s="4" t="inlineStr"/>
    </row>
    <row r="552">
      <c r="A552" s="10" t="inlineStr">
        <is>
          <t>F00914</t>
        </is>
      </c>
      <c r="B552" s="10" t="inlineStr">
        <is>
          <t>F00914</t>
        </is>
      </c>
      <c r="C552" s="10" t="inlineStr">
        <is>
          <t>9949</t>
        </is>
      </c>
      <c r="D552" s="10" t="inlineStr">
        <is>
          <t>6009677014666</t>
        </is>
      </c>
      <c r="E552" s="10" t="inlineStr">
        <is>
          <t>PLIER COMBINATION 6"</t>
        </is>
      </c>
      <c r="F552" s="10" t="inlineStr"/>
      <c r="G552" s="10" t="inlineStr"/>
      <c r="H552" s="10" t="inlineStr"/>
      <c r="I552" s="11" t="n">
        <v>29.95</v>
      </c>
      <c r="J552" s="6" t="n">
        <v>15</v>
      </c>
      <c r="K552" s="7">
        <f>IF(I552="","",I552*(1+J552/100))</f>
        <v/>
      </c>
      <c r="L552" s="11" t="n">
        <v>220</v>
      </c>
      <c r="M552" s="8">
        <f>IF(OR(L552="",K552="",L552=0),"",
  (L552-K552)/L552*100)</f>
        <v/>
      </c>
      <c r="N552" s="13" t="n">
        <v>378</v>
      </c>
      <c r="O552" s="10" t="inlineStr"/>
      <c r="P552" s="10" t="inlineStr"/>
      <c r="Q552" s="10" t="inlineStr"/>
      <c r="R552" s="10" t="inlineStr">
        <is>
          <t>2026-03-12</t>
        </is>
      </c>
      <c r="S552" s="10" t="inlineStr"/>
    </row>
    <row r="553">
      <c r="A553" s="3" t="inlineStr">
        <is>
          <t>F00915</t>
        </is>
      </c>
      <c r="B553" s="4" t="inlineStr">
        <is>
          <t>F00915</t>
        </is>
      </c>
      <c r="C553" s="4" t="inlineStr"/>
      <c r="D553" s="4" t="inlineStr">
        <is>
          <t>6009677014673</t>
        </is>
      </c>
      <c r="E553" s="3" t="inlineStr">
        <is>
          <t>PLIER COMBINATION 7" -</t>
        </is>
      </c>
      <c r="F553" s="4" t="inlineStr"/>
      <c r="G553" s="4" t="inlineStr"/>
      <c r="H553" s="4" t="inlineStr"/>
      <c r="I553" s="5" t="n">
        <v>9.949999999999999</v>
      </c>
      <c r="J553" s="6" t="n">
        <v>15</v>
      </c>
      <c r="K553" s="7">
        <f>IF(I553="","",I553*(1+J553/100))</f>
        <v/>
      </c>
      <c r="L553" s="12" t="inlineStr"/>
      <c r="M553" s="8">
        <f>IF(OR(L553="",K553="",L553=0),"",
  (L553-K553)/L553*100)</f>
        <v/>
      </c>
      <c r="N553" s="9" t="inlineStr"/>
      <c r="O553" s="4" t="inlineStr"/>
      <c r="P553" s="4" t="inlineStr"/>
      <c r="Q553" s="4" t="inlineStr"/>
      <c r="R553" s="4" t="inlineStr">
        <is>
          <t>2026-03-12</t>
        </is>
      </c>
      <c r="S553" s="4" t="inlineStr"/>
    </row>
    <row r="554">
      <c r="A554" s="10" t="inlineStr">
        <is>
          <t>F00916</t>
        </is>
      </c>
      <c r="B554" s="10" t="inlineStr">
        <is>
          <t>F00916</t>
        </is>
      </c>
      <c r="C554" s="10" t="inlineStr">
        <is>
          <t>9948</t>
        </is>
      </c>
      <c r="D554" s="10" t="inlineStr">
        <is>
          <t>6009677014673</t>
        </is>
      </c>
      <c r="E554" s="10" t="inlineStr">
        <is>
          <t>PLIER COMBINATION 8" -</t>
        </is>
      </c>
      <c r="F554" s="10" t="inlineStr"/>
      <c r="G554" s="10" t="inlineStr"/>
      <c r="H554" s="10" t="inlineStr"/>
      <c r="I554" s="11" t="n">
        <v>43.95</v>
      </c>
      <c r="J554" s="6" t="n">
        <v>15</v>
      </c>
      <c r="K554" s="7">
        <f>IF(I554="","",I554*(1+J554/100))</f>
        <v/>
      </c>
      <c r="L554" s="11" t="n">
        <v>200</v>
      </c>
      <c r="M554" s="8">
        <f>IF(OR(L554="",K554="",L554=0),"",
  (L554-K554)/L554*100)</f>
        <v/>
      </c>
      <c r="N554" s="13" t="n">
        <v>355</v>
      </c>
      <c r="O554" s="10" t="inlineStr"/>
      <c r="P554" s="10" t="inlineStr"/>
      <c r="Q554" s="10" t="inlineStr"/>
      <c r="R554" s="10" t="inlineStr">
        <is>
          <t>2026-03-12</t>
        </is>
      </c>
      <c r="S554" s="10" t="inlineStr"/>
    </row>
    <row r="555">
      <c r="A555" s="3" t="inlineStr">
        <is>
          <t>F00917</t>
        </is>
      </c>
      <c r="B555" s="4" t="inlineStr">
        <is>
          <t>F00917</t>
        </is>
      </c>
      <c r="C555" s="4" t="inlineStr">
        <is>
          <t>9953</t>
        </is>
      </c>
      <c r="D555" s="4" t="inlineStr">
        <is>
          <t>6009677014635</t>
        </is>
      </c>
      <c r="E555" s="3" t="inlineStr">
        <is>
          <t>PLIER SIDE CUTTER 6"</t>
        </is>
      </c>
      <c r="F555" s="4" t="inlineStr"/>
      <c r="G555" s="4" t="inlineStr"/>
      <c r="H555" s="4" t="inlineStr"/>
      <c r="I555" s="5" t="n">
        <v>31.95</v>
      </c>
      <c r="J555" s="6" t="n">
        <v>15</v>
      </c>
      <c r="K555" s="7">
        <f>IF(I555="","",I555*(1+J555/100))</f>
        <v/>
      </c>
      <c r="L555" s="5" t="n">
        <v>220</v>
      </c>
      <c r="M555" s="8">
        <f>IF(OR(L555="",K555="",L555=0),"",
  (L555-K555)/L555*100)</f>
        <v/>
      </c>
      <c r="N555" s="14" t="n">
        <v>400</v>
      </c>
      <c r="O555" s="4" t="inlineStr"/>
      <c r="P555" s="4" t="inlineStr"/>
      <c r="Q555" s="4" t="inlineStr"/>
      <c r="R555" s="4" t="inlineStr">
        <is>
          <t>2026-03-12</t>
        </is>
      </c>
      <c r="S555" s="4" t="inlineStr"/>
    </row>
    <row r="556">
      <c r="A556" s="10" t="inlineStr">
        <is>
          <t>F00918</t>
        </is>
      </c>
      <c r="B556" s="10" t="inlineStr">
        <is>
          <t>F00918</t>
        </is>
      </c>
      <c r="C556" s="10" t="inlineStr"/>
      <c r="D556" s="10" t="inlineStr">
        <is>
          <t>6009705656179</t>
        </is>
      </c>
      <c r="E556" s="10" t="inlineStr">
        <is>
          <t>PLIER SIDE CUTTER 7" -</t>
        </is>
      </c>
      <c r="F556" s="10" t="inlineStr"/>
      <c r="G556" s="10" t="inlineStr"/>
      <c r="H556" s="10" t="inlineStr"/>
      <c r="I556" s="11" t="n">
        <v>9.949999999999999</v>
      </c>
      <c r="J556" s="6" t="n">
        <v>15</v>
      </c>
      <c r="K556" s="7">
        <f>IF(I556="","",I556*(1+J556/100))</f>
        <v/>
      </c>
      <c r="L556" s="12" t="inlineStr"/>
      <c r="M556" s="8">
        <f>IF(OR(L556="",K556="",L556=0),"",
  (L556-K556)/L556*100)</f>
        <v/>
      </c>
      <c r="N556" s="9" t="inlineStr"/>
      <c r="O556" s="10" t="inlineStr"/>
      <c r="P556" s="10" t="inlineStr"/>
      <c r="Q556" s="10" t="inlineStr"/>
      <c r="R556" s="10" t="inlineStr">
        <is>
          <t>2026-03-12</t>
        </is>
      </c>
      <c r="S556" s="10" t="inlineStr"/>
    </row>
    <row r="557">
      <c r="A557" s="3" t="inlineStr">
        <is>
          <t>F00919</t>
        </is>
      </c>
      <c r="B557" s="4" t="inlineStr">
        <is>
          <t>F00919</t>
        </is>
      </c>
      <c r="C557" s="4" t="inlineStr">
        <is>
          <t>9952</t>
        </is>
      </c>
      <c r="D557" s="4" t="inlineStr">
        <is>
          <t>6009677014697</t>
        </is>
      </c>
      <c r="E557" s="3" t="inlineStr">
        <is>
          <t>PLIER SIDE CUTTER  8"</t>
        </is>
      </c>
      <c r="F557" s="4" t="inlineStr"/>
      <c r="G557" s="4" t="inlineStr"/>
      <c r="H557" s="4" t="inlineStr"/>
      <c r="I557" s="5" t="n">
        <v>41.95</v>
      </c>
      <c r="J557" s="6" t="n">
        <v>15</v>
      </c>
      <c r="K557" s="7">
        <f>IF(I557="","",I557*(1+J557/100))</f>
        <v/>
      </c>
      <c r="L557" s="5" t="n">
        <v>240</v>
      </c>
      <c r="M557" s="8">
        <f>IF(OR(L557="",K557="",L557=0),"",
  (L557-K557)/L557*100)</f>
        <v/>
      </c>
      <c r="N557" s="14" t="n">
        <v>420</v>
      </c>
      <c r="O557" s="4" t="inlineStr"/>
      <c r="P557" s="4" t="inlineStr"/>
      <c r="Q557" s="4" t="inlineStr"/>
      <c r="R557" s="4" t="inlineStr">
        <is>
          <t>2026-03-12</t>
        </is>
      </c>
      <c r="S557" s="4" t="inlineStr"/>
    </row>
    <row r="558">
      <c r="A558" s="10" t="inlineStr">
        <is>
          <t>F00920</t>
        </is>
      </c>
      <c r="B558" s="10" t="inlineStr">
        <is>
          <t>F00920</t>
        </is>
      </c>
      <c r="C558" s="10" t="inlineStr">
        <is>
          <t>9951</t>
        </is>
      </c>
      <c r="D558" s="10" t="inlineStr">
        <is>
          <t>6009677013232</t>
        </is>
      </c>
      <c r="E558" s="10" t="inlineStr">
        <is>
          <t>PLIER LONG NOSE 6"</t>
        </is>
      </c>
      <c r="F558" s="10" t="inlineStr"/>
      <c r="G558" s="10" t="inlineStr"/>
      <c r="H558" s="10" t="inlineStr"/>
      <c r="I558" s="11" t="n">
        <v>28.95</v>
      </c>
      <c r="J558" s="6" t="n">
        <v>15</v>
      </c>
      <c r="K558" s="7">
        <f>IF(I558="","",I558*(1+J558/100))</f>
        <v/>
      </c>
      <c r="L558" s="11" t="n">
        <v>220</v>
      </c>
      <c r="M558" s="8">
        <f>IF(OR(L558="",K558="",L558=0),"",
  (L558-K558)/L558*100)</f>
        <v/>
      </c>
      <c r="N558" s="13" t="n">
        <v>294</v>
      </c>
      <c r="O558" s="10" t="inlineStr"/>
      <c r="P558" s="10" t="inlineStr"/>
      <c r="Q558" s="10" t="inlineStr"/>
      <c r="R558" s="10" t="inlineStr">
        <is>
          <t>2026-03-12</t>
        </is>
      </c>
      <c r="S558" s="10" t="inlineStr"/>
    </row>
    <row r="559">
      <c r="A559" s="3" t="inlineStr">
        <is>
          <t>F00921</t>
        </is>
      </c>
      <c r="B559" s="4" t="inlineStr">
        <is>
          <t>F00921</t>
        </is>
      </c>
      <c r="C559" s="4" t="inlineStr"/>
      <c r="D559" s="4" t="inlineStr">
        <is>
          <t>6009677011092</t>
        </is>
      </c>
      <c r="E559" s="3" t="inlineStr">
        <is>
          <t>PLIER LONG NOSE 7"</t>
        </is>
      </c>
      <c r="F559" s="4" t="inlineStr"/>
      <c r="G559" s="4" t="inlineStr"/>
      <c r="H559" s="4" t="inlineStr"/>
      <c r="I559" s="5" t="n">
        <v>9.5</v>
      </c>
      <c r="J559" s="6" t="n">
        <v>15</v>
      </c>
      <c r="K559" s="7">
        <f>IF(I559="","",I559*(1+J559/100))</f>
        <v/>
      </c>
      <c r="L559" s="12" t="inlineStr"/>
      <c r="M559" s="8">
        <f>IF(OR(L559="",K559="",L559=0),"",
  (L559-K559)/L559*100)</f>
        <v/>
      </c>
      <c r="N559" s="9" t="inlineStr"/>
      <c r="O559" s="4" t="inlineStr"/>
      <c r="P559" s="4" t="inlineStr"/>
      <c r="Q559" s="4" t="inlineStr"/>
      <c r="R559" s="4" t="inlineStr">
        <is>
          <t>2026-03-12</t>
        </is>
      </c>
      <c r="S559" s="4" t="inlineStr"/>
    </row>
    <row r="560">
      <c r="A560" s="10" t="inlineStr">
        <is>
          <t>F00922</t>
        </is>
      </c>
      <c r="B560" s="10" t="inlineStr">
        <is>
          <t>F00922</t>
        </is>
      </c>
      <c r="C560" s="10" t="inlineStr">
        <is>
          <t>9950</t>
        </is>
      </c>
      <c r="D560" s="10" t="inlineStr">
        <is>
          <t>6009677014680</t>
        </is>
      </c>
      <c r="E560" s="10" t="inlineStr">
        <is>
          <t>PLIER LONG NOSE  8"</t>
        </is>
      </c>
      <c r="F560" s="10" t="inlineStr"/>
      <c r="G560" s="10" t="inlineStr"/>
      <c r="H560" s="10" t="inlineStr"/>
      <c r="I560" s="11" t="n">
        <v>42.95</v>
      </c>
      <c r="J560" s="6" t="n">
        <v>15</v>
      </c>
      <c r="K560" s="7">
        <f>IF(I560="","",I560*(1+J560/100))</f>
        <v/>
      </c>
      <c r="L560" s="11" t="n">
        <v>240</v>
      </c>
      <c r="M560" s="8">
        <f>IF(OR(L560="",K560="",L560=0),"",
  (L560-K560)/L560*100)</f>
        <v/>
      </c>
      <c r="N560" s="13" t="n">
        <v>116</v>
      </c>
      <c r="O560" s="10" t="inlineStr"/>
      <c r="P560" s="10" t="inlineStr"/>
      <c r="Q560" s="10" t="inlineStr"/>
      <c r="R560" s="10" t="inlineStr">
        <is>
          <t>2026-03-12</t>
        </is>
      </c>
      <c r="S560" s="10" t="inlineStr"/>
    </row>
    <row r="561">
      <c r="A561" s="3" t="inlineStr">
        <is>
          <t>F00923</t>
        </is>
      </c>
      <c r="B561" s="4" t="inlineStr">
        <is>
          <t>F00923</t>
        </is>
      </c>
      <c r="C561" s="4" t="inlineStr">
        <is>
          <t>9955</t>
        </is>
      </c>
      <c r="D561" s="4" t="inlineStr">
        <is>
          <t>6009677014581</t>
        </is>
      </c>
      <c r="E561" s="3" t="inlineStr">
        <is>
          <t>PLIER  3PC SET -BUDGET</t>
        </is>
      </c>
      <c r="F561" s="4" t="inlineStr"/>
      <c r="G561" s="4" t="inlineStr"/>
      <c r="H561" s="4" t="inlineStr"/>
      <c r="I561" s="5" t="n">
        <v>79.95</v>
      </c>
      <c r="J561" s="6" t="n">
        <v>15</v>
      </c>
      <c r="K561" s="7">
        <f>IF(I561="","",I561*(1+J561/100))</f>
        <v/>
      </c>
      <c r="L561" s="5" t="n">
        <v>320</v>
      </c>
      <c r="M561" s="8">
        <f>IF(OR(L561="",K561="",L561=0),"",
  (L561-K561)/L561*100)</f>
        <v/>
      </c>
      <c r="N561" s="14" t="n">
        <v>69</v>
      </c>
      <c r="O561" s="4" t="inlineStr"/>
      <c r="P561" s="4" t="inlineStr"/>
      <c r="Q561" s="4" t="inlineStr"/>
      <c r="R561" s="4" t="inlineStr">
        <is>
          <t>2026-03-12</t>
        </is>
      </c>
      <c r="S561" s="4" t="inlineStr"/>
    </row>
    <row r="562">
      <c r="A562" s="10" t="inlineStr">
        <is>
          <t>F00924</t>
        </is>
      </c>
      <c r="B562" s="10" t="inlineStr">
        <is>
          <t>F00924</t>
        </is>
      </c>
      <c r="C562" s="10" t="inlineStr"/>
      <c r="D562" s="10" t="inlineStr">
        <is>
          <t>6009677014994</t>
        </is>
      </c>
      <c r="E562" s="10" t="inlineStr">
        <is>
          <t>HAMMER CLAW HM-1601-0.25KG</t>
        </is>
      </c>
      <c r="F562" s="10" t="inlineStr"/>
      <c r="G562" s="10" t="inlineStr"/>
      <c r="H562" s="10" t="inlineStr"/>
      <c r="I562" s="11" t="n">
        <v>11.75</v>
      </c>
      <c r="J562" s="6" t="n">
        <v>15</v>
      </c>
      <c r="K562" s="7">
        <f>IF(I562="","",I562*(1+J562/100))</f>
        <v/>
      </c>
      <c r="L562" s="12" t="inlineStr"/>
      <c r="M562" s="8">
        <f>IF(OR(L562="",K562="",L562=0),"",
  (L562-K562)/L562*100)</f>
        <v/>
      </c>
      <c r="N562" s="9" t="inlineStr"/>
      <c r="O562" s="10" t="inlineStr"/>
      <c r="P562" s="10" t="inlineStr"/>
      <c r="Q562" s="10" t="inlineStr"/>
      <c r="R562" s="10" t="inlineStr">
        <is>
          <t>2026-03-12</t>
        </is>
      </c>
      <c r="S562" s="10" t="inlineStr"/>
    </row>
    <row r="563">
      <c r="A563" s="3" t="inlineStr">
        <is>
          <t>F00925</t>
        </is>
      </c>
      <c r="B563" s="4" t="inlineStr">
        <is>
          <t>F00925</t>
        </is>
      </c>
      <c r="C563" s="4" t="inlineStr"/>
      <c r="D563" s="4" t="inlineStr">
        <is>
          <t>6009705656162</t>
        </is>
      </c>
      <c r="E563" s="3" t="inlineStr">
        <is>
          <t>HAMMER CLAW HM-1601-0.5KG</t>
        </is>
      </c>
      <c r="F563" s="4" t="inlineStr"/>
      <c r="G563" s="4" t="inlineStr"/>
      <c r="H563" s="4" t="inlineStr"/>
      <c r="I563" s="5" t="n">
        <v>16.75</v>
      </c>
      <c r="J563" s="6" t="n">
        <v>15</v>
      </c>
      <c r="K563" s="7">
        <f>IF(I563="","",I563*(1+J563/100))</f>
        <v/>
      </c>
      <c r="L563" s="12" t="inlineStr"/>
      <c r="M563" s="8">
        <f>IF(OR(L563="",K563="",L563=0),"",
  (L563-K563)/L563*100)</f>
        <v/>
      </c>
      <c r="N563" s="9" t="inlineStr"/>
      <c r="O563" s="4" t="inlineStr"/>
      <c r="P563" s="4" t="inlineStr"/>
      <c r="Q563" s="4" t="inlineStr"/>
      <c r="R563" s="4" t="inlineStr">
        <is>
          <t>2026-03-12</t>
        </is>
      </c>
      <c r="S563" s="4" t="inlineStr"/>
    </row>
    <row r="564">
      <c r="A564" s="10" t="inlineStr">
        <is>
          <t>F00926</t>
        </is>
      </c>
      <c r="B564" s="10" t="inlineStr">
        <is>
          <t>F00926</t>
        </is>
      </c>
      <c r="C564" s="10" t="inlineStr"/>
      <c r="D564" s="10" t="inlineStr">
        <is>
          <t>6009624150362</t>
        </is>
      </c>
      <c r="E564" s="10" t="inlineStr">
        <is>
          <t>HAMMER CLAW 16OZ - HM-1602</t>
        </is>
      </c>
      <c r="F564" s="10" t="inlineStr"/>
      <c r="G564" s="10" t="inlineStr"/>
      <c r="H564" s="10" t="inlineStr"/>
      <c r="I564" s="11" t="n">
        <v>24.95</v>
      </c>
      <c r="J564" s="6" t="n">
        <v>15</v>
      </c>
      <c r="K564" s="7">
        <f>IF(I564="","",I564*(1+J564/100))</f>
        <v/>
      </c>
      <c r="L564" s="12" t="inlineStr"/>
      <c r="M564" s="8">
        <f>IF(OR(L564="",K564="",L564=0),"",
  (L564-K564)/L564*100)</f>
        <v/>
      </c>
      <c r="N564" s="9" t="inlineStr"/>
      <c r="O564" s="10" t="inlineStr"/>
      <c r="P564" s="10" t="inlineStr"/>
      <c r="Q564" s="10" t="inlineStr"/>
      <c r="R564" s="10" t="inlineStr">
        <is>
          <t>2026-03-12</t>
        </is>
      </c>
      <c r="S564" s="10" t="inlineStr"/>
    </row>
    <row r="565">
      <c r="A565" s="3" t="inlineStr">
        <is>
          <t>F00927</t>
        </is>
      </c>
      <c r="B565" s="4" t="inlineStr">
        <is>
          <t>F00927</t>
        </is>
      </c>
      <c r="C565" s="4" t="inlineStr"/>
      <c r="D565" s="4" t="inlineStr">
        <is>
          <t>6009677014949</t>
        </is>
      </c>
      <c r="E565" s="3" t="inlineStr">
        <is>
          <t>HAMMER CLAW 27MM - HM-1703</t>
        </is>
      </c>
      <c r="F565" s="4" t="inlineStr"/>
      <c r="G565" s="4" t="inlineStr"/>
      <c r="H565" s="4" t="inlineStr"/>
      <c r="I565" s="5" t="n">
        <v>39.95</v>
      </c>
      <c r="J565" s="6" t="n">
        <v>15</v>
      </c>
      <c r="K565" s="7">
        <f>IF(I565="","",I565*(1+J565/100))</f>
        <v/>
      </c>
      <c r="L565" s="12" t="inlineStr"/>
      <c r="M565" s="8">
        <f>IF(OR(L565="",K565="",L565=0),"",
  (L565-K565)/L565*100)</f>
        <v/>
      </c>
      <c r="N565" s="9" t="inlineStr"/>
      <c r="O565" s="4" t="inlineStr"/>
      <c r="P565" s="4" t="inlineStr"/>
      <c r="Q565" s="4" t="inlineStr"/>
      <c r="R565" s="4" t="inlineStr">
        <is>
          <t>2026-03-12</t>
        </is>
      </c>
      <c r="S565" s="4" t="inlineStr"/>
    </row>
    <row r="566">
      <c r="A566" s="10" t="inlineStr">
        <is>
          <t>F00928</t>
        </is>
      </c>
      <c r="B566" s="10" t="inlineStr">
        <is>
          <t>F00928</t>
        </is>
      </c>
      <c r="C566" s="10" t="inlineStr">
        <is>
          <t>10242</t>
        </is>
      </c>
      <c r="D566" s="10" t="inlineStr">
        <is>
          <t>6009677014710</t>
        </is>
      </c>
      <c r="E566" s="10" t="inlineStr">
        <is>
          <t>HAMMER WOODEN CLAW HANDLE</t>
        </is>
      </c>
      <c r="F566" s="10" t="inlineStr"/>
      <c r="G566" s="10" t="inlineStr"/>
      <c r="H566" s="10" t="inlineStr"/>
      <c r="I566" s="11" t="n">
        <v>41.95</v>
      </c>
      <c r="J566" s="6" t="n">
        <v>15</v>
      </c>
      <c r="K566" s="7">
        <f>IF(I566="","",I566*(1+J566/100))</f>
        <v/>
      </c>
      <c r="L566" s="11" t="n">
        <v>230</v>
      </c>
      <c r="M566" s="8">
        <f>IF(OR(L566="",K566="",L566=0),"",
  (L566-K566)/L566*100)</f>
        <v/>
      </c>
      <c r="N566" s="13" t="n">
        <v>575</v>
      </c>
      <c r="O566" s="10" t="inlineStr"/>
      <c r="P566" s="10" t="inlineStr"/>
      <c r="Q566" s="10" t="inlineStr"/>
      <c r="R566" s="10" t="inlineStr">
        <is>
          <t>2026-03-12</t>
        </is>
      </c>
      <c r="S566" s="10" t="inlineStr"/>
    </row>
    <row r="567">
      <c r="A567" s="3" t="inlineStr">
        <is>
          <t>F00929</t>
        </is>
      </c>
      <c r="B567" s="4" t="inlineStr">
        <is>
          <t>F00929</t>
        </is>
      </c>
      <c r="C567" s="4" t="inlineStr"/>
      <c r="D567" s="4" t="inlineStr"/>
      <c r="E567" s="3" t="inlineStr">
        <is>
          <t>HAMMER CLAW WOOD HANDLE BLACK - HAMMER C</t>
        </is>
      </c>
      <c r="F567" s="4" t="inlineStr"/>
      <c r="G567" s="4" t="inlineStr"/>
      <c r="H567" s="4" t="inlineStr"/>
      <c r="I567" s="5" t="n">
        <v>19.95</v>
      </c>
      <c r="J567" s="6" t="n">
        <v>15</v>
      </c>
      <c r="K567" s="7">
        <f>IF(I567="","",I567*(1+J567/100))</f>
        <v/>
      </c>
      <c r="L567" s="12" t="inlineStr"/>
      <c r="M567" s="8">
        <f>IF(OR(L567="",K567="",L567=0),"",
  (L567-K567)/L567*100)</f>
        <v/>
      </c>
      <c r="N567" s="9" t="inlineStr"/>
      <c r="O567" s="4" t="inlineStr"/>
      <c r="P567" s="4" t="inlineStr"/>
      <c r="Q567" s="4" t="inlineStr"/>
      <c r="R567" s="4" t="inlineStr">
        <is>
          <t>2026-03-12</t>
        </is>
      </c>
      <c r="S567" s="4" t="inlineStr"/>
    </row>
    <row r="568">
      <c r="A568" s="10" t="inlineStr">
        <is>
          <t>F00930</t>
        </is>
      </c>
      <c r="B568" s="10" t="inlineStr">
        <is>
          <t>F00930</t>
        </is>
      </c>
      <c r="C568" s="10" t="inlineStr">
        <is>
          <t>10241</t>
        </is>
      </c>
      <c r="D568" s="10" t="inlineStr">
        <is>
          <t>6009677014666</t>
        </is>
      </c>
      <c r="E568" s="10" t="inlineStr">
        <is>
          <t>HAMMER CLAW FIBREGLASS HANDLE</t>
        </is>
      </c>
      <c r="F568" s="10" t="inlineStr"/>
      <c r="G568" s="10" t="inlineStr"/>
      <c r="H568" s="10" t="inlineStr"/>
      <c r="I568" s="11" t="n">
        <v>42.95</v>
      </c>
      <c r="J568" s="6" t="n">
        <v>15</v>
      </c>
      <c r="K568" s="7">
        <f>IF(I568="","",I568*(1+J568/100))</f>
        <v/>
      </c>
      <c r="L568" s="11" t="n">
        <v>230</v>
      </c>
      <c r="M568" s="8">
        <f>IF(OR(L568="",K568="",L568=0),"",
  (L568-K568)/L568*100)</f>
        <v/>
      </c>
      <c r="N568" s="13" t="n">
        <v>1308</v>
      </c>
      <c r="O568" s="10" t="inlineStr"/>
      <c r="P568" s="10" t="inlineStr"/>
      <c r="Q568" s="10" t="inlineStr"/>
      <c r="R568" s="10" t="inlineStr">
        <is>
          <t>2026-03-12</t>
        </is>
      </c>
      <c r="S568" s="10" t="inlineStr"/>
    </row>
    <row r="569">
      <c r="A569" s="3" t="inlineStr">
        <is>
          <t>F00931</t>
        </is>
      </c>
      <c r="B569" s="4" t="inlineStr">
        <is>
          <t>F00931</t>
        </is>
      </c>
      <c r="C569" s="4" t="inlineStr">
        <is>
          <t>10244</t>
        </is>
      </c>
      <c r="D569" s="4" t="inlineStr">
        <is>
          <t>6009677013096</t>
        </is>
      </c>
      <c r="E569" s="3" t="inlineStr">
        <is>
          <t>HAMMER CLAW TUBULAR HANDLE 16 OZ FORGED</t>
        </is>
      </c>
      <c r="F569" s="4" t="inlineStr"/>
      <c r="G569" s="4" t="inlineStr"/>
      <c r="H569" s="4" t="inlineStr"/>
      <c r="I569" s="5" t="n">
        <v>42.95</v>
      </c>
      <c r="J569" s="6" t="n">
        <v>15</v>
      </c>
      <c r="K569" s="7">
        <f>IF(I569="","",I569*(1+J569/100))</f>
        <v/>
      </c>
      <c r="L569" s="5" t="n">
        <v>230</v>
      </c>
      <c r="M569" s="8">
        <f>IF(OR(L569="",K569="",L569=0),"",
  (L569-K569)/L569*100)</f>
        <v/>
      </c>
      <c r="N569" s="14" t="n">
        <v>310</v>
      </c>
      <c r="O569" s="4" t="inlineStr"/>
      <c r="P569" s="4" t="inlineStr"/>
      <c r="Q569" s="4" t="inlineStr"/>
      <c r="R569" s="4" t="inlineStr">
        <is>
          <t>2026-03-12</t>
        </is>
      </c>
      <c r="S569" s="4" t="inlineStr"/>
    </row>
    <row r="570">
      <c r="A570" s="10" t="inlineStr">
        <is>
          <t>F00932</t>
        </is>
      </c>
      <c r="B570" s="10" t="inlineStr">
        <is>
          <t>F00932</t>
        </is>
      </c>
      <c r="C570" s="10" t="inlineStr"/>
      <c r="D570" s="10" t="inlineStr"/>
      <c r="E570" s="10" t="inlineStr">
        <is>
          <t>AXE KITCHEN HANDLE 600GRAM - HM-2105</t>
        </is>
      </c>
      <c r="F570" s="10" t="inlineStr"/>
      <c r="G570" s="10" t="inlineStr"/>
      <c r="H570" s="10" t="inlineStr"/>
      <c r="I570" s="11" t="n">
        <v>19.95</v>
      </c>
      <c r="J570" s="6" t="n">
        <v>15</v>
      </c>
      <c r="K570" s="7">
        <f>IF(I570="","",I570*(1+J570/100))</f>
        <v/>
      </c>
      <c r="L570" s="12" t="inlineStr"/>
      <c r="M570" s="8">
        <f>IF(OR(L570="",K570="",L570=0),"",
  (L570-K570)/L570*100)</f>
        <v/>
      </c>
      <c r="N570" s="9" t="inlineStr"/>
      <c r="O570" s="10" t="inlineStr"/>
      <c r="P570" s="10" t="inlineStr"/>
      <c r="Q570" s="10" t="inlineStr"/>
      <c r="R570" s="10" t="inlineStr">
        <is>
          <t>2026-03-12</t>
        </is>
      </c>
      <c r="S570" s="10" t="inlineStr"/>
    </row>
    <row r="571">
      <c r="A571" s="3" t="inlineStr">
        <is>
          <t>F00933</t>
        </is>
      </c>
      <c r="B571" s="4" t="inlineStr">
        <is>
          <t>F00933</t>
        </is>
      </c>
      <c r="C571" s="4" t="inlineStr"/>
      <c r="D571" s="4" t="inlineStr">
        <is>
          <t>6009677015007</t>
        </is>
      </c>
      <c r="E571" s="3" t="inlineStr">
        <is>
          <t>AXE 2LB - HM-2107-2LB</t>
        </is>
      </c>
      <c r="F571" s="4" t="inlineStr"/>
      <c r="G571" s="4" t="inlineStr"/>
      <c r="H571" s="4" t="inlineStr"/>
      <c r="I571" s="5" t="n">
        <v>30.95</v>
      </c>
      <c r="J571" s="6" t="n">
        <v>15</v>
      </c>
      <c r="K571" s="7">
        <f>IF(I571="","",I571*(1+J571/100))</f>
        <v/>
      </c>
      <c r="L571" s="12" t="inlineStr"/>
      <c r="M571" s="8">
        <f>IF(OR(L571="",K571="",L571=0),"",
  (L571-K571)/L571*100)</f>
        <v/>
      </c>
      <c r="N571" s="9" t="inlineStr"/>
      <c r="O571" s="4" t="inlineStr"/>
      <c r="P571" s="4" t="inlineStr"/>
      <c r="Q571" s="4" t="inlineStr"/>
      <c r="R571" s="4" t="inlineStr">
        <is>
          <t>2026-03-12</t>
        </is>
      </c>
      <c r="S571" s="4" t="inlineStr"/>
    </row>
    <row r="572">
      <c r="A572" s="10" t="inlineStr">
        <is>
          <t>F00934</t>
        </is>
      </c>
      <c r="B572" s="10" t="inlineStr">
        <is>
          <t>F00934</t>
        </is>
      </c>
      <c r="C572" s="10" t="inlineStr"/>
      <c r="D572" s="10" t="inlineStr">
        <is>
          <t>6009677015021</t>
        </is>
      </c>
      <c r="E572" s="10" t="inlineStr">
        <is>
          <t>AXE 4LB - HM-2107-4LB</t>
        </is>
      </c>
      <c r="F572" s="10" t="inlineStr"/>
      <c r="G572" s="10" t="inlineStr"/>
      <c r="H572" s="10" t="inlineStr"/>
      <c r="I572" s="11" t="n">
        <v>52.95</v>
      </c>
      <c r="J572" s="6" t="n">
        <v>15</v>
      </c>
      <c r="K572" s="7">
        <f>IF(I572="","",I572*(1+J572/100))</f>
        <v/>
      </c>
      <c r="L572" s="12" t="inlineStr"/>
      <c r="M572" s="8">
        <f>IF(OR(L572="",K572="",L572=0),"",
  (L572-K572)/L572*100)</f>
        <v/>
      </c>
      <c r="N572" s="9" t="inlineStr"/>
      <c r="O572" s="10" t="inlineStr"/>
      <c r="P572" s="10" t="inlineStr"/>
      <c r="Q572" s="10" t="inlineStr"/>
      <c r="R572" s="10" t="inlineStr">
        <is>
          <t>2026-03-12</t>
        </is>
      </c>
      <c r="S572" s="10" t="inlineStr"/>
    </row>
    <row r="573">
      <c r="A573" s="3" t="inlineStr">
        <is>
          <t>F00935</t>
        </is>
      </c>
      <c r="B573" s="4" t="inlineStr">
        <is>
          <t>F00935</t>
        </is>
      </c>
      <c r="C573" s="4" t="inlineStr">
        <is>
          <t>9965</t>
        </is>
      </c>
      <c r="D573" s="4" t="inlineStr">
        <is>
          <t>6009624153448</t>
        </is>
      </c>
      <c r="E573" s="3" t="inlineStr">
        <is>
          <t>HACKSAW PLASTIC HANDLE ORANGE/BLK</t>
        </is>
      </c>
      <c r="F573" s="4" t="inlineStr"/>
      <c r="G573" s="4" t="inlineStr"/>
      <c r="H573" s="4" t="inlineStr"/>
      <c r="I573" s="5" t="n">
        <v>18.95</v>
      </c>
      <c r="J573" s="6" t="n">
        <v>15</v>
      </c>
      <c r="K573" s="7">
        <f>IF(I573="","",I573*(1+J573/100))</f>
        <v/>
      </c>
      <c r="L573" s="5" t="n">
        <v>265</v>
      </c>
      <c r="M573" s="8">
        <f>IF(OR(L573="",K573="",L573=0),"",
  (L573-K573)/L573*100)</f>
        <v/>
      </c>
      <c r="N573" s="14" t="n">
        <v>323</v>
      </c>
      <c r="O573" s="4" t="inlineStr"/>
      <c r="P573" s="4" t="inlineStr"/>
      <c r="Q573" s="4" t="inlineStr"/>
      <c r="R573" s="4" t="inlineStr">
        <is>
          <t>2026-03-12</t>
        </is>
      </c>
      <c r="S573" s="4" t="inlineStr"/>
    </row>
    <row r="574">
      <c r="A574" s="10" t="inlineStr">
        <is>
          <t>F00936</t>
        </is>
      </c>
      <c r="B574" s="10" t="inlineStr">
        <is>
          <t>F00936</t>
        </is>
      </c>
      <c r="C574" s="10" t="inlineStr">
        <is>
          <t>9966</t>
        </is>
      </c>
      <c r="D574" s="10" t="inlineStr">
        <is>
          <t>6009677014802</t>
        </is>
      </c>
      <c r="E574" s="10" t="inlineStr">
        <is>
          <t>HACKSAW METAL HANDLE 921-19</t>
        </is>
      </c>
      <c r="F574" s="10" t="inlineStr"/>
      <c r="G574" s="10" t="inlineStr"/>
      <c r="H574" s="10" t="inlineStr"/>
      <c r="I574" s="11" t="n">
        <v>34.95</v>
      </c>
      <c r="J574" s="6" t="n">
        <v>15</v>
      </c>
      <c r="K574" s="7">
        <f>IF(I574="","",I574*(1+J574/100))</f>
        <v/>
      </c>
      <c r="L574" s="11" t="n">
        <v>295</v>
      </c>
      <c r="M574" s="8">
        <f>IF(OR(L574="",K574="",L574=0),"",
  (L574-K574)/L574*100)</f>
        <v/>
      </c>
      <c r="N574" s="13" t="n">
        <v>265</v>
      </c>
      <c r="O574" s="10" t="inlineStr"/>
      <c r="P574" s="10" t="inlineStr"/>
      <c r="Q574" s="10" t="inlineStr"/>
      <c r="R574" s="10" t="inlineStr">
        <is>
          <t>2026-03-12</t>
        </is>
      </c>
      <c r="S574" s="10" t="inlineStr"/>
    </row>
    <row r="575">
      <c r="A575" s="3" t="inlineStr">
        <is>
          <t>F00937</t>
        </is>
      </c>
      <c r="B575" s="4" t="inlineStr">
        <is>
          <t>F00937</t>
        </is>
      </c>
      <c r="C575" s="4" t="inlineStr"/>
      <c r="D575" s="4" t="inlineStr">
        <is>
          <t>6009705653758</t>
        </is>
      </c>
      <c r="E575" s="3" t="inlineStr">
        <is>
          <t>AXE WOOD HANDLE (KITCHEN - A613 AXE</t>
        </is>
      </c>
      <c r="F575" s="4" t="inlineStr"/>
      <c r="G575" s="4" t="inlineStr"/>
      <c r="H575" s="4" t="inlineStr"/>
      <c r="I575" s="5" t="n">
        <v>29.95</v>
      </c>
      <c r="J575" s="6" t="n">
        <v>15</v>
      </c>
      <c r="K575" s="7">
        <f>IF(I575="","",I575*(1+J575/100))</f>
        <v/>
      </c>
      <c r="L575" s="12" t="inlineStr"/>
      <c r="M575" s="8">
        <f>IF(OR(L575="",K575="",L575=0),"",
  (L575-K575)/L575*100)</f>
        <v/>
      </c>
      <c r="N575" s="9" t="inlineStr"/>
      <c r="O575" s="4" t="inlineStr"/>
      <c r="P575" s="4" t="inlineStr"/>
      <c r="Q575" s="4" t="inlineStr"/>
      <c r="R575" s="4" t="inlineStr">
        <is>
          <t>2026-03-12</t>
        </is>
      </c>
      <c r="S575" s="4" t="inlineStr"/>
    </row>
    <row r="576">
      <c r="A576" s="10" t="inlineStr">
        <is>
          <t>F00938</t>
        </is>
      </c>
      <c r="B576" s="10" t="inlineStr">
        <is>
          <t>F00938</t>
        </is>
      </c>
      <c r="C576" s="10" t="inlineStr"/>
      <c r="D576" s="10" t="inlineStr">
        <is>
          <t>6009705653765</t>
        </is>
      </c>
      <c r="E576" s="10" t="inlineStr">
        <is>
          <t>AXE WOOD HANDLE 2LB - A601 AXE 2LB</t>
        </is>
      </c>
      <c r="F576" s="10" t="inlineStr"/>
      <c r="G576" s="10" t="inlineStr"/>
      <c r="H576" s="10" t="inlineStr"/>
      <c r="I576" s="11" t="n">
        <v>29.95</v>
      </c>
      <c r="J576" s="6" t="n">
        <v>15</v>
      </c>
      <c r="K576" s="7">
        <f>IF(I576="","",I576*(1+J576/100))</f>
        <v/>
      </c>
      <c r="L576" s="12" t="inlineStr"/>
      <c r="M576" s="8">
        <f>IF(OR(L576="",K576="",L576=0),"",
  (L576-K576)/L576*100)</f>
        <v/>
      </c>
      <c r="N576" s="9" t="inlineStr"/>
      <c r="O576" s="10" t="inlineStr"/>
      <c r="P576" s="10" t="inlineStr"/>
      <c r="Q576" s="10" t="inlineStr"/>
      <c r="R576" s="10" t="inlineStr">
        <is>
          <t>2026-03-12</t>
        </is>
      </c>
      <c r="S576" s="10" t="inlineStr"/>
    </row>
    <row r="577">
      <c r="A577" s="3" t="inlineStr">
        <is>
          <t>F00939</t>
        </is>
      </c>
      <c r="B577" s="4" t="inlineStr">
        <is>
          <t>F00939</t>
        </is>
      </c>
      <c r="C577" s="4" t="inlineStr"/>
      <c r="D577" s="4" t="inlineStr">
        <is>
          <t>6009705653789</t>
        </is>
      </c>
      <c r="E577" s="3" t="inlineStr">
        <is>
          <t>AXE WOOD HANDLE 4LB - A601 AXE 4LB</t>
        </is>
      </c>
      <c r="F577" s="4" t="inlineStr"/>
      <c r="G577" s="4" t="inlineStr"/>
      <c r="H577" s="4" t="inlineStr"/>
      <c r="I577" s="5" t="n">
        <v>49.95</v>
      </c>
      <c r="J577" s="6" t="n">
        <v>15</v>
      </c>
      <c r="K577" s="7">
        <f>IF(I577="","",I577*(1+J577/100))</f>
        <v/>
      </c>
      <c r="L577" s="12" t="inlineStr"/>
      <c r="M577" s="8">
        <f>IF(OR(L577="",K577="",L577=0),"",
  (L577-K577)/L577*100)</f>
        <v/>
      </c>
      <c r="N577" s="9" t="inlineStr"/>
      <c r="O577" s="4" t="inlineStr"/>
      <c r="P577" s="4" t="inlineStr"/>
      <c r="Q577" s="4" t="inlineStr"/>
      <c r="R577" s="4" t="inlineStr">
        <is>
          <t>2026-03-12</t>
        </is>
      </c>
      <c r="S577" s="4" t="inlineStr"/>
    </row>
    <row r="578">
      <c r="A578" s="10" t="inlineStr">
        <is>
          <t>F00940</t>
        </is>
      </c>
      <c r="B578" s="10" t="inlineStr">
        <is>
          <t>F00940</t>
        </is>
      </c>
      <c r="C578" s="10" t="inlineStr">
        <is>
          <t>18428</t>
        </is>
      </c>
      <c r="D578" s="10" t="inlineStr">
        <is>
          <t>6005692351120</t>
        </is>
      </c>
      <c r="E578" s="10" t="inlineStr">
        <is>
          <t>MEASURING TAPE 3M PLASTIC CARDED</t>
        </is>
      </c>
      <c r="F578" s="10" t="inlineStr"/>
      <c r="G578" s="10" t="inlineStr"/>
      <c r="H578" s="10" t="inlineStr"/>
      <c r="I578" s="11" t="n">
        <v>9.949999999999999</v>
      </c>
      <c r="J578" s="6" t="n">
        <v>15</v>
      </c>
      <c r="K578" s="7">
        <f>IF(I578="","",I578*(1+J578/100))</f>
        <v/>
      </c>
      <c r="L578" s="11" t="n">
        <v>140</v>
      </c>
      <c r="M578" s="8">
        <f>IF(OR(L578="",K578="",L578=0),"",
  (L578-K578)/L578*100)</f>
        <v/>
      </c>
      <c r="N578" s="13" t="n">
        <v>347</v>
      </c>
      <c r="O578" s="10" t="inlineStr"/>
      <c r="P578" s="10" t="inlineStr"/>
      <c r="Q578" s="10" t="inlineStr"/>
      <c r="R578" s="10" t="inlineStr">
        <is>
          <t>2026-03-12</t>
        </is>
      </c>
      <c r="S578" s="10" t="inlineStr"/>
    </row>
    <row r="579">
      <c r="A579" s="3" t="inlineStr">
        <is>
          <t>F00941</t>
        </is>
      </c>
      <c r="B579" s="4" t="inlineStr">
        <is>
          <t>F00941</t>
        </is>
      </c>
      <c r="C579" s="4" t="inlineStr">
        <is>
          <t>18427</t>
        </is>
      </c>
      <c r="D579" s="4" t="inlineStr">
        <is>
          <t>6001025160650</t>
        </is>
      </c>
      <c r="E579" s="3" t="inlineStr">
        <is>
          <t>MEASURING TAPE 5M PLASTIC CARDED</t>
        </is>
      </c>
      <c r="F579" s="4" t="inlineStr"/>
      <c r="G579" s="4" t="inlineStr"/>
      <c r="H579" s="4" t="inlineStr"/>
      <c r="I579" s="5" t="n">
        <v>12.5</v>
      </c>
      <c r="J579" s="6" t="n">
        <v>15</v>
      </c>
      <c r="K579" s="7">
        <f>IF(I579="","",I579*(1+J579/100))</f>
        <v/>
      </c>
      <c r="L579" s="5" t="n">
        <v>150</v>
      </c>
      <c r="M579" s="8">
        <f>IF(OR(L579="",K579="",L579=0),"",
  (L579-K579)/L579*100)</f>
        <v/>
      </c>
      <c r="N579" s="14" t="n">
        <v>262</v>
      </c>
      <c r="O579" s="4" t="inlineStr"/>
      <c r="P579" s="4" t="inlineStr"/>
      <c r="Q579" s="4" t="inlineStr"/>
      <c r="R579" s="4" t="inlineStr">
        <is>
          <t>2026-03-12</t>
        </is>
      </c>
      <c r="S579" s="4" t="inlineStr"/>
    </row>
    <row r="580">
      <c r="A580" s="10" t="inlineStr">
        <is>
          <t>F00942</t>
        </is>
      </c>
      <c r="B580" s="10" t="inlineStr">
        <is>
          <t>F00942</t>
        </is>
      </c>
      <c r="C580" s="10" t="inlineStr">
        <is>
          <t>18426</t>
        </is>
      </c>
      <c r="D580" s="10" t="inlineStr">
        <is>
          <t>6001285679121</t>
        </is>
      </c>
      <c r="E580" s="10" t="inlineStr">
        <is>
          <t>MEASURING TAPE 10M PLASTIC CARDED</t>
        </is>
      </c>
      <c r="F580" s="10" t="inlineStr"/>
      <c r="G580" s="10" t="inlineStr"/>
      <c r="H580" s="10" t="inlineStr"/>
      <c r="I580" s="11" t="n">
        <v>28.95</v>
      </c>
      <c r="J580" s="6" t="n">
        <v>15</v>
      </c>
      <c r="K580" s="7">
        <f>IF(I580="","",I580*(1+J580/100))</f>
        <v/>
      </c>
      <c r="L580" s="11" t="n">
        <v>220</v>
      </c>
      <c r="M580" s="8">
        <f>IF(OR(L580="",K580="",L580=0),"",
  (L580-K580)/L580*100)</f>
        <v/>
      </c>
      <c r="N580" s="13" t="n">
        <v>120</v>
      </c>
      <c r="O580" s="10" t="inlineStr"/>
      <c r="P580" s="10" t="inlineStr"/>
      <c r="Q580" s="10" t="inlineStr"/>
      <c r="R580" s="10" t="inlineStr">
        <is>
          <t>2026-03-12</t>
        </is>
      </c>
      <c r="S580" s="10" t="inlineStr"/>
    </row>
    <row r="581">
      <c r="A581" s="3" t="inlineStr">
        <is>
          <t>F00943</t>
        </is>
      </c>
      <c r="B581" s="4" t="inlineStr">
        <is>
          <t>F00943</t>
        </is>
      </c>
      <c r="C581" s="4" t="inlineStr">
        <is>
          <t>18424</t>
        </is>
      </c>
      <c r="D581" s="4" t="inlineStr">
        <is>
          <t>6009677012945</t>
        </is>
      </c>
      <c r="E581" s="3" t="inlineStr">
        <is>
          <t>MEASURING TAPE  3M RUBBER CARDED</t>
        </is>
      </c>
      <c r="F581" s="4" t="inlineStr"/>
      <c r="G581" s="4" t="inlineStr"/>
      <c r="H581" s="4" t="inlineStr"/>
      <c r="I581" s="5" t="n">
        <v>11.95</v>
      </c>
      <c r="J581" s="6" t="n">
        <v>15</v>
      </c>
      <c r="K581" s="7">
        <f>IF(I581="","",I581*(1+J581/100))</f>
        <v/>
      </c>
      <c r="L581" s="5" t="n">
        <v>160</v>
      </c>
      <c r="M581" s="8">
        <f>IF(OR(L581="",K581="",L581=0),"",
  (L581-K581)/L581*100)</f>
        <v/>
      </c>
      <c r="N581" s="14" t="n">
        <v>1079</v>
      </c>
      <c r="O581" s="4" t="inlineStr"/>
      <c r="P581" s="4" t="inlineStr"/>
      <c r="Q581" s="4" t="inlineStr"/>
      <c r="R581" s="4" t="inlineStr">
        <is>
          <t>2026-03-12</t>
        </is>
      </c>
      <c r="S581" s="4" t="inlineStr"/>
    </row>
    <row r="582">
      <c r="A582" s="10" t="inlineStr">
        <is>
          <t>F00944</t>
        </is>
      </c>
      <c r="B582" s="10" t="inlineStr">
        <is>
          <t>F00944</t>
        </is>
      </c>
      <c r="C582" s="10" t="inlineStr">
        <is>
          <t>18423</t>
        </is>
      </c>
      <c r="D582" s="10" t="inlineStr">
        <is>
          <t>6009677012969</t>
        </is>
      </c>
      <c r="E582" s="10" t="inlineStr">
        <is>
          <t>MEASURING TAPE  5M RUBBER CARDED</t>
        </is>
      </c>
      <c r="F582" s="10" t="inlineStr"/>
      <c r="G582" s="10" t="inlineStr"/>
      <c r="H582" s="10" t="inlineStr"/>
      <c r="I582" s="11" t="n">
        <v>15.95</v>
      </c>
      <c r="J582" s="6" t="n">
        <v>15</v>
      </c>
      <c r="K582" s="7">
        <f>IF(I582="","",I582*(1+J582/100))</f>
        <v/>
      </c>
      <c r="L582" s="11" t="n">
        <v>170</v>
      </c>
      <c r="M582" s="8">
        <f>IF(OR(L582="",K582="",L582=0),"",
  (L582-K582)/L582*100)</f>
        <v/>
      </c>
      <c r="N582" s="13" t="n">
        <v>310</v>
      </c>
      <c r="O582" s="10" t="inlineStr"/>
      <c r="P582" s="10" t="inlineStr"/>
      <c r="Q582" s="10" t="inlineStr"/>
      <c r="R582" s="10" t="inlineStr">
        <is>
          <t>2026-03-12</t>
        </is>
      </c>
      <c r="S582" s="10" t="inlineStr"/>
    </row>
    <row r="583">
      <c r="A583" s="3" t="inlineStr">
        <is>
          <t>F00945</t>
        </is>
      </c>
      <c r="B583" s="4" t="inlineStr">
        <is>
          <t>F00945</t>
        </is>
      </c>
      <c r="C583" s="4" t="inlineStr">
        <is>
          <t>18421</t>
        </is>
      </c>
      <c r="D583" s="4" t="inlineStr">
        <is>
          <t>6001285679237</t>
        </is>
      </c>
      <c r="E583" s="3" t="inlineStr">
        <is>
          <t>MEASURING TAPE  10M RUBBER CARDED</t>
        </is>
      </c>
      <c r="F583" s="4" t="inlineStr"/>
      <c r="G583" s="4" t="inlineStr"/>
      <c r="H583" s="4" t="inlineStr"/>
      <c r="I583" s="5" t="n">
        <v>36.95</v>
      </c>
      <c r="J583" s="6" t="n">
        <v>15</v>
      </c>
      <c r="K583" s="7">
        <f>IF(I583="","",I583*(1+J583/100))</f>
        <v/>
      </c>
      <c r="L583" s="5" t="n">
        <v>190</v>
      </c>
      <c r="M583" s="8">
        <f>IF(OR(L583="",K583="",L583=0),"",
  (L583-K583)/L583*100)</f>
        <v/>
      </c>
      <c r="N583" s="14" t="n">
        <v>1</v>
      </c>
      <c r="O583" s="4" t="inlineStr"/>
      <c r="P583" s="4" t="inlineStr"/>
      <c r="Q583" s="4" t="inlineStr"/>
      <c r="R583" s="4" t="inlineStr">
        <is>
          <t>2026-03-12</t>
        </is>
      </c>
      <c r="S583" s="4" t="inlineStr"/>
    </row>
    <row r="584">
      <c r="A584" s="10" t="inlineStr">
        <is>
          <t>F00946</t>
        </is>
      </c>
      <c r="B584" s="10" t="inlineStr">
        <is>
          <t>F00946</t>
        </is>
      </c>
      <c r="C584" s="10" t="inlineStr"/>
      <c r="D584" s="10" t="inlineStr">
        <is>
          <t>6009677012990</t>
        </is>
      </c>
      <c r="E584" s="10" t="inlineStr">
        <is>
          <t>MEASURING TAPE 7.5M PLASTIC CARDED</t>
        </is>
      </c>
      <c r="F584" s="10" t="inlineStr"/>
      <c r="G584" s="10" t="inlineStr"/>
      <c r="H584" s="10" t="inlineStr"/>
      <c r="I584" s="11" t="n">
        <v>23.95</v>
      </c>
      <c r="J584" s="6" t="n">
        <v>15</v>
      </c>
      <c r="K584" s="7">
        <f>IF(I584="","",I584*(1+J584/100))</f>
        <v/>
      </c>
      <c r="L584" s="12" t="inlineStr"/>
      <c r="M584" s="8">
        <f>IF(OR(L584="",K584="",L584=0),"",
  (L584-K584)/L584*100)</f>
        <v/>
      </c>
      <c r="N584" s="9" t="inlineStr"/>
      <c r="O584" s="10" t="inlineStr"/>
      <c r="P584" s="10" t="inlineStr"/>
      <c r="Q584" s="10" t="inlineStr"/>
      <c r="R584" s="10" t="inlineStr">
        <is>
          <t>2026-03-12</t>
        </is>
      </c>
      <c r="S584" s="10" t="inlineStr"/>
    </row>
    <row r="585">
      <c r="A585" s="3" t="inlineStr">
        <is>
          <t>F00947</t>
        </is>
      </c>
      <c r="B585" s="4" t="inlineStr">
        <is>
          <t>F00947</t>
        </is>
      </c>
      <c r="C585" s="4" t="inlineStr"/>
      <c r="D585" s="4" t="inlineStr">
        <is>
          <t>6009677010170</t>
        </is>
      </c>
      <c r="E585" s="3" t="inlineStr">
        <is>
          <t>HINGE -BUTT- IRON 50MMX1.0MM - IRON HING</t>
        </is>
      </c>
      <c r="F585" s="4" t="inlineStr"/>
      <c r="G585" s="4" t="inlineStr"/>
      <c r="H585" s="4" t="inlineStr"/>
      <c r="I585" s="5" t="n">
        <v>4.95</v>
      </c>
      <c r="J585" s="6" t="n">
        <v>15</v>
      </c>
      <c r="K585" s="7">
        <f>IF(I585="","",I585*(1+J585/100))</f>
        <v/>
      </c>
      <c r="L585" s="12" t="inlineStr"/>
      <c r="M585" s="8">
        <f>IF(OR(L585="",K585="",L585=0),"",
  (L585-K585)/L585*100)</f>
        <v/>
      </c>
      <c r="N585" s="9" t="inlineStr"/>
      <c r="O585" s="4" t="inlineStr"/>
      <c r="P585" s="4" t="inlineStr"/>
      <c r="Q585" s="4" t="inlineStr"/>
      <c r="R585" s="4" t="inlineStr">
        <is>
          <t>2026-03-12</t>
        </is>
      </c>
      <c r="S585" s="4" t="inlineStr"/>
    </row>
    <row r="586">
      <c r="A586" s="10" t="inlineStr">
        <is>
          <t>F00948</t>
        </is>
      </c>
      <c r="B586" s="10" t="inlineStr">
        <is>
          <t>F00948</t>
        </is>
      </c>
      <c r="C586" s="10" t="inlineStr"/>
      <c r="D586" s="10" t="inlineStr">
        <is>
          <t>6009677010187</t>
        </is>
      </c>
      <c r="E586" s="10" t="inlineStr">
        <is>
          <t>HINGE -BUTT- IRON 75MMX1.20MM - IRON HIN</t>
        </is>
      </c>
      <c r="F586" s="10" t="inlineStr"/>
      <c r="G586" s="10" t="inlineStr"/>
      <c r="H586" s="10" t="inlineStr"/>
      <c r="I586" s="11" t="n">
        <v>5.99</v>
      </c>
      <c r="J586" s="6" t="n">
        <v>15</v>
      </c>
      <c r="K586" s="7">
        <f>IF(I586="","",I586*(1+J586/100))</f>
        <v/>
      </c>
      <c r="L586" s="12" t="inlineStr"/>
      <c r="M586" s="8">
        <f>IF(OR(L586="",K586="",L586=0),"",
  (L586-K586)/L586*100)</f>
        <v/>
      </c>
      <c r="N586" s="9" t="inlineStr"/>
      <c r="O586" s="10" t="inlineStr"/>
      <c r="P586" s="10" t="inlineStr"/>
      <c r="Q586" s="10" t="inlineStr"/>
      <c r="R586" s="10" t="inlineStr">
        <is>
          <t>2026-03-12</t>
        </is>
      </c>
      <c r="S586" s="10" t="inlineStr"/>
    </row>
    <row r="587">
      <c r="A587" s="3" t="inlineStr">
        <is>
          <t>F00949</t>
        </is>
      </c>
      <c r="B587" s="4" t="inlineStr">
        <is>
          <t>F00949</t>
        </is>
      </c>
      <c r="C587" s="4" t="inlineStr"/>
      <c r="D587" s="4" t="inlineStr">
        <is>
          <t>6009677010194</t>
        </is>
      </c>
      <c r="E587" s="3" t="inlineStr">
        <is>
          <t>HINGE- BUTT SCREWS 100MM X 1.40MM - IRON</t>
        </is>
      </c>
      <c r="F587" s="4" t="inlineStr"/>
      <c r="G587" s="4" t="inlineStr"/>
      <c r="H587" s="4" t="inlineStr"/>
      <c r="I587" s="5" t="n">
        <v>10.95</v>
      </c>
      <c r="J587" s="6" t="n">
        <v>15</v>
      </c>
      <c r="K587" s="7">
        <f>IF(I587="","",I587*(1+J587/100))</f>
        <v/>
      </c>
      <c r="L587" s="12" t="inlineStr"/>
      <c r="M587" s="8">
        <f>IF(OR(L587="",K587="",L587=0),"",
  (L587-K587)/L587*100)</f>
        <v/>
      </c>
      <c r="N587" s="9" t="inlineStr"/>
      <c r="O587" s="4" t="inlineStr"/>
      <c r="P587" s="4" t="inlineStr"/>
      <c r="Q587" s="4" t="inlineStr"/>
      <c r="R587" s="4" t="inlineStr">
        <is>
          <t>2026-03-12</t>
        </is>
      </c>
      <c r="S587" s="4" t="inlineStr"/>
    </row>
    <row r="588">
      <c r="A588" s="10" t="inlineStr">
        <is>
          <t>F00950</t>
        </is>
      </c>
      <c r="B588" s="10" t="inlineStr">
        <is>
          <t>F00950</t>
        </is>
      </c>
      <c r="C588" s="10" t="inlineStr"/>
      <c r="D588" s="10" t="inlineStr">
        <is>
          <t>6009677010200</t>
        </is>
      </c>
      <c r="E588" s="10" t="inlineStr">
        <is>
          <t>HINGE -BUTT- IRON 100MMX1.60MM - IRON HI</t>
        </is>
      </c>
      <c r="F588" s="10" t="inlineStr"/>
      <c r="G588" s="10" t="inlineStr"/>
      <c r="H588" s="10" t="inlineStr"/>
      <c r="I588" s="11" t="n">
        <v>11.99</v>
      </c>
      <c r="J588" s="6" t="n">
        <v>15</v>
      </c>
      <c r="K588" s="7">
        <f>IF(I588="","",I588*(1+J588/100))</f>
        <v/>
      </c>
      <c r="L588" s="12" t="inlineStr"/>
      <c r="M588" s="8">
        <f>IF(OR(L588="",K588="",L588=0),"",
  (L588-K588)/L588*100)</f>
        <v/>
      </c>
      <c r="N588" s="9" t="inlineStr"/>
      <c r="O588" s="10" t="inlineStr"/>
      <c r="P588" s="10" t="inlineStr"/>
      <c r="Q588" s="10" t="inlineStr"/>
      <c r="R588" s="10" t="inlineStr">
        <is>
          <t>2026-03-12</t>
        </is>
      </c>
      <c r="S588" s="10" t="inlineStr"/>
    </row>
    <row r="589">
      <c r="A589" s="3" t="inlineStr">
        <is>
          <t>F00951</t>
        </is>
      </c>
      <c r="B589" s="4" t="inlineStr">
        <is>
          <t>F00951</t>
        </is>
      </c>
      <c r="C589" s="4" t="inlineStr">
        <is>
          <t>9933</t>
        </is>
      </c>
      <c r="D589" s="4" t="inlineStr">
        <is>
          <t>6009677013249</t>
        </is>
      </c>
      <c r="E589" s="3" t="inlineStr">
        <is>
          <t>TROWEL PLAIN GOOD QLTY FIBREG HANDLE</t>
        </is>
      </c>
      <c r="F589" s="4" t="inlineStr"/>
      <c r="G589" s="4" t="inlineStr"/>
      <c r="H589" s="4" t="inlineStr"/>
      <c r="I589" s="5" t="n">
        <v>28.5</v>
      </c>
      <c r="J589" s="6" t="n">
        <v>15</v>
      </c>
      <c r="K589" s="7">
        <f>IF(I589="","",I589*(1+J589/100))</f>
        <v/>
      </c>
      <c r="L589" s="5" t="n">
        <v>290</v>
      </c>
      <c r="M589" s="8">
        <f>IF(OR(L589="",K589="",L589=0),"",
  (L589-K589)/L589*100)</f>
        <v/>
      </c>
      <c r="N589" s="14" t="n">
        <v>521</v>
      </c>
      <c r="O589" s="4" t="inlineStr"/>
      <c r="P589" s="4" t="inlineStr"/>
      <c r="Q589" s="4" t="inlineStr"/>
      <c r="R589" s="4" t="inlineStr">
        <is>
          <t>2026-03-12</t>
        </is>
      </c>
      <c r="S589" s="4" t="inlineStr"/>
    </row>
    <row r="590">
      <c r="A590" s="10" t="inlineStr">
        <is>
          <t>F00952</t>
        </is>
      </c>
      <c r="B590" s="10" t="inlineStr">
        <is>
          <t>F00952</t>
        </is>
      </c>
      <c r="C590" s="10" t="inlineStr"/>
      <c r="D590" s="10" t="inlineStr">
        <is>
          <t>6009677013058</t>
        </is>
      </c>
      <c r="E590" s="10" t="inlineStr">
        <is>
          <t>TROWEL 280X130 - BT-6408</t>
        </is>
      </c>
      <c r="F590" s="10" t="inlineStr"/>
      <c r="G590" s="10" t="inlineStr"/>
      <c r="H590" s="10" t="inlineStr"/>
      <c r="I590" s="11" t="n">
        <v>9.25</v>
      </c>
      <c r="J590" s="6" t="n">
        <v>15</v>
      </c>
      <c r="K590" s="7">
        <f>IF(I590="","",I590*(1+J590/100))</f>
        <v/>
      </c>
      <c r="L590" s="12" t="inlineStr"/>
      <c r="M590" s="8">
        <f>IF(OR(L590="",K590="",L590=0),"",
  (L590-K590)/L590*100)</f>
        <v/>
      </c>
      <c r="N590" s="9" t="inlineStr"/>
      <c r="O590" s="10" t="inlineStr"/>
      <c r="P590" s="10" t="inlineStr"/>
      <c r="Q590" s="10" t="inlineStr"/>
      <c r="R590" s="10" t="inlineStr">
        <is>
          <t>2026-03-12</t>
        </is>
      </c>
      <c r="S590" s="10" t="inlineStr"/>
    </row>
    <row r="591">
      <c r="A591" s="3" t="inlineStr">
        <is>
          <t>F00953</t>
        </is>
      </c>
      <c r="B591" s="4" t="inlineStr">
        <is>
          <t>F00953</t>
        </is>
      </c>
      <c r="C591" s="4" t="inlineStr"/>
      <c r="D591" s="4" t="inlineStr">
        <is>
          <t>6009677014796</t>
        </is>
      </c>
      <c r="E591" s="3" t="inlineStr">
        <is>
          <t>ALLEN KEY SET 9PC CARDED</t>
        </is>
      </c>
      <c r="F591" s="4" t="inlineStr"/>
      <c r="G591" s="4" t="inlineStr"/>
      <c r="H591" s="4" t="inlineStr"/>
      <c r="I591" s="5" t="n">
        <v>15.95</v>
      </c>
      <c r="J591" s="6" t="n">
        <v>15</v>
      </c>
      <c r="K591" s="7">
        <f>IF(I591="","",I591*(1+J591/100))</f>
        <v/>
      </c>
      <c r="L591" s="12" t="inlineStr"/>
      <c r="M591" s="8">
        <f>IF(OR(L591="",K591="",L591=0),"",
  (L591-K591)/L591*100)</f>
        <v/>
      </c>
      <c r="N591" s="14" t="n">
        <v>89</v>
      </c>
      <c r="O591" s="4" t="inlineStr"/>
      <c r="P591" s="4" t="inlineStr"/>
      <c r="Q591" s="4" t="inlineStr"/>
      <c r="R591" s="4" t="inlineStr">
        <is>
          <t>2026-03-12</t>
        </is>
      </c>
      <c r="S591" s="4" t="inlineStr"/>
    </row>
    <row r="592">
      <c r="A592" s="10" t="inlineStr">
        <is>
          <t>F00954</t>
        </is>
      </c>
      <c r="B592" s="10" t="inlineStr">
        <is>
          <t>F00954</t>
        </is>
      </c>
      <c r="C592" s="10" t="inlineStr"/>
      <c r="D592" s="10" t="inlineStr">
        <is>
          <t>6904567911523</t>
        </is>
      </c>
      <c r="E592" s="10" t="inlineStr">
        <is>
          <t>KNIFE UTILITY - KN-10415</t>
        </is>
      </c>
      <c r="F592" s="10" t="inlineStr"/>
      <c r="G592" s="10" t="inlineStr"/>
      <c r="H592" s="10" t="inlineStr"/>
      <c r="I592" s="11" t="n">
        <v>13.95</v>
      </c>
      <c r="J592" s="6" t="n">
        <v>15</v>
      </c>
      <c r="K592" s="7">
        <f>IF(I592="","",I592*(1+J592/100))</f>
        <v/>
      </c>
      <c r="L592" s="12" t="inlineStr"/>
      <c r="M592" s="8">
        <f>IF(OR(L592="",K592="",L592=0),"",
  (L592-K592)/L592*100)</f>
        <v/>
      </c>
      <c r="N592" s="9" t="inlineStr"/>
      <c r="O592" s="10" t="inlineStr"/>
      <c r="P592" s="10" t="inlineStr"/>
      <c r="Q592" s="10" t="inlineStr"/>
      <c r="R592" s="10" t="inlineStr">
        <is>
          <t>2026-03-12</t>
        </is>
      </c>
      <c r="S592" s="10" t="inlineStr"/>
    </row>
    <row r="593">
      <c r="A593" s="3" t="inlineStr">
        <is>
          <t>F00955</t>
        </is>
      </c>
      <c r="B593" s="4" t="inlineStr">
        <is>
          <t>F00955</t>
        </is>
      </c>
      <c r="C593" s="4" t="inlineStr"/>
      <c r="D593" s="4" t="inlineStr">
        <is>
          <t>6009677014536</t>
        </is>
      </c>
      <c r="E593" s="3" t="inlineStr">
        <is>
          <t>KNIFE UTILITY GOOD QUALITY - KN-10415-GO</t>
        </is>
      </c>
      <c r="F593" s="4" t="inlineStr"/>
      <c r="G593" s="4" t="inlineStr"/>
      <c r="H593" s="4" t="inlineStr"/>
      <c r="I593" s="5" t="n">
        <v>15.95</v>
      </c>
      <c r="J593" s="6" t="n">
        <v>15</v>
      </c>
      <c r="K593" s="7">
        <f>IF(I593="","",I593*(1+J593/100))</f>
        <v/>
      </c>
      <c r="L593" s="12" t="inlineStr"/>
      <c r="M593" s="8">
        <f>IF(OR(L593="",K593="",L593=0),"",
  (L593-K593)/L593*100)</f>
        <v/>
      </c>
      <c r="N593" s="9" t="inlineStr"/>
      <c r="O593" s="4" t="inlineStr"/>
      <c r="P593" s="4" t="inlineStr"/>
      <c r="Q593" s="4" t="inlineStr"/>
      <c r="R593" s="4" t="inlineStr">
        <is>
          <t>2026-03-12</t>
        </is>
      </c>
      <c r="S593" s="4" t="inlineStr"/>
    </row>
    <row r="594">
      <c r="A594" s="10" t="inlineStr">
        <is>
          <t>F00956</t>
        </is>
      </c>
      <c r="B594" s="10" t="inlineStr">
        <is>
          <t>F00956</t>
        </is>
      </c>
      <c r="C594" s="10" t="inlineStr"/>
      <c r="D594" s="10" t="inlineStr"/>
      <c r="E594" s="10" t="inlineStr">
        <is>
          <t>GLUE GUN 10W - GG-12103</t>
        </is>
      </c>
      <c r="F594" s="10" t="inlineStr"/>
      <c r="G594" s="10" t="inlineStr"/>
      <c r="H594" s="10" t="inlineStr"/>
      <c r="I594" s="11" t="n">
        <v>10.95</v>
      </c>
      <c r="J594" s="6" t="n">
        <v>15</v>
      </c>
      <c r="K594" s="7">
        <f>IF(I594="","",I594*(1+J594/100))</f>
        <v/>
      </c>
      <c r="L594" s="12" t="inlineStr"/>
      <c r="M594" s="8">
        <f>IF(OR(L594="",K594="",L594=0),"",
  (L594-K594)/L594*100)</f>
        <v/>
      </c>
      <c r="N594" s="9" t="inlineStr"/>
      <c r="O594" s="10" t="inlineStr"/>
      <c r="P594" s="10" t="inlineStr"/>
      <c r="Q594" s="10" t="inlineStr"/>
      <c r="R594" s="10" t="inlineStr">
        <is>
          <t>2026-03-12</t>
        </is>
      </c>
      <c r="S594" s="10" t="inlineStr"/>
    </row>
    <row r="595">
      <c r="A595" s="3" t="inlineStr">
        <is>
          <t>F00957</t>
        </is>
      </c>
      <c r="B595" s="4" t="inlineStr">
        <is>
          <t>F00957</t>
        </is>
      </c>
      <c r="C595" s="4" t="inlineStr"/>
      <c r="D595" s="4" t="inlineStr"/>
      <c r="E595" s="3" t="inlineStr">
        <is>
          <t>GLUE GUN 60W - GG-12107</t>
        </is>
      </c>
      <c r="F595" s="4" t="inlineStr"/>
      <c r="G595" s="4" t="inlineStr"/>
      <c r="H595" s="4" t="inlineStr"/>
      <c r="I595" s="5" t="n">
        <v>22.95</v>
      </c>
      <c r="J595" s="6" t="n">
        <v>15</v>
      </c>
      <c r="K595" s="7">
        <f>IF(I595="","",I595*(1+J595/100))</f>
        <v/>
      </c>
      <c r="L595" s="12" t="inlineStr"/>
      <c r="M595" s="8">
        <f>IF(OR(L595="",K595="",L595=0),"",
  (L595-K595)/L595*100)</f>
        <v/>
      </c>
      <c r="N595" s="9" t="inlineStr"/>
      <c r="O595" s="4" t="inlineStr"/>
      <c r="P595" s="4" t="inlineStr"/>
      <c r="Q595" s="4" t="inlineStr"/>
      <c r="R595" s="4" t="inlineStr">
        <is>
          <t>2026-03-12</t>
        </is>
      </c>
      <c r="S595" s="4" t="inlineStr"/>
    </row>
    <row r="596">
      <c r="A596" s="10" t="inlineStr">
        <is>
          <t>F00958</t>
        </is>
      </c>
      <c r="B596" s="10" t="inlineStr">
        <is>
          <t>F00958</t>
        </is>
      </c>
      <c r="C596" s="10" t="inlineStr"/>
      <c r="D596" s="10" t="inlineStr">
        <is>
          <t>6009624150898</t>
        </is>
      </c>
      <c r="E596" s="10" t="inlineStr">
        <is>
          <t>SHEAR HEDGE - GT-5001</t>
        </is>
      </c>
      <c r="F596" s="10" t="inlineStr"/>
      <c r="G596" s="10" t="inlineStr"/>
      <c r="H596" s="10" t="inlineStr"/>
      <c r="I596" s="11" t="n">
        <v>20.95</v>
      </c>
      <c r="J596" s="6" t="n">
        <v>15</v>
      </c>
      <c r="K596" s="7">
        <f>IF(I596="","",I596*(1+J596/100))</f>
        <v/>
      </c>
      <c r="L596" s="12" t="inlineStr"/>
      <c r="M596" s="8">
        <f>IF(OR(L596="",K596="",L596=0),"",
  (L596-K596)/L596*100)</f>
        <v/>
      </c>
      <c r="N596" s="9" t="inlineStr"/>
      <c r="O596" s="10" t="inlineStr"/>
      <c r="P596" s="10" t="inlineStr"/>
      <c r="Q596" s="10" t="inlineStr"/>
      <c r="R596" s="10" t="inlineStr">
        <is>
          <t>2026-03-12</t>
        </is>
      </c>
      <c r="S596" s="10" t="inlineStr"/>
    </row>
    <row r="597">
      <c r="A597" s="3" t="inlineStr">
        <is>
          <t>F00959</t>
        </is>
      </c>
      <c r="B597" s="4" t="inlineStr">
        <is>
          <t>F00959</t>
        </is>
      </c>
      <c r="C597" s="4" t="inlineStr"/>
      <c r="D597" s="4" t="inlineStr">
        <is>
          <t>6009677018015</t>
        </is>
      </c>
      <c r="E597" s="3" t="inlineStr">
        <is>
          <t>HOSE PIPE (BRAGA)12MMX20MT +FITTING PLS4</t>
        </is>
      </c>
      <c r="F597" s="4" t="inlineStr"/>
      <c r="G597" s="4" t="inlineStr"/>
      <c r="H597" s="4" t="inlineStr"/>
      <c r="I597" s="5" t="n">
        <v>67.65000000000001</v>
      </c>
      <c r="J597" s="6" t="n">
        <v>15</v>
      </c>
      <c r="K597" s="7">
        <f>IF(I597="","",I597*(1+J597/100))</f>
        <v/>
      </c>
      <c r="L597" s="12" t="inlineStr"/>
      <c r="M597" s="8">
        <f>IF(OR(L597="",K597="",L597=0),"",
  (L597-K597)/L597*100)</f>
        <v/>
      </c>
      <c r="N597" s="9" t="inlineStr"/>
      <c r="O597" s="4" t="inlineStr"/>
      <c r="P597" s="4" t="inlineStr"/>
      <c r="Q597" s="4" t="inlineStr"/>
      <c r="R597" s="4" t="inlineStr">
        <is>
          <t>2026-03-12</t>
        </is>
      </c>
      <c r="S597" s="4" t="inlineStr"/>
    </row>
    <row r="598">
      <c r="A598" s="10" t="inlineStr">
        <is>
          <t>F00960</t>
        </is>
      </c>
      <c r="B598" s="10" t="inlineStr">
        <is>
          <t>F00960</t>
        </is>
      </c>
      <c r="C598" s="10" t="inlineStr">
        <is>
          <t>10082</t>
        </is>
      </c>
      <c r="D598" s="10" t="inlineStr">
        <is>
          <t>6009677018008</t>
        </is>
      </c>
      <c r="E598" s="10" t="inlineStr">
        <is>
          <t>HOSE PIPE 12MM X 20M + FITTIN - PLS33000</t>
        </is>
      </c>
      <c r="F598" s="10" t="inlineStr"/>
      <c r="G598" s="10" t="inlineStr"/>
      <c r="H598" s="10" t="inlineStr"/>
      <c r="I598" s="11" t="n">
        <v>85.95</v>
      </c>
      <c r="J598" s="6" t="n">
        <v>15</v>
      </c>
      <c r="K598" s="7">
        <f>IF(I598="","",I598*(1+J598/100))</f>
        <v/>
      </c>
      <c r="L598" s="11" t="n">
        <v>180</v>
      </c>
      <c r="M598" s="8">
        <f>IF(OR(L598="",K598="",L598=0),"",
  (L598-K598)/L598*100)</f>
        <v/>
      </c>
      <c r="N598" s="13" t="n">
        <v>3742</v>
      </c>
      <c r="O598" s="10" t="inlineStr"/>
      <c r="P598" s="10" t="inlineStr"/>
      <c r="Q598" s="10" t="inlineStr"/>
      <c r="R598" s="10" t="inlineStr">
        <is>
          <t>2026-03-12</t>
        </is>
      </c>
      <c r="S598" s="10" t="inlineStr"/>
    </row>
    <row r="599">
      <c r="A599" s="3" t="inlineStr">
        <is>
          <t>F00961</t>
        </is>
      </c>
      <c r="B599" s="4" t="inlineStr">
        <is>
          <t>F00961</t>
        </is>
      </c>
      <c r="C599" s="4" t="inlineStr">
        <is>
          <t>10084</t>
        </is>
      </c>
      <c r="D599" s="4" t="inlineStr">
        <is>
          <t>6009677018022</t>
        </is>
      </c>
      <c r="E599" s="3" t="inlineStr">
        <is>
          <t>HOSE PIPE 20MM x 30M +FITTINGS - PLS5500</t>
        </is>
      </c>
      <c r="F599" s="4" t="inlineStr"/>
      <c r="G599" s="4" t="inlineStr"/>
      <c r="H599" s="4" t="inlineStr"/>
      <c r="I599" s="5" t="n">
        <v>215.95</v>
      </c>
      <c r="J599" s="6" t="n">
        <v>15</v>
      </c>
      <c r="K599" s="7">
        <f>IF(I599="","",I599*(1+J599/100))</f>
        <v/>
      </c>
      <c r="L599" s="5" t="n">
        <v>399</v>
      </c>
      <c r="M599" s="8">
        <f>IF(OR(L599="",K599="",L599=0),"",
  (L599-K599)/L599*100)</f>
        <v/>
      </c>
      <c r="N599" s="14" t="n">
        <v>1247</v>
      </c>
      <c r="O599" s="4" t="inlineStr"/>
      <c r="P599" s="4" t="inlineStr"/>
      <c r="Q599" s="4" t="inlineStr"/>
      <c r="R599" s="4" t="inlineStr">
        <is>
          <t>2026-03-12</t>
        </is>
      </c>
      <c r="S599" s="4" t="inlineStr"/>
    </row>
    <row r="600">
      <c r="A600" s="10" t="inlineStr">
        <is>
          <t>F00962</t>
        </is>
      </c>
      <c r="B600" s="10" t="inlineStr">
        <is>
          <t>F00962</t>
        </is>
      </c>
      <c r="C600" s="10" t="inlineStr"/>
      <c r="D600" s="10" t="inlineStr"/>
      <c r="E600" s="10" t="inlineStr">
        <is>
          <t>WIRE NETTING 4"X1.2MX50M</t>
        </is>
      </c>
      <c r="F600" s="10" t="inlineStr"/>
      <c r="G600" s="10" t="inlineStr"/>
      <c r="H600" s="10" t="inlineStr"/>
      <c r="I600" s="11" t="n">
        <v>350</v>
      </c>
      <c r="J600" s="6" t="n">
        <v>15</v>
      </c>
      <c r="K600" s="7">
        <f>IF(I600="","",I600*(1+J600/100))</f>
        <v/>
      </c>
      <c r="L600" s="12" t="inlineStr"/>
      <c r="M600" s="8">
        <f>IF(OR(L600="",K600="",L600=0),"",
  (L600-K600)/L600*100)</f>
        <v/>
      </c>
      <c r="N600" s="9" t="inlineStr"/>
      <c r="O600" s="10" t="inlineStr"/>
      <c r="P600" s="10" t="inlineStr"/>
      <c r="Q600" s="10" t="inlineStr"/>
      <c r="R600" s="10" t="inlineStr">
        <is>
          <t>2026-03-12</t>
        </is>
      </c>
      <c r="S600" s="10" t="inlineStr"/>
    </row>
    <row r="601">
      <c r="A601" s="3" t="inlineStr">
        <is>
          <t>F00963</t>
        </is>
      </c>
      <c r="B601" s="4" t="inlineStr">
        <is>
          <t>F00963</t>
        </is>
      </c>
      <c r="C601" s="4" t="inlineStr">
        <is>
          <t>18807</t>
        </is>
      </c>
      <c r="D601" s="4" t="inlineStr">
        <is>
          <t>6009677012006</t>
        </is>
      </c>
      <c r="E601" s="3" t="inlineStr">
        <is>
          <t>ROPE 4MM X 10M NYLON (SK410)</t>
        </is>
      </c>
      <c r="F601" s="4" t="inlineStr"/>
      <c r="G601" s="4" t="inlineStr"/>
      <c r="H601" s="4" t="inlineStr"/>
      <c r="I601" s="5" t="n">
        <v>5.59</v>
      </c>
      <c r="J601" s="6" t="n">
        <v>15</v>
      </c>
      <c r="K601" s="7">
        <f>IF(I601="","",I601*(1+J601/100))</f>
        <v/>
      </c>
      <c r="L601" s="5" t="n">
        <v>9.99</v>
      </c>
      <c r="M601" s="8">
        <f>IF(OR(L601="",K601="",L601=0),"",
  (L601-K601)/L601*100)</f>
        <v/>
      </c>
      <c r="N601" s="14" t="n">
        <v>3313</v>
      </c>
      <c r="O601" s="4" t="inlineStr"/>
      <c r="P601" s="4" t="inlineStr"/>
      <c r="Q601" s="4" t="inlineStr"/>
      <c r="R601" s="4" t="inlineStr">
        <is>
          <t>2026-03-12</t>
        </is>
      </c>
      <c r="S601" s="4" t="inlineStr"/>
    </row>
    <row r="602">
      <c r="A602" s="10" t="inlineStr">
        <is>
          <t>F00964</t>
        </is>
      </c>
      <c r="B602" s="10" t="inlineStr">
        <is>
          <t>F00964</t>
        </is>
      </c>
      <c r="C602" s="10" t="inlineStr">
        <is>
          <t>18808</t>
        </is>
      </c>
      <c r="D602" s="10" t="inlineStr">
        <is>
          <t>6009677013379</t>
        </is>
      </c>
      <c r="E602" s="10" t="inlineStr">
        <is>
          <t>ROPE 4MM X 20M NYLON (SK420)</t>
        </is>
      </c>
      <c r="F602" s="10" t="inlineStr"/>
      <c r="G602" s="10" t="inlineStr"/>
      <c r="H602" s="10" t="inlineStr"/>
      <c r="I602" s="11" t="n">
        <v>10.49</v>
      </c>
      <c r="J602" s="6" t="n">
        <v>15</v>
      </c>
      <c r="K602" s="7">
        <f>IF(I602="","",I602*(1+J602/100))</f>
        <v/>
      </c>
      <c r="L602" s="11" t="n">
        <v>19.99</v>
      </c>
      <c r="M602" s="8">
        <f>IF(OR(L602="",K602="",L602=0),"",
  (L602-K602)/L602*100)</f>
        <v/>
      </c>
      <c r="N602" s="13" t="n">
        <v>2996</v>
      </c>
      <c r="O602" s="10" t="inlineStr"/>
      <c r="P602" s="10" t="inlineStr"/>
      <c r="Q602" s="10" t="inlineStr"/>
      <c r="R602" s="10" t="inlineStr">
        <is>
          <t>2026-03-12</t>
        </is>
      </c>
      <c r="S602" s="10" t="inlineStr"/>
    </row>
    <row r="603">
      <c r="A603" s="3" t="inlineStr">
        <is>
          <t>F00965</t>
        </is>
      </c>
      <c r="B603" s="4" t="inlineStr">
        <is>
          <t>F00965</t>
        </is>
      </c>
      <c r="C603" s="4" t="inlineStr">
        <is>
          <t>18811</t>
        </is>
      </c>
      <c r="D603" s="4" t="inlineStr">
        <is>
          <t>6009677012013</t>
        </is>
      </c>
      <c r="E603" s="3" t="inlineStr">
        <is>
          <t>ROPE 6MM X 10M NYLON (SK610)</t>
        </is>
      </c>
      <c r="F603" s="4" t="inlineStr"/>
      <c r="G603" s="4" t="inlineStr"/>
      <c r="H603" s="4" t="inlineStr"/>
      <c r="I603" s="5" t="n">
        <v>12.45</v>
      </c>
      <c r="J603" s="6" t="n">
        <v>15</v>
      </c>
      <c r="K603" s="7">
        <f>IF(I603="","",I603*(1+J603/100))</f>
        <v/>
      </c>
      <c r="L603" s="5" t="n">
        <v>15</v>
      </c>
      <c r="M603" s="8">
        <f>IF(OR(L603="",K603="",L603=0),"",
  (L603-K603)/L603*100)</f>
        <v/>
      </c>
      <c r="N603" s="14" t="n">
        <v>982</v>
      </c>
      <c r="O603" s="4" t="inlineStr"/>
      <c r="P603" s="4" t="inlineStr"/>
      <c r="Q603" s="4" t="inlineStr"/>
      <c r="R603" s="4" t="inlineStr">
        <is>
          <t>2026-03-12</t>
        </is>
      </c>
      <c r="S603" s="4" t="inlineStr"/>
    </row>
    <row r="604">
      <c r="A604" s="10" t="inlineStr">
        <is>
          <t>F00966</t>
        </is>
      </c>
      <c r="B604" s="10" t="inlineStr">
        <is>
          <t>F00966</t>
        </is>
      </c>
      <c r="C604" s="10" t="inlineStr">
        <is>
          <t>18812</t>
        </is>
      </c>
      <c r="D604" s="10" t="inlineStr">
        <is>
          <t>6009677013386</t>
        </is>
      </c>
      <c r="E604" s="10" t="inlineStr">
        <is>
          <t>ROPE 6MM X 20M NYLON (SK620)</t>
        </is>
      </c>
      <c r="F604" s="10" t="inlineStr"/>
      <c r="G604" s="10" t="inlineStr"/>
      <c r="H604" s="10" t="inlineStr"/>
      <c r="I604" s="11" t="n">
        <v>16.35</v>
      </c>
      <c r="J604" s="6" t="n">
        <v>15</v>
      </c>
      <c r="K604" s="7">
        <f>IF(I604="","",I604*(1+J604/100))</f>
        <v/>
      </c>
      <c r="L604" s="11" t="n">
        <v>29</v>
      </c>
      <c r="M604" s="8">
        <f>IF(OR(L604="",K604="",L604=0),"",
  (L604-K604)/L604*100)</f>
        <v/>
      </c>
      <c r="N604" s="13" t="n">
        <v>721</v>
      </c>
      <c r="O604" s="10" t="inlineStr"/>
      <c r="P604" s="10" t="inlineStr"/>
      <c r="Q604" s="10" t="inlineStr"/>
      <c r="R604" s="10" t="inlineStr">
        <is>
          <t>2026-03-12</t>
        </is>
      </c>
      <c r="S604" s="10" t="inlineStr"/>
    </row>
    <row r="605">
      <c r="A605" s="3" t="inlineStr">
        <is>
          <t>F00967</t>
        </is>
      </c>
      <c r="B605" s="4" t="inlineStr">
        <is>
          <t>F00967</t>
        </is>
      </c>
      <c r="C605" s="4" t="inlineStr">
        <is>
          <t>18814</t>
        </is>
      </c>
      <c r="D605" s="4" t="inlineStr">
        <is>
          <t>6009677012020</t>
        </is>
      </c>
      <c r="E605" s="3" t="inlineStr">
        <is>
          <t>ROPE 8MM X 10M NYLON (SK810)</t>
        </is>
      </c>
      <c r="F605" s="4" t="inlineStr"/>
      <c r="G605" s="4" t="inlineStr"/>
      <c r="H605" s="4" t="inlineStr"/>
      <c r="I605" s="5" t="n">
        <v>13.45</v>
      </c>
      <c r="J605" s="6" t="n">
        <v>15</v>
      </c>
      <c r="K605" s="7">
        <f>IF(I605="","",I605*(1+J605/100))</f>
        <v/>
      </c>
      <c r="L605" s="5" t="n">
        <v>39</v>
      </c>
      <c r="M605" s="8">
        <f>IF(OR(L605="",K605="",L605=0),"",
  (L605-K605)/L605*100)</f>
        <v/>
      </c>
      <c r="N605" s="14" t="n">
        <v>4</v>
      </c>
      <c r="O605" s="4" t="inlineStr"/>
      <c r="P605" s="4" t="inlineStr"/>
      <c r="Q605" s="4" t="inlineStr"/>
      <c r="R605" s="4" t="inlineStr">
        <is>
          <t>2026-03-12</t>
        </is>
      </c>
      <c r="S605" s="4" t="inlineStr"/>
    </row>
    <row r="606">
      <c r="A606" s="10" t="inlineStr">
        <is>
          <t>F00968</t>
        </is>
      </c>
      <c r="B606" s="10" t="inlineStr">
        <is>
          <t>F00968</t>
        </is>
      </c>
      <c r="C606" s="10" t="inlineStr">
        <is>
          <t>18815</t>
        </is>
      </c>
      <c r="D606" s="10" t="inlineStr">
        <is>
          <t>6009677013393</t>
        </is>
      </c>
      <c r="E606" s="10" t="inlineStr">
        <is>
          <t>ROPE 8MM X 20M NYLON (SK820)</t>
        </is>
      </c>
      <c r="F606" s="10" t="inlineStr"/>
      <c r="G606" s="10" t="inlineStr"/>
      <c r="H606" s="10" t="inlineStr"/>
      <c r="I606" s="11" t="n">
        <v>31.5</v>
      </c>
      <c r="J606" s="6" t="n">
        <v>15</v>
      </c>
      <c r="K606" s="7">
        <f>IF(I606="","",I606*(1+J606/100))</f>
        <v/>
      </c>
      <c r="L606" s="11" t="n">
        <v>59</v>
      </c>
      <c r="M606" s="8">
        <f>IF(OR(L606="",K606="",L606=0),"",
  (L606-K606)/L606*100)</f>
        <v/>
      </c>
      <c r="N606" s="13" t="n">
        <v>11</v>
      </c>
      <c r="O606" s="10" t="inlineStr"/>
      <c r="P606" s="10" t="inlineStr"/>
      <c r="Q606" s="10" t="inlineStr"/>
      <c r="R606" s="10" t="inlineStr">
        <is>
          <t>2026-03-12</t>
        </is>
      </c>
      <c r="S606" s="10" t="inlineStr"/>
    </row>
    <row r="607">
      <c r="A607" s="3" t="inlineStr">
        <is>
          <t>F00969</t>
        </is>
      </c>
      <c r="B607" s="4" t="inlineStr">
        <is>
          <t>F00969</t>
        </is>
      </c>
      <c r="C607" s="4" t="inlineStr"/>
      <c r="D607" s="4" t="inlineStr">
        <is>
          <t>6009677012037</t>
        </is>
      </c>
      <c r="E607" s="3" t="inlineStr">
        <is>
          <t>ROPE 10MM X 10M NYLON (SK1010)</t>
        </is>
      </c>
      <c r="F607" s="4" t="inlineStr"/>
      <c r="G607" s="4" t="inlineStr"/>
      <c r="H607" s="4" t="inlineStr"/>
      <c r="I607" s="5" t="n">
        <v>19.95</v>
      </c>
      <c r="J607" s="6" t="n">
        <v>15</v>
      </c>
      <c r="K607" s="7">
        <f>IF(I607="","",I607*(1+J607/100))</f>
        <v/>
      </c>
      <c r="L607" s="12" t="inlineStr"/>
      <c r="M607" s="8">
        <f>IF(OR(L607="",K607="",L607=0),"",
  (L607-K607)/L607*100)</f>
        <v/>
      </c>
      <c r="N607" s="9" t="inlineStr"/>
      <c r="O607" s="4" t="inlineStr"/>
      <c r="P607" s="4" t="inlineStr"/>
      <c r="Q607" s="4" t="inlineStr"/>
      <c r="R607" s="4" t="inlineStr">
        <is>
          <t>2026-03-12</t>
        </is>
      </c>
      <c r="S607" s="4" t="inlineStr"/>
    </row>
    <row r="608">
      <c r="A608" s="10" t="inlineStr">
        <is>
          <t>F00970</t>
        </is>
      </c>
      <c r="B608" s="10" t="inlineStr">
        <is>
          <t>F00970</t>
        </is>
      </c>
      <c r="C608" s="10" t="inlineStr">
        <is>
          <t>18817</t>
        </is>
      </c>
      <c r="D608" s="10" t="inlineStr">
        <is>
          <t>6009677013409</t>
        </is>
      </c>
      <c r="E608" s="10" t="inlineStr">
        <is>
          <t>ROPE 10MM X 20M NYLON (SK1020)</t>
        </is>
      </c>
      <c r="F608" s="10" t="inlineStr"/>
      <c r="G608" s="10" t="inlineStr"/>
      <c r="H608" s="10" t="inlineStr"/>
      <c r="I608" s="11" t="n">
        <v>37.8</v>
      </c>
      <c r="J608" s="6" t="n">
        <v>15</v>
      </c>
      <c r="K608" s="7">
        <f>IF(I608="","",I608*(1+J608/100))</f>
        <v/>
      </c>
      <c r="L608" s="11" t="n">
        <v>99</v>
      </c>
      <c r="M608" s="8">
        <f>IF(OR(L608="",K608="",L608=0),"",
  (L608-K608)/L608*100)</f>
        <v/>
      </c>
      <c r="N608" s="9" t="inlineStr"/>
      <c r="O608" s="10" t="inlineStr"/>
      <c r="P608" s="10" t="inlineStr"/>
      <c r="Q608" s="10" t="inlineStr"/>
      <c r="R608" s="10" t="inlineStr">
        <is>
          <t>2026-03-12</t>
        </is>
      </c>
      <c r="S608" s="10" t="inlineStr"/>
    </row>
    <row r="609">
      <c r="A609" s="3" t="inlineStr">
        <is>
          <t>F00971</t>
        </is>
      </c>
      <c r="B609" s="4" t="inlineStr">
        <is>
          <t>F00971</t>
        </is>
      </c>
      <c r="C609" s="4" t="inlineStr"/>
      <c r="D609" s="4" t="inlineStr">
        <is>
          <t>6009677012044</t>
        </is>
      </c>
      <c r="E609" s="3" t="inlineStr">
        <is>
          <t>ROPE 12MM X 10M NYLON (SK1210)</t>
        </is>
      </c>
      <c r="F609" s="4" t="inlineStr"/>
      <c r="G609" s="4" t="inlineStr"/>
      <c r="H609" s="4" t="inlineStr"/>
      <c r="I609" s="5" t="n">
        <v>19.25</v>
      </c>
      <c r="J609" s="6" t="n">
        <v>15</v>
      </c>
      <c r="K609" s="7">
        <f>IF(I609="","",I609*(1+J609/100))</f>
        <v/>
      </c>
      <c r="L609" s="12" t="inlineStr"/>
      <c r="M609" s="8">
        <f>IF(OR(L609="",K609="",L609=0),"",
  (L609-K609)/L609*100)</f>
        <v/>
      </c>
      <c r="N609" s="14" t="n">
        <v>12</v>
      </c>
      <c r="O609" s="4" t="inlineStr"/>
      <c r="P609" s="4" t="inlineStr"/>
      <c r="Q609" s="4" t="inlineStr"/>
      <c r="R609" s="4" t="inlineStr">
        <is>
          <t>2026-03-12</t>
        </is>
      </c>
      <c r="S609" s="4" t="inlineStr"/>
    </row>
    <row r="610">
      <c r="A610" s="10" t="inlineStr">
        <is>
          <t>F00972</t>
        </is>
      </c>
      <c r="B610" s="10" t="inlineStr">
        <is>
          <t>F00972</t>
        </is>
      </c>
      <c r="C610" s="10" t="inlineStr"/>
      <c r="D610" s="10" t="inlineStr">
        <is>
          <t>6009677013416</t>
        </is>
      </c>
      <c r="E610" s="10" t="inlineStr">
        <is>
          <t>ROPE 12MM X 20M NYLON (SK1220)</t>
        </is>
      </c>
      <c r="F610" s="10" t="inlineStr"/>
      <c r="G610" s="10" t="inlineStr"/>
      <c r="H610" s="10" t="inlineStr"/>
      <c r="I610" s="11" t="n">
        <v>34.5</v>
      </c>
      <c r="J610" s="6" t="n">
        <v>15</v>
      </c>
      <c r="K610" s="7">
        <f>IF(I610="","",I610*(1+J610/100))</f>
        <v/>
      </c>
      <c r="L610" s="12" t="inlineStr"/>
      <c r="M610" s="8">
        <f>IF(OR(L610="",K610="",L610=0),"",
  (L610-K610)/L610*100)</f>
        <v/>
      </c>
      <c r="N610" s="13" t="n">
        <v>5</v>
      </c>
      <c r="O610" s="10" t="inlineStr"/>
      <c r="P610" s="10" t="inlineStr"/>
      <c r="Q610" s="10" t="inlineStr"/>
      <c r="R610" s="10" t="inlineStr">
        <is>
          <t>2026-03-12</t>
        </is>
      </c>
      <c r="S610" s="10" t="inlineStr"/>
    </row>
    <row r="611">
      <c r="A611" s="3" t="inlineStr">
        <is>
          <t>F00973</t>
        </is>
      </c>
      <c r="B611" s="4" t="inlineStr">
        <is>
          <t>F00973</t>
        </is>
      </c>
      <c r="C611" s="4" t="inlineStr"/>
      <c r="D611" s="4" t="inlineStr">
        <is>
          <t>6009677014277</t>
        </is>
      </c>
      <c r="E611" s="3" t="inlineStr">
        <is>
          <t>ROPE 5MM X 10M (SK510)</t>
        </is>
      </c>
      <c r="F611" s="4" t="inlineStr"/>
      <c r="G611" s="4" t="inlineStr"/>
      <c r="H611" s="4" t="inlineStr"/>
      <c r="I611" s="5" t="n">
        <v>6.95</v>
      </c>
      <c r="J611" s="6" t="n">
        <v>15</v>
      </c>
      <c r="K611" s="7">
        <f>IF(I611="","",I611*(1+J611/100))</f>
        <v/>
      </c>
      <c r="L611" s="12" t="inlineStr"/>
      <c r="M611" s="8">
        <f>IF(OR(L611="",K611="",L611=0),"",
  (L611-K611)/L611*100)</f>
        <v/>
      </c>
      <c r="N611" s="14" t="n">
        <v>50</v>
      </c>
      <c r="O611" s="4" t="inlineStr"/>
      <c r="P611" s="4" t="inlineStr"/>
      <c r="Q611" s="4" t="inlineStr"/>
      <c r="R611" s="4" t="inlineStr">
        <is>
          <t>2026-03-12</t>
        </is>
      </c>
      <c r="S611" s="4" t="inlineStr"/>
    </row>
    <row r="612">
      <c r="A612" s="10" t="inlineStr">
        <is>
          <t>F00974</t>
        </is>
      </c>
      <c r="B612" s="10" t="inlineStr">
        <is>
          <t>F00974</t>
        </is>
      </c>
      <c r="C612" s="10" t="inlineStr"/>
      <c r="D612" s="10" t="inlineStr">
        <is>
          <t>6009677014291</t>
        </is>
      </c>
      <c r="E612" s="10" t="inlineStr">
        <is>
          <t>ROPE 7MM X 10M (SK710)</t>
        </is>
      </c>
      <c r="F612" s="10" t="inlineStr"/>
      <c r="G612" s="10" t="inlineStr"/>
      <c r="H612" s="10" t="inlineStr"/>
      <c r="I612" s="11" t="n">
        <v>10.49</v>
      </c>
      <c r="J612" s="6" t="n">
        <v>15</v>
      </c>
      <c r="K612" s="7">
        <f>IF(I612="","",I612*(1+J612/100))</f>
        <v/>
      </c>
      <c r="L612" s="12" t="inlineStr"/>
      <c r="M612" s="8">
        <f>IF(OR(L612="",K612="",L612=0),"",
  (L612-K612)/L612*100)</f>
        <v/>
      </c>
      <c r="N612" s="9" t="inlineStr"/>
      <c r="O612" s="10" t="inlineStr"/>
      <c r="P612" s="10" t="inlineStr"/>
      <c r="Q612" s="10" t="inlineStr"/>
      <c r="R612" s="10" t="inlineStr">
        <is>
          <t>2026-03-12</t>
        </is>
      </c>
      <c r="S612" s="10" t="inlineStr"/>
    </row>
    <row r="613">
      <c r="A613" s="3" t="inlineStr">
        <is>
          <t>F00975</t>
        </is>
      </c>
      <c r="B613" s="4" t="inlineStr">
        <is>
          <t>F00975</t>
        </is>
      </c>
      <c r="C613" s="4" t="inlineStr"/>
      <c r="D613" s="4" t="inlineStr">
        <is>
          <t>6009677014284</t>
        </is>
      </c>
      <c r="E613" s="3" t="inlineStr">
        <is>
          <t>ROPE 5MM X 20M (SK520)</t>
        </is>
      </c>
      <c r="F613" s="4" t="inlineStr"/>
      <c r="G613" s="4" t="inlineStr"/>
      <c r="H613" s="4" t="inlineStr"/>
      <c r="I613" s="5" t="n">
        <v>11.95</v>
      </c>
      <c r="J613" s="6" t="n">
        <v>15</v>
      </c>
      <c r="K613" s="7">
        <f>IF(I613="","",I613*(1+J613/100))</f>
        <v/>
      </c>
      <c r="L613" s="12" t="inlineStr"/>
      <c r="M613" s="8">
        <f>IF(OR(L613="",K613="",L613=0),"",
  (L613-K613)/L613*100)</f>
        <v/>
      </c>
      <c r="N613" s="14" t="n">
        <v>21</v>
      </c>
      <c r="O613" s="4" t="inlineStr"/>
      <c r="P613" s="4" t="inlineStr"/>
      <c r="Q613" s="4" t="inlineStr"/>
      <c r="R613" s="4" t="inlineStr">
        <is>
          <t>2026-03-12</t>
        </is>
      </c>
      <c r="S613" s="4" t="inlineStr"/>
    </row>
    <row r="614">
      <c r="A614" s="10" t="inlineStr">
        <is>
          <t>F00976</t>
        </is>
      </c>
      <c r="B614" s="10" t="inlineStr">
        <is>
          <t>F00976</t>
        </is>
      </c>
      <c r="C614" s="10" t="inlineStr"/>
      <c r="D614" s="10" t="inlineStr">
        <is>
          <t>6009677014307</t>
        </is>
      </c>
      <c r="E614" s="10" t="inlineStr">
        <is>
          <t>ROPE 7MM X 20M (SK720)</t>
        </is>
      </c>
      <c r="F614" s="10" t="inlineStr"/>
      <c r="G614" s="10" t="inlineStr"/>
      <c r="H614" s="10" t="inlineStr"/>
      <c r="I614" s="11" t="n">
        <v>16.17</v>
      </c>
      <c r="J614" s="6" t="n">
        <v>15</v>
      </c>
      <c r="K614" s="7">
        <f>IF(I614="","",I614*(1+J614/100))</f>
        <v/>
      </c>
      <c r="L614" s="12" t="inlineStr"/>
      <c r="M614" s="8">
        <f>IF(OR(L614="",K614="",L614=0),"",
  (L614-K614)/L614*100)</f>
        <v/>
      </c>
      <c r="N614" s="9" t="inlineStr"/>
      <c r="O614" s="10" t="inlineStr"/>
      <c r="P614" s="10" t="inlineStr"/>
      <c r="Q614" s="10" t="inlineStr"/>
      <c r="R614" s="10" t="inlineStr">
        <is>
          <t>2026-03-12</t>
        </is>
      </c>
      <c r="S614" s="10" t="inlineStr"/>
    </row>
    <row r="615">
      <c r="A615" s="3" t="inlineStr">
        <is>
          <t>F00977</t>
        </is>
      </c>
      <c r="B615" s="4" t="inlineStr">
        <is>
          <t>F00977</t>
        </is>
      </c>
      <c r="C615" s="4" t="inlineStr"/>
      <c r="D615" s="4" t="inlineStr"/>
      <c r="E615" s="3" t="inlineStr">
        <is>
          <t>ROPE 8MMX200M</t>
        </is>
      </c>
      <c r="F615" s="4" t="inlineStr"/>
      <c r="G615" s="4" t="inlineStr"/>
      <c r="H615" s="4" t="inlineStr"/>
      <c r="I615" s="5" t="n">
        <v>156.45</v>
      </c>
      <c r="J615" s="6" t="n">
        <v>15</v>
      </c>
      <c r="K615" s="7">
        <f>IF(I615="","",I615*(1+J615/100))</f>
        <v/>
      </c>
      <c r="L615" s="12" t="inlineStr"/>
      <c r="M615" s="8">
        <f>IF(OR(L615="",K615="",L615=0),"",
  (L615-K615)/L615*100)</f>
        <v/>
      </c>
      <c r="N615" s="9" t="inlineStr"/>
      <c r="O615" s="4" t="inlineStr"/>
      <c r="P615" s="4" t="inlineStr"/>
      <c r="Q615" s="4" t="inlineStr"/>
      <c r="R615" s="4" t="inlineStr">
        <is>
          <t>2026-03-12</t>
        </is>
      </c>
      <c r="S615" s="4" t="inlineStr"/>
    </row>
    <row r="616">
      <c r="A616" s="10" t="inlineStr">
        <is>
          <t>F00978</t>
        </is>
      </c>
      <c r="B616" s="10" t="inlineStr">
        <is>
          <t>F00978</t>
        </is>
      </c>
      <c r="C616" s="10" t="inlineStr"/>
      <c r="D616" s="10" t="inlineStr"/>
      <c r="E616" s="10" t="inlineStr">
        <is>
          <t>LADDER MULTI FUNCT 3X4WONDA - R -14 203</t>
        </is>
      </c>
      <c r="F616" s="10" t="inlineStr"/>
      <c r="G616" s="10" t="inlineStr"/>
      <c r="H616" s="10" t="inlineStr"/>
      <c r="I616" s="11" t="n">
        <v>629</v>
      </c>
      <c r="J616" s="6" t="n">
        <v>15</v>
      </c>
      <c r="K616" s="7">
        <f>IF(I616="","",I616*(1+J616/100))</f>
        <v/>
      </c>
      <c r="L616" s="12" t="inlineStr"/>
      <c r="M616" s="8">
        <f>IF(OR(L616="",K616="",L616=0),"",
  (L616-K616)/L616*100)</f>
        <v/>
      </c>
      <c r="N616" s="9" t="inlineStr"/>
      <c r="O616" s="10" t="inlineStr"/>
      <c r="P616" s="10" t="inlineStr"/>
      <c r="Q616" s="10" t="inlineStr"/>
      <c r="R616" s="10" t="inlineStr">
        <is>
          <t>2026-03-12</t>
        </is>
      </c>
      <c r="S616" s="10" t="inlineStr"/>
    </row>
    <row r="617">
      <c r="A617" s="3" t="inlineStr">
        <is>
          <t>F00979</t>
        </is>
      </c>
      <c r="B617" s="4" t="inlineStr">
        <is>
          <t>F00979</t>
        </is>
      </c>
      <c r="C617" s="4" t="inlineStr"/>
      <c r="D617" s="4" t="inlineStr"/>
      <c r="E617" s="3" t="inlineStr">
        <is>
          <t>LADDER MULTI FUNCT 4X4WONDA - R -14 204</t>
        </is>
      </c>
      <c r="F617" s="4" t="inlineStr"/>
      <c r="G617" s="4" t="inlineStr"/>
      <c r="H617" s="4" t="inlineStr"/>
      <c r="I617" s="5" t="n">
        <v>749</v>
      </c>
      <c r="J617" s="6" t="n">
        <v>15</v>
      </c>
      <c r="K617" s="7">
        <f>IF(I617="","",I617*(1+J617/100))</f>
        <v/>
      </c>
      <c r="L617" s="12" t="inlineStr"/>
      <c r="M617" s="8">
        <f>IF(OR(L617="",K617="",L617=0),"",
  (L617-K617)/L617*100)</f>
        <v/>
      </c>
      <c r="N617" s="9" t="inlineStr"/>
      <c r="O617" s="4" t="inlineStr"/>
      <c r="P617" s="4" t="inlineStr"/>
      <c r="Q617" s="4" t="inlineStr"/>
      <c r="R617" s="4" t="inlineStr">
        <is>
          <t>2026-03-12</t>
        </is>
      </c>
      <c r="S617" s="4" t="inlineStr"/>
    </row>
    <row r="618">
      <c r="A618" s="10" t="inlineStr">
        <is>
          <t>F00980</t>
        </is>
      </c>
      <c r="B618" s="10" t="inlineStr">
        <is>
          <t>F00980</t>
        </is>
      </c>
      <c r="C618" s="10" t="inlineStr">
        <is>
          <t>19345</t>
        </is>
      </c>
      <c r="D618" s="10" t="inlineStr">
        <is>
          <t>6009677011146</t>
        </is>
      </c>
      <c r="E618" s="10" t="inlineStr">
        <is>
          <t>LADDER HOUSEWIFE  3 STEP105-3</t>
        </is>
      </c>
      <c r="F618" s="10" t="inlineStr"/>
      <c r="G618" s="10" t="inlineStr"/>
      <c r="H618" s="10" t="inlineStr"/>
      <c r="I618" s="11" t="n">
        <v>489</v>
      </c>
      <c r="J618" s="6" t="n">
        <v>15</v>
      </c>
      <c r="K618" s="7">
        <f>IF(I618="","",I618*(1+J618/100))</f>
        <v/>
      </c>
      <c r="L618" s="11" t="n">
        <v>1020</v>
      </c>
      <c r="M618" s="8">
        <f>IF(OR(L618="",K618="",L618=0),"",
  (L618-K618)/L618*100)</f>
        <v/>
      </c>
      <c r="N618" s="9" t="inlineStr"/>
      <c r="O618" s="10" t="inlineStr"/>
      <c r="P618" s="10" t="inlineStr"/>
      <c r="Q618" s="10" t="inlineStr"/>
      <c r="R618" s="10" t="inlineStr">
        <is>
          <t>2026-03-12</t>
        </is>
      </c>
      <c r="S618" s="10" t="inlineStr"/>
    </row>
    <row r="619">
      <c r="A619" s="3" t="inlineStr">
        <is>
          <t>F00981</t>
        </is>
      </c>
      <c r="B619" s="4" t="inlineStr">
        <is>
          <t>F00981</t>
        </is>
      </c>
      <c r="C619" s="4" t="inlineStr"/>
      <c r="D619" s="4" t="inlineStr">
        <is>
          <t>6009677013805</t>
        </is>
      </c>
      <c r="E619" s="3" t="inlineStr">
        <is>
          <t>LADDER HOUSEWIFE  4STEP 105-4</t>
        </is>
      </c>
      <c r="F619" s="4" t="inlineStr"/>
      <c r="G619" s="4" t="inlineStr"/>
      <c r="H619" s="4" t="inlineStr"/>
      <c r="I619" s="5" t="n">
        <v>499</v>
      </c>
      <c r="J619" s="6" t="n">
        <v>15</v>
      </c>
      <c r="K619" s="7">
        <f>IF(I619="","",I619*(1+J619/100))</f>
        <v/>
      </c>
      <c r="L619" s="12" t="inlineStr"/>
      <c r="M619" s="8">
        <f>IF(OR(L619="",K619="",L619=0),"",
  (L619-K619)/L619*100)</f>
        <v/>
      </c>
      <c r="N619" s="14" t="n">
        <v>3</v>
      </c>
      <c r="O619" s="4" t="inlineStr"/>
      <c r="P619" s="4" t="inlineStr"/>
      <c r="Q619" s="4" t="inlineStr"/>
      <c r="R619" s="4" t="inlineStr">
        <is>
          <t>2026-03-12</t>
        </is>
      </c>
      <c r="S619" s="4" t="inlineStr"/>
    </row>
    <row r="620">
      <c r="A620" s="10" t="inlineStr">
        <is>
          <t>F00982</t>
        </is>
      </c>
      <c r="B620" s="10" t="inlineStr">
        <is>
          <t>F00982</t>
        </is>
      </c>
      <c r="C620" s="10" t="inlineStr"/>
      <c r="D620" s="10" t="inlineStr">
        <is>
          <t>6009705651443</t>
        </is>
      </c>
      <c r="E620" s="10" t="inlineStr">
        <is>
          <t>SHOVEL SQUARE (S501) MOUTH</t>
        </is>
      </c>
      <c r="F620" s="10" t="inlineStr"/>
      <c r="G620" s="10" t="inlineStr"/>
      <c r="H620" s="10" t="inlineStr"/>
      <c r="I620" s="11" t="n">
        <v>53.5</v>
      </c>
      <c r="J620" s="6" t="n">
        <v>15</v>
      </c>
      <c r="K620" s="7">
        <f>IF(I620="","",I620*(1+J620/100))</f>
        <v/>
      </c>
      <c r="L620" s="12" t="inlineStr"/>
      <c r="M620" s="8">
        <f>IF(OR(L620="",K620="",L620=0),"",
  (L620-K620)/L620*100)</f>
        <v/>
      </c>
      <c r="N620" s="9" t="inlineStr"/>
      <c r="O620" s="10" t="inlineStr"/>
      <c r="P620" s="10" t="inlineStr"/>
      <c r="Q620" s="10" t="inlineStr"/>
      <c r="R620" s="10" t="inlineStr">
        <is>
          <t>2026-03-12</t>
        </is>
      </c>
      <c r="S620" s="10" t="inlineStr"/>
    </row>
    <row r="621">
      <c r="A621" s="3" t="inlineStr">
        <is>
          <t>F00983</t>
        </is>
      </c>
      <c r="B621" s="4" t="inlineStr">
        <is>
          <t>F00983</t>
        </is>
      </c>
      <c r="C621" s="4" t="inlineStr"/>
      <c r="D621" s="4" t="inlineStr">
        <is>
          <t>6009677018763</t>
        </is>
      </c>
      <c r="E621" s="3" t="inlineStr">
        <is>
          <t>SPADE FLAT (S512)</t>
        </is>
      </c>
      <c r="F621" s="4" t="inlineStr"/>
      <c r="G621" s="4" t="inlineStr"/>
      <c r="H621" s="4" t="inlineStr"/>
      <c r="I621" s="5" t="n">
        <v>52.95</v>
      </c>
      <c r="J621" s="6" t="n">
        <v>15</v>
      </c>
      <c r="K621" s="7">
        <f>IF(I621="","",I621*(1+J621/100))</f>
        <v/>
      </c>
      <c r="L621" s="12" t="inlineStr"/>
      <c r="M621" s="8">
        <f>IF(OR(L621="",K621="",L621=0),"",
  (L621-K621)/L621*100)</f>
        <v/>
      </c>
      <c r="N621" s="9" t="inlineStr"/>
      <c r="O621" s="4" t="inlineStr"/>
      <c r="P621" s="4" t="inlineStr"/>
      <c r="Q621" s="4" t="inlineStr"/>
      <c r="R621" s="4" t="inlineStr">
        <is>
          <t>2026-03-12</t>
        </is>
      </c>
      <c r="S621" s="4" t="inlineStr"/>
    </row>
    <row r="622">
      <c r="A622" s="10" t="inlineStr">
        <is>
          <t>F00984</t>
        </is>
      </c>
      <c r="B622" s="10" t="inlineStr">
        <is>
          <t>F00984</t>
        </is>
      </c>
      <c r="C622" s="10" t="inlineStr"/>
      <c r="D622" s="10" t="inlineStr">
        <is>
          <t>6009705641450</t>
        </is>
      </c>
      <c r="E622" s="10" t="inlineStr">
        <is>
          <t>SLASHER POLY HANDLE (214)</t>
        </is>
      </c>
      <c r="F622" s="10" t="inlineStr"/>
      <c r="G622" s="10" t="inlineStr"/>
      <c r="H622" s="10" t="inlineStr"/>
      <c r="I622" s="11" t="n">
        <v>13.95</v>
      </c>
      <c r="J622" s="6" t="n">
        <v>15</v>
      </c>
      <c r="K622" s="7">
        <f>IF(I622="","",I622*(1+J622/100))</f>
        <v/>
      </c>
      <c r="L622" s="12" t="inlineStr"/>
      <c r="M622" s="8">
        <f>IF(OR(L622="",K622="",L622=0),"",
  (L622-K622)/L622*100)</f>
        <v/>
      </c>
      <c r="N622" s="9" t="inlineStr"/>
      <c r="O622" s="10" t="inlineStr"/>
      <c r="P622" s="10" t="inlineStr"/>
      <c r="Q622" s="10" t="inlineStr"/>
      <c r="R622" s="10" t="inlineStr">
        <is>
          <t>2026-03-12</t>
        </is>
      </c>
      <c r="S622" s="10" t="inlineStr"/>
    </row>
    <row r="623">
      <c r="A623" s="3" t="inlineStr">
        <is>
          <t>F00985</t>
        </is>
      </c>
      <c r="B623" s="4" t="inlineStr">
        <is>
          <t>F00985</t>
        </is>
      </c>
      <c r="C623" s="4" t="inlineStr"/>
      <c r="D623" s="4" t="inlineStr">
        <is>
          <t>6009705651467</t>
        </is>
      </c>
      <c r="E623" s="3" t="inlineStr">
        <is>
          <t>PICK HEAD - 3KG (P403)</t>
        </is>
      </c>
      <c r="F623" s="4" t="inlineStr"/>
      <c r="G623" s="4" t="inlineStr"/>
      <c r="H623" s="4" t="inlineStr"/>
      <c r="I623" s="5" t="n">
        <v>49.95</v>
      </c>
      <c r="J623" s="6" t="n">
        <v>15</v>
      </c>
      <c r="K623" s="7">
        <f>IF(I623="","",I623*(1+J623/100))</f>
        <v/>
      </c>
      <c r="L623" s="12" t="inlineStr"/>
      <c r="M623" s="8">
        <f>IF(OR(L623="",K623="",L623=0),"",
  (L623-K623)/L623*100)</f>
        <v/>
      </c>
      <c r="N623" s="9" t="inlineStr"/>
      <c r="O623" s="4" t="inlineStr"/>
      <c r="P623" s="4" t="inlineStr"/>
      <c r="Q623" s="4" t="inlineStr"/>
      <c r="R623" s="4" t="inlineStr">
        <is>
          <t>2026-03-12</t>
        </is>
      </c>
      <c r="S623" s="4" t="inlineStr"/>
    </row>
    <row r="624">
      <c r="A624" s="10" t="inlineStr">
        <is>
          <t>F00986</t>
        </is>
      </c>
      <c r="B624" s="10" t="inlineStr">
        <is>
          <t>F00986</t>
        </is>
      </c>
      <c r="C624" s="10" t="inlineStr"/>
      <c r="D624" s="10" t="inlineStr">
        <is>
          <t>6009705651474</t>
        </is>
      </c>
      <c r="E624" s="10" t="inlineStr">
        <is>
          <t>FORK 4 PRONG (SKF117-15P)</t>
        </is>
      </c>
      <c r="F624" s="10" t="inlineStr"/>
      <c r="G624" s="10" t="inlineStr"/>
      <c r="H624" s="10" t="inlineStr"/>
      <c r="I624" s="11" t="n">
        <v>50.82</v>
      </c>
      <c r="J624" s="6" t="n">
        <v>15</v>
      </c>
      <c r="K624" s="7">
        <f>IF(I624="","",I624*(1+J624/100))</f>
        <v/>
      </c>
      <c r="L624" s="12" t="inlineStr"/>
      <c r="M624" s="8">
        <f>IF(OR(L624="",K624="",L624=0),"",
  (L624-K624)/L624*100)</f>
        <v/>
      </c>
      <c r="N624" s="9" t="inlineStr"/>
      <c r="O624" s="10" t="inlineStr"/>
      <c r="P624" s="10" t="inlineStr"/>
      <c r="Q624" s="10" t="inlineStr"/>
      <c r="R624" s="10" t="inlineStr">
        <is>
          <t>2026-03-12</t>
        </is>
      </c>
      <c r="S624" s="10" t="inlineStr"/>
    </row>
    <row r="625">
      <c r="A625" s="3" t="inlineStr">
        <is>
          <t>F00987</t>
        </is>
      </c>
      <c r="B625" s="4" t="inlineStr">
        <is>
          <t>F00987</t>
        </is>
      </c>
      <c r="C625" s="4" t="inlineStr">
        <is>
          <t>19346</t>
        </is>
      </c>
      <c r="D625" s="4" t="inlineStr"/>
      <c r="E625" s="3" t="inlineStr">
        <is>
          <t>DOOR HARDWOOD 4 PANEL ENGINEERED</t>
        </is>
      </c>
      <c r="F625" s="4" t="inlineStr"/>
      <c r="G625" s="4" t="inlineStr"/>
      <c r="H625" s="4" t="inlineStr"/>
      <c r="I625" s="5" t="n">
        <v>469</v>
      </c>
      <c r="J625" s="6" t="n">
        <v>15</v>
      </c>
      <c r="K625" s="7">
        <f>IF(I625="","",I625*(1+J625/100))</f>
        <v/>
      </c>
      <c r="L625" s="5" t="n">
        <v>1300</v>
      </c>
      <c r="M625" s="8">
        <f>IF(OR(L625="",K625="",L625=0),"",
  (L625-K625)/L625*100)</f>
        <v/>
      </c>
      <c r="N625" s="9" t="inlineStr"/>
      <c r="O625" s="4" t="inlineStr"/>
      <c r="P625" s="4" t="inlineStr"/>
      <c r="Q625" s="4" t="inlineStr"/>
      <c r="R625" s="4" t="inlineStr">
        <is>
          <t>2026-03-12</t>
        </is>
      </c>
      <c r="S625" s="4" t="inlineStr"/>
    </row>
    <row r="626">
      <c r="A626" s="10" t="inlineStr">
        <is>
          <t>F00988</t>
        </is>
      </c>
      <c r="B626" s="10" t="inlineStr">
        <is>
          <t>F00988</t>
        </is>
      </c>
      <c r="C626" s="10" t="inlineStr"/>
      <c r="D626" s="10" t="inlineStr"/>
      <c r="E626" s="10" t="inlineStr">
        <is>
          <t>ALUMINIUM DOOR SEAL - DX-003-91.5</t>
        </is>
      </c>
      <c r="F626" s="10" t="inlineStr"/>
      <c r="G626" s="10" t="inlineStr"/>
      <c r="H626" s="10" t="inlineStr"/>
      <c r="I626" s="11" t="n">
        <v>25.8</v>
      </c>
      <c r="J626" s="6" t="n">
        <v>15</v>
      </c>
      <c r="K626" s="7">
        <f>IF(I626="","",I626*(1+J626/100))</f>
        <v/>
      </c>
      <c r="L626" s="12" t="inlineStr"/>
      <c r="M626" s="8">
        <f>IF(OR(L626="",K626="",L626=0),"",
  (L626-K626)/L626*100)</f>
        <v/>
      </c>
      <c r="N626" s="9" t="inlineStr"/>
      <c r="O626" s="10" t="inlineStr"/>
      <c r="P626" s="10" t="inlineStr"/>
      <c r="Q626" s="10" t="inlineStr"/>
      <c r="R626" s="10" t="inlineStr">
        <is>
          <t>2026-03-12</t>
        </is>
      </c>
      <c r="S626" s="10" t="inlineStr"/>
    </row>
    <row r="627">
      <c r="A627" s="3" t="inlineStr">
        <is>
          <t>F00989</t>
        </is>
      </c>
      <c r="B627" s="4" t="inlineStr">
        <is>
          <t>F00989</t>
        </is>
      </c>
      <c r="C627" s="4" t="inlineStr"/>
      <c r="D627" s="4" t="inlineStr">
        <is>
          <t>6009677011504</t>
        </is>
      </c>
      <c r="E627" s="3" t="inlineStr">
        <is>
          <t>DOOR PVC FOLDING CHERRY H2.03MXW0.85M</t>
        </is>
      </c>
      <c r="F627" s="4" t="inlineStr"/>
      <c r="G627" s="4" t="inlineStr"/>
      <c r="H627" s="4" t="inlineStr"/>
      <c r="I627" s="5" t="n">
        <v>439</v>
      </c>
      <c r="J627" s="6" t="n">
        <v>15</v>
      </c>
      <c r="K627" s="7">
        <f>IF(I627="","",I627*(1+J627/100))</f>
        <v/>
      </c>
      <c r="L627" s="12" t="inlineStr"/>
      <c r="M627" s="8">
        <f>IF(OR(L627="",K627="",L627=0),"",
  (L627-K627)/L627*100)</f>
        <v/>
      </c>
      <c r="N627" s="9" t="inlineStr"/>
      <c r="O627" s="4" t="inlineStr"/>
      <c r="P627" s="4" t="inlineStr"/>
      <c r="Q627" s="4" t="inlineStr"/>
      <c r="R627" s="4" t="inlineStr">
        <is>
          <t>2026-03-12</t>
        </is>
      </c>
      <c r="S627" s="4" t="inlineStr"/>
    </row>
    <row r="628">
      <c r="A628" s="10" t="inlineStr">
        <is>
          <t>F00990</t>
        </is>
      </c>
      <c r="B628" s="10" t="inlineStr">
        <is>
          <t>F00990</t>
        </is>
      </c>
      <c r="C628" s="10" t="inlineStr"/>
      <c r="D628" s="10" t="inlineStr">
        <is>
          <t>6009677011474</t>
        </is>
      </c>
      <c r="E628" s="10" t="inlineStr">
        <is>
          <t>DOOR PVC FOLDING MAPLE H2.03MXW0.85M</t>
        </is>
      </c>
      <c r="F628" s="10" t="inlineStr"/>
      <c r="G628" s="10" t="inlineStr"/>
      <c r="H628" s="10" t="inlineStr"/>
      <c r="I628" s="11" t="n">
        <v>439</v>
      </c>
      <c r="J628" s="6" t="n">
        <v>15</v>
      </c>
      <c r="K628" s="7">
        <f>IF(I628="","",I628*(1+J628/100))</f>
        <v/>
      </c>
      <c r="L628" s="12" t="inlineStr"/>
      <c r="M628" s="8">
        <f>IF(OR(L628="",K628="",L628=0),"",
  (L628-K628)/L628*100)</f>
        <v/>
      </c>
      <c r="N628" s="13" t="n">
        <v>10</v>
      </c>
      <c r="O628" s="10" t="inlineStr"/>
      <c r="P628" s="10" t="inlineStr"/>
      <c r="Q628" s="10" t="inlineStr"/>
      <c r="R628" s="10" t="inlineStr">
        <is>
          <t>2026-03-12</t>
        </is>
      </c>
      <c r="S628" s="10" t="inlineStr"/>
    </row>
    <row r="629">
      <c r="A629" s="3" t="inlineStr">
        <is>
          <t>F00991</t>
        </is>
      </c>
      <c r="B629" s="4" t="inlineStr">
        <is>
          <t>F00991</t>
        </is>
      </c>
      <c r="C629" s="4" t="inlineStr"/>
      <c r="D629" s="4" t="inlineStr">
        <is>
          <t>6009677011467</t>
        </is>
      </c>
      <c r="E629" s="3" t="inlineStr">
        <is>
          <t>DOOR PVC FOLDING WHITE H2.03MXW0.85M</t>
        </is>
      </c>
      <c r="F629" s="4" t="inlineStr"/>
      <c r="G629" s="4" t="inlineStr"/>
      <c r="H629" s="4" t="inlineStr"/>
      <c r="I629" s="5" t="n">
        <v>244.09</v>
      </c>
      <c r="J629" s="6" t="n">
        <v>15</v>
      </c>
      <c r="K629" s="7">
        <f>IF(I629="","",I629*(1+J629/100))</f>
        <v/>
      </c>
      <c r="L629" s="12" t="inlineStr"/>
      <c r="M629" s="8">
        <f>IF(OR(L629="",K629="",L629=0),"",
  (L629-K629)/L629*100)</f>
        <v/>
      </c>
      <c r="N629" s="9" t="inlineStr"/>
      <c r="O629" s="4" t="inlineStr"/>
      <c r="P629" s="4" t="inlineStr"/>
      <c r="Q629" s="4" t="inlineStr"/>
      <c r="R629" s="4" t="inlineStr">
        <is>
          <t>2026-03-12</t>
        </is>
      </c>
      <c r="S629" s="4" t="inlineStr"/>
    </row>
    <row r="630">
      <c r="A630" s="10" t="inlineStr">
        <is>
          <t>F00992</t>
        </is>
      </c>
      <c r="B630" s="10" t="inlineStr">
        <is>
          <t>F00992</t>
        </is>
      </c>
      <c r="C630" s="10" t="inlineStr"/>
      <c r="D630" s="10" t="inlineStr">
        <is>
          <t>6009677011481</t>
        </is>
      </c>
      <c r="E630" s="10" t="inlineStr">
        <is>
          <t>DOOR PVC FOLDING DARK BROWN H2.03MX</t>
        </is>
      </c>
      <c r="F630" s="10" t="inlineStr"/>
      <c r="G630" s="10" t="inlineStr"/>
      <c r="H630" s="10" t="inlineStr"/>
      <c r="I630" s="11" t="n">
        <v>439</v>
      </c>
      <c r="J630" s="6" t="n">
        <v>15</v>
      </c>
      <c r="K630" s="7">
        <f>IF(I630="","",I630*(1+J630/100))</f>
        <v/>
      </c>
      <c r="L630" s="12" t="inlineStr"/>
      <c r="M630" s="8">
        <f>IF(OR(L630="",K630="",L630=0),"",
  (L630-K630)/L630*100)</f>
        <v/>
      </c>
      <c r="N630" s="9" t="inlineStr"/>
      <c r="O630" s="10" t="inlineStr"/>
      <c r="P630" s="10" t="inlineStr"/>
      <c r="Q630" s="10" t="inlineStr"/>
      <c r="R630" s="10" t="inlineStr">
        <is>
          <t>2026-03-12</t>
        </is>
      </c>
      <c r="S630" s="10" t="inlineStr"/>
    </row>
    <row r="631">
      <c r="A631" s="3" t="inlineStr">
        <is>
          <t>F00993</t>
        </is>
      </c>
      <c r="B631" s="4" t="inlineStr">
        <is>
          <t>F00993</t>
        </is>
      </c>
      <c r="C631" s="4" t="inlineStr"/>
      <c r="D631" s="4" t="inlineStr">
        <is>
          <t>6009677011511</t>
        </is>
      </c>
      <c r="E631" s="3" t="inlineStr">
        <is>
          <t>DOOR PVC FOLDING PINE H2.03MXW0.85M</t>
        </is>
      </c>
      <c r="F631" s="4" t="inlineStr"/>
      <c r="G631" s="4" t="inlineStr"/>
      <c r="H631" s="4" t="inlineStr"/>
      <c r="I631" s="5" t="n">
        <v>439</v>
      </c>
      <c r="J631" s="6" t="n">
        <v>15</v>
      </c>
      <c r="K631" s="7">
        <f>IF(I631="","",I631*(1+J631/100))</f>
        <v/>
      </c>
      <c r="L631" s="12" t="inlineStr"/>
      <c r="M631" s="8">
        <f>IF(OR(L631="",K631="",L631=0),"",
  (L631-K631)/L631*100)</f>
        <v/>
      </c>
      <c r="N631" s="14" t="n">
        <v>2</v>
      </c>
      <c r="O631" s="4" t="inlineStr"/>
      <c r="P631" s="4" t="inlineStr"/>
      <c r="Q631" s="4" t="inlineStr"/>
      <c r="R631" s="4" t="inlineStr">
        <is>
          <t>2026-03-12</t>
        </is>
      </c>
      <c r="S631" s="4" t="inlineStr"/>
    </row>
    <row r="632">
      <c r="A632" s="10" t="inlineStr">
        <is>
          <t>F00994</t>
        </is>
      </c>
      <c r="B632" s="10" t="inlineStr">
        <is>
          <t>F00994</t>
        </is>
      </c>
      <c r="C632" s="10" t="inlineStr"/>
      <c r="D632" s="10" t="inlineStr">
        <is>
          <t>6009697459782</t>
        </is>
      </c>
      <c r="E632" s="10" t="inlineStr">
        <is>
          <t>PLS-D2081-3 BAGGAGE ROPE 3PCS</t>
        </is>
      </c>
      <c r="F632" s="10" t="inlineStr"/>
      <c r="G632" s="10" t="inlineStr"/>
      <c r="H632" s="10" t="inlineStr"/>
      <c r="I632" s="11" t="n">
        <v>5.95</v>
      </c>
      <c r="J632" s="6" t="n">
        <v>15</v>
      </c>
      <c r="K632" s="7">
        <f>IF(I632="","",I632*(1+J632/100))</f>
        <v/>
      </c>
      <c r="L632" s="12" t="inlineStr"/>
      <c r="M632" s="8">
        <f>IF(OR(L632="",K632="",L632=0),"",
  (L632-K632)/L632*100)</f>
        <v/>
      </c>
      <c r="N632" s="9" t="inlineStr"/>
      <c r="O632" s="10" t="inlineStr"/>
      <c r="P632" s="10" t="inlineStr"/>
      <c r="Q632" s="10" t="inlineStr"/>
      <c r="R632" s="10" t="inlineStr">
        <is>
          <t>2026-03-12</t>
        </is>
      </c>
      <c r="S632" s="10" t="inlineStr"/>
    </row>
    <row r="633">
      <c r="A633" s="3" t="inlineStr">
        <is>
          <t>F00995</t>
        </is>
      </c>
      <c r="B633" s="4" t="inlineStr">
        <is>
          <t>F00995</t>
        </is>
      </c>
      <c r="C633" s="4" t="inlineStr"/>
      <c r="D633" s="4" t="inlineStr">
        <is>
          <t>6009697459799</t>
        </is>
      </c>
      <c r="E633" s="3" t="inlineStr">
        <is>
          <t>SCREWDRIVER 2 PC FLAT + STAR</t>
        </is>
      </c>
      <c r="F633" s="4" t="inlineStr"/>
      <c r="G633" s="4" t="inlineStr"/>
      <c r="H633" s="4" t="inlineStr"/>
      <c r="I633" s="5" t="n">
        <v>7.15</v>
      </c>
      <c r="J633" s="6" t="n">
        <v>15</v>
      </c>
      <c r="K633" s="7">
        <f>IF(I633="","",I633*(1+J633/100))</f>
        <v/>
      </c>
      <c r="L633" s="12" t="inlineStr"/>
      <c r="M633" s="8">
        <f>IF(OR(L633="",K633="",L633=0),"",
  (L633-K633)/L633*100)</f>
        <v/>
      </c>
      <c r="N633" s="9" t="inlineStr"/>
      <c r="O633" s="4" t="inlineStr"/>
      <c r="P633" s="4" t="inlineStr"/>
      <c r="Q633" s="4" t="inlineStr"/>
      <c r="R633" s="4" t="inlineStr">
        <is>
          <t>2026-03-12</t>
        </is>
      </c>
      <c r="S633" s="4" t="inlineStr"/>
    </row>
    <row r="634">
      <c r="A634" s="10" t="inlineStr">
        <is>
          <t>F00996</t>
        </is>
      </c>
      <c r="B634" s="10" t="inlineStr">
        <is>
          <t>F00996</t>
        </is>
      </c>
      <c r="C634" s="10" t="inlineStr"/>
      <c r="D634" s="10" t="inlineStr">
        <is>
          <t>6009697459805</t>
        </is>
      </c>
      <c r="E634" s="10" t="inlineStr">
        <is>
          <t>PLS-MT-03 MOUSE TRAP 2 PCS</t>
        </is>
      </c>
      <c r="F634" s="10" t="inlineStr"/>
      <c r="G634" s="10" t="inlineStr"/>
      <c r="H634" s="10" t="inlineStr"/>
      <c r="I634" s="11" t="n">
        <v>5.5</v>
      </c>
      <c r="J634" s="6" t="n">
        <v>15</v>
      </c>
      <c r="K634" s="7">
        <f>IF(I634="","",I634*(1+J634/100))</f>
        <v/>
      </c>
      <c r="L634" s="12" t="inlineStr"/>
      <c r="M634" s="8">
        <f>IF(OR(L634="",K634="",L634=0),"",
  (L634-K634)/L634*100)</f>
        <v/>
      </c>
      <c r="N634" s="9" t="inlineStr"/>
      <c r="O634" s="10" t="inlineStr"/>
      <c r="P634" s="10" t="inlineStr"/>
      <c r="Q634" s="10" t="inlineStr"/>
      <c r="R634" s="10" t="inlineStr">
        <is>
          <t>2026-03-12</t>
        </is>
      </c>
      <c r="S634" s="10" t="inlineStr"/>
    </row>
    <row r="635">
      <c r="A635" s="3" t="inlineStr">
        <is>
          <t>F00997</t>
        </is>
      </c>
      <c r="B635" s="4" t="inlineStr">
        <is>
          <t>F00997</t>
        </is>
      </c>
      <c r="C635" s="4" t="inlineStr"/>
      <c r="D635" s="4" t="inlineStr">
        <is>
          <t>6009677014819</t>
        </is>
      </c>
      <c r="E635" s="3" t="inlineStr">
        <is>
          <t>CAULKING GUN ORANGE/BLUE</t>
        </is>
      </c>
      <c r="F635" s="4" t="inlineStr"/>
      <c r="G635" s="4" t="inlineStr"/>
      <c r="H635" s="4" t="inlineStr"/>
      <c r="I635" s="5" t="n">
        <v>22.95</v>
      </c>
      <c r="J635" s="6" t="n">
        <v>15</v>
      </c>
      <c r="K635" s="7">
        <f>IF(I635="","",I635*(1+J635/100))</f>
        <v/>
      </c>
      <c r="L635" s="12" t="inlineStr"/>
      <c r="M635" s="8">
        <f>IF(OR(L635="",K635="",L635=0),"",
  (L635-K635)/L635*100)</f>
        <v/>
      </c>
      <c r="N635" s="14" t="n">
        <v>1058</v>
      </c>
      <c r="O635" s="4" t="inlineStr"/>
      <c r="P635" s="4" t="inlineStr"/>
      <c r="Q635" s="4" t="inlineStr"/>
      <c r="R635" s="4" t="inlineStr">
        <is>
          <t>2026-03-12</t>
        </is>
      </c>
      <c r="S635" s="4" t="inlineStr"/>
    </row>
    <row r="636">
      <c r="A636" s="10" t="inlineStr">
        <is>
          <t>F00998</t>
        </is>
      </c>
      <c r="B636" s="10" t="inlineStr">
        <is>
          <t>F00998</t>
        </is>
      </c>
      <c r="C636" s="10" t="inlineStr">
        <is>
          <t>31936</t>
        </is>
      </c>
      <c r="D636" s="10" t="inlineStr">
        <is>
          <t>6009697459881</t>
        </is>
      </c>
      <c r="E636" s="10" t="inlineStr">
        <is>
          <t>CUTTING DISK DIAMOND SEGMENT 115MM</t>
        </is>
      </c>
      <c r="F636" s="10" t="inlineStr"/>
      <c r="G636" s="10" t="inlineStr"/>
      <c r="H636" s="10" t="inlineStr"/>
      <c r="I636" s="11" t="n">
        <v>17.95</v>
      </c>
      <c r="J636" s="6" t="n">
        <v>15</v>
      </c>
      <c r="K636" s="7">
        <f>IF(I636="","",I636*(1+J636/100))</f>
        <v/>
      </c>
      <c r="L636" s="11" t="n">
        <v>30</v>
      </c>
      <c r="M636" s="8">
        <f>IF(OR(L636="",K636="",L636=0),"",
  (L636-K636)/L636*100)</f>
        <v/>
      </c>
      <c r="N636" s="13" t="n">
        <v>55</v>
      </c>
      <c r="O636" s="10" t="inlineStr"/>
      <c r="P636" s="10" t="inlineStr"/>
      <c r="Q636" s="10" t="inlineStr"/>
      <c r="R636" s="10" t="inlineStr">
        <is>
          <t>2026-03-12</t>
        </is>
      </c>
      <c r="S636" s="10" t="inlineStr"/>
    </row>
    <row r="637">
      <c r="A637" s="3" t="inlineStr">
        <is>
          <t>F00999</t>
        </is>
      </c>
      <c r="B637" s="4" t="inlineStr">
        <is>
          <t>F00999</t>
        </is>
      </c>
      <c r="C637" s="4" t="inlineStr">
        <is>
          <t>19219</t>
        </is>
      </c>
      <c r="D637" s="4" t="inlineStr">
        <is>
          <t>6009697459904</t>
        </is>
      </c>
      <c r="E637" s="3" t="inlineStr">
        <is>
          <t>CUTTING DISK DIAMOND SEGMENTD 230 MM</t>
        </is>
      </c>
      <c r="F637" s="4" t="inlineStr"/>
      <c r="G637" s="4" t="inlineStr"/>
      <c r="H637" s="4" t="inlineStr"/>
      <c r="I637" s="5" t="n">
        <v>57.95</v>
      </c>
      <c r="J637" s="6" t="n">
        <v>15</v>
      </c>
      <c r="K637" s="7">
        <f>IF(I637="","",I637*(1+J637/100))</f>
        <v/>
      </c>
      <c r="L637" s="5" t="n">
        <v>120</v>
      </c>
      <c r="M637" s="8">
        <f>IF(OR(L637="",K637="",L637=0),"",
  (L637-K637)/L637*100)</f>
        <v/>
      </c>
      <c r="N637" s="14" t="n">
        <v>716</v>
      </c>
      <c r="O637" s="4" t="inlineStr"/>
      <c r="P637" s="4" t="inlineStr"/>
      <c r="Q637" s="4" t="inlineStr"/>
      <c r="R637" s="4" t="inlineStr">
        <is>
          <t>2026-03-12</t>
        </is>
      </c>
      <c r="S637" s="4" t="inlineStr"/>
    </row>
    <row r="638">
      <c r="A638" s="10" t="inlineStr">
        <is>
          <t>F01000</t>
        </is>
      </c>
      <c r="B638" s="10" t="inlineStr">
        <is>
          <t>F01000</t>
        </is>
      </c>
      <c r="C638" s="10" t="inlineStr">
        <is>
          <t>19216</t>
        </is>
      </c>
      <c r="D638" s="10" t="inlineStr">
        <is>
          <t>6009697459980</t>
        </is>
      </c>
      <c r="E638" s="10" t="inlineStr">
        <is>
          <t>CUTTING DISK DIAMOND PLAIN PLS-DU115Z</t>
        </is>
      </c>
      <c r="F638" s="10" t="inlineStr"/>
      <c r="G638" s="10" t="inlineStr"/>
      <c r="H638" s="10" t="inlineStr"/>
      <c r="I638" s="11" t="n">
        <v>18.95</v>
      </c>
      <c r="J638" s="6" t="n">
        <v>15</v>
      </c>
      <c r="K638" s="7">
        <f>IF(I638="","",I638*(1+J638/100))</f>
        <v/>
      </c>
      <c r="L638" s="11" t="n">
        <v>150</v>
      </c>
      <c r="M638" s="8">
        <f>IF(OR(L638="",K638="",L638=0),"",
  (L638-K638)/L638*100)</f>
        <v/>
      </c>
      <c r="N638" s="13" t="n">
        <v>265</v>
      </c>
      <c r="O638" s="10" t="inlineStr"/>
      <c r="P638" s="10" t="inlineStr"/>
      <c r="Q638" s="10" t="inlineStr"/>
      <c r="R638" s="10" t="inlineStr">
        <is>
          <t>2026-03-12</t>
        </is>
      </c>
      <c r="S638" s="10" t="inlineStr"/>
    </row>
    <row r="639">
      <c r="A639" s="3" t="inlineStr">
        <is>
          <t>F01001</t>
        </is>
      </c>
      <c r="B639" s="4" t="inlineStr">
        <is>
          <t>F01001</t>
        </is>
      </c>
      <c r="C639" s="4" t="inlineStr">
        <is>
          <t>19217</t>
        </is>
      </c>
      <c r="D639" s="4" t="inlineStr">
        <is>
          <t>6009697459911</t>
        </is>
      </c>
      <c r="E639" s="3" t="inlineStr">
        <is>
          <t>CUTTING DISK DIAMOND PLAIN 230MM</t>
        </is>
      </c>
      <c r="F639" s="4" t="inlineStr"/>
      <c r="G639" s="4" t="inlineStr"/>
      <c r="H639" s="4" t="inlineStr"/>
      <c r="I639" s="5" t="n">
        <v>57.95</v>
      </c>
      <c r="J639" s="6" t="n">
        <v>15</v>
      </c>
      <c r="K639" s="7">
        <f>IF(I639="","",I639*(1+J639/100))</f>
        <v/>
      </c>
      <c r="L639" s="5" t="n">
        <v>250</v>
      </c>
      <c r="M639" s="8">
        <f>IF(OR(L639="",K639="",L639=0),"",
  (L639-K639)/L639*100)</f>
        <v/>
      </c>
      <c r="N639" s="14" t="n">
        <v>1262</v>
      </c>
      <c r="O639" s="4" t="inlineStr"/>
      <c r="P639" s="4" t="inlineStr"/>
      <c r="Q639" s="4" t="inlineStr"/>
      <c r="R639" s="4" t="inlineStr">
        <is>
          <t>2026-03-12</t>
        </is>
      </c>
      <c r="S639" s="4" t="inlineStr"/>
    </row>
    <row r="640">
      <c r="A640" s="10" t="inlineStr">
        <is>
          <t>F01002</t>
        </is>
      </c>
      <c r="B640" s="10" t="inlineStr">
        <is>
          <t>F01002</t>
        </is>
      </c>
      <c r="C640" s="10" t="inlineStr"/>
      <c r="D640" s="10" t="inlineStr">
        <is>
          <t>6009705652075</t>
        </is>
      </c>
      <c r="E640" s="10" t="inlineStr">
        <is>
          <t>SHOVEL DEEP (S503) ROUND</t>
        </is>
      </c>
      <c r="F640" s="10" t="inlineStr"/>
      <c r="G640" s="10" t="inlineStr"/>
      <c r="H640" s="10" t="inlineStr"/>
      <c r="I640" s="11" t="n">
        <v>56.95</v>
      </c>
      <c r="J640" s="6" t="n">
        <v>15</v>
      </c>
      <c r="K640" s="7">
        <f>IF(I640="","",I640*(1+J640/100))</f>
        <v/>
      </c>
      <c r="L640" s="12" t="inlineStr"/>
      <c r="M640" s="8">
        <f>IF(OR(L640="",K640="",L640=0),"",
  (L640-K640)/L640*100)</f>
        <v/>
      </c>
      <c r="N640" s="9" t="inlineStr"/>
      <c r="O640" s="10" t="inlineStr"/>
      <c r="P640" s="10" t="inlineStr"/>
      <c r="Q640" s="10" t="inlineStr"/>
      <c r="R640" s="10" t="inlineStr">
        <is>
          <t>2026-03-12</t>
        </is>
      </c>
      <c r="S640" s="10" t="inlineStr"/>
    </row>
    <row r="641">
      <c r="A641" s="3" t="inlineStr">
        <is>
          <t>F01003</t>
        </is>
      </c>
      <c r="B641" s="4" t="inlineStr">
        <is>
          <t>F01003</t>
        </is>
      </c>
      <c r="C641" s="4" t="inlineStr"/>
      <c r="D641" s="4" t="inlineStr">
        <is>
          <t>6009705652662</t>
        </is>
      </c>
      <c r="E641" s="3" t="inlineStr">
        <is>
          <t>LADDER ALUMINIUM 3.7MT (3X4) MULTI FUNCT</t>
        </is>
      </c>
      <c r="F641" s="4" t="inlineStr"/>
      <c r="G641" s="4" t="inlineStr"/>
      <c r="H641" s="4" t="inlineStr"/>
      <c r="I641" s="5" t="n">
        <v>1050</v>
      </c>
      <c r="J641" s="6" t="n">
        <v>15</v>
      </c>
      <c r="K641" s="7">
        <f>IF(I641="","",I641*(1+J641/100))</f>
        <v/>
      </c>
      <c r="L641" s="12" t="inlineStr"/>
      <c r="M641" s="8">
        <f>IF(OR(L641="",K641="",L641=0),"",
  (L641-K641)/L641*100)</f>
        <v/>
      </c>
      <c r="N641" s="9" t="inlineStr"/>
      <c r="O641" s="4" t="inlineStr"/>
      <c r="P641" s="4" t="inlineStr"/>
      <c r="Q641" s="4" t="inlineStr"/>
      <c r="R641" s="4" t="inlineStr">
        <is>
          <t>2026-03-12</t>
        </is>
      </c>
      <c r="S641" s="4" t="inlineStr"/>
    </row>
    <row r="642">
      <c r="A642" s="10" t="inlineStr">
        <is>
          <t>F01004</t>
        </is>
      </c>
      <c r="B642" s="10" t="inlineStr">
        <is>
          <t>F01004</t>
        </is>
      </c>
      <c r="C642" s="10" t="inlineStr"/>
      <c r="D642" s="10" t="inlineStr">
        <is>
          <t>6009705652679</t>
        </is>
      </c>
      <c r="E642" s="10" t="inlineStr">
        <is>
          <t>LADDER ALUMINIU 4.7MT (4X4) MULTI FUNCT</t>
        </is>
      </c>
      <c r="F642" s="10" t="inlineStr"/>
      <c r="G642" s="10" t="inlineStr"/>
      <c r="H642" s="10" t="inlineStr"/>
      <c r="I642" s="11" t="n">
        <v>1250</v>
      </c>
      <c r="J642" s="6" t="n">
        <v>15</v>
      </c>
      <c r="K642" s="7">
        <f>IF(I642="","",I642*(1+J642/100))</f>
        <v/>
      </c>
      <c r="L642" s="12" t="inlineStr"/>
      <c r="M642" s="8">
        <f>IF(OR(L642="",K642="",L642=0),"",
  (L642-K642)/L642*100)</f>
        <v/>
      </c>
      <c r="N642" s="9" t="inlineStr"/>
      <c r="O642" s="10" t="inlineStr"/>
      <c r="P642" s="10" t="inlineStr"/>
      <c r="Q642" s="10" t="inlineStr"/>
      <c r="R642" s="10" t="inlineStr">
        <is>
          <t>2026-03-12</t>
        </is>
      </c>
      <c r="S642" s="10" t="inlineStr"/>
    </row>
    <row r="643">
      <c r="A643" s="3" t="inlineStr">
        <is>
          <t>F01005</t>
        </is>
      </c>
      <c r="B643" s="4" t="inlineStr">
        <is>
          <t>F01005</t>
        </is>
      </c>
      <c r="C643" s="4" t="inlineStr">
        <is>
          <t>10243</t>
        </is>
      </c>
      <c r="D643" s="4" t="inlineStr">
        <is>
          <t>6009677013072</t>
        </is>
      </c>
      <c r="E643" s="3" t="inlineStr">
        <is>
          <t>HAMMER CLAW 16OZ FORGED STEEL HANDLE - H</t>
        </is>
      </c>
      <c r="F643" s="4" t="inlineStr"/>
      <c r="G643" s="4" t="inlineStr"/>
      <c r="H643" s="4" t="inlineStr"/>
      <c r="I643" s="5" t="n">
        <v>78.95</v>
      </c>
      <c r="J643" s="6" t="n">
        <v>15</v>
      </c>
      <c r="K643" s="7">
        <f>IF(I643="","",I643*(1+J643/100))</f>
        <v/>
      </c>
      <c r="L643" s="5" t="n">
        <v>280</v>
      </c>
      <c r="M643" s="8">
        <f>IF(OR(L643="",K643="",L643=0),"",
  (L643-K643)/L643*100)</f>
        <v/>
      </c>
      <c r="N643" s="14" t="n">
        <v>232</v>
      </c>
      <c r="O643" s="4" t="inlineStr"/>
      <c r="P643" s="4" t="inlineStr"/>
      <c r="Q643" s="4" t="inlineStr"/>
      <c r="R643" s="4" t="inlineStr">
        <is>
          <t>2026-03-12</t>
        </is>
      </c>
      <c r="S643" s="4" t="inlineStr"/>
    </row>
    <row r="644">
      <c r="A644" s="10" t="inlineStr">
        <is>
          <t>F01006</t>
        </is>
      </c>
      <c r="B644" s="10" t="inlineStr">
        <is>
          <t>F01006</t>
        </is>
      </c>
      <c r="C644" s="10" t="inlineStr"/>
      <c r="D644" s="10" t="inlineStr">
        <is>
          <t>6009697458938</t>
        </is>
      </c>
      <c r="E644" s="10" t="inlineStr">
        <is>
          <t>HAMMER  SOLID STEEL HANDLE - 16OZ</t>
        </is>
      </c>
      <c r="F644" s="10" t="inlineStr"/>
      <c r="G644" s="10" t="inlineStr"/>
      <c r="H644" s="10" t="inlineStr"/>
      <c r="I644" s="11" t="n">
        <v>46.99</v>
      </c>
      <c r="J644" s="6" t="n">
        <v>15</v>
      </c>
      <c r="K644" s="7">
        <f>IF(I644="","",I644*(1+J644/100))</f>
        <v/>
      </c>
      <c r="L644" s="12" t="inlineStr"/>
      <c r="M644" s="8">
        <f>IF(OR(L644="",K644="",L644=0),"",
  (L644-K644)/L644*100)</f>
        <v/>
      </c>
      <c r="N644" s="9" t="inlineStr"/>
      <c r="O644" s="10" t="inlineStr"/>
      <c r="P644" s="10" t="inlineStr"/>
      <c r="Q644" s="10" t="inlineStr"/>
      <c r="R644" s="10" t="inlineStr">
        <is>
          <t>2026-03-12</t>
        </is>
      </c>
      <c r="S644" s="10" t="inlineStr"/>
    </row>
    <row r="645">
      <c r="A645" s="3" t="inlineStr">
        <is>
          <t>F01007</t>
        </is>
      </c>
      <c r="B645" s="4" t="inlineStr">
        <is>
          <t>F01007</t>
        </is>
      </c>
      <c r="C645" s="4" t="inlineStr"/>
      <c r="D645" s="4" t="inlineStr">
        <is>
          <t>6009697458945</t>
        </is>
      </c>
      <c r="E645" s="3" t="inlineStr">
        <is>
          <t>HAMMER CLAW 27MM FIBRE GLASSHANDLE - HM-</t>
        </is>
      </c>
      <c r="F645" s="4" t="inlineStr"/>
      <c r="G645" s="4" t="inlineStr"/>
      <c r="H645" s="4" t="inlineStr"/>
      <c r="I645" s="5" t="n">
        <v>28.5</v>
      </c>
      <c r="J645" s="6" t="n">
        <v>15</v>
      </c>
      <c r="K645" s="7">
        <f>IF(I645="","",I645*(1+J645/100))</f>
        <v/>
      </c>
      <c r="L645" s="12" t="inlineStr"/>
      <c r="M645" s="8">
        <f>IF(OR(L645="",K645="",L645=0),"",
  (L645-K645)/L645*100)</f>
        <v/>
      </c>
      <c r="N645" s="9" t="inlineStr"/>
      <c r="O645" s="4" t="inlineStr"/>
      <c r="P645" s="4" t="inlineStr"/>
      <c r="Q645" s="4" t="inlineStr"/>
      <c r="R645" s="4" t="inlineStr">
        <is>
          <t>2026-03-12</t>
        </is>
      </c>
      <c r="S645" s="4" t="inlineStr"/>
    </row>
    <row r="646">
      <c r="A646" s="10" t="inlineStr">
        <is>
          <t>F01008</t>
        </is>
      </c>
      <c r="B646" s="10" t="inlineStr">
        <is>
          <t>F01008</t>
        </is>
      </c>
      <c r="C646" s="10" t="inlineStr"/>
      <c r="D646" s="10" t="inlineStr">
        <is>
          <t>6009697458952</t>
        </is>
      </c>
      <c r="E646" s="10" t="inlineStr">
        <is>
          <t>HAMMER RUBBER 16OZ WOODEN HANDLE - HM-21</t>
        </is>
      </c>
      <c r="F646" s="10" t="inlineStr"/>
      <c r="G646" s="10" t="inlineStr"/>
      <c r="H646" s="10" t="inlineStr"/>
      <c r="I646" s="11" t="n">
        <v>11.95</v>
      </c>
      <c r="J646" s="6" t="n">
        <v>15</v>
      </c>
      <c r="K646" s="7">
        <f>IF(I646="","",I646*(1+J646/100))</f>
        <v/>
      </c>
      <c r="L646" s="12" t="inlineStr"/>
      <c r="M646" s="8">
        <f>IF(OR(L646="",K646="",L646=0),"",
  (L646-K646)/L646*100)</f>
        <v/>
      </c>
      <c r="N646" s="9" t="inlineStr"/>
      <c r="O646" s="10" t="inlineStr"/>
      <c r="P646" s="10" t="inlineStr"/>
      <c r="Q646" s="10" t="inlineStr"/>
      <c r="R646" s="10" t="inlineStr">
        <is>
          <t>2026-03-12</t>
        </is>
      </c>
      <c r="S646" s="10" t="inlineStr"/>
    </row>
    <row r="647">
      <c r="A647" s="3" t="inlineStr">
        <is>
          <t>F01009</t>
        </is>
      </c>
      <c r="B647" s="4" t="inlineStr">
        <is>
          <t>F01009</t>
        </is>
      </c>
      <c r="C647" s="4" t="inlineStr"/>
      <c r="D647" s="4" t="inlineStr">
        <is>
          <t>6009677014833</t>
        </is>
      </c>
      <c r="E647" s="3" t="inlineStr">
        <is>
          <t>HANDSAW (WOODEN HANDLE) 18"</t>
        </is>
      </c>
      <c r="F647" s="4" t="inlineStr"/>
      <c r="G647" s="4" t="inlineStr"/>
      <c r="H647" s="4" t="inlineStr"/>
      <c r="I647" s="5" t="n">
        <v>29.95</v>
      </c>
      <c r="J647" s="6" t="n">
        <v>15</v>
      </c>
      <c r="K647" s="7">
        <f>IF(I647="","",I647*(1+J647/100))</f>
        <v/>
      </c>
      <c r="L647" s="12" t="inlineStr"/>
      <c r="M647" s="8">
        <f>IF(OR(L647="",K647="",L647=0),"",
  (L647-K647)/L647*100)</f>
        <v/>
      </c>
      <c r="N647" s="9" t="inlineStr"/>
      <c r="O647" s="4" t="inlineStr"/>
      <c r="P647" s="4" t="inlineStr"/>
      <c r="Q647" s="4" t="inlineStr"/>
      <c r="R647" s="4" t="inlineStr">
        <is>
          <t>2026-03-12</t>
        </is>
      </c>
      <c r="S647" s="4" t="inlineStr"/>
    </row>
    <row r="648">
      <c r="A648" s="10" t="inlineStr">
        <is>
          <t>F01010</t>
        </is>
      </c>
      <c r="B648" s="10" t="inlineStr">
        <is>
          <t>F01010</t>
        </is>
      </c>
      <c r="C648" s="10" t="inlineStr"/>
      <c r="D648" s="10" t="inlineStr">
        <is>
          <t>6009677014840</t>
        </is>
      </c>
      <c r="E648" s="10" t="inlineStr">
        <is>
          <t>HANDSAW WITH PLASTIC HANDLE 18"</t>
        </is>
      </c>
      <c r="F648" s="10" t="inlineStr"/>
      <c r="G648" s="10" t="inlineStr"/>
      <c r="H648" s="10" t="inlineStr"/>
      <c r="I648" s="11" t="n">
        <v>18.95</v>
      </c>
      <c r="J648" s="6" t="n">
        <v>15</v>
      </c>
      <c r="K648" s="7">
        <f>IF(I648="","",I648*(1+J648/100))</f>
        <v/>
      </c>
      <c r="L648" s="12" t="inlineStr"/>
      <c r="M648" s="8">
        <f>IF(OR(L648="",K648="",L648=0),"",
  (L648-K648)/L648*100)</f>
        <v/>
      </c>
      <c r="N648" s="9" t="inlineStr"/>
      <c r="O648" s="10" t="inlineStr"/>
      <c r="P648" s="10" t="inlineStr"/>
      <c r="Q648" s="10" t="inlineStr"/>
      <c r="R648" s="10" t="inlineStr">
        <is>
          <t>2026-03-12</t>
        </is>
      </c>
      <c r="S648" s="10" t="inlineStr"/>
    </row>
    <row r="649">
      <c r="A649" s="3" t="inlineStr">
        <is>
          <t>F01011</t>
        </is>
      </c>
      <c r="B649" s="4" t="inlineStr">
        <is>
          <t>F01011</t>
        </is>
      </c>
      <c r="C649" s="4" t="inlineStr"/>
      <c r="D649" s="4" t="inlineStr"/>
      <c r="E649" s="3" t="inlineStr">
        <is>
          <t>SICKEL 35CM - SW-5619 35CM</t>
        </is>
      </c>
      <c r="F649" s="4" t="inlineStr"/>
      <c r="G649" s="4" t="inlineStr"/>
      <c r="H649" s="4" t="inlineStr"/>
      <c r="I649" s="5" t="n">
        <v>6.99</v>
      </c>
      <c r="J649" s="6" t="n">
        <v>15</v>
      </c>
      <c r="K649" s="7">
        <f>IF(I649="","",I649*(1+J649/100))</f>
        <v/>
      </c>
      <c r="L649" s="12" t="inlineStr"/>
      <c r="M649" s="8">
        <f>IF(OR(L649="",K649="",L649=0),"",
  (L649-K649)/L649*100)</f>
        <v/>
      </c>
      <c r="N649" s="9" t="inlineStr"/>
      <c r="O649" s="4" t="inlineStr"/>
      <c r="P649" s="4" t="inlineStr"/>
      <c r="Q649" s="4" t="inlineStr"/>
      <c r="R649" s="4" t="inlineStr">
        <is>
          <t>2026-03-12</t>
        </is>
      </c>
      <c r="S649" s="4" t="inlineStr"/>
    </row>
    <row r="650">
      <c r="A650" s="10" t="inlineStr">
        <is>
          <t>F01012</t>
        </is>
      </c>
      <c r="B650" s="10" t="inlineStr">
        <is>
          <t>F01012</t>
        </is>
      </c>
      <c r="C650" s="10" t="inlineStr"/>
      <c r="D650" s="10" t="inlineStr"/>
      <c r="E650" s="10" t="inlineStr">
        <is>
          <t>SICKEL 40CM - SW-5619 40CM</t>
        </is>
      </c>
      <c r="F650" s="10" t="inlineStr"/>
      <c r="G650" s="10" t="inlineStr"/>
      <c r="H650" s="10" t="inlineStr"/>
      <c r="I650" s="11" t="n">
        <v>7.99</v>
      </c>
      <c r="J650" s="6" t="n">
        <v>15</v>
      </c>
      <c r="K650" s="7">
        <f>IF(I650="","",I650*(1+J650/100))</f>
        <v/>
      </c>
      <c r="L650" s="12" t="inlineStr"/>
      <c r="M650" s="8">
        <f>IF(OR(L650="",K650="",L650=0),"",
  (L650-K650)/L650*100)</f>
        <v/>
      </c>
      <c r="N650" s="9" t="inlineStr"/>
      <c r="O650" s="10" t="inlineStr"/>
      <c r="P650" s="10" t="inlineStr"/>
      <c r="Q650" s="10" t="inlineStr"/>
      <c r="R650" s="10" t="inlineStr">
        <is>
          <t>2026-03-12</t>
        </is>
      </c>
      <c r="S650" s="10" t="inlineStr"/>
    </row>
    <row r="651">
      <c r="A651" s="3" t="inlineStr">
        <is>
          <t>F01013</t>
        </is>
      </c>
      <c r="B651" s="4" t="inlineStr">
        <is>
          <t>F01013</t>
        </is>
      </c>
      <c r="C651" s="4" t="inlineStr"/>
      <c r="D651" s="4" t="inlineStr"/>
      <c r="E651" s="3" t="inlineStr">
        <is>
          <t>HACKSAW 12" FRAME - SW-5803</t>
        </is>
      </c>
      <c r="F651" s="4" t="inlineStr"/>
      <c r="G651" s="4" t="inlineStr"/>
      <c r="H651" s="4" t="inlineStr"/>
      <c r="I651" s="5" t="n">
        <v>18.5</v>
      </c>
      <c r="J651" s="6" t="n">
        <v>15</v>
      </c>
      <c r="K651" s="7">
        <f>IF(I651="","",I651*(1+J651/100))</f>
        <v/>
      </c>
      <c r="L651" s="12" t="inlineStr"/>
      <c r="M651" s="8">
        <f>IF(OR(L651="",K651="",L651=0),"",
  (L651-K651)/L651*100)</f>
        <v/>
      </c>
      <c r="N651" s="9" t="inlineStr"/>
      <c r="O651" s="4" t="inlineStr"/>
      <c r="P651" s="4" t="inlineStr"/>
      <c r="Q651" s="4" t="inlineStr"/>
      <c r="R651" s="4" t="inlineStr">
        <is>
          <t>2026-03-12</t>
        </is>
      </c>
      <c r="S651" s="4" t="inlineStr"/>
    </row>
    <row r="652">
      <c r="A652" s="10" t="inlineStr">
        <is>
          <t>F01014</t>
        </is>
      </c>
      <c r="B652" s="10" t="inlineStr">
        <is>
          <t>F01014</t>
        </is>
      </c>
      <c r="C652" s="10" t="inlineStr"/>
      <c r="D652" s="10" t="inlineStr"/>
      <c r="E652" s="10" t="inlineStr">
        <is>
          <t>HACKSAW 12" FRAME - SW-5804</t>
        </is>
      </c>
      <c r="F652" s="10" t="inlineStr"/>
      <c r="G652" s="10" t="inlineStr"/>
      <c r="H652" s="10" t="inlineStr"/>
      <c r="I652" s="11" t="n">
        <v>8.949999999999999</v>
      </c>
      <c r="J652" s="6" t="n">
        <v>15</v>
      </c>
      <c r="K652" s="7">
        <f>IF(I652="","",I652*(1+J652/100))</f>
        <v/>
      </c>
      <c r="L652" s="12" t="inlineStr"/>
      <c r="M652" s="8">
        <f>IF(OR(L652="",K652="",L652=0),"",
  (L652-K652)/L652*100)</f>
        <v/>
      </c>
      <c r="N652" s="9" t="inlineStr"/>
      <c r="O652" s="10" t="inlineStr"/>
      <c r="P652" s="10" t="inlineStr"/>
      <c r="Q652" s="10" t="inlineStr"/>
      <c r="R652" s="10" t="inlineStr">
        <is>
          <t>2026-03-12</t>
        </is>
      </c>
      <c r="S652" s="10" t="inlineStr"/>
    </row>
    <row r="653">
      <c r="A653" s="3" t="inlineStr">
        <is>
          <t>F01015</t>
        </is>
      </c>
      <c r="B653" s="4" t="inlineStr">
        <is>
          <t>F01015</t>
        </is>
      </c>
      <c r="C653" s="4" t="inlineStr"/>
      <c r="D653" s="4" t="inlineStr">
        <is>
          <t>6009697459003</t>
        </is>
      </c>
      <c r="E653" s="3" t="inlineStr">
        <is>
          <t>BOW SAW 530MM - SW-5814 530MM</t>
        </is>
      </c>
      <c r="F653" s="4" t="inlineStr"/>
      <c r="G653" s="4" t="inlineStr"/>
      <c r="H653" s="4" t="inlineStr"/>
      <c r="I653" s="5" t="n">
        <v>16.5</v>
      </c>
      <c r="J653" s="6" t="n">
        <v>15</v>
      </c>
      <c r="K653" s="7">
        <f>IF(I653="","",I653*(1+J653/100))</f>
        <v/>
      </c>
      <c r="L653" s="12" t="inlineStr"/>
      <c r="M653" s="8">
        <f>IF(OR(L653="",K653="",L653=0),"",
  (L653-K653)/L653*100)</f>
        <v/>
      </c>
      <c r="N653" s="9" t="inlineStr"/>
      <c r="O653" s="4" t="inlineStr"/>
      <c r="P653" s="4" t="inlineStr"/>
      <c r="Q653" s="4" t="inlineStr"/>
      <c r="R653" s="4" t="inlineStr">
        <is>
          <t>2026-03-12</t>
        </is>
      </c>
      <c r="S653" s="4" t="inlineStr"/>
    </row>
    <row r="654">
      <c r="A654" s="10" t="inlineStr">
        <is>
          <t>F01016</t>
        </is>
      </c>
      <c r="B654" s="10" t="inlineStr">
        <is>
          <t>F01016</t>
        </is>
      </c>
      <c r="C654" s="10" t="inlineStr"/>
      <c r="D654" s="10" t="inlineStr">
        <is>
          <t>6009697459010</t>
        </is>
      </c>
      <c r="E654" s="10" t="inlineStr">
        <is>
          <t>BOW SAW 600MM - SW-5814 600MM</t>
        </is>
      </c>
      <c r="F654" s="10" t="inlineStr"/>
      <c r="G654" s="10" t="inlineStr"/>
      <c r="H654" s="10" t="inlineStr"/>
      <c r="I654" s="11" t="n">
        <v>18.95</v>
      </c>
      <c r="J654" s="6" t="n">
        <v>15</v>
      </c>
      <c r="K654" s="7">
        <f>IF(I654="","",I654*(1+J654/100))</f>
        <v/>
      </c>
      <c r="L654" s="12" t="inlineStr"/>
      <c r="M654" s="8">
        <f>IF(OR(L654="",K654="",L654=0),"",
  (L654-K654)/L654*100)</f>
        <v/>
      </c>
      <c r="N654" s="9" t="inlineStr"/>
      <c r="O654" s="10" t="inlineStr"/>
      <c r="P654" s="10" t="inlineStr"/>
      <c r="Q654" s="10" t="inlineStr"/>
      <c r="R654" s="10" t="inlineStr">
        <is>
          <t>2026-03-12</t>
        </is>
      </c>
      <c r="S654" s="10" t="inlineStr"/>
    </row>
    <row r="655">
      <c r="A655" s="3" t="inlineStr">
        <is>
          <t>F01017</t>
        </is>
      </c>
      <c r="B655" s="4" t="inlineStr">
        <is>
          <t>F01017</t>
        </is>
      </c>
      <c r="C655" s="4" t="inlineStr"/>
      <c r="D655" s="4" t="inlineStr">
        <is>
          <t>6009697459027</t>
        </is>
      </c>
      <c r="E655" s="3" t="inlineStr">
        <is>
          <t>BOW SAW 750MM - SW-5814 750MM</t>
        </is>
      </c>
      <c r="F655" s="4" t="inlineStr"/>
      <c r="G655" s="4" t="inlineStr"/>
      <c r="H655" s="4" t="inlineStr"/>
      <c r="I655" s="5" t="n">
        <v>21.95</v>
      </c>
      <c r="J655" s="6" t="n">
        <v>15</v>
      </c>
      <c r="K655" s="7">
        <f>IF(I655="","",I655*(1+J655/100))</f>
        <v/>
      </c>
      <c r="L655" s="12" t="inlineStr"/>
      <c r="M655" s="8">
        <f>IF(OR(L655="",K655="",L655=0),"",
  (L655-K655)/L655*100)</f>
        <v/>
      </c>
      <c r="N655" s="9" t="inlineStr"/>
      <c r="O655" s="4" t="inlineStr"/>
      <c r="P655" s="4" t="inlineStr"/>
      <c r="Q655" s="4" t="inlineStr"/>
      <c r="R655" s="4" t="inlineStr">
        <is>
          <t>2026-03-12</t>
        </is>
      </c>
      <c r="S655" s="4" t="inlineStr"/>
    </row>
    <row r="656">
      <c r="A656" s="10" t="inlineStr">
        <is>
          <t>F01018</t>
        </is>
      </c>
      <c r="B656" s="10" t="inlineStr">
        <is>
          <t>F01018</t>
        </is>
      </c>
      <c r="C656" s="10" t="inlineStr"/>
      <c r="D656" s="10" t="inlineStr">
        <is>
          <t>6009697459034</t>
        </is>
      </c>
      <c r="E656" s="10" t="inlineStr">
        <is>
          <t>BOW SAW 900MM - SW-5814 900MM</t>
        </is>
      </c>
      <c r="F656" s="10" t="inlineStr"/>
      <c r="G656" s="10" t="inlineStr"/>
      <c r="H656" s="10" t="inlineStr"/>
      <c r="I656" s="11" t="n">
        <v>16.34</v>
      </c>
      <c r="J656" s="6" t="n">
        <v>15</v>
      </c>
      <c r="K656" s="7">
        <f>IF(I656="","",I656*(1+J656/100))</f>
        <v/>
      </c>
      <c r="L656" s="12" t="inlineStr"/>
      <c r="M656" s="8">
        <f>IF(OR(L656="",K656="",L656=0),"",
  (L656-K656)/L656*100)</f>
        <v/>
      </c>
      <c r="N656" s="9" t="inlineStr"/>
      <c r="O656" s="10" t="inlineStr"/>
      <c r="P656" s="10" t="inlineStr"/>
      <c r="Q656" s="10" t="inlineStr"/>
      <c r="R656" s="10" t="inlineStr">
        <is>
          <t>2026-03-12</t>
        </is>
      </c>
      <c r="S656" s="10" t="inlineStr"/>
    </row>
    <row r="657">
      <c r="A657" s="3" t="inlineStr">
        <is>
          <t>F01019</t>
        </is>
      </c>
      <c r="B657" s="4" t="inlineStr">
        <is>
          <t>F01019</t>
        </is>
      </c>
      <c r="C657" s="4" t="inlineStr"/>
      <c r="D657" s="4" t="inlineStr">
        <is>
          <t>6009697459041</t>
        </is>
      </c>
      <c r="E657" s="3" t="inlineStr">
        <is>
          <t>TROWEL WOODEN HANDLE - BT-6402</t>
        </is>
      </c>
      <c r="F657" s="4" t="inlineStr"/>
      <c r="G657" s="4" t="inlineStr"/>
      <c r="H657" s="4" t="inlineStr"/>
      <c r="I657" s="5" t="n">
        <v>17.95</v>
      </c>
      <c r="J657" s="6" t="n">
        <v>15</v>
      </c>
      <c r="K657" s="7">
        <f>IF(I657="","",I657*(1+J657/100))</f>
        <v/>
      </c>
      <c r="L657" s="12" t="inlineStr"/>
      <c r="M657" s="8">
        <f>IF(OR(L657="",K657="",L657=0),"",
  (L657-K657)/L657*100)</f>
        <v/>
      </c>
      <c r="N657" s="9" t="inlineStr"/>
      <c r="O657" s="4" t="inlineStr"/>
      <c r="P657" s="4" t="inlineStr"/>
      <c r="Q657" s="4" t="inlineStr"/>
      <c r="R657" s="4" t="inlineStr">
        <is>
          <t>2026-03-12</t>
        </is>
      </c>
      <c r="S657" s="4" t="inlineStr"/>
    </row>
    <row r="658">
      <c r="A658" s="10" t="inlineStr">
        <is>
          <t>F01020</t>
        </is>
      </c>
      <c r="B658" s="10" t="inlineStr">
        <is>
          <t>F01020</t>
        </is>
      </c>
      <c r="C658" s="10" t="inlineStr"/>
      <c r="D658" s="10" t="inlineStr">
        <is>
          <t>6009705652310</t>
        </is>
      </c>
      <c r="E658" s="10" t="inlineStr">
        <is>
          <t>MORTICE LOCKSET FANCY 5L 2KEYS- 58020</t>
        </is>
      </c>
      <c r="F658" s="10" t="inlineStr"/>
      <c r="G658" s="10" t="inlineStr"/>
      <c r="H658" s="10" t="inlineStr"/>
      <c r="I658" s="11" t="n">
        <v>69.90000000000001</v>
      </c>
      <c r="J658" s="6" t="n">
        <v>15</v>
      </c>
      <c r="K658" s="7">
        <f>IF(I658="","",I658*(1+J658/100))</f>
        <v/>
      </c>
      <c r="L658" s="12" t="inlineStr"/>
      <c r="M658" s="8">
        <f>IF(OR(L658="",K658="",L658=0),"",
  (L658-K658)/L658*100)</f>
        <v/>
      </c>
      <c r="N658" s="9" t="inlineStr"/>
      <c r="O658" s="10" t="inlineStr"/>
      <c r="P658" s="10" t="inlineStr"/>
      <c r="Q658" s="10" t="inlineStr"/>
      <c r="R658" s="10" t="inlineStr">
        <is>
          <t>2026-03-12</t>
        </is>
      </c>
      <c r="S658" s="10" t="inlineStr"/>
    </row>
    <row r="659">
      <c r="A659" s="3" t="inlineStr">
        <is>
          <t>F01021</t>
        </is>
      </c>
      <c r="B659" s="4" t="inlineStr">
        <is>
          <t>F01021</t>
        </is>
      </c>
      <c r="C659" s="4" t="inlineStr"/>
      <c r="D659" s="4" t="inlineStr">
        <is>
          <t>6009705652327</t>
        </is>
      </c>
      <c r="E659" s="3" t="inlineStr">
        <is>
          <t>MORTICE LOCKSET FANCY 5L 2KEYS- 705-6 [5</t>
        </is>
      </c>
      <c r="F659" s="4" t="inlineStr"/>
      <c r="G659" s="4" t="inlineStr"/>
      <c r="H659" s="4" t="inlineStr"/>
      <c r="I659" s="5" t="n">
        <v>79.95</v>
      </c>
      <c r="J659" s="6" t="n">
        <v>15</v>
      </c>
      <c r="K659" s="7">
        <f>IF(I659="","",I659*(1+J659/100))</f>
        <v/>
      </c>
      <c r="L659" s="12" t="inlineStr"/>
      <c r="M659" s="8">
        <f>IF(OR(L659="",K659="",L659=0),"",
  (L659-K659)/L659*100)</f>
        <v/>
      </c>
      <c r="N659" s="9" t="inlineStr"/>
      <c r="O659" s="4" t="inlineStr"/>
      <c r="P659" s="4" t="inlineStr"/>
      <c r="Q659" s="4" t="inlineStr"/>
      <c r="R659" s="4" t="inlineStr">
        <is>
          <t>2026-03-12</t>
        </is>
      </c>
      <c r="S659" s="4" t="inlineStr"/>
    </row>
    <row r="660">
      <c r="A660" s="10" t="inlineStr">
        <is>
          <t>F01022</t>
        </is>
      </c>
      <c r="B660" s="10" t="inlineStr">
        <is>
          <t>F01022</t>
        </is>
      </c>
      <c r="C660" s="10" t="inlineStr"/>
      <c r="D660" s="10" t="inlineStr">
        <is>
          <t>6009705652334</t>
        </is>
      </c>
      <c r="E660" s="10" t="inlineStr">
        <is>
          <t>MORTICE LOCKSET FANCY 5L 2KEYS- 705-9 [5</t>
        </is>
      </c>
      <c r="F660" s="10" t="inlineStr"/>
      <c r="G660" s="10" t="inlineStr"/>
      <c r="H660" s="10" t="inlineStr"/>
      <c r="I660" s="11" t="n">
        <v>79.95</v>
      </c>
      <c r="J660" s="6" t="n">
        <v>15</v>
      </c>
      <c r="K660" s="7">
        <f>IF(I660="","",I660*(1+J660/100))</f>
        <v/>
      </c>
      <c r="L660" s="12" t="inlineStr"/>
      <c r="M660" s="8">
        <f>IF(OR(L660="",K660="",L660=0),"",
  (L660-K660)/L660*100)</f>
        <v/>
      </c>
      <c r="N660" s="9" t="inlineStr"/>
      <c r="O660" s="10" t="inlineStr"/>
      <c r="P660" s="10" t="inlineStr"/>
      <c r="Q660" s="10" t="inlineStr"/>
      <c r="R660" s="10" t="inlineStr">
        <is>
          <t>2026-03-12</t>
        </is>
      </c>
      <c r="S660" s="10" t="inlineStr"/>
    </row>
    <row r="661">
      <c r="A661" s="3" t="inlineStr">
        <is>
          <t>F01023</t>
        </is>
      </c>
      <c r="B661" s="4" t="inlineStr">
        <is>
          <t>F01023</t>
        </is>
      </c>
      <c r="C661" s="4" t="inlineStr"/>
      <c r="D661" s="4" t="inlineStr">
        <is>
          <t>6009705652341</t>
        </is>
      </c>
      <c r="E661" s="3" t="inlineStr">
        <is>
          <t>MORTICE LOCKSET FANCY 5L 2KEYS- 705-7 [5</t>
        </is>
      </c>
      <c r="F661" s="4" t="inlineStr"/>
      <c r="G661" s="4" t="inlineStr"/>
      <c r="H661" s="4" t="inlineStr"/>
      <c r="I661" s="5" t="n">
        <v>129.9</v>
      </c>
      <c r="J661" s="6" t="n">
        <v>15</v>
      </c>
      <c r="K661" s="7">
        <f>IF(I661="","",I661*(1+J661/100))</f>
        <v/>
      </c>
      <c r="L661" s="12" t="inlineStr"/>
      <c r="M661" s="8">
        <f>IF(OR(L661="",K661="",L661=0),"",
  (L661-K661)/L661*100)</f>
        <v/>
      </c>
      <c r="N661" s="9" t="inlineStr"/>
      <c r="O661" s="4" t="inlineStr"/>
      <c r="P661" s="4" t="inlineStr"/>
      <c r="Q661" s="4" t="inlineStr"/>
      <c r="R661" s="4" t="inlineStr">
        <is>
          <t>2026-03-12</t>
        </is>
      </c>
      <c r="S661" s="4" t="inlineStr"/>
    </row>
    <row r="662">
      <c r="A662" s="10" t="inlineStr">
        <is>
          <t>F01024</t>
        </is>
      </c>
      <c r="B662" s="10" t="inlineStr">
        <is>
          <t>F01024</t>
        </is>
      </c>
      <c r="C662" s="10" t="inlineStr"/>
      <c r="D662" s="10" t="inlineStr">
        <is>
          <t>6009705652358</t>
        </is>
      </c>
      <c r="E662" s="10" t="inlineStr">
        <is>
          <t>MORTICE LOCKSET FANCY 5L 2KEYS- 5803 AB/</t>
        </is>
      </c>
      <c r="F662" s="10" t="inlineStr"/>
      <c r="G662" s="10" t="inlineStr"/>
      <c r="H662" s="10" t="inlineStr"/>
      <c r="I662" s="11" t="n">
        <v>50.09</v>
      </c>
      <c r="J662" s="6" t="n">
        <v>15</v>
      </c>
      <c r="K662" s="7">
        <f>IF(I662="","",I662*(1+J662/100))</f>
        <v/>
      </c>
      <c r="L662" s="12" t="inlineStr"/>
      <c r="M662" s="8">
        <f>IF(OR(L662="",K662="",L662=0),"",
  (L662-K662)/L662*100)</f>
        <v/>
      </c>
      <c r="N662" s="9" t="inlineStr"/>
      <c r="O662" s="10" t="inlineStr"/>
      <c r="P662" s="10" t="inlineStr"/>
      <c r="Q662" s="10" t="inlineStr"/>
      <c r="R662" s="10" t="inlineStr">
        <is>
          <t>2026-03-12</t>
        </is>
      </c>
      <c r="S662" s="10" t="inlineStr"/>
    </row>
    <row r="663">
      <c r="A663" s="3" t="inlineStr">
        <is>
          <t>F01025</t>
        </is>
      </c>
      <c r="B663" s="4" t="inlineStr">
        <is>
          <t>F01025</t>
        </is>
      </c>
      <c r="C663" s="4" t="inlineStr"/>
      <c r="D663" s="4" t="inlineStr">
        <is>
          <t>6009705652365</t>
        </is>
      </c>
      <c r="E663" s="3" t="inlineStr">
        <is>
          <t>MORTICE LOCKSET FANCY 5L 2KEYS- 705-5 [5</t>
        </is>
      </c>
      <c r="F663" s="4" t="inlineStr"/>
      <c r="G663" s="4" t="inlineStr"/>
      <c r="H663" s="4" t="inlineStr"/>
      <c r="I663" s="5" t="n">
        <v>129.9</v>
      </c>
      <c r="J663" s="6" t="n">
        <v>15</v>
      </c>
      <c r="K663" s="7">
        <f>IF(I663="","",I663*(1+J663/100))</f>
        <v/>
      </c>
      <c r="L663" s="12" t="inlineStr"/>
      <c r="M663" s="8">
        <f>IF(OR(L663="",K663="",L663=0),"",
  (L663-K663)/L663*100)</f>
        <v/>
      </c>
      <c r="N663" s="9" t="inlineStr"/>
      <c r="O663" s="4" t="inlineStr"/>
      <c r="P663" s="4" t="inlineStr"/>
      <c r="Q663" s="4" t="inlineStr"/>
      <c r="R663" s="4" t="inlineStr">
        <is>
          <t>2026-03-12</t>
        </is>
      </c>
      <c r="S663" s="4" t="inlineStr"/>
    </row>
    <row r="664">
      <c r="A664" s="10" t="inlineStr">
        <is>
          <t>F01026</t>
        </is>
      </c>
      <c r="B664" s="10" t="inlineStr">
        <is>
          <t>F01026</t>
        </is>
      </c>
      <c r="C664" s="10" t="inlineStr"/>
      <c r="D664" s="10" t="inlineStr">
        <is>
          <t>6009705652372</t>
        </is>
      </c>
      <c r="E664" s="10" t="inlineStr">
        <is>
          <t>MORTICE LOCKSET FANCY 5L 2KEYS- 58056</t>
        </is>
      </c>
      <c r="F664" s="10" t="inlineStr"/>
      <c r="G664" s="10" t="inlineStr"/>
      <c r="H664" s="10" t="inlineStr"/>
      <c r="I664" s="11" t="n">
        <v>50.33</v>
      </c>
      <c r="J664" s="6" t="n">
        <v>15</v>
      </c>
      <c r="K664" s="7">
        <f>IF(I664="","",I664*(1+J664/100))</f>
        <v/>
      </c>
      <c r="L664" s="12" t="inlineStr"/>
      <c r="M664" s="8">
        <f>IF(OR(L664="",K664="",L664=0),"",
  (L664-K664)/L664*100)</f>
        <v/>
      </c>
      <c r="N664" s="9" t="inlineStr"/>
      <c r="O664" s="10" t="inlineStr"/>
      <c r="P664" s="10" t="inlineStr"/>
      <c r="Q664" s="10" t="inlineStr"/>
      <c r="R664" s="10" t="inlineStr">
        <is>
          <t>2026-03-12</t>
        </is>
      </c>
      <c r="S664" s="10" t="inlineStr"/>
    </row>
    <row r="665">
      <c r="A665" s="3" t="inlineStr">
        <is>
          <t>F01027</t>
        </is>
      </c>
      <c r="B665" s="4" t="inlineStr">
        <is>
          <t>F01027</t>
        </is>
      </c>
      <c r="C665" s="4" t="inlineStr"/>
      <c r="D665" s="4" t="inlineStr">
        <is>
          <t>6009705652389</t>
        </is>
      </c>
      <c r="E665" s="3" t="inlineStr">
        <is>
          <t>MORTICE LOCKSET FANCY 5L 2KEYS- 58101</t>
        </is>
      </c>
      <c r="F665" s="4" t="inlineStr"/>
      <c r="G665" s="4" t="inlineStr"/>
      <c r="H665" s="4" t="inlineStr"/>
      <c r="I665" s="5" t="n">
        <v>71.95</v>
      </c>
      <c r="J665" s="6" t="n">
        <v>15</v>
      </c>
      <c r="K665" s="7">
        <f>IF(I665="","",I665*(1+J665/100))</f>
        <v/>
      </c>
      <c r="L665" s="12" t="inlineStr"/>
      <c r="M665" s="8">
        <f>IF(OR(L665="",K665="",L665=0),"",
  (L665-K665)/L665*100)</f>
        <v/>
      </c>
      <c r="N665" s="9" t="inlineStr"/>
      <c r="O665" s="4" t="inlineStr"/>
      <c r="P665" s="4" t="inlineStr"/>
      <c r="Q665" s="4" t="inlineStr"/>
      <c r="R665" s="4" t="inlineStr">
        <is>
          <t>2026-03-12</t>
        </is>
      </c>
      <c r="S665" s="4" t="inlineStr"/>
    </row>
    <row r="666">
      <c r="A666" s="10" t="inlineStr">
        <is>
          <t>F01028</t>
        </is>
      </c>
      <c r="B666" s="10" t="inlineStr">
        <is>
          <t>F01028</t>
        </is>
      </c>
      <c r="C666" s="10" t="inlineStr"/>
      <c r="D666" s="10" t="inlineStr">
        <is>
          <t>6009705652396</t>
        </is>
      </c>
      <c r="E666" s="10" t="inlineStr">
        <is>
          <t>MORTICE LOCKSET FANCY 5L 2KEYS- 705-4 [9</t>
        </is>
      </c>
      <c r="F666" s="10" t="inlineStr"/>
      <c r="G666" s="10" t="inlineStr"/>
      <c r="H666" s="10" t="inlineStr"/>
      <c r="I666" s="11" t="n">
        <v>129.9</v>
      </c>
      <c r="J666" s="6" t="n">
        <v>15</v>
      </c>
      <c r="K666" s="7">
        <f>IF(I666="","",I666*(1+J666/100))</f>
        <v/>
      </c>
      <c r="L666" s="12" t="inlineStr"/>
      <c r="M666" s="8">
        <f>IF(OR(L666="",K666="",L666=0),"",
  (L666-K666)/L666*100)</f>
        <v/>
      </c>
      <c r="N666" s="9" t="inlineStr"/>
      <c r="O666" s="10" t="inlineStr"/>
      <c r="P666" s="10" t="inlineStr"/>
      <c r="Q666" s="10" t="inlineStr"/>
      <c r="R666" s="10" t="inlineStr">
        <is>
          <t>2026-03-12</t>
        </is>
      </c>
      <c r="S666" s="10" t="inlineStr"/>
    </row>
    <row r="667">
      <c r="A667" s="3" t="inlineStr">
        <is>
          <t>F01029</t>
        </is>
      </c>
      <c r="B667" s="4" t="inlineStr">
        <is>
          <t>F01029</t>
        </is>
      </c>
      <c r="C667" s="4" t="inlineStr"/>
      <c r="D667" s="4" t="inlineStr">
        <is>
          <t>6009705656899</t>
        </is>
      </c>
      <c r="E667" s="3" t="inlineStr">
        <is>
          <t>CYCLINDER LOCKSET FANCY 3KEYS ALCO CP</t>
        </is>
      </c>
      <c r="F667" s="4" t="inlineStr"/>
      <c r="G667" s="4" t="inlineStr"/>
      <c r="H667" s="4" t="inlineStr"/>
      <c r="I667" s="5" t="n">
        <v>128.95</v>
      </c>
      <c r="J667" s="6" t="n">
        <v>15</v>
      </c>
      <c r="K667" s="7">
        <f>IF(I667="","",I667*(1+J667/100))</f>
        <v/>
      </c>
      <c r="L667" s="12" t="inlineStr"/>
      <c r="M667" s="8">
        <f>IF(OR(L667="",K667="",L667=0),"",
  (L667-K667)/L667*100)</f>
        <v/>
      </c>
      <c r="N667" s="14" t="n">
        <v>308</v>
      </c>
      <c r="O667" s="4" t="inlineStr"/>
      <c r="P667" s="4" t="inlineStr"/>
      <c r="Q667" s="4" t="inlineStr"/>
      <c r="R667" s="4" t="inlineStr">
        <is>
          <t>2026-03-12</t>
        </is>
      </c>
      <c r="S667" s="4" t="inlineStr"/>
    </row>
    <row r="668">
      <c r="A668" s="10" t="inlineStr">
        <is>
          <t>F01030</t>
        </is>
      </c>
      <c r="B668" s="10" t="inlineStr">
        <is>
          <t>F01030</t>
        </is>
      </c>
      <c r="C668" s="10" t="inlineStr"/>
      <c r="D668" s="10" t="inlineStr">
        <is>
          <t>6009705652419</t>
        </is>
      </c>
      <c r="E668" s="10" t="inlineStr">
        <is>
          <t>CYCLINDER LOCKSET FANCY 3KEYS ALCO MATTE</t>
        </is>
      </c>
      <c r="F668" s="10" t="inlineStr"/>
      <c r="G668" s="10" t="inlineStr"/>
      <c r="H668" s="10" t="inlineStr"/>
      <c r="I668" s="11" t="n">
        <v>128.95</v>
      </c>
      <c r="J668" s="6" t="n">
        <v>15</v>
      </c>
      <c r="K668" s="7">
        <f>IF(I668="","",I668*(1+J668/100))</f>
        <v/>
      </c>
      <c r="L668" s="12" t="inlineStr"/>
      <c r="M668" s="8">
        <f>IF(OR(L668="",K668="",L668=0),"",
  (L668-K668)/L668*100)</f>
        <v/>
      </c>
      <c r="N668" s="13" t="n">
        <v>309</v>
      </c>
      <c r="O668" s="10" t="inlineStr"/>
      <c r="P668" s="10" t="inlineStr"/>
      <c r="Q668" s="10" t="inlineStr"/>
      <c r="R668" s="10" t="inlineStr">
        <is>
          <t>2026-03-12</t>
        </is>
      </c>
      <c r="S668" s="10" t="inlineStr"/>
    </row>
    <row r="669">
      <c r="A669" s="3" t="inlineStr">
        <is>
          <t>F01031</t>
        </is>
      </c>
      <c r="B669" s="4" t="inlineStr">
        <is>
          <t>F01031</t>
        </is>
      </c>
      <c r="C669" s="4" t="inlineStr"/>
      <c r="D669" s="4" t="inlineStr">
        <is>
          <t>6009705652426</t>
        </is>
      </c>
      <c r="E669" s="3" t="inlineStr">
        <is>
          <t>CYCLINDER LOCKSET FANCY 3KEY ALCO CP</t>
        </is>
      </c>
      <c r="F669" s="4" t="inlineStr"/>
      <c r="G669" s="4" t="inlineStr"/>
      <c r="H669" s="4" t="inlineStr"/>
      <c r="I669" s="5" t="n">
        <v>128.95</v>
      </c>
      <c r="J669" s="6" t="n">
        <v>15</v>
      </c>
      <c r="K669" s="7">
        <f>IF(I669="","",I669*(1+J669/100))</f>
        <v/>
      </c>
      <c r="L669" s="12" t="inlineStr"/>
      <c r="M669" s="8">
        <f>IF(OR(L669="",K669="",L669=0),"",
  (L669-K669)/L669*100)</f>
        <v/>
      </c>
      <c r="N669" s="14" t="n">
        <v>389</v>
      </c>
      <c r="O669" s="4" t="inlineStr"/>
      <c r="P669" s="4" t="inlineStr"/>
      <c r="Q669" s="4" t="inlineStr"/>
      <c r="R669" s="4" t="inlineStr">
        <is>
          <t>2026-03-12</t>
        </is>
      </c>
      <c r="S669" s="4" t="inlineStr"/>
    </row>
    <row r="670">
      <c r="A670" s="10" t="inlineStr">
        <is>
          <t>F01032</t>
        </is>
      </c>
      <c r="B670" s="10" t="inlineStr">
        <is>
          <t>F01032</t>
        </is>
      </c>
      <c r="C670" s="10" t="inlineStr"/>
      <c r="D670" s="10" t="inlineStr">
        <is>
          <t>6009705652433</t>
        </is>
      </c>
      <c r="E670" s="10" t="inlineStr">
        <is>
          <t>CYCLINDER LOCKSET FANCY 3KEY ALCO  BLK</t>
        </is>
      </c>
      <c r="F670" s="10" t="inlineStr"/>
      <c r="G670" s="10" t="inlineStr"/>
      <c r="H670" s="10" t="inlineStr"/>
      <c r="I670" s="11" t="n">
        <v>128.95</v>
      </c>
      <c r="J670" s="6" t="n">
        <v>15</v>
      </c>
      <c r="K670" s="7">
        <f>IF(I670="","",I670*(1+J670/100))</f>
        <v/>
      </c>
      <c r="L670" s="12" t="inlineStr"/>
      <c r="M670" s="8">
        <f>IF(OR(L670="",K670="",L670=0),"",
  (L670-K670)/L670*100)</f>
        <v/>
      </c>
      <c r="N670" s="13" t="n">
        <v>239</v>
      </c>
      <c r="O670" s="10" t="inlineStr"/>
      <c r="P670" s="10" t="inlineStr"/>
      <c r="Q670" s="10" t="inlineStr"/>
      <c r="R670" s="10" t="inlineStr">
        <is>
          <t>2026-03-12</t>
        </is>
      </c>
      <c r="S670" s="10" t="inlineStr"/>
    </row>
    <row r="671">
      <c r="A671" s="3" t="inlineStr">
        <is>
          <t>F01033</t>
        </is>
      </c>
      <c r="B671" s="4" t="inlineStr">
        <is>
          <t>F01033</t>
        </is>
      </c>
      <c r="C671" s="4" t="inlineStr"/>
      <c r="D671" s="4" t="inlineStr">
        <is>
          <t>6009705652440</t>
        </is>
      </c>
      <c r="E671" s="3" t="inlineStr">
        <is>
          <t>CYCLINDER LOCKSET FANCY 3KEY ALCO</t>
        </is>
      </c>
      <c r="F671" s="4" t="inlineStr"/>
      <c r="G671" s="4" t="inlineStr"/>
      <c r="H671" s="4" t="inlineStr"/>
      <c r="I671" s="5" t="n">
        <v>128.95</v>
      </c>
      <c r="J671" s="6" t="n">
        <v>15</v>
      </c>
      <c r="K671" s="7">
        <f>IF(I671="","",I671*(1+J671/100))</f>
        <v/>
      </c>
      <c r="L671" s="12" t="inlineStr"/>
      <c r="M671" s="8">
        <f>IF(OR(L671="",K671="",L671=0),"",
  (L671-K671)/L671*100)</f>
        <v/>
      </c>
      <c r="N671" s="14" t="n">
        <v>307</v>
      </c>
      <c r="O671" s="4" t="inlineStr"/>
      <c r="P671" s="4" t="inlineStr"/>
      <c r="Q671" s="4" t="inlineStr"/>
      <c r="R671" s="4" t="inlineStr">
        <is>
          <t>2026-03-12</t>
        </is>
      </c>
      <c r="S671" s="4" t="inlineStr"/>
    </row>
    <row r="672">
      <c r="A672" s="10" t="inlineStr">
        <is>
          <t>F01034</t>
        </is>
      </c>
      <c r="B672" s="10" t="inlineStr">
        <is>
          <t>F01034</t>
        </is>
      </c>
      <c r="C672" s="10" t="inlineStr"/>
      <c r="D672" s="10" t="inlineStr">
        <is>
          <t>6009705652457</t>
        </is>
      </c>
      <c r="E672" s="10" t="inlineStr">
        <is>
          <t>CYCLINDER LOCKSET FANCY 3KEY ALCO</t>
        </is>
      </c>
      <c r="F672" s="10" t="inlineStr"/>
      <c r="G672" s="10" t="inlineStr"/>
      <c r="H672" s="10" t="inlineStr"/>
      <c r="I672" s="11" t="n">
        <v>128.95</v>
      </c>
      <c r="J672" s="6" t="n">
        <v>15</v>
      </c>
      <c r="K672" s="7">
        <f>IF(I672="","",I672*(1+J672/100))</f>
        <v/>
      </c>
      <c r="L672" s="12" t="inlineStr"/>
      <c r="M672" s="8">
        <f>IF(OR(L672="",K672="",L672=0),"",
  (L672-K672)/L672*100)</f>
        <v/>
      </c>
      <c r="N672" s="13" t="n">
        <v>333</v>
      </c>
      <c r="O672" s="10" t="inlineStr"/>
      <c r="P672" s="10" t="inlineStr"/>
      <c r="Q672" s="10" t="inlineStr"/>
      <c r="R672" s="10" t="inlineStr">
        <is>
          <t>2026-03-12</t>
        </is>
      </c>
      <c r="S672" s="10" t="inlineStr"/>
    </row>
    <row r="673">
      <c r="A673" s="3" t="inlineStr">
        <is>
          <t>F01035</t>
        </is>
      </c>
      <c r="B673" s="4" t="inlineStr">
        <is>
          <t>F01035</t>
        </is>
      </c>
      <c r="C673" s="4" t="inlineStr"/>
      <c r="D673" s="4" t="inlineStr"/>
      <c r="E673" s="3" t="inlineStr">
        <is>
          <t>CHICKEN WIRE MESH - 1/2 X 0.9M X 50M</t>
        </is>
      </c>
      <c r="F673" s="4" t="inlineStr"/>
      <c r="G673" s="4" t="inlineStr"/>
      <c r="H673" s="4" t="inlineStr"/>
      <c r="I673" s="5" t="n">
        <v>389</v>
      </c>
      <c r="J673" s="6" t="n">
        <v>15</v>
      </c>
      <c r="K673" s="7">
        <f>IF(I673="","",I673*(1+J673/100))</f>
        <v/>
      </c>
      <c r="L673" s="12" t="inlineStr"/>
      <c r="M673" s="8">
        <f>IF(OR(L673="",K673="",L673=0),"",
  (L673-K673)/L673*100)</f>
        <v/>
      </c>
      <c r="N673" s="9" t="inlineStr"/>
      <c r="O673" s="4" t="inlineStr"/>
      <c r="P673" s="4" t="inlineStr"/>
      <c r="Q673" s="4" t="inlineStr"/>
      <c r="R673" s="4" t="inlineStr">
        <is>
          <t>2026-03-12</t>
        </is>
      </c>
      <c r="S673" s="4" t="inlineStr"/>
    </row>
    <row r="674">
      <c r="A674" s="10" t="inlineStr">
        <is>
          <t>F01036</t>
        </is>
      </c>
      <c r="B674" s="10" t="inlineStr">
        <is>
          <t>F01036</t>
        </is>
      </c>
      <c r="C674" s="10" t="inlineStr"/>
      <c r="D674" s="10" t="inlineStr"/>
      <c r="E674" s="10" t="inlineStr">
        <is>
          <t>CHICKEN WIRE MESH - 1/2 X 1.2M X 50M</t>
        </is>
      </c>
      <c r="F674" s="10" t="inlineStr"/>
      <c r="G674" s="10" t="inlineStr"/>
      <c r="H674" s="10" t="inlineStr"/>
      <c r="I674" s="11" t="n">
        <v>429</v>
      </c>
      <c r="J674" s="6" t="n">
        <v>15</v>
      </c>
      <c r="K674" s="7">
        <f>IF(I674="","",I674*(1+J674/100))</f>
        <v/>
      </c>
      <c r="L674" s="12" t="inlineStr"/>
      <c r="M674" s="8">
        <f>IF(OR(L674="",K674="",L674=0),"",
  (L674-K674)/L674*100)</f>
        <v/>
      </c>
      <c r="N674" s="9" t="inlineStr"/>
      <c r="O674" s="10" t="inlineStr"/>
      <c r="P674" s="10" t="inlineStr"/>
      <c r="Q674" s="10" t="inlineStr"/>
      <c r="R674" s="10" t="inlineStr">
        <is>
          <t>2026-03-12</t>
        </is>
      </c>
      <c r="S674" s="10" t="inlineStr"/>
    </row>
    <row r="675">
      <c r="A675" s="3" t="inlineStr">
        <is>
          <t>F01037</t>
        </is>
      </c>
      <c r="B675" s="4" t="inlineStr">
        <is>
          <t>F01037</t>
        </is>
      </c>
      <c r="C675" s="4" t="inlineStr"/>
      <c r="D675" s="4" t="inlineStr"/>
      <c r="E675" s="3" t="inlineStr">
        <is>
          <t>CHICKEN WIRE MESH - 1/2 X 1.8M X 50M</t>
        </is>
      </c>
      <c r="F675" s="4" t="inlineStr"/>
      <c r="G675" s="4" t="inlineStr"/>
      <c r="H675" s="4" t="inlineStr"/>
      <c r="I675" s="5" t="n">
        <v>599</v>
      </c>
      <c r="J675" s="6" t="n">
        <v>15</v>
      </c>
      <c r="K675" s="7">
        <f>IF(I675="","",I675*(1+J675/100))</f>
        <v/>
      </c>
      <c r="L675" s="12" t="inlineStr"/>
      <c r="M675" s="8">
        <f>IF(OR(L675="",K675="",L675=0),"",
  (L675-K675)/L675*100)</f>
        <v/>
      </c>
      <c r="N675" s="9" t="inlineStr"/>
      <c r="O675" s="4" t="inlineStr"/>
      <c r="P675" s="4" t="inlineStr"/>
      <c r="Q675" s="4" t="inlineStr"/>
      <c r="R675" s="4" t="inlineStr">
        <is>
          <t>2026-03-12</t>
        </is>
      </c>
      <c r="S675" s="4" t="inlineStr"/>
    </row>
    <row r="676">
      <c r="A676" s="10" t="inlineStr">
        <is>
          <t>F01038</t>
        </is>
      </c>
      <c r="B676" s="10" t="inlineStr">
        <is>
          <t>F01038</t>
        </is>
      </c>
      <c r="C676" s="10" t="inlineStr"/>
      <c r="D676" s="10" t="inlineStr">
        <is>
          <t>6009697459157</t>
        </is>
      </c>
      <c r="E676" s="10" t="inlineStr">
        <is>
          <t>ELECTRO  GALVANIZED WIRE - 3.15MM X 5KG</t>
        </is>
      </c>
      <c r="F676" s="10" t="inlineStr"/>
      <c r="G676" s="10" t="inlineStr"/>
      <c r="H676" s="10" t="inlineStr"/>
      <c r="I676" s="11" t="n">
        <v>42.9</v>
      </c>
      <c r="J676" s="6" t="n">
        <v>15</v>
      </c>
      <c r="K676" s="7">
        <f>IF(I676="","",I676*(1+J676/100))</f>
        <v/>
      </c>
      <c r="L676" s="12" t="inlineStr"/>
      <c r="M676" s="8">
        <f>IF(OR(L676="",K676="",L676=0),"",
  (L676-K676)/L676*100)</f>
        <v/>
      </c>
      <c r="N676" s="9" t="inlineStr"/>
      <c r="O676" s="10" t="inlineStr"/>
      <c r="P676" s="10" t="inlineStr"/>
      <c r="Q676" s="10" t="inlineStr"/>
      <c r="R676" s="10" t="inlineStr">
        <is>
          <t>2026-03-12</t>
        </is>
      </c>
      <c r="S676" s="10" t="inlineStr"/>
    </row>
    <row r="677">
      <c r="A677" s="3" t="inlineStr">
        <is>
          <t>F01039</t>
        </is>
      </c>
      <c r="B677" s="4" t="inlineStr">
        <is>
          <t>F01039</t>
        </is>
      </c>
      <c r="C677" s="4" t="inlineStr"/>
      <c r="D677" s="4" t="inlineStr">
        <is>
          <t>6009697459164</t>
        </is>
      </c>
      <c r="E677" s="3" t="inlineStr">
        <is>
          <t>ELECTRO  GALVANIZED WIRE - 4MM X 5KG</t>
        </is>
      </c>
      <c r="F677" s="4" t="inlineStr"/>
      <c r="G677" s="4" t="inlineStr"/>
      <c r="H677" s="4" t="inlineStr"/>
      <c r="I677" s="5" t="n">
        <v>43.9</v>
      </c>
      <c r="J677" s="6" t="n">
        <v>15</v>
      </c>
      <c r="K677" s="7">
        <f>IF(I677="","",I677*(1+J677/100))</f>
        <v/>
      </c>
      <c r="L677" s="12" t="inlineStr"/>
      <c r="M677" s="8">
        <f>IF(OR(L677="",K677="",L677=0),"",
  (L677-K677)/L677*100)</f>
        <v/>
      </c>
      <c r="N677" s="9" t="inlineStr"/>
      <c r="O677" s="4" t="inlineStr"/>
      <c r="P677" s="4" t="inlineStr"/>
      <c r="Q677" s="4" t="inlineStr"/>
      <c r="R677" s="4" t="inlineStr">
        <is>
          <t>2026-03-12</t>
        </is>
      </c>
      <c r="S677" s="4" t="inlineStr"/>
    </row>
    <row r="678">
      <c r="A678" s="10" t="inlineStr">
        <is>
          <t>F01040</t>
        </is>
      </c>
      <c r="B678" s="10" t="inlineStr">
        <is>
          <t>F01040</t>
        </is>
      </c>
      <c r="C678" s="10" t="inlineStr"/>
      <c r="D678" s="10" t="inlineStr"/>
      <c r="E678" s="10" t="inlineStr">
        <is>
          <t>BARB WIRE DOUBLE STRAND - 2MM X 10KG</t>
        </is>
      </c>
      <c r="F678" s="10" t="inlineStr"/>
      <c r="G678" s="10" t="inlineStr"/>
      <c r="H678" s="10" t="inlineStr"/>
      <c r="I678" s="11" t="n">
        <v>109</v>
      </c>
      <c r="J678" s="6" t="n">
        <v>15</v>
      </c>
      <c r="K678" s="7">
        <f>IF(I678="","",I678*(1+J678/100))</f>
        <v/>
      </c>
      <c r="L678" s="12" t="inlineStr"/>
      <c r="M678" s="8">
        <f>IF(OR(L678="",K678="",L678=0),"",
  (L678-K678)/L678*100)</f>
        <v/>
      </c>
      <c r="N678" s="9" t="inlineStr"/>
      <c r="O678" s="10" t="inlineStr"/>
      <c r="P678" s="10" t="inlineStr"/>
      <c r="Q678" s="10" t="inlineStr"/>
      <c r="R678" s="10" t="inlineStr">
        <is>
          <t>2026-03-12</t>
        </is>
      </c>
      <c r="S678" s="10" t="inlineStr"/>
    </row>
    <row r="679">
      <c r="A679" s="3" t="inlineStr">
        <is>
          <t>F01041</t>
        </is>
      </c>
      <c r="B679" s="4" t="inlineStr">
        <is>
          <t>F01041</t>
        </is>
      </c>
      <c r="C679" s="4" t="inlineStr"/>
      <c r="D679" s="4" t="inlineStr"/>
      <c r="E679" s="3" t="inlineStr">
        <is>
          <t>BARB WIRE DOUBLE STRAND - 2MM X 17.5KG</t>
        </is>
      </c>
      <c r="F679" s="4" t="inlineStr"/>
      <c r="G679" s="4" t="inlineStr"/>
      <c r="H679" s="4" t="inlineStr"/>
      <c r="I679" s="5" t="n">
        <v>189</v>
      </c>
      <c r="J679" s="6" t="n">
        <v>15</v>
      </c>
      <c r="K679" s="7">
        <f>IF(I679="","",I679*(1+J679/100))</f>
        <v/>
      </c>
      <c r="L679" s="12" t="inlineStr"/>
      <c r="M679" s="8">
        <f>IF(OR(L679="",K679="",L679=0),"",
  (L679-K679)/L679*100)</f>
        <v/>
      </c>
      <c r="N679" s="9" t="inlineStr"/>
      <c r="O679" s="4" t="inlineStr"/>
      <c r="P679" s="4" t="inlineStr"/>
      <c r="Q679" s="4" t="inlineStr"/>
      <c r="R679" s="4" t="inlineStr">
        <is>
          <t>2026-03-12</t>
        </is>
      </c>
      <c r="S679" s="4" t="inlineStr"/>
    </row>
    <row r="680">
      <c r="A680" s="10" t="inlineStr">
        <is>
          <t>F01042</t>
        </is>
      </c>
      <c r="B680" s="10" t="inlineStr">
        <is>
          <t>F01042</t>
        </is>
      </c>
      <c r="C680" s="10" t="inlineStr"/>
      <c r="D680" s="10" t="inlineStr"/>
      <c r="E680" s="10" t="inlineStr">
        <is>
          <t>BARB WIRE DOUBLE STRAND - 2MM X 25KG</t>
        </is>
      </c>
      <c r="F680" s="10" t="inlineStr"/>
      <c r="G680" s="10" t="inlineStr"/>
      <c r="H680" s="10" t="inlineStr"/>
      <c r="I680" s="11" t="n">
        <v>269</v>
      </c>
      <c r="J680" s="6" t="n">
        <v>15</v>
      </c>
      <c r="K680" s="7">
        <f>IF(I680="","",I680*(1+J680/100))</f>
        <v/>
      </c>
      <c r="L680" s="12" t="inlineStr"/>
      <c r="M680" s="8">
        <f>IF(OR(L680="",K680="",L680=0),"",
  (L680-K680)/L680*100)</f>
        <v/>
      </c>
      <c r="N680" s="9" t="inlineStr"/>
      <c r="O680" s="10" t="inlineStr"/>
      <c r="P680" s="10" t="inlineStr"/>
      <c r="Q680" s="10" t="inlineStr"/>
      <c r="R680" s="10" t="inlineStr">
        <is>
          <t>2026-03-12</t>
        </is>
      </c>
      <c r="S680" s="10" t="inlineStr"/>
    </row>
    <row r="681">
      <c r="A681" s="3" t="inlineStr">
        <is>
          <t>F01043</t>
        </is>
      </c>
      <c r="B681" s="4" t="inlineStr">
        <is>
          <t>F01043</t>
        </is>
      </c>
      <c r="C681" s="4" t="inlineStr"/>
      <c r="D681" s="4" t="inlineStr"/>
      <c r="E681" s="3" t="inlineStr">
        <is>
          <t>BARB WIRE DOUBLE STRAND - 2MM X 35KG</t>
        </is>
      </c>
      <c r="F681" s="4" t="inlineStr"/>
      <c r="G681" s="4" t="inlineStr"/>
      <c r="H681" s="4" t="inlineStr"/>
      <c r="I681" s="5" t="n">
        <v>365</v>
      </c>
      <c r="J681" s="6" t="n">
        <v>15</v>
      </c>
      <c r="K681" s="7">
        <f>IF(I681="","",I681*(1+J681/100))</f>
        <v/>
      </c>
      <c r="L681" s="12" t="inlineStr"/>
      <c r="M681" s="8">
        <f>IF(OR(L681="",K681="",L681=0),"",
  (L681-K681)/L681*100)</f>
        <v/>
      </c>
      <c r="N681" s="9" t="inlineStr"/>
      <c r="O681" s="4" t="inlineStr"/>
      <c r="P681" s="4" t="inlineStr"/>
      <c r="Q681" s="4" t="inlineStr"/>
      <c r="R681" s="4" t="inlineStr">
        <is>
          <t>2026-03-12</t>
        </is>
      </c>
      <c r="S681" s="4" t="inlineStr"/>
    </row>
    <row r="682">
      <c r="A682" s="10" t="inlineStr">
        <is>
          <t>F01044</t>
        </is>
      </c>
      <c r="B682" s="10" t="inlineStr">
        <is>
          <t>F01044</t>
        </is>
      </c>
      <c r="C682" s="10" t="inlineStr"/>
      <c r="D682" s="10" t="inlineStr"/>
      <c r="E682" s="10" t="inlineStr">
        <is>
          <t>BARB WIRE DOUBLE STRAND - 2MM X 50KG</t>
        </is>
      </c>
      <c r="F682" s="10" t="inlineStr"/>
      <c r="G682" s="10" t="inlineStr"/>
      <c r="H682" s="10" t="inlineStr"/>
      <c r="I682" s="11" t="n">
        <v>529</v>
      </c>
      <c r="J682" s="6" t="n">
        <v>15</v>
      </c>
      <c r="K682" s="7">
        <f>IF(I682="","",I682*(1+J682/100))</f>
        <v/>
      </c>
      <c r="L682" s="12" t="inlineStr"/>
      <c r="M682" s="8">
        <f>IF(OR(L682="",K682="",L682=0),"",
  (L682-K682)/L682*100)</f>
        <v/>
      </c>
      <c r="N682" s="9" t="inlineStr"/>
      <c r="O682" s="10" t="inlineStr"/>
      <c r="P682" s="10" t="inlineStr"/>
      <c r="Q682" s="10" t="inlineStr"/>
      <c r="R682" s="10" t="inlineStr">
        <is>
          <t>2026-03-12</t>
        </is>
      </c>
      <c r="S682" s="10" t="inlineStr"/>
    </row>
    <row r="683">
      <c r="A683" s="3" t="inlineStr">
        <is>
          <t>F01045</t>
        </is>
      </c>
      <c r="B683" s="4" t="inlineStr">
        <is>
          <t>F01045</t>
        </is>
      </c>
      <c r="C683" s="4" t="inlineStr"/>
      <c r="D683" s="4" t="inlineStr">
        <is>
          <t>6009705652815</t>
        </is>
      </c>
      <c r="E683" s="3" t="inlineStr">
        <is>
          <t>SHADE NET GREEN  1.8MX50M 80% SHADE</t>
        </is>
      </c>
      <c r="F683" s="4" t="inlineStr"/>
      <c r="G683" s="4" t="inlineStr"/>
      <c r="H683" s="4" t="inlineStr"/>
      <c r="I683" s="5" t="n">
        <v>949</v>
      </c>
      <c r="J683" s="6" t="n">
        <v>15</v>
      </c>
      <c r="K683" s="7">
        <f>IF(I683="","",I683*(1+J683/100))</f>
        <v/>
      </c>
      <c r="L683" s="12" t="inlineStr"/>
      <c r="M683" s="8">
        <f>IF(OR(L683="",K683="",L683=0),"",
  (L683-K683)/L683*100)</f>
        <v/>
      </c>
      <c r="N683" s="9" t="inlineStr"/>
      <c r="O683" s="4" t="inlineStr"/>
      <c r="P683" s="4" t="inlineStr"/>
      <c r="Q683" s="4" t="inlineStr"/>
      <c r="R683" s="4" t="inlineStr">
        <is>
          <t>2026-03-12</t>
        </is>
      </c>
      <c r="S683" s="4" t="inlineStr"/>
    </row>
    <row r="684">
      <c r="A684" s="10" t="inlineStr">
        <is>
          <t>F01046</t>
        </is>
      </c>
      <c r="B684" s="10" t="inlineStr">
        <is>
          <t>F01046</t>
        </is>
      </c>
      <c r="C684" s="10" t="inlineStr"/>
      <c r="D684" s="10" t="inlineStr">
        <is>
          <t>6009705650972</t>
        </is>
      </c>
      <c r="E684" s="10" t="inlineStr">
        <is>
          <t>STEEL SECURITY DOOR - L 2050X860X70MM GI</t>
        </is>
      </c>
      <c r="F684" s="10" t="inlineStr"/>
      <c r="G684" s="10" t="inlineStr"/>
      <c r="H684" s="10" t="inlineStr"/>
      <c r="I684" s="11" t="n">
        <v>795</v>
      </c>
      <c r="J684" s="6" t="n">
        <v>15</v>
      </c>
      <c r="K684" s="7">
        <f>IF(I684="","",I684*(1+J684/100))</f>
        <v/>
      </c>
      <c r="L684" s="12" t="inlineStr"/>
      <c r="M684" s="8">
        <f>IF(OR(L684="",K684="",L684=0),"",
  (L684-K684)/L684*100)</f>
        <v/>
      </c>
      <c r="N684" s="9" t="inlineStr"/>
      <c r="O684" s="10" t="inlineStr"/>
      <c r="P684" s="10" t="inlineStr"/>
      <c r="Q684" s="10" t="inlineStr"/>
      <c r="R684" s="10" t="inlineStr">
        <is>
          <t>2026-03-12</t>
        </is>
      </c>
      <c r="S684" s="10" t="inlineStr"/>
    </row>
    <row r="685">
      <c r="A685" s="3" t="inlineStr">
        <is>
          <t>F01047</t>
        </is>
      </c>
      <c r="B685" s="4" t="inlineStr">
        <is>
          <t>F01047</t>
        </is>
      </c>
      <c r="C685" s="4" t="inlineStr"/>
      <c r="D685" s="4" t="inlineStr">
        <is>
          <t>6009705650989</t>
        </is>
      </c>
      <c r="E685" s="3" t="inlineStr">
        <is>
          <t>STEEL SECURITY DOOR - R 2050X860X70MM GI</t>
        </is>
      </c>
      <c r="F685" s="4" t="inlineStr"/>
      <c r="G685" s="4" t="inlineStr"/>
      <c r="H685" s="4" t="inlineStr"/>
      <c r="I685" s="5" t="n">
        <v>795</v>
      </c>
      <c r="J685" s="6" t="n">
        <v>15</v>
      </c>
      <c r="K685" s="7">
        <f>IF(I685="","",I685*(1+J685/100))</f>
        <v/>
      </c>
      <c r="L685" s="12" t="inlineStr"/>
      <c r="M685" s="8">
        <f>IF(OR(L685="",K685="",L685=0),"",
  (L685-K685)/L685*100)</f>
        <v/>
      </c>
      <c r="N685" s="9" t="inlineStr"/>
      <c r="O685" s="4" t="inlineStr"/>
      <c r="P685" s="4" t="inlineStr"/>
      <c r="Q685" s="4" t="inlineStr"/>
      <c r="R685" s="4" t="inlineStr">
        <is>
          <t>2026-03-12</t>
        </is>
      </c>
      <c r="S685" s="4" t="inlineStr"/>
    </row>
    <row r="686">
      <c r="A686" s="10" t="inlineStr">
        <is>
          <t>F01048</t>
        </is>
      </c>
      <c r="B686" s="10" t="inlineStr">
        <is>
          <t>F01048</t>
        </is>
      </c>
      <c r="C686" s="10" t="inlineStr"/>
      <c r="D686" s="10" t="inlineStr"/>
      <c r="E686" s="10" t="inlineStr">
        <is>
          <t>RAW BOLTS  M8X60 (60'S)</t>
        </is>
      </c>
      <c r="F686" s="10" t="inlineStr"/>
      <c r="G686" s="10" t="inlineStr"/>
      <c r="H686" s="10" t="inlineStr"/>
      <c r="I686" s="11" t="n">
        <v>135</v>
      </c>
      <c r="J686" s="6" t="n">
        <v>15</v>
      </c>
      <c r="K686" s="7">
        <f>IF(I686="","",I686*(1+J686/100))</f>
        <v/>
      </c>
      <c r="L686" s="12" t="inlineStr"/>
      <c r="M686" s="8">
        <f>IF(OR(L686="",K686="",L686=0),"",
  (L686-K686)/L686*100)</f>
        <v/>
      </c>
      <c r="N686" s="9" t="inlineStr"/>
      <c r="O686" s="10" t="inlineStr"/>
      <c r="P686" s="10" t="inlineStr"/>
      <c r="Q686" s="10" t="inlineStr"/>
      <c r="R686" s="10" t="inlineStr">
        <is>
          <t>2026-03-12</t>
        </is>
      </c>
      <c r="S686" s="10" t="inlineStr"/>
    </row>
    <row r="687">
      <c r="A687" s="3" t="inlineStr">
        <is>
          <t>F01049</t>
        </is>
      </c>
      <c r="B687" s="4" t="inlineStr">
        <is>
          <t>F01049</t>
        </is>
      </c>
      <c r="C687" s="4" t="inlineStr"/>
      <c r="D687" s="4" t="inlineStr"/>
      <c r="E687" s="3" t="inlineStr">
        <is>
          <t>RAW BOLTS M10X70 (30'S)</t>
        </is>
      </c>
      <c r="F687" s="4" t="inlineStr"/>
      <c r="G687" s="4" t="inlineStr"/>
      <c r="H687" s="4" t="inlineStr"/>
      <c r="I687" s="5" t="n">
        <v>74.95</v>
      </c>
      <c r="J687" s="6" t="n">
        <v>15</v>
      </c>
      <c r="K687" s="7">
        <f>IF(I687="","",I687*(1+J687/100))</f>
        <v/>
      </c>
      <c r="L687" s="12" t="inlineStr"/>
      <c r="M687" s="8">
        <f>IF(OR(L687="",K687="",L687=0),"",
  (L687-K687)/L687*100)</f>
        <v/>
      </c>
      <c r="N687" s="9" t="inlineStr"/>
      <c r="O687" s="4" t="inlineStr"/>
      <c r="P687" s="4" t="inlineStr"/>
      <c r="Q687" s="4" t="inlineStr"/>
      <c r="R687" s="4" t="inlineStr">
        <is>
          <t>2026-03-12</t>
        </is>
      </c>
      <c r="S687" s="4" t="inlineStr"/>
    </row>
    <row r="688">
      <c r="A688" s="10" t="inlineStr">
        <is>
          <t>F01050</t>
        </is>
      </c>
      <c r="B688" s="10" t="inlineStr">
        <is>
          <t>F01050</t>
        </is>
      </c>
      <c r="C688" s="10" t="inlineStr"/>
      <c r="D688" s="10" t="inlineStr"/>
      <c r="E688" s="10" t="inlineStr">
        <is>
          <t>RAW BOLTS M12X90 (25'S)</t>
        </is>
      </c>
      <c r="F688" s="10" t="inlineStr"/>
      <c r="G688" s="10" t="inlineStr"/>
      <c r="H688" s="10" t="inlineStr"/>
      <c r="I688" s="11" t="n">
        <v>107.95</v>
      </c>
      <c r="J688" s="6" t="n">
        <v>15</v>
      </c>
      <c r="K688" s="7">
        <f>IF(I688="","",I688*(1+J688/100))</f>
        <v/>
      </c>
      <c r="L688" s="12" t="inlineStr"/>
      <c r="M688" s="8">
        <f>IF(OR(L688="",K688="",L688=0),"",
  (L688-K688)/L688*100)</f>
        <v/>
      </c>
      <c r="N688" s="9" t="inlineStr"/>
      <c r="O688" s="10" t="inlineStr"/>
      <c r="P688" s="10" t="inlineStr"/>
      <c r="Q688" s="10" t="inlineStr"/>
      <c r="R688" s="10" t="inlineStr">
        <is>
          <t>2026-03-12</t>
        </is>
      </c>
      <c r="S688" s="10" t="inlineStr"/>
    </row>
    <row r="689">
      <c r="A689" s="3" t="inlineStr">
        <is>
          <t>F01051</t>
        </is>
      </c>
      <c r="B689" s="4" t="inlineStr">
        <is>
          <t>F01051</t>
        </is>
      </c>
      <c r="C689" s="4" t="inlineStr"/>
      <c r="D689" s="4" t="inlineStr"/>
      <c r="E689" s="3" t="inlineStr">
        <is>
          <t>NAIL IN ANCHOR M6X40 (100's)</t>
        </is>
      </c>
      <c r="F689" s="4" t="inlineStr"/>
      <c r="G689" s="4" t="inlineStr"/>
      <c r="H689" s="4" t="inlineStr"/>
      <c r="I689" s="5" t="n">
        <v>18.95</v>
      </c>
      <c r="J689" s="6" t="n">
        <v>15</v>
      </c>
      <c r="K689" s="7">
        <f>IF(I689="","",I689*(1+J689/100))</f>
        <v/>
      </c>
      <c r="L689" s="12" t="inlineStr"/>
      <c r="M689" s="8">
        <f>IF(OR(L689="",K689="",L689=0),"",
  (L689-K689)/L689*100)</f>
        <v/>
      </c>
      <c r="N689" s="9" t="inlineStr"/>
      <c r="O689" s="4" t="inlineStr"/>
      <c r="P689" s="4" t="inlineStr"/>
      <c r="Q689" s="4" t="inlineStr"/>
      <c r="R689" s="4" t="inlineStr">
        <is>
          <t>2026-03-12</t>
        </is>
      </c>
      <c r="S689" s="4" t="inlineStr"/>
    </row>
    <row r="690">
      <c r="A690" s="10" t="inlineStr">
        <is>
          <t>F01052</t>
        </is>
      </c>
      <c r="B690" s="10" t="inlineStr">
        <is>
          <t>F01052</t>
        </is>
      </c>
      <c r="C690" s="10" t="inlineStr"/>
      <c r="D690" s="10" t="inlineStr"/>
      <c r="E690" s="10" t="inlineStr">
        <is>
          <t>NAIL IN ANCHOR M6X60 (100's)</t>
        </is>
      </c>
      <c r="F690" s="10" t="inlineStr"/>
      <c r="G690" s="10" t="inlineStr"/>
      <c r="H690" s="10" t="inlineStr"/>
      <c r="I690" s="11" t="n">
        <v>27.95</v>
      </c>
      <c r="J690" s="6" t="n">
        <v>15</v>
      </c>
      <c r="K690" s="7">
        <f>IF(I690="","",I690*(1+J690/100))</f>
        <v/>
      </c>
      <c r="L690" s="12" t="inlineStr"/>
      <c r="M690" s="8">
        <f>IF(OR(L690="",K690="",L690=0),"",
  (L690-K690)/L690*100)</f>
        <v/>
      </c>
      <c r="N690" s="9" t="inlineStr"/>
      <c r="O690" s="10" t="inlineStr"/>
      <c r="P690" s="10" t="inlineStr"/>
      <c r="Q690" s="10" t="inlineStr"/>
      <c r="R690" s="10" t="inlineStr">
        <is>
          <t>2026-03-12</t>
        </is>
      </c>
      <c r="S690" s="10" t="inlineStr"/>
    </row>
    <row r="691">
      <c r="A691" s="3" t="inlineStr">
        <is>
          <t>F01054</t>
        </is>
      </c>
      <c r="B691" s="4" t="inlineStr">
        <is>
          <t>F01054</t>
        </is>
      </c>
      <c r="C691" s="4" t="inlineStr"/>
      <c r="D691" s="4" t="inlineStr">
        <is>
          <t>6009705656527</t>
        </is>
      </c>
      <c r="E691" s="3" t="inlineStr">
        <is>
          <t>HAMMER SLEDGE 3/4LB</t>
        </is>
      </c>
      <c r="F691" s="4" t="inlineStr"/>
      <c r="G691" s="4" t="inlineStr"/>
      <c r="H691" s="4" t="inlineStr"/>
      <c r="I691" s="5" t="n">
        <v>129</v>
      </c>
      <c r="J691" s="6" t="n">
        <v>15</v>
      </c>
      <c r="K691" s="7">
        <f>IF(I691="","",I691*(1+J691/100))</f>
        <v/>
      </c>
      <c r="L691" s="12" t="inlineStr"/>
      <c r="M691" s="8">
        <f>IF(OR(L691="",K691="",L691=0),"",
  (L691-K691)/L691*100)</f>
        <v/>
      </c>
      <c r="N691" s="14" t="n">
        <v>7</v>
      </c>
      <c r="O691" s="4" t="inlineStr"/>
      <c r="P691" s="4" t="inlineStr"/>
      <c r="Q691" s="4" t="inlineStr"/>
      <c r="R691" s="4" t="inlineStr">
        <is>
          <t>2026-03-12</t>
        </is>
      </c>
      <c r="S691" s="4" t="inlineStr"/>
    </row>
    <row r="692">
      <c r="A692" s="10" t="inlineStr">
        <is>
          <t>F01055</t>
        </is>
      </c>
      <c r="B692" s="10" t="inlineStr">
        <is>
          <t>F01055</t>
        </is>
      </c>
      <c r="C692" s="10" t="inlineStr"/>
      <c r="D692" s="10" t="inlineStr">
        <is>
          <t>6009705656510</t>
        </is>
      </c>
      <c r="E692" s="10" t="inlineStr">
        <is>
          <t>HAMMER SLEDGE 2LB</t>
        </is>
      </c>
      <c r="F692" s="10" t="inlineStr"/>
      <c r="G692" s="10" t="inlineStr"/>
      <c r="H692" s="10" t="inlineStr"/>
      <c r="I692" s="11" t="n">
        <v>69.95</v>
      </c>
      <c r="J692" s="6" t="n">
        <v>15</v>
      </c>
      <c r="K692" s="7">
        <f>IF(I692="","",I692*(1+J692/100))</f>
        <v/>
      </c>
      <c r="L692" s="12" t="inlineStr"/>
      <c r="M692" s="8">
        <f>IF(OR(L692="",K692="",L692=0),"",
  (L692-K692)/L692*100)</f>
        <v/>
      </c>
      <c r="N692" s="13" t="n">
        <v>71</v>
      </c>
      <c r="O692" s="10" t="inlineStr"/>
      <c r="P692" s="10" t="inlineStr"/>
      <c r="Q692" s="10" t="inlineStr"/>
      <c r="R692" s="10" t="inlineStr">
        <is>
          <t>2026-03-12</t>
        </is>
      </c>
      <c r="S692" s="10" t="inlineStr"/>
    </row>
    <row r="693">
      <c r="A693" s="3" t="inlineStr">
        <is>
          <t>F01056</t>
        </is>
      </c>
      <c r="B693" s="4" t="inlineStr">
        <is>
          <t>F01056</t>
        </is>
      </c>
      <c r="C693" s="4" t="inlineStr"/>
      <c r="D693" s="4" t="inlineStr"/>
      <c r="E693" s="3" t="inlineStr">
        <is>
          <t>WIRE MESH (PIG) (90X90) 1.2MX50MX1.6MM</t>
        </is>
      </c>
      <c r="F693" s="4" t="inlineStr"/>
      <c r="G693" s="4" t="inlineStr"/>
      <c r="H693" s="4" t="inlineStr"/>
      <c r="I693" s="5" t="n">
        <v>399</v>
      </c>
      <c r="J693" s="6" t="n">
        <v>15</v>
      </c>
      <c r="K693" s="7">
        <f>IF(I693="","",I693*(1+J693/100))</f>
        <v/>
      </c>
      <c r="L693" s="12" t="inlineStr"/>
      <c r="M693" s="8">
        <f>IF(OR(L693="",K693="",L693=0),"",
  (L693-K693)/L693*100)</f>
        <v/>
      </c>
      <c r="N693" s="9" t="inlineStr"/>
      <c r="O693" s="4" t="inlineStr"/>
      <c r="P693" s="4" t="inlineStr"/>
      <c r="Q693" s="4" t="inlineStr"/>
      <c r="R693" s="4" t="inlineStr">
        <is>
          <t>2026-03-12</t>
        </is>
      </c>
      <c r="S693" s="4" t="inlineStr"/>
    </row>
    <row r="694">
      <c r="A694" s="10" t="inlineStr">
        <is>
          <t>F01057</t>
        </is>
      </c>
      <c r="B694" s="10" t="inlineStr">
        <is>
          <t>F01057</t>
        </is>
      </c>
      <c r="C694" s="10" t="inlineStr"/>
      <c r="D694" s="10" t="inlineStr"/>
      <c r="E694" s="10" t="inlineStr">
        <is>
          <t>WIRE MESH (PIG) (90X90) 1.2MX50MX1.4MM</t>
        </is>
      </c>
      <c r="F694" s="10" t="inlineStr"/>
      <c r="G694" s="10" t="inlineStr"/>
      <c r="H694" s="10" t="inlineStr"/>
      <c r="I694" s="11" t="n">
        <v>319</v>
      </c>
      <c r="J694" s="6" t="n">
        <v>15</v>
      </c>
      <c r="K694" s="7">
        <f>IF(I694="","",I694*(1+J694/100))</f>
        <v/>
      </c>
      <c r="L694" s="12" t="inlineStr"/>
      <c r="M694" s="8">
        <f>IF(OR(L694="",K694="",L694=0),"",
  (L694-K694)/L694*100)</f>
        <v/>
      </c>
      <c r="N694" s="9" t="inlineStr"/>
      <c r="O694" s="10" t="inlineStr"/>
      <c r="P694" s="10" t="inlineStr"/>
      <c r="Q694" s="10" t="inlineStr"/>
      <c r="R694" s="10" t="inlineStr">
        <is>
          <t>2026-03-12</t>
        </is>
      </c>
      <c r="S694" s="10" t="inlineStr"/>
    </row>
    <row r="695">
      <c r="A695" s="3" t="inlineStr">
        <is>
          <t>F01058</t>
        </is>
      </c>
      <c r="B695" s="4" t="inlineStr">
        <is>
          <t>F01058</t>
        </is>
      </c>
      <c r="C695" s="4" t="inlineStr"/>
      <c r="D695" s="4" t="inlineStr"/>
      <c r="E695" s="3" t="inlineStr">
        <is>
          <t>ROOFING SCREW WITH WASHER 120MM</t>
        </is>
      </c>
      <c r="F695" s="4" t="inlineStr"/>
      <c r="G695" s="4" t="inlineStr"/>
      <c r="H695" s="4" t="inlineStr"/>
      <c r="I695" s="5" t="n">
        <v>239</v>
      </c>
      <c r="J695" s="6" t="n">
        <v>15</v>
      </c>
      <c r="K695" s="7">
        <f>IF(I695="","",I695*(1+J695/100))</f>
        <v/>
      </c>
      <c r="L695" s="12" t="inlineStr"/>
      <c r="M695" s="8">
        <f>IF(OR(L695="",K695="",L695=0),"",
  (L695-K695)/L695*100)</f>
        <v/>
      </c>
      <c r="N695" s="9" t="inlineStr"/>
      <c r="O695" s="4" t="inlineStr"/>
      <c r="P695" s="4" t="inlineStr"/>
      <c r="Q695" s="4" t="inlineStr"/>
      <c r="R695" s="4" t="inlineStr">
        <is>
          <t>2026-03-12</t>
        </is>
      </c>
      <c r="S695" s="4" t="inlineStr"/>
    </row>
    <row r="696">
      <c r="A696" s="10" t="inlineStr">
        <is>
          <t>F01059</t>
        </is>
      </c>
      <c r="B696" s="10" t="inlineStr">
        <is>
          <t>F01059</t>
        </is>
      </c>
      <c r="C696" s="10" t="inlineStr"/>
      <c r="D696" s="10" t="inlineStr">
        <is>
          <t>6009705653904</t>
        </is>
      </c>
      <c r="E696" s="10" t="inlineStr">
        <is>
          <t>ROOFING SCREW+ BONDED  WASHER 90MM</t>
        </is>
      </c>
      <c r="F696" s="10" t="inlineStr"/>
      <c r="G696" s="10" t="inlineStr"/>
      <c r="H696" s="10" t="inlineStr"/>
      <c r="I696" s="11" t="n">
        <v>269</v>
      </c>
      <c r="J696" s="6" t="n">
        <v>15</v>
      </c>
      <c r="K696" s="7">
        <f>IF(I696="","",I696*(1+J696/100))</f>
        <v/>
      </c>
      <c r="L696" s="12" t="inlineStr"/>
      <c r="M696" s="8">
        <f>IF(OR(L696="",K696="",L696=0),"",
  (L696-K696)/L696*100)</f>
        <v/>
      </c>
      <c r="N696" s="13" t="n">
        <v>1</v>
      </c>
      <c r="O696" s="10" t="inlineStr"/>
      <c r="P696" s="10" t="inlineStr"/>
      <c r="Q696" s="10" t="inlineStr"/>
      <c r="R696" s="10" t="inlineStr">
        <is>
          <t>2026-03-12</t>
        </is>
      </c>
      <c r="S696" s="10" t="inlineStr"/>
    </row>
    <row r="697">
      <c r="A697" s="3" t="inlineStr">
        <is>
          <t>F01060</t>
        </is>
      </c>
      <c r="B697" s="4" t="inlineStr">
        <is>
          <t>F01060</t>
        </is>
      </c>
      <c r="C697" s="4" t="inlineStr"/>
      <c r="D697" s="4" t="inlineStr"/>
      <c r="E697" s="3" t="inlineStr">
        <is>
          <t>ROOFING SCREW WITH WASHER 75MM</t>
        </is>
      </c>
      <c r="F697" s="4" t="inlineStr"/>
      <c r="G697" s="4" t="inlineStr"/>
      <c r="H697" s="4" t="inlineStr"/>
      <c r="I697" s="5" t="n">
        <v>175</v>
      </c>
      <c r="J697" s="6" t="n">
        <v>15</v>
      </c>
      <c r="K697" s="7">
        <f>IF(I697="","",I697*(1+J697/100))</f>
        <v/>
      </c>
      <c r="L697" s="12" t="inlineStr"/>
      <c r="M697" s="8">
        <f>IF(OR(L697="",K697="",L697=0),"",
  (L697-K697)/L697*100)</f>
        <v/>
      </c>
      <c r="N697" s="9" t="inlineStr"/>
      <c r="O697" s="4" t="inlineStr"/>
      <c r="P697" s="4" t="inlineStr"/>
      <c r="Q697" s="4" t="inlineStr"/>
      <c r="R697" s="4" t="inlineStr">
        <is>
          <t>2026-03-12</t>
        </is>
      </c>
      <c r="S697" s="4" t="inlineStr"/>
    </row>
    <row r="698">
      <c r="A698" s="10" t="inlineStr">
        <is>
          <t>F01061</t>
        </is>
      </c>
      <c r="B698" s="10" t="inlineStr">
        <is>
          <t>F01061</t>
        </is>
      </c>
      <c r="C698" s="10" t="inlineStr"/>
      <c r="D698" s="10" t="inlineStr"/>
      <c r="E698" s="10" t="inlineStr">
        <is>
          <t>NAILS 6" COMMON 25KG P/PACK</t>
        </is>
      </c>
      <c r="F698" s="10" t="inlineStr"/>
      <c r="G698" s="10" t="inlineStr"/>
      <c r="H698" s="10" t="inlineStr"/>
      <c r="I698" s="11" t="n">
        <v>249</v>
      </c>
      <c r="J698" s="6" t="n">
        <v>15</v>
      </c>
      <c r="K698" s="7">
        <f>IF(I698="","",I698*(1+J698/100))</f>
        <v/>
      </c>
      <c r="L698" s="12" t="inlineStr"/>
      <c r="M698" s="8">
        <f>IF(OR(L698="",K698="",L698=0),"",
  (L698-K698)/L698*100)</f>
        <v/>
      </c>
      <c r="N698" s="9" t="inlineStr"/>
      <c r="O698" s="10" t="inlineStr"/>
      <c r="P698" s="10" t="inlineStr"/>
      <c r="Q698" s="10" t="inlineStr"/>
      <c r="R698" s="10" t="inlineStr">
        <is>
          <t>2026-03-12</t>
        </is>
      </c>
      <c r="S698" s="10" t="inlineStr"/>
    </row>
    <row r="699">
      <c r="A699" s="3" t="inlineStr">
        <is>
          <t>F01062</t>
        </is>
      </c>
      <c r="B699" s="4" t="inlineStr">
        <is>
          <t>F01062</t>
        </is>
      </c>
      <c r="C699" s="4" t="inlineStr"/>
      <c r="D699" s="4" t="inlineStr"/>
      <c r="E699" s="3" t="inlineStr">
        <is>
          <t>PEEL &amp; STICK WDN TYPE AG6381-5</t>
        </is>
      </c>
      <c r="F699" s="4" t="inlineStr"/>
      <c r="G699" s="4" t="inlineStr"/>
      <c r="H699" s="4" t="inlineStr"/>
      <c r="I699" s="5" t="n">
        <v>149.95</v>
      </c>
      <c r="J699" s="6" t="n">
        <v>15</v>
      </c>
      <c r="K699" s="7">
        <f>IF(I699="","",I699*(1+J699/100))</f>
        <v/>
      </c>
      <c r="L699" s="12" t="inlineStr"/>
      <c r="M699" s="8">
        <f>IF(OR(L699="",K699="",L699=0),"",
  (L699-K699)/L699*100)</f>
        <v/>
      </c>
      <c r="N699" s="9" t="inlineStr"/>
      <c r="O699" s="4" t="inlineStr"/>
      <c r="P699" s="4" t="inlineStr"/>
      <c r="Q699" s="4" t="inlineStr"/>
      <c r="R699" s="4" t="inlineStr">
        <is>
          <t>2026-03-12</t>
        </is>
      </c>
      <c r="S699" s="4" t="inlineStr"/>
    </row>
    <row r="700">
      <c r="A700" s="10" t="inlineStr">
        <is>
          <t>F01063</t>
        </is>
      </c>
      <c r="B700" s="10" t="inlineStr">
        <is>
          <t>F01063</t>
        </is>
      </c>
      <c r="C700" s="10" t="inlineStr"/>
      <c r="D700" s="10" t="inlineStr"/>
      <c r="E700" s="10" t="inlineStr">
        <is>
          <t>PEEL &amp; STICK WDN TYPE AG8115-1</t>
        </is>
      </c>
      <c r="F700" s="10" t="inlineStr"/>
      <c r="G700" s="10" t="inlineStr"/>
      <c r="H700" s="10" t="inlineStr"/>
      <c r="I700" s="11" t="n">
        <v>149.95</v>
      </c>
      <c r="J700" s="6" t="n">
        <v>15</v>
      </c>
      <c r="K700" s="7">
        <f>IF(I700="","",I700*(1+J700/100))</f>
        <v/>
      </c>
      <c r="L700" s="12" t="inlineStr"/>
      <c r="M700" s="8">
        <f>IF(OR(L700="",K700="",L700=0),"",
  (L700-K700)/L700*100)</f>
        <v/>
      </c>
      <c r="N700" s="9" t="inlineStr"/>
      <c r="O700" s="10" t="inlineStr"/>
      <c r="P700" s="10" t="inlineStr"/>
      <c r="Q700" s="10" t="inlineStr"/>
      <c r="R700" s="10" t="inlineStr">
        <is>
          <t>2026-03-12</t>
        </is>
      </c>
      <c r="S700" s="10" t="inlineStr"/>
    </row>
    <row r="701">
      <c r="A701" s="3" t="inlineStr">
        <is>
          <t>F01064</t>
        </is>
      </c>
      <c r="B701" s="4" t="inlineStr">
        <is>
          <t>F01064</t>
        </is>
      </c>
      <c r="C701" s="4" t="inlineStr"/>
      <c r="D701" s="4" t="inlineStr"/>
      <c r="E701" s="3" t="inlineStr">
        <is>
          <t>PEEL &amp; STICK WDN TYPE AG1147</t>
        </is>
      </c>
      <c r="F701" s="4" t="inlineStr"/>
      <c r="G701" s="4" t="inlineStr"/>
      <c r="H701" s="4" t="inlineStr"/>
      <c r="I701" s="5" t="n">
        <v>149.95</v>
      </c>
      <c r="J701" s="6" t="n">
        <v>15</v>
      </c>
      <c r="K701" s="7">
        <f>IF(I701="","",I701*(1+J701/100))</f>
        <v/>
      </c>
      <c r="L701" s="12" t="inlineStr"/>
      <c r="M701" s="8">
        <f>IF(OR(L701="",K701="",L701=0),"",
  (L701-K701)/L701*100)</f>
        <v/>
      </c>
      <c r="N701" s="9" t="inlineStr"/>
      <c r="O701" s="4" t="inlineStr"/>
      <c r="P701" s="4" t="inlineStr"/>
      <c r="Q701" s="4" t="inlineStr"/>
      <c r="R701" s="4" t="inlineStr">
        <is>
          <t>2026-03-12</t>
        </is>
      </c>
      <c r="S701" s="4" t="inlineStr"/>
    </row>
    <row r="702">
      <c r="A702" s="10" t="inlineStr">
        <is>
          <t>F01065</t>
        </is>
      </c>
      <c r="B702" s="10" t="inlineStr">
        <is>
          <t>F01065</t>
        </is>
      </c>
      <c r="C702" s="10" t="inlineStr"/>
      <c r="D702" s="10" t="inlineStr"/>
      <c r="E702" s="10" t="inlineStr">
        <is>
          <t>PEEL &amp; STICK WDN TYPE AG6410-8</t>
        </is>
      </c>
      <c r="F702" s="10" t="inlineStr"/>
      <c r="G702" s="10" t="inlineStr"/>
      <c r="H702" s="10" t="inlineStr"/>
      <c r="I702" s="11" t="n">
        <v>149.95</v>
      </c>
      <c r="J702" s="6" t="n">
        <v>15</v>
      </c>
      <c r="K702" s="7">
        <f>IF(I702="","",I702*(1+J702/100))</f>
        <v/>
      </c>
      <c r="L702" s="12" t="inlineStr"/>
      <c r="M702" s="8">
        <f>IF(OR(L702="",K702="",L702=0),"",
  (L702-K702)/L702*100)</f>
        <v/>
      </c>
      <c r="N702" s="9" t="inlineStr"/>
      <c r="O702" s="10" t="inlineStr"/>
      <c r="P702" s="10" t="inlineStr"/>
      <c r="Q702" s="10" t="inlineStr"/>
      <c r="R702" s="10" t="inlineStr">
        <is>
          <t>2026-03-12</t>
        </is>
      </c>
      <c r="S702" s="10" t="inlineStr"/>
    </row>
    <row r="703">
      <c r="A703" s="3" t="inlineStr">
        <is>
          <t>F01066</t>
        </is>
      </c>
      <c r="B703" s="4" t="inlineStr">
        <is>
          <t>F01066</t>
        </is>
      </c>
      <c r="C703" s="4" t="inlineStr"/>
      <c r="D703" s="4" t="inlineStr"/>
      <c r="E703" s="3" t="inlineStr">
        <is>
          <t>PEEL &amp; STICK WDN TYPE AGHA 04L</t>
        </is>
      </c>
      <c r="F703" s="4" t="inlineStr"/>
      <c r="G703" s="4" t="inlineStr"/>
      <c r="H703" s="4" t="inlineStr"/>
      <c r="I703" s="5" t="n">
        <v>149.95</v>
      </c>
      <c r="J703" s="6" t="n">
        <v>15</v>
      </c>
      <c r="K703" s="7">
        <f>IF(I703="","",I703*(1+J703/100))</f>
        <v/>
      </c>
      <c r="L703" s="12" t="inlineStr"/>
      <c r="M703" s="8">
        <f>IF(OR(L703="",K703="",L703=0),"",
  (L703-K703)/L703*100)</f>
        <v/>
      </c>
      <c r="N703" s="9" t="inlineStr"/>
      <c r="O703" s="4" t="inlineStr"/>
      <c r="P703" s="4" t="inlineStr"/>
      <c r="Q703" s="4" t="inlineStr"/>
      <c r="R703" s="4" t="inlineStr">
        <is>
          <t>2026-03-12</t>
        </is>
      </c>
      <c r="S703" s="4" t="inlineStr"/>
    </row>
    <row r="704">
      <c r="A704" s="10" t="inlineStr">
        <is>
          <t>F01067</t>
        </is>
      </c>
      <c r="B704" s="10" t="inlineStr">
        <is>
          <t>F01067</t>
        </is>
      </c>
      <c r="C704" s="10" t="inlineStr"/>
      <c r="D704" s="10" t="inlineStr"/>
      <c r="E704" s="10" t="inlineStr">
        <is>
          <t>PEEL &amp; STICK WDN TYPE AG6284</t>
        </is>
      </c>
      <c r="F704" s="10" t="inlineStr"/>
      <c r="G704" s="10" t="inlineStr"/>
      <c r="H704" s="10" t="inlineStr"/>
      <c r="I704" s="11" t="n">
        <v>149.95</v>
      </c>
      <c r="J704" s="6" t="n">
        <v>15</v>
      </c>
      <c r="K704" s="7">
        <f>IF(I704="","",I704*(1+J704/100))</f>
        <v/>
      </c>
      <c r="L704" s="12" t="inlineStr"/>
      <c r="M704" s="8">
        <f>IF(OR(L704="",K704="",L704=0),"",
  (L704-K704)/L704*100)</f>
        <v/>
      </c>
      <c r="N704" s="9" t="inlineStr"/>
      <c r="O704" s="10" t="inlineStr"/>
      <c r="P704" s="10" t="inlineStr"/>
      <c r="Q704" s="10" t="inlineStr"/>
      <c r="R704" s="10" t="inlineStr">
        <is>
          <t>2026-03-12</t>
        </is>
      </c>
      <c r="S704" s="10" t="inlineStr"/>
    </row>
    <row r="705">
      <c r="A705" s="3" t="inlineStr">
        <is>
          <t>F01068</t>
        </is>
      </c>
      <c r="B705" s="4" t="inlineStr">
        <is>
          <t>F01068</t>
        </is>
      </c>
      <c r="C705" s="4" t="inlineStr"/>
      <c r="D705" s="4" t="inlineStr"/>
      <c r="E705" s="3" t="inlineStr">
        <is>
          <t>PEEL &amp; STICK WDN TYPE AG111-16</t>
        </is>
      </c>
      <c r="F705" s="4" t="inlineStr"/>
      <c r="G705" s="4" t="inlineStr"/>
      <c r="H705" s="4" t="inlineStr"/>
      <c r="I705" s="5" t="n">
        <v>149.95</v>
      </c>
      <c r="J705" s="6" t="n">
        <v>15</v>
      </c>
      <c r="K705" s="7">
        <f>IF(I705="","",I705*(1+J705/100))</f>
        <v/>
      </c>
      <c r="L705" s="12" t="inlineStr"/>
      <c r="M705" s="8">
        <f>IF(OR(L705="",K705="",L705=0),"",
  (L705-K705)/L705*100)</f>
        <v/>
      </c>
      <c r="N705" s="9" t="inlineStr"/>
      <c r="O705" s="4" t="inlineStr"/>
      <c r="P705" s="4" t="inlineStr"/>
      <c r="Q705" s="4" t="inlineStr"/>
      <c r="R705" s="4" t="inlineStr">
        <is>
          <t>2026-03-12</t>
        </is>
      </c>
      <c r="S705" s="4" t="inlineStr"/>
    </row>
    <row r="706">
      <c r="A706" s="10" t="inlineStr">
        <is>
          <t>F01071</t>
        </is>
      </c>
      <c r="B706" s="10" t="inlineStr">
        <is>
          <t>F01071</t>
        </is>
      </c>
      <c r="C706" s="10" t="inlineStr"/>
      <c r="D706" s="10" t="inlineStr"/>
      <c r="E706" s="10" t="inlineStr">
        <is>
          <t>RED HAND SAW 24" PLASTIC HANDLE</t>
        </is>
      </c>
      <c r="F706" s="10" t="inlineStr"/>
      <c r="G706" s="10" t="inlineStr"/>
      <c r="H706" s="10" t="inlineStr"/>
      <c r="I706" s="11" t="n">
        <v>19.95</v>
      </c>
      <c r="J706" s="6" t="n">
        <v>15</v>
      </c>
      <c r="K706" s="7">
        <f>IF(I706="","",I706*(1+J706/100))</f>
        <v/>
      </c>
      <c r="L706" s="12" t="inlineStr"/>
      <c r="M706" s="8">
        <f>IF(OR(L706="",K706="",L706=0),"",
  (L706-K706)/L706*100)</f>
        <v/>
      </c>
      <c r="N706" s="9" t="inlineStr"/>
      <c r="O706" s="10" t="inlineStr"/>
      <c r="P706" s="10" t="inlineStr"/>
      <c r="Q706" s="10" t="inlineStr"/>
      <c r="R706" s="10" t="inlineStr">
        <is>
          <t>2026-03-12</t>
        </is>
      </c>
      <c r="S706" s="10" t="inlineStr"/>
    </row>
    <row r="707">
      <c r="A707" s="3" t="inlineStr">
        <is>
          <t>F01072</t>
        </is>
      </c>
      <c r="B707" s="4" t="inlineStr">
        <is>
          <t>F01072</t>
        </is>
      </c>
      <c r="C707" s="4" t="inlineStr"/>
      <c r="D707" s="4" t="inlineStr"/>
      <c r="E707" s="3" t="inlineStr">
        <is>
          <t>TABLE- FOLDING 6FT RECT - DAMAGED</t>
        </is>
      </c>
      <c r="F707" s="4" t="inlineStr"/>
      <c r="G707" s="4" t="inlineStr"/>
      <c r="H707" s="4" t="inlineStr"/>
      <c r="I707" s="5" t="n">
        <v>283.58</v>
      </c>
      <c r="J707" s="6" t="n">
        <v>15</v>
      </c>
      <c r="K707" s="7">
        <f>IF(I707="","",I707*(1+J707/100))</f>
        <v/>
      </c>
      <c r="L707" s="12" t="inlineStr"/>
      <c r="M707" s="8">
        <f>IF(OR(L707="",K707="",L707=0),"",
  (L707-K707)/L707*100)</f>
        <v/>
      </c>
      <c r="N707" s="9" t="inlineStr"/>
      <c r="O707" s="4" t="inlineStr"/>
      <c r="P707" s="4" t="inlineStr"/>
      <c r="Q707" s="4" t="inlineStr"/>
      <c r="R707" s="4" t="inlineStr">
        <is>
          <t>2026-03-12</t>
        </is>
      </c>
      <c r="S707" s="4" t="inlineStr"/>
    </row>
    <row r="708">
      <c r="A708" s="10" t="inlineStr">
        <is>
          <t>F01073</t>
        </is>
      </c>
      <c r="B708" s="10" t="inlineStr">
        <is>
          <t>F01073</t>
        </is>
      </c>
      <c r="C708" s="10" t="inlineStr"/>
      <c r="D708" s="10" t="inlineStr"/>
      <c r="E708" s="10" t="inlineStr">
        <is>
          <t>TABLE-FOLDING 4FT RECT -DAMAGED</t>
        </is>
      </c>
      <c r="F708" s="10" t="inlineStr"/>
      <c r="G708" s="10" t="inlineStr"/>
      <c r="H708" s="10" t="inlineStr"/>
      <c r="I708" s="11" t="n">
        <v>385</v>
      </c>
      <c r="J708" s="6" t="n">
        <v>15</v>
      </c>
      <c r="K708" s="7">
        <f>IF(I708="","",I708*(1+J708/100))</f>
        <v/>
      </c>
      <c r="L708" s="12" t="inlineStr"/>
      <c r="M708" s="8">
        <f>IF(OR(L708="",K708="",L708=0),"",
  (L708-K708)/L708*100)</f>
        <v/>
      </c>
      <c r="N708" s="9" t="inlineStr"/>
      <c r="O708" s="10" t="inlineStr"/>
      <c r="P708" s="10" t="inlineStr"/>
      <c r="Q708" s="10" t="inlineStr"/>
      <c r="R708" s="10" t="inlineStr">
        <is>
          <t>2026-03-12</t>
        </is>
      </c>
      <c r="S708" s="10" t="inlineStr"/>
    </row>
    <row r="709">
      <c r="A709" s="3" t="inlineStr">
        <is>
          <t>F01074</t>
        </is>
      </c>
      <c r="B709" s="4" t="inlineStr">
        <is>
          <t>F01074</t>
        </is>
      </c>
      <c r="C709" s="4" t="inlineStr"/>
      <c r="D709" s="4" t="inlineStr"/>
      <c r="E709" s="3" t="inlineStr">
        <is>
          <t>MUGS AE1877 WHITE (ASSORT)</t>
        </is>
      </c>
      <c r="F709" s="4" t="inlineStr"/>
      <c r="G709" s="4" t="inlineStr"/>
      <c r="H709" s="4" t="inlineStr"/>
      <c r="I709" s="5" t="n">
        <v>4.5</v>
      </c>
      <c r="J709" s="6" t="n">
        <v>15</v>
      </c>
      <c r="K709" s="7">
        <f>IF(I709="","",I709*(1+J709/100))</f>
        <v/>
      </c>
      <c r="L709" s="12" t="inlineStr"/>
      <c r="M709" s="8">
        <f>IF(OR(L709="",K709="",L709=0),"",
  (L709-K709)/L709*100)</f>
        <v/>
      </c>
      <c r="N709" s="9" t="inlineStr"/>
      <c r="O709" s="4" t="inlineStr"/>
      <c r="P709" s="4" t="inlineStr"/>
      <c r="Q709" s="4" t="inlineStr"/>
      <c r="R709" s="4" t="inlineStr">
        <is>
          <t>2026-03-12</t>
        </is>
      </c>
      <c r="S709" s="4" t="inlineStr"/>
    </row>
    <row r="710">
      <c r="A710" s="10" t="inlineStr">
        <is>
          <t>F01075</t>
        </is>
      </c>
      <c r="B710" s="10" t="inlineStr">
        <is>
          <t>F01075</t>
        </is>
      </c>
      <c r="C710" s="10" t="inlineStr"/>
      <c r="D710" s="10" t="inlineStr"/>
      <c r="E710" s="10" t="inlineStr">
        <is>
          <t>AE985 FLORAL MUGS (ASSORT)</t>
        </is>
      </c>
      <c r="F710" s="10" t="inlineStr"/>
      <c r="G710" s="10" t="inlineStr"/>
      <c r="H710" s="10" t="inlineStr"/>
      <c r="I710" s="11" t="n">
        <v>6.9</v>
      </c>
      <c r="J710" s="6" t="n">
        <v>15</v>
      </c>
      <c r="K710" s="7">
        <f>IF(I710="","",I710*(1+J710/100))</f>
        <v/>
      </c>
      <c r="L710" s="12" t="inlineStr"/>
      <c r="M710" s="8">
        <f>IF(OR(L710="",K710="",L710=0),"",
  (L710-K710)/L710*100)</f>
        <v/>
      </c>
      <c r="N710" s="9" t="inlineStr"/>
      <c r="O710" s="10" t="inlineStr"/>
      <c r="P710" s="10" t="inlineStr"/>
      <c r="Q710" s="10" t="inlineStr"/>
      <c r="R710" s="10" t="inlineStr">
        <is>
          <t>2026-03-12</t>
        </is>
      </c>
      <c r="S710" s="10" t="inlineStr"/>
    </row>
    <row r="711">
      <c r="A711" s="3" t="inlineStr">
        <is>
          <t>F01076</t>
        </is>
      </c>
      <c r="B711" s="4" t="inlineStr">
        <is>
          <t>F01076</t>
        </is>
      </c>
      <c r="C711" s="4" t="inlineStr"/>
      <c r="D711" s="4" t="inlineStr"/>
      <c r="E711" s="3" t="inlineStr">
        <is>
          <t>PLATES AE4649 SOLID COLOUR</t>
        </is>
      </c>
      <c r="F711" s="4" t="inlineStr"/>
      <c r="G711" s="4" t="inlineStr"/>
      <c r="H711" s="4" t="inlineStr"/>
      <c r="I711" s="5" t="n">
        <v>8.949999999999999</v>
      </c>
      <c r="J711" s="6" t="n">
        <v>15</v>
      </c>
      <c r="K711" s="7">
        <f>IF(I711="","",I711*(1+J711/100))</f>
        <v/>
      </c>
      <c r="L711" s="12" t="inlineStr"/>
      <c r="M711" s="8">
        <f>IF(OR(L711="",K711="",L711=0),"",
  (L711-K711)/L711*100)</f>
        <v/>
      </c>
      <c r="N711" s="9" t="inlineStr"/>
      <c r="O711" s="4" t="inlineStr"/>
      <c r="P711" s="4" t="inlineStr"/>
      <c r="Q711" s="4" t="inlineStr"/>
      <c r="R711" s="4" t="inlineStr">
        <is>
          <t>2026-03-12</t>
        </is>
      </c>
      <c r="S711" s="4" t="inlineStr"/>
    </row>
    <row r="712">
      <c r="A712" s="10" t="inlineStr">
        <is>
          <t>F01077</t>
        </is>
      </c>
      <c r="B712" s="10" t="inlineStr">
        <is>
          <t>F01077</t>
        </is>
      </c>
      <c r="C712" s="10" t="inlineStr"/>
      <c r="D712" s="10" t="inlineStr"/>
      <c r="E712" s="10" t="inlineStr">
        <is>
          <t>PLATE AE5966 WHITE</t>
        </is>
      </c>
      <c r="F712" s="10" t="inlineStr"/>
      <c r="G712" s="10" t="inlineStr"/>
      <c r="H712" s="10" t="inlineStr"/>
      <c r="I712" s="11" t="n">
        <v>8.75</v>
      </c>
      <c r="J712" s="6" t="n">
        <v>15</v>
      </c>
      <c r="K712" s="7">
        <f>IF(I712="","",I712*(1+J712/100))</f>
        <v/>
      </c>
      <c r="L712" s="12" t="inlineStr"/>
      <c r="M712" s="8">
        <f>IF(OR(L712="",K712="",L712=0),"",
  (L712-K712)/L712*100)</f>
        <v/>
      </c>
      <c r="N712" s="9" t="inlineStr"/>
      <c r="O712" s="10" t="inlineStr"/>
      <c r="P712" s="10" t="inlineStr"/>
      <c r="Q712" s="10" t="inlineStr"/>
      <c r="R712" s="10" t="inlineStr">
        <is>
          <t>2026-03-12</t>
        </is>
      </c>
      <c r="S712" s="10" t="inlineStr"/>
    </row>
    <row r="713">
      <c r="A713" s="3" t="inlineStr">
        <is>
          <t>F01078</t>
        </is>
      </c>
      <c r="B713" s="4" t="inlineStr">
        <is>
          <t>F01078</t>
        </is>
      </c>
      <c r="C713" s="4" t="inlineStr"/>
      <c r="D713" s="4" t="inlineStr"/>
      <c r="E713" s="3" t="inlineStr">
        <is>
          <t>VINYL WOOL BACK 4.28 METRES SHRINK</t>
        </is>
      </c>
      <c r="F713" s="4" t="inlineStr"/>
      <c r="G713" s="4" t="inlineStr"/>
      <c r="H713" s="4" t="inlineStr"/>
      <c r="I713" s="5" t="n">
        <v>178.95</v>
      </c>
      <c r="J713" s="6" t="n">
        <v>15</v>
      </c>
      <c r="K713" s="7">
        <f>IF(I713="","",I713*(1+J713/100))</f>
        <v/>
      </c>
      <c r="L713" s="12" t="inlineStr"/>
      <c r="M713" s="8">
        <f>IF(OR(L713="",K713="",L713=0),"",
  (L713-K713)/L713*100)</f>
        <v/>
      </c>
      <c r="N713" s="9" t="inlineStr"/>
      <c r="O713" s="4" t="inlineStr"/>
      <c r="P713" s="4" t="inlineStr"/>
      <c r="Q713" s="4" t="inlineStr"/>
      <c r="R713" s="4" t="inlineStr">
        <is>
          <t>2026-03-12</t>
        </is>
      </c>
      <c r="S713" s="4" t="inlineStr"/>
    </row>
    <row r="714">
      <c r="A714" s="10" t="inlineStr">
        <is>
          <t>F01080</t>
        </is>
      </c>
      <c r="B714" s="10" t="inlineStr">
        <is>
          <t>F01080</t>
        </is>
      </c>
      <c r="C714" s="10" t="inlineStr"/>
      <c r="D714" s="10" t="inlineStr">
        <is>
          <t>6009705652884</t>
        </is>
      </c>
      <c r="E714" s="10" t="inlineStr">
        <is>
          <t>MUGS 16OZ GLAZE TWO TONE</t>
        </is>
      </c>
      <c r="F714" s="10" t="inlineStr"/>
      <c r="G714" s="10" t="inlineStr"/>
      <c r="H714" s="10" t="inlineStr"/>
      <c r="I714" s="11" t="n">
        <v>8.949999999999999</v>
      </c>
      <c r="J714" s="6" t="n">
        <v>15</v>
      </c>
      <c r="K714" s="7">
        <f>IF(I714="","",I714*(1+J714/100))</f>
        <v/>
      </c>
      <c r="L714" s="12" t="inlineStr"/>
      <c r="M714" s="8">
        <f>IF(OR(L714="",K714="",L714=0),"",
  (L714-K714)/L714*100)</f>
        <v/>
      </c>
      <c r="N714" s="13" t="n">
        <v>4</v>
      </c>
      <c r="O714" s="10" t="inlineStr"/>
      <c r="P714" s="10" t="inlineStr"/>
      <c r="Q714" s="10" t="inlineStr"/>
      <c r="R714" s="10" t="inlineStr">
        <is>
          <t>2026-03-12</t>
        </is>
      </c>
      <c r="S714" s="10" t="inlineStr"/>
    </row>
    <row r="715">
      <c r="A715" s="3" t="inlineStr">
        <is>
          <t>F01081</t>
        </is>
      </c>
      <c r="B715" s="4" t="inlineStr">
        <is>
          <t>F01081</t>
        </is>
      </c>
      <c r="C715" s="4" t="inlineStr"/>
      <c r="D715" s="4" t="inlineStr">
        <is>
          <t>6009697451113</t>
        </is>
      </c>
      <c r="E715" s="3" t="inlineStr">
        <is>
          <t>PLATE P2-2 7.5-8" SIDE GLAZED/HP</t>
        </is>
      </c>
      <c r="F715" s="4" t="inlineStr"/>
      <c r="G715" s="4" t="inlineStr"/>
      <c r="H715" s="4" t="inlineStr"/>
      <c r="I715" s="5" t="n">
        <v>3.11</v>
      </c>
      <c r="J715" s="6" t="n">
        <v>15</v>
      </c>
      <c r="K715" s="7">
        <f>IF(I715="","",I715*(1+J715/100))</f>
        <v/>
      </c>
      <c r="L715" s="12" t="inlineStr"/>
      <c r="M715" s="8">
        <f>IF(OR(L715="",K715="",L715=0),"",
  (L715-K715)/L715*100)</f>
        <v/>
      </c>
      <c r="N715" s="9" t="inlineStr"/>
      <c r="O715" s="4" t="inlineStr"/>
      <c r="P715" s="4" t="inlineStr"/>
      <c r="Q715" s="4" t="inlineStr"/>
      <c r="R715" s="4" t="inlineStr">
        <is>
          <t>2026-03-12</t>
        </is>
      </c>
      <c r="S715" s="4" t="inlineStr"/>
    </row>
    <row r="716">
      <c r="A716" s="10" t="inlineStr">
        <is>
          <t>F01082</t>
        </is>
      </c>
      <c r="B716" s="10" t="inlineStr">
        <is>
          <t>F01082</t>
        </is>
      </c>
      <c r="C716" s="10" t="inlineStr"/>
      <c r="D716" s="10" t="inlineStr">
        <is>
          <t>6009697451823</t>
        </is>
      </c>
      <c r="E716" s="10" t="inlineStr">
        <is>
          <t>SUPA DELUXE 0.60X1.83MX30M</t>
        </is>
      </c>
      <c r="F716" s="10" t="inlineStr"/>
      <c r="G716" s="10" t="inlineStr"/>
      <c r="H716" s="10" t="inlineStr"/>
      <c r="I716" s="11" t="n">
        <v>559</v>
      </c>
      <c r="J716" s="6" t="n">
        <v>15</v>
      </c>
      <c r="K716" s="7">
        <f>IF(I716="","",I716*(1+J716/100))</f>
        <v/>
      </c>
      <c r="L716" s="12" t="inlineStr"/>
      <c r="M716" s="8">
        <f>IF(OR(L716="",K716="",L716=0),"",
  (L716-K716)/L716*100)</f>
        <v/>
      </c>
      <c r="N716" s="9" t="inlineStr"/>
      <c r="O716" s="10" t="inlineStr"/>
      <c r="P716" s="10" t="inlineStr"/>
      <c r="Q716" s="10" t="inlineStr"/>
      <c r="R716" s="10" t="inlineStr">
        <is>
          <t>2026-03-12</t>
        </is>
      </c>
      <c r="S716" s="10" t="inlineStr"/>
    </row>
    <row r="717">
      <c r="A717" s="3" t="inlineStr">
        <is>
          <t>F01083</t>
        </is>
      </c>
      <c r="B717" s="4" t="inlineStr">
        <is>
          <t>F01083</t>
        </is>
      </c>
      <c r="C717" s="4" t="inlineStr"/>
      <c r="D717" s="4" t="inlineStr">
        <is>
          <t>6009697451823</t>
        </is>
      </c>
      <c r="E717" s="3" t="inlineStr">
        <is>
          <t>SUPA DELUXE 0.60X1.83MX5M SHR</t>
        </is>
      </c>
      <c r="F717" s="4" t="inlineStr"/>
      <c r="G717" s="4" t="inlineStr"/>
      <c r="H717" s="4" t="inlineStr"/>
      <c r="I717" s="5" t="n">
        <v>99.95</v>
      </c>
      <c r="J717" s="6" t="n">
        <v>15</v>
      </c>
      <c r="K717" s="7">
        <f>IF(I717="","",I717*(1+J717/100))</f>
        <v/>
      </c>
      <c r="L717" s="12" t="inlineStr"/>
      <c r="M717" s="8">
        <f>IF(OR(L717="",K717="",L717=0),"",
  (L717-K717)/L717*100)</f>
        <v/>
      </c>
      <c r="N717" s="9" t="inlineStr"/>
      <c r="O717" s="4" t="inlineStr"/>
      <c r="P717" s="4" t="inlineStr"/>
      <c r="Q717" s="4" t="inlineStr"/>
      <c r="R717" s="4" t="inlineStr">
        <is>
          <t>2026-03-12</t>
        </is>
      </c>
      <c r="S717" s="4" t="inlineStr"/>
    </row>
    <row r="718">
      <c r="A718" s="10" t="inlineStr">
        <is>
          <t>F01084</t>
        </is>
      </c>
      <c r="B718" s="10" t="inlineStr">
        <is>
          <t>F01084</t>
        </is>
      </c>
      <c r="C718" s="10" t="inlineStr"/>
      <c r="D718" s="10" t="inlineStr">
        <is>
          <t>6009697451823</t>
        </is>
      </c>
      <c r="E718" s="10" t="inlineStr">
        <is>
          <t>SUPA DELUXE 0.60X1.83MX4.28M SHR</t>
        </is>
      </c>
      <c r="F718" s="10" t="inlineStr"/>
      <c r="G718" s="10" t="inlineStr"/>
      <c r="H718" s="10" t="inlineStr"/>
      <c r="I718" s="11" t="n">
        <v>86.95</v>
      </c>
      <c r="J718" s="6" t="n">
        <v>15</v>
      </c>
      <c r="K718" s="7">
        <f>IF(I718="","",I718*(1+J718/100))</f>
        <v/>
      </c>
      <c r="L718" s="12" t="inlineStr"/>
      <c r="M718" s="8">
        <f>IF(OR(L718="",K718="",L718=0),"",
  (L718-K718)/L718*100)</f>
        <v/>
      </c>
      <c r="N718" s="9" t="inlineStr"/>
      <c r="O718" s="10" t="inlineStr"/>
      <c r="P718" s="10" t="inlineStr"/>
      <c r="Q718" s="10" t="inlineStr"/>
      <c r="R718" s="10" t="inlineStr">
        <is>
          <t>2026-03-12</t>
        </is>
      </c>
      <c r="S718" s="10" t="inlineStr"/>
    </row>
    <row r="719">
      <c r="A719" s="3" t="inlineStr">
        <is>
          <t>F01085</t>
        </is>
      </c>
      <c r="B719" s="4" t="inlineStr">
        <is>
          <t>F01085</t>
        </is>
      </c>
      <c r="C719" s="4" t="inlineStr"/>
      <c r="D719" s="4" t="inlineStr"/>
      <c r="E719" s="3" t="inlineStr">
        <is>
          <t>FLASK INNER 0.5LT</t>
        </is>
      </c>
      <c r="F719" s="4" t="inlineStr"/>
      <c r="G719" s="4" t="inlineStr"/>
      <c r="H719" s="4" t="inlineStr"/>
      <c r="I719" s="5" t="n">
        <v>0.85</v>
      </c>
      <c r="J719" s="6" t="n">
        <v>15</v>
      </c>
      <c r="K719" s="7">
        <f>IF(I719="","",I719*(1+J719/100))</f>
        <v/>
      </c>
      <c r="L719" s="12" t="inlineStr"/>
      <c r="M719" s="8">
        <f>IF(OR(L719="",K719="",L719=0),"",
  (L719-K719)/L719*100)</f>
        <v/>
      </c>
      <c r="N719" s="9" t="inlineStr"/>
      <c r="O719" s="4" t="inlineStr"/>
      <c r="P719" s="4" t="inlineStr"/>
      <c r="Q719" s="4" t="inlineStr"/>
      <c r="R719" s="4" t="inlineStr">
        <is>
          <t>2026-03-12</t>
        </is>
      </c>
      <c r="S719" s="4" t="inlineStr"/>
    </row>
    <row r="720">
      <c r="A720" s="10" t="inlineStr">
        <is>
          <t>F01086</t>
        </is>
      </c>
      <c r="B720" s="10" t="inlineStr">
        <is>
          <t>F01086</t>
        </is>
      </c>
      <c r="C720" s="10" t="inlineStr"/>
      <c r="D720" s="10" t="inlineStr"/>
      <c r="E720" s="10" t="inlineStr">
        <is>
          <t>FLASK INNER 1.00LT</t>
        </is>
      </c>
      <c r="F720" s="10" t="inlineStr"/>
      <c r="G720" s="10" t="inlineStr"/>
      <c r="H720" s="10" t="inlineStr"/>
      <c r="I720" s="11" t="n">
        <v>2</v>
      </c>
      <c r="J720" s="6" t="n">
        <v>15</v>
      </c>
      <c r="K720" s="7">
        <f>IF(I720="","",I720*(1+J720/100))</f>
        <v/>
      </c>
      <c r="L720" s="12" t="inlineStr"/>
      <c r="M720" s="8">
        <f>IF(OR(L720="",K720="",L720=0),"",
  (L720-K720)/L720*100)</f>
        <v/>
      </c>
      <c r="N720" s="13" t="n">
        <v>72</v>
      </c>
      <c r="O720" s="10" t="inlineStr"/>
      <c r="P720" s="10" t="inlineStr"/>
      <c r="Q720" s="10" t="inlineStr"/>
      <c r="R720" s="10" t="inlineStr">
        <is>
          <t>2026-03-12</t>
        </is>
      </c>
      <c r="S720" s="10" t="inlineStr"/>
    </row>
    <row r="721">
      <c r="A721" s="3" t="inlineStr">
        <is>
          <t>F01087</t>
        </is>
      </c>
      <c r="B721" s="4" t="inlineStr">
        <is>
          <t>F01087</t>
        </is>
      </c>
      <c r="C721" s="4" t="inlineStr"/>
      <c r="D721" s="4" t="inlineStr"/>
      <c r="E721" s="3" t="inlineStr">
        <is>
          <t>FLASK INNER 1.80LT</t>
        </is>
      </c>
      <c r="F721" s="4" t="inlineStr"/>
      <c r="G721" s="4" t="inlineStr"/>
      <c r="H721" s="4" t="inlineStr"/>
      <c r="I721" s="5" t="n">
        <v>16</v>
      </c>
      <c r="J721" s="6" t="n">
        <v>15</v>
      </c>
      <c r="K721" s="7">
        <f>IF(I721="","",I721*(1+J721/100))</f>
        <v/>
      </c>
      <c r="L721" s="12" t="inlineStr"/>
      <c r="M721" s="8">
        <f>IF(OR(L721="",K721="",L721=0),"",
  (L721-K721)/L721*100)</f>
        <v/>
      </c>
      <c r="N721" s="9" t="inlineStr"/>
      <c r="O721" s="4" t="inlineStr"/>
      <c r="P721" s="4" t="inlineStr"/>
      <c r="Q721" s="4" t="inlineStr"/>
      <c r="R721" s="4" t="inlineStr">
        <is>
          <t>2026-03-12</t>
        </is>
      </c>
      <c r="S721" s="4" t="inlineStr"/>
    </row>
    <row r="722">
      <c r="A722" s="10" t="inlineStr">
        <is>
          <t>F01088</t>
        </is>
      </c>
      <c r="B722" s="10" t="inlineStr">
        <is>
          <t>F01088</t>
        </is>
      </c>
      <c r="C722" s="10" t="inlineStr"/>
      <c r="D722" s="10" t="inlineStr">
        <is>
          <t>6009697454855</t>
        </is>
      </c>
      <c r="E722" s="10" t="inlineStr">
        <is>
          <t>PLATE WHITE SQUARE 10.5"</t>
        </is>
      </c>
      <c r="F722" s="10" t="inlineStr"/>
      <c r="G722" s="10" t="inlineStr"/>
      <c r="H722" s="10" t="inlineStr"/>
      <c r="I722" s="11" t="n">
        <v>12.49</v>
      </c>
      <c r="J722" s="6" t="n">
        <v>15</v>
      </c>
      <c r="K722" s="7">
        <f>IF(I722="","",I722*(1+J722/100))</f>
        <v/>
      </c>
      <c r="L722" s="12" t="inlineStr"/>
      <c r="M722" s="8">
        <f>IF(OR(L722="",K722="",L722=0),"",
  (L722-K722)/L722*100)</f>
        <v/>
      </c>
      <c r="N722" s="9" t="inlineStr"/>
      <c r="O722" s="10" t="inlineStr"/>
      <c r="P722" s="10" t="inlineStr"/>
      <c r="Q722" s="10" t="inlineStr"/>
      <c r="R722" s="10" t="inlineStr">
        <is>
          <t>2026-03-12</t>
        </is>
      </c>
      <c r="S722" s="10" t="inlineStr"/>
    </row>
    <row r="723">
      <c r="A723" s="3" t="inlineStr">
        <is>
          <t>F01089</t>
        </is>
      </c>
      <c r="B723" s="4" t="inlineStr">
        <is>
          <t>F01089</t>
        </is>
      </c>
      <c r="C723" s="4" t="inlineStr"/>
      <c r="D723" s="4" t="inlineStr">
        <is>
          <t>6009697452981</t>
        </is>
      </c>
      <c r="E723" s="3" t="inlineStr">
        <is>
          <t>PLATE WHITE ROUND 10.5"</t>
        </is>
      </c>
      <c r="F723" s="4" t="inlineStr"/>
      <c r="G723" s="4" t="inlineStr"/>
      <c r="H723" s="4" t="inlineStr"/>
      <c r="I723" s="5" t="n">
        <v>12.95</v>
      </c>
      <c r="J723" s="6" t="n">
        <v>15</v>
      </c>
      <c r="K723" s="7">
        <f>IF(I723="","",I723*(1+J723/100))</f>
        <v/>
      </c>
      <c r="L723" s="12" t="inlineStr"/>
      <c r="M723" s="8">
        <f>IF(OR(L723="",K723="",L723=0),"",
  (L723-K723)/L723*100)</f>
        <v/>
      </c>
      <c r="N723" s="14" t="n">
        <v>109</v>
      </c>
      <c r="O723" s="4" t="inlineStr"/>
      <c r="P723" s="4" t="inlineStr"/>
      <c r="Q723" s="4" t="inlineStr"/>
      <c r="R723" s="4" t="inlineStr">
        <is>
          <t>2026-03-12</t>
        </is>
      </c>
      <c r="S723" s="4" t="inlineStr"/>
    </row>
    <row r="724">
      <c r="A724" s="10" t="inlineStr">
        <is>
          <t>F01090</t>
        </is>
      </c>
      <c r="B724" s="10" t="inlineStr">
        <is>
          <t>F01090</t>
        </is>
      </c>
      <c r="C724" s="10" t="inlineStr"/>
      <c r="D724" s="10" t="inlineStr">
        <is>
          <t>6009697451151</t>
        </is>
      </c>
      <c r="E724" s="10" t="inlineStr">
        <is>
          <t>BOWL 5.5''/5.75" GLAZED ASSTD COLOR</t>
        </is>
      </c>
      <c r="F724" s="10" t="inlineStr"/>
      <c r="G724" s="10" t="inlineStr"/>
      <c r="H724" s="10" t="inlineStr"/>
      <c r="I724" s="11" t="n">
        <v>8.49</v>
      </c>
      <c r="J724" s="6" t="n">
        <v>15</v>
      </c>
      <c r="K724" s="7">
        <f>IF(I724="","",I724*(1+J724/100))</f>
        <v/>
      </c>
      <c r="L724" s="12" t="inlineStr"/>
      <c r="M724" s="8">
        <f>IF(OR(L724="",K724="",L724=0),"",
  (L724-K724)/L724*100)</f>
        <v/>
      </c>
      <c r="N724" s="9" t="inlineStr"/>
      <c r="O724" s="10" t="inlineStr"/>
      <c r="P724" s="10" t="inlineStr"/>
      <c r="Q724" s="10" t="inlineStr"/>
      <c r="R724" s="10" t="inlineStr">
        <is>
          <t>2026-03-12</t>
        </is>
      </c>
      <c r="S724" s="10" t="inlineStr"/>
    </row>
    <row r="725">
      <c r="A725" s="3" t="inlineStr">
        <is>
          <t>F01091</t>
        </is>
      </c>
      <c r="B725" s="4" t="inlineStr">
        <is>
          <t>F01091</t>
        </is>
      </c>
      <c r="C725" s="4" t="inlineStr"/>
      <c r="D725" s="4" t="inlineStr">
        <is>
          <t>6009697451168</t>
        </is>
      </c>
      <c r="E725" s="3" t="inlineStr">
        <is>
          <t>MUG 11/13 OZ ASSTD PORC DECAL (48/72)</t>
        </is>
      </c>
      <c r="F725" s="4" t="inlineStr"/>
      <c r="G725" s="4" t="inlineStr"/>
      <c r="H725" s="4" t="inlineStr"/>
      <c r="I725" s="5" t="n">
        <v>7.95</v>
      </c>
      <c r="J725" s="6" t="n">
        <v>15</v>
      </c>
      <c r="K725" s="7">
        <f>IF(I725="","",I725*(1+J725/100))</f>
        <v/>
      </c>
      <c r="L725" s="12" t="inlineStr"/>
      <c r="M725" s="8">
        <f>IF(OR(L725="",K725="",L725=0),"",
  (L725-K725)/L725*100)</f>
        <v/>
      </c>
      <c r="N725" s="14" t="n">
        <v>77</v>
      </c>
      <c r="O725" s="4" t="inlineStr"/>
      <c r="P725" s="4" t="inlineStr"/>
      <c r="Q725" s="4" t="inlineStr"/>
      <c r="R725" s="4" t="inlineStr">
        <is>
          <t>2026-03-12</t>
        </is>
      </c>
      <c r="S725" s="4" t="inlineStr"/>
    </row>
    <row r="726">
      <c r="A726" s="10" t="inlineStr">
        <is>
          <t>F01092</t>
        </is>
      </c>
      <c r="B726" s="10" t="inlineStr">
        <is>
          <t>F01092</t>
        </is>
      </c>
      <c r="C726" s="10" t="inlineStr"/>
      <c r="D726" s="10" t="inlineStr">
        <is>
          <t>6009697451199</t>
        </is>
      </c>
      <c r="E726" s="10" t="inlineStr">
        <is>
          <t>MUG 11OZ PORCELAIN GLAZE COFFEE BLACK</t>
        </is>
      </c>
      <c r="F726" s="10" t="inlineStr"/>
      <c r="G726" s="10" t="inlineStr"/>
      <c r="H726" s="10" t="inlineStr"/>
      <c r="I726" s="11" t="n">
        <v>7.99</v>
      </c>
      <c r="J726" s="6" t="n">
        <v>15</v>
      </c>
      <c r="K726" s="7">
        <f>IF(I726="","",I726*(1+J726/100))</f>
        <v/>
      </c>
      <c r="L726" s="12" t="inlineStr"/>
      <c r="M726" s="8">
        <f>IF(OR(L726="",K726="",L726=0),"",
  (L726-K726)/L726*100)</f>
        <v/>
      </c>
      <c r="N726" s="13" t="n">
        <v>4944</v>
      </c>
      <c r="O726" s="10" t="inlineStr"/>
      <c r="P726" s="10" t="inlineStr"/>
      <c r="Q726" s="10" t="inlineStr"/>
      <c r="R726" s="10" t="inlineStr">
        <is>
          <t>2026-03-12</t>
        </is>
      </c>
      <c r="S726" s="10" t="inlineStr"/>
    </row>
    <row r="727">
      <c r="A727" s="3" t="inlineStr">
        <is>
          <t>F01093</t>
        </is>
      </c>
      <c r="B727" s="4" t="inlineStr">
        <is>
          <t>F01093</t>
        </is>
      </c>
      <c r="C727" s="4" t="inlineStr"/>
      <c r="D727" s="4" t="inlineStr">
        <is>
          <t>6009697451595</t>
        </is>
      </c>
      <c r="E727" s="3" t="inlineStr">
        <is>
          <t>GRATER METAL 4 SIDED 8'4</t>
        </is>
      </c>
      <c r="F727" s="4" t="inlineStr"/>
      <c r="G727" s="4" t="inlineStr"/>
      <c r="H727" s="4" t="inlineStr"/>
      <c r="I727" s="5" t="n">
        <v>12.5</v>
      </c>
      <c r="J727" s="6" t="n">
        <v>15</v>
      </c>
      <c r="K727" s="7">
        <f>IF(I727="","",I727*(1+J727/100))</f>
        <v/>
      </c>
      <c r="L727" s="12" t="inlineStr"/>
      <c r="M727" s="8">
        <f>IF(OR(L727="",K727="",L727=0),"",
  (L727-K727)/L727*100)</f>
        <v/>
      </c>
      <c r="N727" s="14" t="n">
        <v>402</v>
      </c>
      <c r="O727" s="4" t="inlineStr"/>
      <c r="P727" s="4" t="inlineStr"/>
      <c r="Q727" s="4" t="inlineStr"/>
      <c r="R727" s="4" t="inlineStr">
        <is>
          <t>2026-03-12</t>
        </is>
      </c>
      <c r="S727" s="4" t="inlineStr"/>
    </row>
    <row r="728">
      <c r="A728" s="10" t="inlineStr">
        <is>
          <t>F01094</t>
        </is>
      </c>
      <c r="B728" s="10" t="inlineStr">
        <is>
          <t>F01094</t>
        </is>
      </c>
      <c r="C728" s="10" t="inlineStr"/>
      <c r="D728" s="10" t="inlineStr">
        <is>
          <t>6009697451458</t>
        </is>
      </c>
      <c r="E728" s="10" t="inlineStr">
        <is>
          <t>PS-02 WOODEN TABLE- FOLDING 60x60cm</t>
        </is>
      </c>
      <c r="F728" s="10" t="inlineStr"/>
      <c r="G728" s="10" t="inlineStr"/>
      <c r="H728" s="10" t="inlineStr"/>
      <c r="I728" s="11" t="n">
        <v>68.73</v>
      </c>
      <c r="J728" s="6" t="n">
        <v>15</v>
      </c>
      <c r="K728" s="7">
        <f>IF(I728="","",I728*(1+J728/100))</f>
        <v/>
      </c>
      <c r="L728" s="12" t="inlineStr"/>
      <c r="M728" s="8">
        <f>IF(OR(L728="",K728="",L728=0),"",
  (L728-K728)/L728*100)</f>
        <v/>
      </c>
      <c r="N728" s="9" t="inlineStr"/>
      <c r="O728" s="10" t="inlineStr"/>
      <c r="P728" s="10" t="inlineStr"/>
      <c r="Q728" s="10" t="inlineStr"/>
      <c r="R728" s="10" t="inlineStr">
        <is>
          <t>2026-03-12</t>
        </is>
      </c>
      <c r="S728" s="10" t="inlineStr"/>
    </row>
    <row r="729">
      <c r="A729" s="3" t="inlineStr">
        <is>
          <t>F01095</t>
        </is>
      </c>
      <c r="B729" s="4" t="inlineStr">
        <is>
          <t>F01095</t>
        </is>
      </c>
      <c r="C729" s="4" t="inlineStr"/>
      <c r="D729" s="4" t="inlineStr">
        <is>
          <t>6009697451456</t>
        </is>
      </c>
      <c r="E729" s="3" t="inlineStr">
        <is>
          <t>LED WALL MOUNTED BRACKET 26"-63"</t>
        </is>
      </c>
      <c r="F729" s="4" t="inlineStr"/>
      <c r="G729" s="4" t="inlineStr"/>
      <c r="H729" s="4" t="inlineStr"/>
      <c r="I729" s="5" t="n">
        <v>30.16</v>
      </c>
      <c r="J729" s="6" t="n">
        <v>15</v>
      </c>
      <c r="K729" s="7">
        <f>IF(I729="","",I729*(1+J729/100))</f>
        <v/>
      </c>
      <c r="L729" s="12" t="inlineStr"/>
      <c r="M729" s="8">
        <f>IF(OR(L729="",K729="",L729=0),"",
  (L729-K729)/L729*100)</f>
        <v/>
      </c>
      <c r="N729" s="9" t="inlineStr"/>
      <c r="O729" s="4" t="inlineStr"/>
      <c r="P729" s="4" t="inlineStr"/>
      <c r="Q729" s="4" t="inlineStr"/>
      <c r="R729" s="4" t="inlineStr">
        <is>
          <t>2026-03-12</t>
        </is>
      </c>
      <c r="S729" s="4" t="inlineStr"/>
    </row>
    <row r="730">
      <c r="A730" s="10" t="inlineStr">
        <is>
          <t>F01097</t>
        </is>
      </c>
      <c r="B730" s="10" t="inlineStr">
        <is>
          <t>F01097</t>
        </is>
      </c>
      <c r="C730" s="10" t="inlineStr">
        <is>
          <t>19220</t>
        </is>
      </c>
      <c r="D730" s="10" t="inlineStr">
        <is>
          <t>6009697451403</t>
        </is>
      </c>
      <c r="E730" s="10" t="inlineStr">
        <is>
          <t>CUTTING DISC  DXD-115 STEEL 115MM/2.5mm</t>
        </is>
      </c>
      <c r="F730" s="10" t="inlineStr"/>
      <c r="G730" s="10" t="inlineStr"/>
      <c r="H730" s="10" t="inlineStr"/>
      <c r="I730" s="11" t="n">
        <v>4.49</v>
      </c>
      <c r="J730" s="6" t="n">
        <v>15</v>
      </c>
      <c r="K730" s="7">
        <f>IF(I730="","",I730*(1+J730/100))</f>
        <v/>
      </c>
      <c r="L730" s="11" t="n">
        <v>40</v>
      </c>
      <c r="M730" s="8">
        <f>IF(OR(L730="",K730="",L730=0),"",
  (L730-K730)/L730*100)</f>
        <v/>
      </c>
      <c r="N730" s="13" t="n">
        <v>3394</v>
      </c>
      <c r="O730" s="10" t="inlineStr"/>
      <c r="P730" s="10" t="inlineStr"/>
      <c r="Q730" s="10" t="inlineStr"/>
      <c r="R730" s="10" t="inlineStr">
        <is>
          <t>2026-03-12</t>
        </is>
      </c>
      <c r="S730" s="10" t="inlineStr"/>
    </row>
    <row r="731">
      <c r="A731" s="3" t="inlineStr">
        <is>
          <t>F01098</t>
        </is>
      </c>
      <c r="B731" s="4" t="inlineStr">
        <is>
          <t>F01098</t>
        </is>
      </c>
      <c r="C731" s="4" t="inlineStr">
        <is>
          <t>19221</t>
        </is>
      </c>
      <c r="D731" s="4" t="inlineStr">
        <is>
          <t>6009697451410</t>
        </is>
      </c>
      <c r="E731" s="3" t="inlineStr">
        <is>
          <t>CUTTING DISC DXD-230 STEEL  230MM/3mm</t>
        </is>
      </c>
      <c r="F731" s="4" t="inlineStr"/>
      <c r="G731" s="4" t="inlineStr"/>
      <c r="H731" s="4" t="inlineStr"/>
      <c r="I731" s="5" t="n">
        <v>15.5</v>
      </c>
      <c r="J731" s="6" t="n">
        <v>15</v>
      </c>
      <c r="K731" s="7">
        <f>IF(I731="","",I731*(1+J731/100))</f>
        <v/>
      </c>
      <c r="L731" s="5" t="n">
        <v>60</v>
      </c>
      <c r="M731" s="8">
        <f>IF(OR(L731="",K731="",L731=0),"",
  (L731-K731)/L731*100)</f>
        <v/>
      </c>
      <c r="N731" s="9" t="inlineStr"/>
      <c r="O731" s="4" t="inlineStr"/>
      <c r="P731" s="4" t="inlineStr"/>
      <c r="Q731" s="4" t="inlineStr"/>
      <c r="R731" s="4" t="inlineStr">
        <is>
          <t>2026-03-12</t>
        </is>
      </c>
      <c r="S731" s="4" t="inlineStr"/>
    </row>
    <row r="732">
      <c r="A732" s="10" t="inlineStr">
        <is>
          <t>F01099</t>
        </is>
      </c>
      <c r="B732" s="10" t="inlineStr">
        <is>
          <t>F01099</t>
        </is>
      </c>
      <c r="C732" s="10" t="inlineStr">
        <is>
          <t>19222</t>
        </is>
      </c>
      <c r="D732" s="10" t="inlineStr">
        <is>
          <t>6009697451427</t>
        </is>
      </c>
      <c r="E732" s="10" t="inlineStr">
        <is>
          <t>CUTTING DISC DXD-115 STONE  115MM/2.5mm</t>
        </is>
      </c>
      <c r="F732" s="10" t="inlineStr"/>
      <c r="G732" s="10" t="inlineStr"/>
      <c r="H732" s="10" t="inlineStr"/>
      <c r="I732" s="11" t="n">
        <v>6</v>
      </c>
      <c r="J732" s="6" t="n">
        <v>15</v>
      </c>
      <c r="K732" s="7">
        <f>IF(I732="","",I732*(1+J732/100))</f>
        <v/>
      </c>
      <c r="L732" s="11" t="n">
        <v>15</v>
      </c>
      <c r="M732" s="8">
        <f>IF(OR(L732="",K732="",L732=0),"",
  (L732-K732)/L732*100)</f>
        <v/>
      </c>
      <c r="N732" s="13" t="n">
        <v>1760</v>
      </c>
      <c r="O732" s="10" t="inlineStr"/>
      <c r="P732" s="10" t="inlineStr"/>
      <c r="Q732" s="10" t="inlineStr"/>
      <c r="R732" s="10" t="inlineStr">
        <is>
          <t>2026-03-12</t>
        </is>
      </c>
      <c r="S732" s="10" t="inlineStr"/>
    </row>
    <row r="733">
      <c r="A733" s="3" t="inlineStr">
        <is>
          <t>F01100</t>
        </is>
      </c>
      <c r="B733" s="4" t="inlineStr">
        <is>
          <t>F01100</t>
        </is>
      </c>
      <c r="C733" s="4" t="inlineStr">
        <is>
          <t>19223</t>
        </is>
      </c>
      <c r="D733" s="4" t="inlineStr">
        <is>
          <t>6009697451434</t>
        </is>
      </c>
      <c r="E733" s="3" t="inlineStr">
        <is>
          <t>CUTTING DISC DXD-230 STONE  230MM/3mm</t>
        </is>
      </c>
      <c r="F733" s="4" t="inlineStr"/>
      <c r="G733" s="4" t="inlineStr"/>
      <c r="H733" s="4" t="inlineStr"/>
      <c r="I733" s="5" t="n">
        <v>16.5</v>
      </c>
      <c r="J733" s="6" t="n">
        <v>15</v>
      </c>
      <c r="K733" s="7">
        <f>IF(I733="","",I733*(1+J733/100))</f>
        <v/>
      </c>
      <c r="L733" s="5" t="n">
        <v>40</v>
      </c>
      <c r="M733" s="8">
        <f>IF(OR(L733="",K733="",L733=0),"",
  (L733-K733)/L733*100)</f>
        <v/>
      </c>
      <c r="N733" s="14" t="n">
        <v>4360</v>
      </c>
      <c r="O733" s="4" t="inlineStr"/>
      <c r="P733" s="4" t="inlineStr"/>
      <c r="Q733" s="4" t="inlineStr"/>
      <c r="R733" s="4" t="inlineStr">
        <is>
          <t>2026-03-12</t>
        </is>
      </c>
      <c r="S733" s="4" t="inlineStr"/>
    </row>
    <row r="734">
      <c r="A734" s="10" t="inlineStr">
        <is>
          <t>F01101</t>
        </is>
      </c>
      <c r="B734" s="10" t="inlineStr">
        <is>
          <t>F01101</t>
        </is>
      </c>
      <c r="C734" s="10" t="inlineStr"/>
      <c r="D734" s="10" t="inlineStr">
        <is>
          <t>6009697451601</t>
        </is>
      </c>
      <c r="E734" s="10" t="inlineStr">
        <is>
          <t>PEG SUPER STRONG PL WAVES   PLS 324</t>
        </is>
      </c>
      <c r="F734" s="10" t="inlineStr"/>
      <c r="G734" s="10" t="inlineStr"/>
      <c r="H734" s="10" t="inlineStr"/>
      <c r="I734" s="11" t="n">
        <v>10.95</v>
      </c>
      <c r="J734" s="6" t="n">
        <v>15</v>
      </c>
      <c r="K734" s="7">
        <f>IF(I734="","",I734*(1+J734/100))</f>
        <v/>
      </c>
      <c r="L734" s="12" t="inlineStr"/>
      <c r="M734" s="8">
        <f>IF(OR(L734="",K734="",L734=0),"",
  (L734-K734)/L734*100)</f>
        <v/>
      </c>
      <c r="N734" s="9" t="inlineStr"/>
      <c r="O734" s="10" t="inlineStr"/>
      <c r="P734" s="10" t="inlineStr"/>
      <c r="Q734" s="10" t="inlineStr"/>
      <c r="R734" s="10" t="inlineStr">
        <is>
          <t>2026-03-12</t>
        </is>
      </c>
      <c r="S734" s="10" t="inlineStr"/>
    </row>
    <row r="735">
      <c r="A735" s="3" t="inlineStr">
        <is>
          <t>F01102</t>
        </is>
      </c>
      <c r="B735" s="4" t="inlineStr">
        <is>
          <t>F01102</t>
        </is>
      </c>
      <c r="C735" s="4" t="inlineStr"/>
      <c r="D735" s="4" t="inlineStr">
        <is>
          <t>6009697451120</t>
        </is>
      </c>
      <c r="E735" s="3" t="inlineStr">
        <is>
          <t>KNIFE 10' BREAD KNIFE 17-10"</t>
        </is>
      </c>
      <c r="F735" s="4" t="inlineStr"/>
      <c r="G735" s="4" t="inlineStr"/>
      <c r="H735" s="4" t="inlineStr"/>
      <c r="I735" s="5" t="n">
        <v>17.95</v>
      </c>
      <c r="J735" s="6" t="n">
        <v>15</v>
      </c>
      <c r="K735" s="7">
        <f>IF(I735="","",I735*(1+J735/100))</f>
        <v/>
      </c>
      <c r="L735" s="12" t="inlineStr"/>
      <c r="M735" s="8">
        <f>IF(OR(L735="",K735="",L735=0),"",
  (L735-K735)/L735*100)</f>
        <v/>
      </c>
      <c r="N735" s="14" t="n">
        <v>645</v>
      </c>
      <c r="O735" s="4" t="inlineStr"/>
      <c r="P735" s="4" t="inlineStr"/>
      <c r="Q735" s="4" t="inlineStr"/>
      <c r="R735" s="4" t="inlineStr">
        <is>
          <t>2026-03-12</t>
        </is>
      </c>
      <c r="S735" s="4" t="inlineStr"/>
    </row>
    <row r="736">
      <c r="A736" s="10" t="inlineStr">
        <is>
          <t>F01103</t>
        </is>
      </c>
      <c r="B736" s="10" t="inlineStr">
        <is>
          <t>F01103</t>
        </is>
      </c>
      <c r="C736" s="10" t="inlineStr"/>
      <c r="D736" s="10" t="inlineStr">
        <is>
          <t>6203712558577</t>
        </is>
      </c>
      <c r="E736" s="10" t="inlineStr">
        <is>
          <t>KNIFE 8" " BREAD KNIFE  17-8'</t>
        </is>
      </c>
      <c r="F736" s="10" t="inlineStr"/>
      <c r="G736" s="10" t="inlineStr"/>
      <c r="H736" s="10" t="inlineStr"/>
      <c r="I736" s="11" t="n">
        <v>7.39</v>
      </c>
      <c r="J736" s="6" t="n">
        <v>15</v>
      </c>
      <c r="K736" s="7">
        <f>IF(I736="","",I736*(1+J736/100))</f>
        <v/>
      </c>
      <c r="L736" s="12" t="inlineStr"/>
      <c r="M736" s="8">
        <f>IF(OR(L736="",K736="",L736=0),"",
  (L736-K736)/L736*100)</f>
        <v/>
      </c>
      <c r="N736" s="9" t="inlineStr"/>
      <c r="O736" s="10" t="inlineStr"/>
      <c r="P736" s="10" t="inlineStr"/>
      <c r="Q736" s="10" t="inlineStr"/>
      <c r="R736" s="10" t="inlineStr">
        <is>
          <t>2026-03-12</t>
        </is>
      </c>
      <c r="S736" s="10" t="inlineStr"/>
    </row>
    <row r="737">
      <c r="A737" s="3" t="inlineStr">
        <is>
          <t>F01106</t>
        </is>
      </c>
      <c r="B737" s="4" t="inlineStr">
        <is>
          <t>F01106</t>
        </is>
      </c>
      <c r="C737" s="4" t="inlineStr"/>
      <c r="D737" s="4" t="inlineStr">
        <is>
          <t>6009697451250</t>
        </is>
      </c>
      <c r="E737" s="3" t="inlineStr">
        <is>
          <t>DX-002A EARPHONE VIOLET+BASS</t>
        </is>
      </c>
      <c r="F737" s="4" t="inlineStr"/>
      <c r="G737" s="4" t="inlineStr"/>
      <c r="H737" s="4" t="inlineStr"/>
      <c r="I737" s="5" t="n">
        <v>6.46</v>
      </c>
      <c r="J737" s="6" t="n">
        <v>15</v>
      </c>
      <c r="K737" s="7">
        <f>IF(I737="","",I737*(1+J737/100))</f>
        <v/>
      </c>
      <c r="L737" s="12" t="inlineStr"/>
      <c r="M737" s="8">
        <f>IF(OR(L737="",K737="",L737=0),"",
  (L737-K737)/L737*100)</f>
        <v/>
      </c>
      <c r="N737" s="9" t="inlineStr"/>
      <c r="O737" s="4" t="inlineStr"/>
      <c r="P737" s="4" t="inlineStr"/>
      <c r="Q737" s="4" t="inlineStr"/>
      <c r="R737" s="4" t="inlineStr">
        <is>
          <t>2026-03-12</t>
        </is>
      </c>
      <c r="S737" s="4" t="inlineStr"/>
    </row>
    <row r="738">
      <c r="A738" s="10" t="inlineStr">
        <is>
          <t>F01114</t>
        </is>
      </c>
      <c r="B738" s="10" t="inlineStr">
        <is>
          <t>F01114</t>
        </is>
      </c>
      <c r="C738" s="10" t="inlineStr"/>
      <c r="D738" s="10" t="inlineStr">
        <is>
          <t>6009697451342</t>
        </is>
      </c>
      <c r="E738" s="10" t="inlineStr">
        <is>
          <t>DX-009 HEADPHONE GRAPE SHAPE PORTABLE</t>
        </is>
      </c>
      <c r="F738" s="10" t="inlineStr"/>
      <c r="G738" s="10" t="inlineStr"/>
      <c r="H738" s="10" t="inlineStr"/>
      <c r="I738" s="11" t="n">
        <v>19.03</v>
      </c>
      <c r="J738" s="6" t="n">
        <v>15</v>
      </c>
      <c r="K738" s="7">
        <f>IF(I738="","",I738*(1+J738/100))</f>
        <v/>
      </c>
      <c r="L738" s="12" t="inlineStr"/>
      <c r="M738" s="8">
        <f>IF(OR(L738="",K738="",L738=0),"",
  (L738-K738)/L738*100)</f>
        <v/>
      </c>
      <c r="N738" s="9" t="inlineStr"/>
      <c r="O738" s="10" t="inlineStr"/>
      <c r="P738" s="10" t="inlineStr"/>
      <c r="Q738" s="10" t="inlineStr"/>
      <c r="R738" s="10" t="inlineStr">
        <is>
          <t>2026-03-12</t>
        </is>
      </c>
      <c r="S738" s="10" t="inlineStr"/>
    </row>
    <row r="739">
      <c r="A739" s="3" t="inlineStr">
        <is>
          <t>F01115</t>
        </is>
      </c>
      <c r="B739" s="4" t="inlineStr">
        <is>
          <t>F01115</t>
        </is>
      </c>
      <c r="C739" s="4" t="inlineStr"/>
      <c r="D739" s="4" t="inlineStr">
        <is>
          <t>6009697451359</t>
        </is>
      </c>
      <c r="E739" s="3" t="inlineStr">
        <is>
          <t>DX-010 HEADPHONE FOLDABLE TYPE</t>
        </is>
      </c>
      <c r="F739" s="4" t="inlineStr"/>
      <c r="G739" s="4" t="inlineStr"/>
      <c r="H739" s="4" t="inlineStr"/>
      <c r="I739" s="5" t="n">
        <v>27.06</v>
      </c>
      <c r="J739" s="6" t="n">
        <v>15</v>
      </c>
      <c r="K739" s="7">
        <f>IF(I739="","",I739*(1+J739/100))</f>
        <v/>
      </c>
      <c r="L739" s="12" t="inlineStr"/>
      <c r="M739" s="8">
        <f>IF(OR(L739="",K739="",L739=0),"",
  (L739-K739)/L739*100)</f>
        <v/>
      </c>
      <c r="N739" s="9" t="inlineStr"/>
      <c r="O739" s="4" t="inlineStr"/>
      <c r="P739" s="4" t="inlineStr"/>
      <c r="Q739" s="4" t="inlineStr"/>
      <c r="R739" s="4" t="inlineStr">
        <is>
          <t>2026-03-12</t>
        </is>
      </c>
      <c r="S739" s="4" t="inlineStr"/>
    </row>
    <row r="740">
      <c r="A740" s="10" t="inlineStr">
        <is>
          <t>F01119</t>
        </is>
      </c>
      <c r="B740" s="10" t="inlineStr">
        <is>
          <t>F01119</t>
        </is>
      </c>
      <c r="C740" s="10" t="inlineStr"/>
      <c r="D740" s="10" t="inlineStr">
        <is>
          <t>6009697451397</t>
        </is>
      </c>
      <c r="E740" s="10" t="inlineStr">
        <is>
          <t>DX-014 HEADPHONE REVERSE TYPE 'ATHLETE'</t>
        </is>
      </c>
      <c r="F740" s="10" t="inlineStr"/>
      <c r="G740" s="10" t="inlineStr"/>
      <c r="H740" s="10" t="inlineStr"/>
      <c r="I740" s="11" t="n">
        <v>62.33</v>
      </c>
      <c r="J740" s="6" t="n">
        <v>15</v>
      </c>
      <c r="K740" s="7">
        <f>IF(I740="","",I740*(1+J740/100))</f>
        <v/>
      </c>
      <c r="L740" s="12" t="inlineStr"/>
      <c r="M740" s="8">
        <f>IF(OR(L740="",K740="",L740=0),"",
  (L740-K740)/L740*100)</f>
        <v/>
      </c>
      <c r="N740" s="9" t="inlineStr"/>
      <c r="O740" s="10" t="inlineStr"/>
      <c r="P740" s="10" t="inlineStr"/>
      <c r="Q740" s="10" t="inlineStr"/>
      <c r="R740" s="10" t="inlineStr">
        <is>
          <t>2026-03-12</t>
        </is>
      </c>
      <c r="S740" s="10" t="inlineStr"/>
    </row>
    <row r="741">
      <c r="A741" s="3" t="inlineStr">
        <is>
          <t>F01120</t>
        </is>
      </c>
      <c r="B741" s="4" t="inlineStr">
        <is>
          <t>F01120</t>
        </is>
      </c>
      <c r="C741" s="4" t="inlineStr">
        <is>
          <t>19359</t>
        </is>
      </c>
      <c r="D741" s="4" t="inlineStr">
        <is>
          <t>6009697451502</t>
        </is>
      </c>
      <c r="E741" s="3" t="inlineStr">
        <is>
          <t>MAT MICRO FIBRE DOOR 40X60CM PLS5100</t>
        </is>
      </c>
      <c r="F741" s="4" t="inlineStr"/>
      <c r="G741" s="4" t="inlineStr"/>
      <c r="H741" s="4" t="inlineStr"/>
      <c r="I741" s="5" t="n">
        <v>42.95</v>
      </c>
      <c r="J741" s="6" t="n">
        <v>15</v>
      </c>
      <c r="K741" s="7">
        <f>IF(I741="","",I741*(1+J741/100))</f>
        <v/>
      </c>
      <c r="L741" s="12" t="inlineStr"/>
      <c r="M741" s="8">
        <f>IF(OR(L741="",K741="",L741=0),"",
  (L741-K741)/L741*100)</f>
        <v/>
      </c>
      <c r="N741" s="14" t="n">
        <v>11</v>
      </c>
      <c r="O741" s="4" t="inlineStr"/>
      <c r="P741" s="4" t="inlineStr"/>
      <c r="Q741" s="4" t="inlineStr"/>
      <c r="R741" s="4" t="inlineStr">
        <is>
          <t>2026-03-12</t>
        </is>
      </c>
      <c r="S741" s="4" t="inlineStr"/>
    </row>
    <row r="742">
      <c r="A742" s="10" t="inlineStr">
        <is>
          <t>F01122</t>
        </is>
      </c>
      <c r="B742" s="10" t="inlineStr">
        <is>
          <t>F01122</t>
        </is>
      </c>
      <c r="C742" s="10" t="inlineStr"/>
      <c r="D742" s="10" t="inlineStr">
        <is>
          <t>6009697451526</t>
        </is>
      </c>
      <c r="E742" s="10" t="inlineStr">
        <is>
          <t>MAT WICKER SMALL</t>
        </is>
      </c>
      <c r="F742" s="10" t="inlineStr"/>
      <c r="G742" s="10" t="inlineStr"/>
      <c r="H742" s="10" t="inlineStr"/>
      <c r="I742" s="11" t="n">
        <v>50.95</v>
      </c>
      <c r="J742" s="6" t="n">
        <v>15</v>
      </c>
      <c r="K742" s="7">
        <f>IF(I742="","",I742*(1+J742/100))</f>
        <v/>
      </c>
      <c r="L742" s="12" t="inlineStr"/>
      <c r="M742" s="8">
        <f>IF(OR(L742="",K742="",L742=0),"",
  (L742-K742)/L742*100)</f>
        <v/>
      </c>
      <c r="N742" s="13" t="n">
        <v>1</v>
      </c>
      <c r="O742" s="10" t="inlineStr"/>
      <c r="P742" s="10" t="inlineStr"/>
      <c r="Q742" s="10" t="inlineStr"/>
      <c r="R742" s="10" t="inlineStr">
        <is>
          <t>2026-03-12</t>
        </is>
      </c>
      <c r="S742" s="10" t="inlineStr"/>
    </row>
    <row r="743">
      <c r="A743" s="3" t="inlineStr">
        <is>
          <t>F01123</t>
        </is>
      </c>
      <c r="B743" s="4" t="inlineStr">
        <is>
          <t>F01123</t>
        </is>
      </c>
      <c r="C743" s="4" t="inlineStr"/>
      <c r="D743" s="4" t="inlineStr">
        <is>
          <t>6009697451540</t>
        </is>
      </c>
      <c r="E743" s="3" t="inlineStr">
        <is>
          <t>PLS4888 DECORATED MAT(CARPET) 40" 60CM</t>
        </is>
      </c>
      <c r="F743" s="4" t="inlineStr"/>
      <c r="G743" s="4" t="inlineStr"/>
      <c r="H743" s="4" t="inlineStr"/>
      <c r="I743" s="5" t="n">
        <v>19.95</v>
      </c>
      <c r="J743" s="6" t="n">
        <v>15</v>
      </c>
      <c r="K743" s="7">
        <f>IF(I743="","",I743*(1+J743/100))</f>
        <v/>
      </c>
      <c r="L743" s="12" t="inlineStr"/>
      <c r="M743" s="8">
        <f>IF(OR(L743="",K743="",L743=0),"",
  (L743-K743)/L743*100)</f>
        <v/>
      </c>
      <c r="N743" s="9" t="inlineStr"/>
      <c r="O743" s="4" t="inlineStr"/>
      <c r="P743" s="4" t="inlineStr"/>
      <c r="Q743" s="4" t="inlineStr"/>
      <c r="R743" s="4" t="inlineStr">
        <is>
          <t>2026-03-12</t>
        </is>
      </c>
      <c r="S743" s="4" t="inlineStr"/>
    </row>
    <row r="744">
      <c r="A744" s="10" t="inlineStr">
        <is>
          <t>F01124</t>
        </is>
      </c>
      <c r="B744" s="10" t="inlineStr">
        <is>
          <t>F01124</t>
        </is>
      </c>
      <c r="C744" s="10" t="inlineStr"/>
      <c r="D744" s="10" t="inlineStr"/>
      <c r="E744" s="10" t="inlineStr">
        <is>
          <t>BICYCLE</t>
        </is>
      </c>
      <c r="F744" s="10" t="inlineStr"/>
      <c r="G744" s="10" t="inlineStr"/>
      <c r="H744" s="10" t="inlineStr"/>
      <c r="I744" s="11" t="n">
        <v>1</v>
      </c>
      <c r="J744" s="6" t="n">
        <v>15</v>
      </c>
      <c r="K744" s="7">
        <f>IF(I744="","",I744*(1+J744/100))</f>
        <v/>
      </c>
      <c r="L744" s="12" t="inlineStr"/>
      <c r="M744" s="8">
        <f>IF(OR(L744="",K744="",L744=0),"",
  (L744-K744)/L744*100)</f>
        <v/>
      </c>
      <c r="N744" s="9" t="inlineStr"/>
      <c r="O744" s="10" t="inlineStr"/>
      <c r="P744" s="10" t="inlineStr"/>
      <c r="Q744" s="10" t="inlineStr"/>
      <c r="R744" s="10" t="inlineStr">
        <is>
          <t>2026-03-12</t>
        </is>
      </c>
      <c r="S744" s="10" t="inlineStr"/>
    </row>
    <row r="745">
      <c r="A745" s="3" t="inlineStr">
        <is>
          <t>F01125</t>
        </is>
      </c>
      <c r="B745" s="4" t="inlineStr">
        <is>
          <t>F01125</t>
        </is>
      </c>
      <c r="C745" s="4" t="inlineStr"/>
      <c r="D745" s="4" t="inlineStr">
        <is>
          <t>6009697451564</t>
        </is>
      </c>
      <c r="E745" s="3" t="inlineStr">
        <is>
          <t>BOTTLE 505-2 610 PLASTIC</t>
        </is>
      </c>
      <c r="F745" s="4" t="inlineStr"/>
      <c r="G745" s="4" t="inlineStr"/>
      <c r="H745" s="4" t="inlineStr"/>
      <c r="I745" s="5" t="n">
        <v>11.95</v>
      </c>
      <c r="J745" s="6" t="n">
        <v>15</v>
      </c>
      <c r="K745" s="7">
        <f>IF(I745="","",I745*(1+J745/100))</f>
        <v/>
      </c>
      <c r="L745" s="12" t="inlineStr"/>
      <c r="M745" s="8">
        <f>IF(OR(L745="",K745="",L745=0),"",
  (L745-K745)/L745*100)</f>
        <v/>
      </c>
      <c r="N745" s="9" t="inlineStr"/>
      <c r="O745" s="4" t="inlineStr"/>
      <c r="P745" s="4" t="inlineStr"/>
      <c r="Q745" s="4" t="inlineStr"/>
      <c r="R745" s="4" t="inlineStr">
        <is>
          <t>2026-03-12</t>
        </is>
      </c>
      <c r="S745" s="4" t="inlineStr"/>
    </row>
    <row r="746">
      <c r="A746" s="10" t="inlineStr">
        <is>
          <t>F01126</t>
        </is>
      </c>
      <c r="B746" s="10" t="inlineStr">
        <is>
          <t>F01126</t>
        </is>
      </c>
      <c r="C746" s="10" t="inlineStr"/>
      <c r="D746" s="10" t="inlineStr">
        <is>
          <t>6009697451137</t>
        </is>
      </c>
      <c r="E746" s="10" t="inlineStr">
        <is>
          <t>22884-10M MULTI-PURPOSE ROPE 4MM</t>
        </is>
      </c>
      <c r="F746" s="10" t="inlineStr"/>
      <c r="G746" s="10" t="inlineStr"/>
      <c r="H746" s="10" t="inlineStr"/>
      <c r="I746" s="11" t="n">
        <v>5.39</v>
      </c>
      <c r="J746" s="6" t="n">
        <v>15</v>
      </c>
      <c r="K746" s="7">
        <f>IF(I746="","",I746*(1+J746/100))</f>
        <v/>
      </c>
      <c r="L746" s="12" t="inlineStr"/>
      <c r="M746" s="8">
        <f>IF(OR(L746="",K746="",L746=0),"",
  (L746-K746)/L746*100)</f>
        <v/>
      </c>
      <c r="N746" s="9" t="inlineStr"/>
      <c r="O746" s="10" t="inlineStr"/>
      <c r="P746" s="10" t="inlineStr"/>
      <c r="Q746" s="10" t="inlineStr"/>
      <c r="R746" s="10" t="inlineStr">
        <is>
          <t>2026-03-12</t>
        </is>
      </c>
      <c r="S746" s="10" t="inlineStr"/>
    </row>
    <row r="747">
      <c r="A747" s="3" t="inlineStr">
        <is>
          <t>F01127</t>
        </is>
      </c>
      <c r="B747" s="4" t="inlineStr">
        <is>
          <t>F01127</t>
        </is>
      </c>
      <c r="C747" s="4" t="inlineStr"/>
      <c r="D747" s="4" t="inlineStr">
        <is>
          <t>6009697451144</t>
        </is>
      </c>
      <c r="E747" s="3" t="inlineStr">
        <is>
          <t>22884-20M MULTI-PURPOSE ROPE 4MM</t>
        </is>
      </c>
      <c r="F747" s="4" t="inlineStr"/>
      <c r="G747" s="4" t="inlineStr"/>
      <c r="H747" s="4" t="inlineStr"/>
      <c r="I747" s="5" t="n">
        <v>9.76</v>
      </c>
      <c r="J747" s="6" t="n">
        <v>15</v>
      </c>
      <c r="K747" s="7">
        <f>IF(I747="","",I747*(1+J747/100))</f>
        <v/>
      </c>
      <c r="L747" s="12" t="inlineStr"/>
      <c r="M747" s="8">
        <f>IF(OR(L747="",K747="",L747=0),"",
  (L747-K747)/L747*100)</f>
        <v/>
      </c>
      <c r="N747" s="9" t="inlineStr"/>
      <c r="O747" s="4" t="inlineStr"/>
      <c r="P747" s="4" t="inlineStr"/>
      <c r="Q747" s="4" t="inlineStr"/>
      <c r="R747" s="4" t="inlineStr">
        <is>
          <t>2026-03-12</t>
        </is>
      </c>
      <c r="S747" s="4" t="inlineStr"/>
    </row>
    <row r="748">
      <c r="A748" s="10" t="inlineStr">
        <is>
          <t>F01128</t>
        </is>
      </c>
      <c r="B748" s="10" t="inlineStr">
        <is>
          <t>F01128</t>
        </is>
      </c>
      <c r="C748" s="10" t="inlineStr"/>
      <c r="D748" s="10" t="inlineStr">
        <is>
          <t>6009697451175</t>
        </is>
      </c>
      <c r="E748" s="10" t="inlineStr">
        <is>
          <t>22886-10M MULTI-PURPOSE ROPE 5MM</t>
        </is>
      </c>
      <c r="F748" s="10" t="inlineStr"/>
      <c r="G748" s="10" t="inlineStr"/>
      <c r="H748" s="10" t="inlineStr"/>
      <c r="I748" s="11" t="n">
        <v>6.3</v>
      </c>
      <c r="J748" s="6" t="n">
        <v>15</v>
      </c>
      <c r="K748" s="7">
        <f>IF(I748="","",I748*(1+J748/100))</f>
        <v/>
      </c>
      <c r="L748" s="12" t="inlineStr"/>
      <c r="M748" s="8">
        <f>IF(OR(L748="",K748="",L748=0),"",
  (L748-K748)/L748*100)</f>
        <v/>
      </c>
      <c r="N748" s="9" t="inlineStr"/>
      <c r="O748" s="10" t="inlineStr"/>
      <c r="P748" s="10" t="inlineStr"/>
      <c r="Q748" s="10" t="inlineStr"/>
      <c r="R748" s="10" t="inlineStr">
        <is>
          <t>2026-03-12</t>
        </is>
      </c>
      <c r="S748" s="10" t="inlineStr"/>
    </row>
    <row r="749">
      <c r="A749" s="3" t="inlineStr">
        <is>
          <t>F01129</t>
        </is>
      </c>
      <c r="B749" s="4" t="inlineStr">
        <is>
          <t>F01129</t>
        </is>
      </c>
      <c r="C749" s="4" t="inlineStr"/>
      <c r="D749" s="4" t="inlineStr">
        <is>
          <t>6009697451205</t>
        </is>
      </c>
      <c r="E749" s="3" t="inlineStr">
        <is>
          <t>22886-20M MULTI-PURPOSE ROPE 5MM</t>
        </is>
      </c>
      <c r="F749" s="4" t="inlineStr"/>
      <c r="G749" s="4" t="inlineStr"/>
      <c r="H749" s="4" t="inlineStr"/>
      <c r="I749" s="5" t="n">
        <v>12.33</v>
      </c>
      <c r="J749" s="6" t="n">
        <v>15</v>
      </c>
      <c r="K749" s="7">
        <f>IF(I749="","",I749*(1+J749/100))</f>
        <v/>
      </c>
      <c r="L749" s="12" t="inlineStr"/>
      <c r="M749" s="8">
        <f>IF(OR(L749="",K749="",L749=0),"",
  (L749-K749)/L749*100)</f>
        <v/>
      </c>
      <c r="N749" s="9" t="inlineStr"/>
      <c r="O749" s="4" t="inlineStr"/>
      <c r="P749" s="4" t="inlineStr"/>
      <c r="Q749" s="4" t="inlineStr"/>
      <c r="R749" s="4" t="inlineStr">
        <is>
          <t>2026-03-12</t>
        </is>
      </c>
      <c r="S749" s="4" t="inlineStr"/>
    </row>
    <row r="750">
      <c r="A750" s="10" t="inlineStr">
        <is>
          <t>F01130</t>
        </is>
      </c>
      <c r="B750" s="10" t="inlineStr">
        <is>
          <t>F01130</t>
        </is>
      </c>
      <c r="C750" s="10" t="inlineStr"/>
      <c r="D750" s="10" t="inlineStr">
        <is>
          <t>6009697451229</t>
        </is>
      </c>
      <c r="E750" s="10" t="inlineStr">
        <is>
          <t>0620-10M MULTI-PURPOSE ROPE 6MM</t>
        </is>
      </c>
      <c r="F750" s="10" t="inlineStr"/>
      <c r="G750" s="10" t="inlineStr"/>
      <c r="H750" s="10" t="inlineStr"/>
      <c r="I750" s="11" t="n">
        <v>9.949999999999999</v>
      </c>
      <c r="J750" s="6" t="n">
        <v>15</v>
      </c>
      <c r="K750" s="7">
        <f>IF(I750="","",I750*(1+J750/100))</f>
        <v/>
      </c>
      <c r="L750" s="12" t="inlineStr"/>
      <c r="M750" s="8">
        <f>IF(OR(L750="",K750="",L750=0),"",
  (L750-K750)/L750*100)</f>
        <v/>
      </c>
      <c r="N750" s="9" t="inlineStr"/>
      <c r="O750" s="10" t="inlineStr"/>
      <c r="P750" s="10" t="inlineStr"/>
      <c r="Q750" s="10" t="inlineStr"/>
      <c r="R750" s="10" t="inlineStr">
        <is>
          <t>2026-03-12</t>
        </is>
      </c>
      <c r="S750" s="10" t="inlineStr"/>
    </row>
    <row r="751">
      <c r="A751" s="3" t="inlineStr">
        <is>
          <t>F01131</t>
        </is>
      </c>
      <c r="B751" s="4" t="inlineStr">
        <is>
          <t>F01131</t>
        </is>
      </c>
      <c r="C751" s="4" t="inlineStr"/>
      <c r="D751" s="4" t="inlineStr">
        <is>
          <t>6009697451441</t>
        </is>
      </c>
      <c r="E751" s="3" t="inlineStr">
        <is>
          <t>0620-20M MULTI-PURPOSE ROPE 6MM</t>
        </is>
      </c>
      <c r="F751" s="4" t="inlineStr"/>
      <c r="G751" s="4" t="inlineStr"/>
      <c r="H751" s="4" t="inlineStr"/>
      <c r="I751" s="5" t="n">
        <v>19.5</v>
      </c>
      <c r="J751" s="6" t="n">
        <v>15</v>
      </c>
      <c r="K751" s="7">
        <f>IF(I751="","",I751*(1+J751/100))</f>
        <v/>
      </c>
      <c r="L751" s="12" t="inlineStr"/>
      <c r="M751" s="8">
        <f>IF(OR(L751="",K751="",L751=0),"",
  (L751-K751)/L751*100)</f>
        <v/>
      </c>
      <c r="N751" s="9" t="inlineStr"/>
      <c r="O751" s="4" t="inlineStr"/>
      <c r="P751" s="4" t="inlineStr"/>
      <c r="Q751" s="4" t="inlineStr"/>
      <c r="R751" s="4" t="inlineStr">
        <is>
          <t>2026-03-12</t>
        </is>
      </c>
      <c r="S751" s="4" t="inlineStr"/>
    </row>
    <row r="752">
      <c r="A752" s="10" t="inlineStr">
        <is>
          <t>F01132</t>
        </is>
      </c>
      <c r="B752" s="10" t="inlineStr">
        <is>
          <t>F01132</t>
        </is>
      </c>
      <c r="C752" s="10" t="inlineStr"/>
      <c r="D752" s="10" t="inlineStr">
        <is>
          <t>6009697451472</t>
        </is>
      </c>
      <c r="E752" s="10" t="inlineStr">
        <is>
          <t>0624-10M MULTI-PURPOSE ROPE 8MM</t>
        </is>
      </c>
      <c r="F752" s="10" t="inlineStr"/>
      <c r="G752" s="10" t="inlineStr"/>
      <c r="H752" s="10" t="inlineStr"/>
      <c r="I752" s="11" t="n">
        <v>9.880000000000001</v>
      </c>
      <c r="J752" s="6" t="n">
        <v>15</v>
      </c>
      <c r="K752" s="7">
        <f>IF(I752="","",I752*(1+J752/100))</f>
        <v/>
      </c>
      <c r="L752" s="12" t="inlineStr"/>
      <c r="M752" s="8">
        <f>IF(OR(L752="",K752="",L752=0),"",
  (L752-K752)/L752*100)</f>
        <v/>
      </c>
      <c r="N752" s="9" t="inlineStr"/>
      <c r="O752" s="10" t="inlineStr"/>
      <c r="P752" s="10" t="inlineStr"/>
      <c r="Q752" s="10" t="inlineStr"/>
      <c r="R752" s="10" t="inlineStr">
        <is>
          <t>2026-03-12</t>
        </is>
      </c>
      <c r="S752" s="10" t="inlineStr"/>
    </row>
    <row r="753">
      <c r="A753" s="3" t="inlineStr">
        <is>
          <t>F01133</t>
        </is>
      </c>
      <c r="B753" s="4" t="inlineStr">
        <is>
          <t>F01133</t>
        </is>
      </c>
      <c r="C753" s="4" t="inlineStr"/>
      <c r="D753" s="4" t="inlineStr">
        <is>
          <t>6009697451496</t>
        </is>
      </c>
      <c r="E753" s="3" t="inlineStr">
        <is>
          <t>0624-20M MULTI-PURPOSE ROPE 8MM</t>
        </is>
      </c>
      <c r="F753" s="4" t="inlineStr"/>
      <c r="G753" s="4" t="inlineStr"/>
      <c r="H753" s="4" t="inlineStr"/>
      <c r="I753" s="5" t="n">
        <v>18.55</v>
      </c>
      <c r="J753" s="6" t="n">
        <v>15</v>
      </c>
      <c r="K753" s="7">
        <f>IF(I753="","",I753*(1+J753/100))</f>
        <v/>
      </c>
      <c r="L753" s="12" t="inlineStr"/>
      <c r="M753" s="8">
        <f>IF(OR(L753="",K753="",L753=0),"",
  (L753-K753)/L753*100)</f>
        <v/>
      </c>
      <c r="N753" s="9" t="inlineStr"/>
      <c r="O753" s="4" t="inlineStr"/>
      <c r="P753" s="4" t="inlineStr"/>
      <c r="Q753" s="4" t="inlineStr"/>
      <c r="R753" s="4" t="inlineStr">
        <is>
          <t>2026-03-12</t>
        </is>
      </c>
      <c r="S753" s="4" t="inlineStr"/>
    </row>
    <row r="754">
      <c r="A754" s="10" t="inlineStr">
        <is>
          <t>F01134</t>
        </is>
      </c>
      <c r="B754" s="10" t="inlineStr">
        <is>
          <t>F01134</t>
        </is>
      </c>
      <c r="C754" s="10" t="inlineStr"/>
      <c r="D754" s="10" t="inlineStr">
        <is>
          <t>6009697451557</t>
        </is>
      </c>
      <c r="E754" s="10" t="inlineStr">
        <is>
          <t>0138-10M MULTI-PURPOSE ROPE 10MM</t>
        </is>
      </c>
      <c r="F754" s="10" t="inlineStr"/>
      <c r="G754" s="10" t="inlineStr"/>
      <c r="H754" s="10" t="inlineStr"/>
      <c r="I754" s="11" t="n">
        <v>16.95</v>
      </c>
      <c r="J754" s="6" t="n">
        <v>15</v>
      </c>
      <c r="K754" s="7">
        <f>IF(I754="","",I754*(1+J754/100))</f>
        <v/>
      </c>
      <c r="L754" s="12" t="inlineStr"/>
      <c r="M754" s="8">
        <f>IF(OR(L754="",K754="",L754=0),"",
  (L754-K754)/L754*100)</f>
        <v/>
      </c>
      <c r="N754" s="9" t="inlineStr"/>
      <c r="O754" s="10" t="inlineStr"/>
      <c r="P754" s="10" t="inlineStr"/>
      <c r="Q754" s="10" t="inlineStr"/>
      <c r="R754" s="10" t="inlineStr">
        <is>
          <t>2026-03-12</t>
        </is>
      </c>
      <c r="S754" s="10" t="inlineStr"/>
    </row>
    <row r="755">
      <c r="A755" s="3" t="inlineStr">
        <is>
          <t>F01135</t>
        </is>
      </c>
      <c r="B755" s="4" t="inlineStr">
        <is>
          <t>F01135</t>
        </is>
      </c>
      <c r="C755" s="4" t="inlineStr"/>
      <c r="D755" s="4" t="inlineStr">
        <is>
          <t>6009697451571</t>
        </is>
      </c>
      <c r="E755" s="3" t="inlineStr">
        <is>
          <t>0138-20M MULTI-PURPOSE ROPE 10MM</t>
        </is>
      </c>
      <c r="F755" s="4" t="inlineStr"/>
      <c r="G755" s="4" t="inlineStr"/>
      <c r="H755" s="4" t="inlineStr"/>
      <c r="I755" s="5" t="n">
        <v>33.5</v>
      </c>
      <c r="J755" s="6" t="n">
        <v>15</v>
      </c>
      <c r="K755" s="7">
        <f>IF(I755="","",I755*(1+J755/100))</f>
        <v/>
      </c>
      <c r="L755" s="12" t="inlineStr"/>
      <c r="M755" s="8">
        <f>IF(OR(L755="",K755="",L755=0),"",
  (L755-K755)/L755*100)</f>
        <v/>
      </c>
      <c r="N755" s="9" t="inlineStr"/>
      <c r="O755" s="4" t="inlineStr"/>
      <c r="P755" s="4" t="inlineStr"/>
      <c r="Q755" s="4" t="inlineStr"/>
      <c r="R755" s="4" t="inlineStr">
        <is>
          <t>2026-03-12</t>
        </is>
      </c>
      <c r="S755" s="4" t="inlineStr"/>
    </row>
    <row r="756">
      <c r="A756" s="10" t="inlineStr">
        <is>
          <t>F01136</t>
        </is>
      </c>
      <c r="B756" s="10" t="inlineStr">
        <is>
          <t>F01136</t>
        </is>
      </c>
      <c r="C756" s="10" t="inlineStr"/>
      <c r="D756" s="10" t="inlineStr">
        <is>
          <t>6009697451519</t>
        </is>
      </c>
      <c r="E756" s="10" t="inlineStr">
        <is>
          <t>PLS5200 MICRO FIBRE MAT 50X80 LRG</t>
        </is>
      </c>
      <c r="F756" s="10" t="inlineStr"/>
      <c r="G756" s="10" t="inlineStr"/>
      <c r="H756" s="10" t="inlineStr"/>
      <c r="I756" s="11" t="n">
        <v>57.95</v>
      </c>
      <c r="J756" s="6" t="n">
        <v>15</v>
      </c>
      <c r="K756" s="7">
        <f>IF(I756="","",I756*(1+J756/100))</f>
        <v/>
      </c>
      <c r="L756" s="12" t="inlineStr"/>
      <c r="M756" s="8">
        <f>IF(OR(L756="",K756="",L756=0),"",
  (L756-K756)/L756*100)</f>
        <v/>
      </c>
      <c r="N756" s="9" t="inlineStr"/>
      <c r="O756" s="10" t="inlineStr"/>
      <c r="P756" s="10" t="inlineStr"/>
      <c r="Q756" s="10" t="inlineStr"/>
      <c r="R756" s="10" t="inlineStr">
        <is>
          <t>2026-03-12</t>
        </is>
      </c>
      <c r="S756" s="10" t="inlineStr"/>
    </row>
    <row r="757">
      <c r="A757" s="3" t="inlineStr">
        <is>
          <t>F01137</t>
        </is>
      </c>
      <c r="B757" s="4" t="inlineStr">
        <is>
          <t>F01137</t>
        </is>
      </c>
      <c r="C757" s="4" t="inlineStr"/>
      <c r="D757" s="4" t="inlineStr">
        <is>
          <t>6009697451533</t>
        </is>
      </c>
      <c r="E757" s="3" t="inlineStr">
        <is>
          <t>MAT PLS6200 WICKER 50X80 LARGE</t>
        </is>
      </c>
      <c r="F757" s="4" t="inlineStr"/>
      <c r="G757" s="4" t="inlineStr"/>
      <c r="H757" s="4" t="inlineStr"/>
      <c r="I757" s="5" t="n">
        <v>68.95</v>
      </c>
      <c r="J757" s="6" t="n">
        <v>15</v>
      </c>
      <c r="K757" s="7">
        <f>IF(I757="","",I757*(1+J757/100))</f>
        <v/>
      </c>
      <c r="L757" s="12" t="inlineStr"/>
      <c r="M757" s="8">
        <f>IF(OR(L757="",K757="",L757=0),"",
  (L757-K757)/L757*100)</f>
        <v/>
      </c>
      <c r="N757" s="9" t="inlineStr"/>
      <c r="O757" s="4" t="inlineStr"/>
      <c r="P757" s="4" t="inlineStr"/>
      <c r="Q757" s="4" t="inlineStr"/>
      <c r="R757" s="4" t="inlineStr">
        <is>
          <t>2026-03-12</t>
        </is>
      </c>
      <c r="S757" s="4" t="inlineStr"/>
    </row>
    <row r="758">
      <c r="A758" s="10" t="inlineStr">
        <is>
          <t>F01142</t>
        </is>
      </c>
      <c r="B758" s="10" t="inlineStr">
        <is>
          <t>F01142</t>
        </is>
      </c>
      <c r="C758" s="10" t="inlineStr"/>
      <c r="D758" s="10" t="inlineStr">
        <is>
          <t>600969451625</t>
        </is>
      </c>
      <c r="E758" s="10" t="inlineStr">
        <is>
          <t>6748 QUARTZ WALL CLOCK</t>
        </is>
      </c>
      <c r="F758" s="10" t="inlineStr"/>
      <c r="G758" s="10" t="inlineStr"/>
      <c r="H758" s="10" t="inlineStr"/>
      <c r="I758" s="11" t="n">
        <v>12.78</v>
      </c>
      <c r="J758" s="6" t="n">
        <v>15</v>
      </c>
      <c r="K758" s="7">
        <f>IF(I758="","",I758*(1+J758/100))</f>
        <v/>
      </c>
      <c r="L758" s="12" t="inlineStr"/>
      <c r="M758" s="8">
        <f>IF(OR(L758="",K758="",L758=0),"",
  (L758-K758)/L758*100)</f>
        <v/>
      </c>
      <c r="N758" s="9" t="inlineStr"/>
      <c r="O758" s="10" t="inlineStr"/>
      <c r="P758" s="10" t="inlineStr"/>
      <c r="Q758" s="10" t="inlineStr"/>
      <c r="R758" s="10" t="inlineStr">
        <is>
          <t>2026-03-12</t>
        </is>
      </c>
      <c r="S758" s="10" t="inlineStr"/>
    </row>
    <row r="759">
      <c r="A759" s="3" t="inlineStr">
        <is>
          <t>F01143</t>
        </is>
      </c>
      <c r="B759" s="4" t="inlineStr">
        <is>
          <t>F01143</t>
        </is>
      </c>
      <c r="C759" s="4" t="inlineStr"/>
      <c r="D759" s="4" t="inlineStr">
        <is>
          <t>600969451632</t>
        </is>
      </c>
      <c r="E759" s="3" t="inlineStr">
        <is>
          <t>6787 QUARTZ WALL CLOCK</t>
        </is>
      </c>
      <c r="F759" s="4" t="inlineStr"/>
      <c r="G759" s="4" t="inlineStr"/>
      <c r="H759" s="4" t="inlineStr"/>
      <c r="I759" s="5" t="n">
        <v>12.78</v>
      </c>
      <c r="J759" s="6" t="n">
        <v>15</v>
      </c>
      <c r="K759" s="7">
        <f>IF(I759="","",I759*(1+J759/100))</f>
        <v/>
      </c>
      <c r="L759" s="12" t="inlineStr"/>
      <c r="M759" s="8">
        <f>IF(OR(L759="",K759="",L759=0),"",
  (L759-K759)/L759*100)</f>
        <v/>
      </c>
      <c r="N759" s="9" t="inlineStr"/>
      <c r="O759" s="4" t="inlineStr"/>
      <c r="P759" s="4" t="inlineStr"/>
      <c r="Q759" s="4" t="inlineStr"/>
      <c r="R759" s="4" t="inlineStr">
        <is>
          <t>2026-03-12</t>
        </is>
      </c>
      <c r="S759" s="4" t="inlineStr"/>
    </row>
    <row r="760">
      <c r="A760" s="10" t="inlineStr">
        <is>
          <t>F01144</t>
        </is>
      </c>
      <c r="B760" s="10" t="inlineStr">
        <is>
          <t>F01144</t>
        </is>
      </c>
      <c r="C760" s="10" t="inlineStr"/>
      <c r="D760" s="10" t="inlineStr">
        <is>
          <t>600969451649</t>
        </is>
      </c>
      <c r="E760" s="10" t="inlineStr">
        <is>
          <t>6862 QUARTZ WALL CLOCK</t>
        </is>
      </c>
      <c r="F760" s="10" t="inlineStr"/>
      <c r="G760" s="10" t="inlineStr"/>
      <c r="H760" s="10" t="inlineStr"/>
      <c r="I760" s="11" t="n">
        <v>12.78</v>
      </c>
      <c r="J760" s="6" t="n">
        <v>15</v>
      </c>
      <c r="K760" s="7">
        <f>IF(I760="","",I760*(1+J760/100))</f>
        <v/>
      </c>
      <c r="L760" s="12" t="inlineStr"/>
      <c r="M760" s="8">
        <f>IF(OR(L760="",K760="",L760=0),"",
  (L760-K760)/L760*100)</f>
        <v/>
      </c>
      <c r="N760" s="9" t="inlineStr"/>
      <c r="O760" s="10" t="inlineStr"/>
      <c r="P760" s="10" t="inlineStr"/>
      <c r="Q760" s="10" t="inlineStr"/>
      <c r="R760" s="10" t="inlineStr">
        <is>
          <t>2026-03-12</t>
        </is>
      </c>
      <c r="S760" s="10" t="inlineStr"/>
    </row>
    <row r="761">
      <c r="A761" s="3" t="inlineStr">
        <is>
          <t>F01145</t>
        </is>
      </c>
      <c r="B761" s="4" t="inlineStr">
        <is>
          <t>F01145</t>
        </is>
      </c>
      <c r="C761" s="4" t="inlineStr"/>
      <c r="D761" s="4" t="inlineStr">
        <is>
          <t>600969451656</t>
        </is>
      </c>
      <c r="E761" s="3" t="inlineStr">
        <is>
          <t>6860 QUARTZ WALL CLOCK</t>
        </is>
      </c>
      <c r="F761" s="4" t="inlineStr"/>
      <c r="G761" s="4" t="inlineStr"/>
      <c r="H761" s="4" t="inlineStr"/>
      <c r="I761" s="5" t="n">
        <v>12.78</v>
      </c>
      <c r="J761" s="6" t="n">
        <v>15</v>
      </c>
      <c r="K761" s="7">
        <f>IF(I761="","",I761*(1+J761/100))</f>
        <v/>
      </c>
      <c r="L761" s="12" t="inlineStr"/>
      <c r="M761" s="8">
        <f>IF(OR(L761="",K761="",L761=0),"",
  (L761-K761)/L761*100)</f>
        <v/>
      </c>
      <c r="N761" s="9" t="inlineStr"/>
      <c r="O761" s="4" t="inlineStr"/>
      <c r="P761" s="4" t="inlineStr"/>
      <c r="Q761" s="4" t="inlineStr"/>
      <c r="R761" s="4" t="inlineStr">
        <is>
          <t>2026-03-12</t>
        </is>
      </c>
      <c r="S761" s="4" t="inlineStr"/>
    </row>
    <row r="762">
      <c r="A762" s="10" t="inlineStr">
        <is>
          <t>F01146</t>
        </is>
      </c>
      <c r="B762" s="10" t="inlineStr">
        <is>
          <t>F01146</t>
        </is>
      </c>
      <c r="C762" s="10" t="inlineStr"/>
      <c r="D762" s="10" t="inlineStr">
        <is>
          <t>600969451663</t>
        </is>
      </c>
      <c r="E762" s="10" t="inlineStr">
        <is>
          <t>6467 QUARTZ WALL CLOCK</t>
        </is>
      </c>
      <c r="F762" s="10" t="inlineStr"/>
      <c r="G762" s="10" t="inlineStr"/>
      <c r="H762" s="10" t="inlineStr"/>
      <c r="I762" s="11" t="n">
        <v>10.98</v>
      </c>
      <c r="J762" s="6" t="n">
        <v>15</v>
      </c>
      <c r="K762" s="7">
        <f>IF(I762="","",I762*(1+J762/100))</f>
        <v/>
      </c>
      <c r="L762" s="12" t="inlineStr"/>
      <c r="M762" s="8">
        <f>IF(OR(L762="",K762="",L762=0),"",
  (L762-K762)/L762*100)</f>
        <v/>
      </c>
      <c r="N762" s="9" t="inlineStr"/>
      <c r="O762" s="10" t="inlineStr"/>
      <c r="P762" s="10" t="inlineStr"/>
      <c r="Q762" s="10" t="inlineStr"/>
      <c r="R762" s="10" t="inlineStr">
        <is>
          <t>2026-03-12</t>
        </is>
      </c>
      <c r="S762" s="10" t="inlineStr"/>
    </row>
    <row r="763">
      <c r="A763" s="3" t="inlineStr">
        <is>
          <t>F01147</t>
        </is>
      </c>
      <c r="B763" s="4" t="inlineStr">
        <is>
          <t>F01147</t>
        </is>
      </c>
      <c r="C763" s="4" t="inlineStr"/>
      <c r="D763" s="4" t="inlineStr">
        <is>
          <t>600969451670</t>
        </is>
      </c>
      <c r="E763" s="3" t="inlineStr">
        <is>
          <t>6469 QUARTZ WALL CLOCK</t>
        </is>
      </c>
      <c r="F763" s="4" t="inlineStr"/>
      <c r="G763" s="4" t="inlineStr"/>
      <c r="H763" s="4" t="inlineStr"/>
      <c r="I763" s="5" t="n">
        <v>16.39</v>
      </c>
      <c r="J763" s="6" t="n">
        <v>15</v>
      </c>
      <c r="K763" s="7">
        <f>IF(I763="","",I763*(1+J763/100))</f>
        <v/>
      </c>
      <c r="L763" s="12" t="inlineStr"/>
      <c r="M763" s="8">
        <f>IF(OR(L763="",K763="",L763=0),"",
  (L763-K763)/L763*100)</f>
        <v/>
      </c>
      <c r="N763" s="9" t="inlineStr"/>
      <c r="O763" s="4" t="inlineStr"/>
      <c r="P763" s="4" t="inlineStr"/>
      <c r="Q763" s="4" t="inlineStr"/>
      <c r="R763" s="4" t="inlineStr">
        <is>
          <t>2026-03-12</t>
        </is>
      </c>
      <c r="S763" s="4" t="inlineStr"/>
    </row>
    <row r="764">
      <c r="A764" s="10" t="inlineStr">
        <is>
          <t>F01148</t>
        </is>
      </c>
      <c r="B764" s="10" t="inlineStr">
        <is>
          <t>F01148</t>
        </is>
      </c>
      <c r="C764" s="10" t="inlineStr"/>
      <c r="D764" s="10" t="inlineStr">
        <is>
          <t>600969451687</t>
        </is>
      </c>
      <c r="E764" s="10" t="inlineStr">
        <is>
          <t>6720 QUARTZ WALL CLOCK</t>
        </is>
      </c>
      <c r="F764" s="10" t="inlineStr"/>
      <c r="G764" s="10" t="inlineStr"/>
      <c r="H764" s="10" t="inlineStr"/>
      <c r="I764" s="11" t="n">
        <v>18.02</v>
      </c>
      <c r="J764" s="6" t="n">
        <v>15</v>
      </c>
      <c r="K764" s="7">
        <f>IF(I764="","",I764*(1+J764/100))</f>
        <v/>
      </c>
      <c r="L764" s="12" t="inlineStr"/>
      <c r="M764" s="8">
        <f>IF(OR(L764="",K764="",L764=0),"",
  (L764-K764)/L764*100)</f>
        <v/>
      </c>
      <c r="N764" s="9" t="inlineStr"/>
      <c r="O764" s="10" t="inlineStr"/>
      <c r="P764" s="10" t="inlineStr"/>
      <c r="Q764" s="10" t="inlineStr"/>
      <c r="R764" s="10" t="inlineStr">
        <is>
          <t>2026-03-12</t>
        </is>
      </c>
      <c r="S764" s="10" t="inlineStr"/>
    </row>
    <row r="765">
      <c r="A765" s="3" t="inlineStr">
        <is>
          <t>F01149</t>
        </is>
      </c>
      <c r="B765" s="4" t="inlineStr">
        <is>
          <t>F01149</t>
        </is>
      </c>
      <c r="C765" s="4" t="inlineStr"/>
      <c r="D765" s="4" t="inlineStr">
        <is>
          <t>6009697451878</t>
        </is>
      </c>
      <c r="E765" s="3" t="inlineStr">
        <is>
          <t>SHADE NET GREEN 3MX50M 80% SHADE</t>
        </is>
      </c>
      <c r="F765" s="4" t="inlineStr"/>
      <c r="G765" s="4" t="inlineStr"/>
      <c r="H765" s="4" t="inlineStr"/>
      <c r="I765" s="5" t="n">
        <v>2600</v>
      </c>
      <c r="J765" s="6" t="n">
        <v>15</v>
      </c>
      <c r="K765" s="7">
        <f>IF(I765="","",I765*(1+J765/100))</f>
        <v/>
      </c>
      <c r="L765" s="12" t="inlineStr"/>
      <c r="M765" s="8">
        <f>IF(OR(L765="",K765="",L765=0),"",
  (L765-K765)/L765*100)</f>
        <v/>
      </c>
      <c r="N765" s="9" t="inlineStr"/>
      <c r="O765" s="4" t="inlineStr"/>
      <c r="P765" s="4" t="inlineStr"/>
      <c r="Q765" s="4" t="inlineStr"/>
      <c r="R765" s="4" t="inlineStr">
        <is>
          <t>2026-03-12</t>
        </is>
      </c>
      <c r="S765" s="4" t="inlineStr"/>
    </row>
    <row r="766">
      <c r="A766" s="10" t="inlineStr">
        <is>
          <t>F01150</t>
        </is>
      </c>
      <c r="B766" s="10" t="inlineStr">
        <is>
          <t>F01150</t>
        </is>
      </c>
      <c r="C766" s="10" t="inlineStr"/>
      <c r="D766" s="10" t="inlineStr">
        <is>
          <t>6009697451885</t>
        </is>
      </c>
      <c r="E766" s="10" t="inlineStr">
        <is>
          <t>SHADE NET BLUE 3MX50M 80% SHADE</t>
        </is>
      </c>
      <c r="F766" s="10" t="inlineStr"/>
      <c r="G766" s="10" t="inlineStr"/>
      <c r="H766" s="10" t="inlineStr"/>
      <c r="I766" s="11" t="n">
        <v>2600</v>
      </c>
      <c r="J766" s="6" t="n">
        <v>15</v>
      </c>
      <c r="K766" s="7">
        <f>IF(I766="","",I766*(1+J766/100))</f>
        <v/>
      </c>
      <c r="L766" s="12" t="inlineStr"/>
      <c r="M766" s="8">
        <f>IF(OR(L766="",K766="",L766=0),"",
  (L766-K766)/L766*100)</f>
        <v/>
      </c>
      <c r="N766" s="13" t="n">
        <v>3</v>
      </c>
      <c r="O766" s="10" t="inlineStr"/>
      <c r="P766" s="10" t="inlineStr"/>
      <c r="Q766" s="10" t="inlineStr"/>
      <c r="R766" s="10" t="inlineStr">
        <is>
          <t>2026-03-12</t>
        </is>
      </c>
      <c r="S766" s="10" t="inlineStr"/>
    </row>
    <row r="767">
      <c r="A767" s="3" t="inlineStr">
        <is>
          <t>F01151</t>
        </is>
      </c>
      <c r="B767" s="4" t="inlineStr">
        <is>
          <t>F01151</t>
        </is>
      </c>
      <c r="C767" s="4" t="inlineStr"/>
      <c r="D767" s="4" t="inlineStr">
        <is>
          <t>6009697451861</t>
        </is>
      </c>
      <c r="E767" s="3" t="inlineStr">
        <is>
          <t>SHADE NET BLUE 1.8MX50M 80% SHADE</t>
        </is>
      </c>
      <c r="F767" s="4" t="inlineStr"/>
      <c r="G767" s="4" t="inlineStr"/>
      <c r="H767" s="4" t="inlineStr"/>
      <c r="I767" s="5" t="n">
        <v>949</v>
      </c>
      <c r="J767" s="6" t="n">
        <v>15</v>
      </c>
      <c r="K767" s="7">
        <f>IF(I767="","",I767*(1+J767/100))</f>
        <v/>
      </c>
      <c r="L767" s="12" t="inlineStr"/>
      <c r="M767" s="8">
        <f>IF(OR(L767="",K767="",L767=0),"",
  (L767-K767)/L767*100)</f>
        <v/>
      </c>
      <c r="N767" s="9" t="inlineStr"/>
      <c r="O767" s="4" t="inlineStr"/>
      <c r="P767" s="4" t="inlineStr"/>
      <c r="Q767" s="4" t="inlineStr"/>
      <c r="R767" s="4" t="inlineStr">
        <is>
          <t>2026-03-12</t>
        </is>
      </c>
      <c r="S767" s="4" t="inlineStr"/>
    </row>
    <row r="768">
      <c r="A768" s="10" t="inlineStr">
        <is>
          <t>F01152</t>
        </is>
      </c>
      <c r="B768" s="10" t="inlineStr">
        <is>
          <t>F01152</t>
        </is>
      </c>
      <c r="C768" s="10" t="inlineStr"/>
      <c r="D768" s="10" t="inlineStr"/>
      <c r="E768" s="10" t="inlineStr">
        <is>
          <t>DOOR MERANTI 4 PANEL H  NO STAIN DAMAGED</t>
        </is>
      </c>
      <c r="F768" s="10" t="inlineStr"/>
      <c r="G768" s="10" t="inlineStr"/>
      <c r="H768" s="10" t="inlineStr"/>
      <c r="I768" s="11" t="n">
        <v>519</v>
      </c>
      <c r="J768" s="6" t="n">
        <v>15</v>
      </c>
      <c r="K768" s="7">
        <f>IF(I768="","",I768*(1+J768/100))</f>
        <v/>
      </c>
      <c r="L768" s="12" t="inlineStr"/>
      <c r="M768" s="8">
        <f>IF(OR(L768="",K768="",L768=0),"",
  (L768-K768)/L768*100)</f>
        <v/>
      </c>
      <c r="N768" s="9" t="inlineStr"/>
      <c r="O768" s="10" t="inlineStr"/>
      <c r="P768" s="10" t="inlineStr"/>
      <c r="Q768" s="10" t="inlineStr"/>
      <c r="R768" s="10" t="inlineStr">
        <is>
          <t>2026-03-12</t>
        </is>
      </c>
      <c r="S768" s="10" t="inlineStr"/>
    </row>
    <row r="769">
      <c r="A769" s="3" t="inlineStr">
        <is>
          <t>F01153</t>
        </is>
      </c>
      <c r="B769" s="4" t="inlineStr">
        <is>
          <t>F01153</t>
        </is>
      </c>
      <c r="C769" s="4" t="inlineStr"/>
      <c r="D769" s="4" t="inlineStr"/>
      <c r="E769" s="3" t="inlineStr">
        <is>
          <t>DOOR MERANTI 6 PANEL (H) NO STAIN DAMAGE</t>
        </is>
      </c>
      <c r="F769" s="4" t="inlineStr"/>
      <c r="G769" s="4" t="inlineStr"/>
      <c r="H769" s="4" t="inlineStr"/>
      <c r="I769" s="5" t="n">
        <v>509.23</v>
      </c>
      <c r="J769" s="6" t="n">
        <v>15</v>
      </c>
      <c r="K769" s="7">
        <f>IF(I769="","",I769*(1+J769/100))</f>
        <v/>
      </c>
      <c r="L769" s="12" t="inlineStr"/>
      <c r="M769" s="8">
        <f>IF(OR(L769="",K769="",L769=0),"",
  (L769-K769)/L769*100)</f>
        <v/>
      </c>
      <c r="N769" s="9" t="inlineStr"/>
      <c r="O769" s="4" t="inlineStr"/>
      <c r="P769" s="4" t="inlineStr"/>
      <c r="Q769" s="4" t="inlineStr"/>
      <c r="R769" s="4" t="inlineStr">
        <is>
          <t>2026-03-12</t>
        </is>
      </c>
      <c r="S769" s="4" t="inlineStr"/>
    </row>
    <row r="770">
      <c r="A770" s="10" t="inlineStr">
        <is>
          <t>F01154</t>
        </is>
      </c>
      <c r="B770" s="10" t="inlineStr">
        <is>
          <t>F01154</t>
        </is>
      </c>
      <c r="C770" s="10" t="inlineStr"/>
      <c r="D770" s="10" t="inlineStr"/>
      <c r="E770" s="10" t="inlineStr">
        <is>
          <t>DOOR MERANTI 8 PANEL (H) STAIN DAMAGED</t>
        </is>
      </c>
      <c r="F770" s="10" t="inlineStr"/>
      <c r="G770" s="10" t="inlineStr"/>
      <c r="H770" s="10" t="inlineStr"/>
      <c r="I770" s="11" t="n">
        <v>609</v>
      </c>
      <c r="J770" s="6" t="n">
        <v>15</v>
      </c>
      <c r="K770" s="7">
        <f>IF(I770="","",I770*(1+J770/100))</f>
        <v/>
      </c>
      <c r="L770" s="12" t="inlineStr"/>
      <c r="M770" s="8">
        <f>IF(OR(L770="",K770="",L770=0),"",
  (L770-K770)/L770*100)</f>
        <v/>
      </c>
      <c r="N770" s="9" t="inlineStr"/>
      <c r="O770" s="10" t="inlineStr"/>
      <c r="P770" s="10" t="inlineStr"/>
      <c r="Q770" s="10" t="inlineStr"/>
      <c r="R770" s="10" t="inlineStr">
        <is>
          <t>2026-03-12</t>
        </is>
      </c>
      <c r="S770" s="10" t="inlineStr"/>
    </row>
    <row r="771">
      <c r="A771" s="3" t="inlineStr">
        <is>
          <t>F01155</t>
        </is>
      </c>
      <c r="B771" s="4" t="inlineStr">
        <is>
          <t>F01155</t>
        </is>
      </c>
      <c r="C771" s="4" t="inlineStr"/>
      <c r="D771" s="4" t="inlineStr"/>
      <c r="E771" s="3" t="inlineStr">
        <is>
          <t>DOOR MERANTI 10 PANEL (H) NO STAIN DAMAG</t>
        </is>
      </c>
      <c r="F771" s="4" t="inlineStr"/>
      <c r="G771" s="4" t="inlineStr"/>
      <c r="H771" s="4" t="inlineStr"/>
      <c r="I771" s="5" t="n">
        <v>587</v>
      </c>
      <c r="J771" s="6" t="n">
        <v>15</v>
      </c>
      <c r="K771" s="7">
        <f>IF(I771="","",I771*(1+J771/100))</f>
        <v/>
      </c>
      <c r="L771" s="12" t="inlineStr"/>
      <c r="M771" s="8">
        <f>IF(OR(L771="",K771="",L771=0),"",
  (L771-K771)/L771*100)</f>
        <v/>
      </c>
      <c r="N771" s="9" t="inlineStr"/>
      <c r="O771" s="4" t="inlineStr"/>
      <c r="P771" s="4" t="inlineStr"/>
      <c r="Q771" s="4" t="inlineStr"/>
      <c r="R771" s="4" t="inlineStr">
        <is>
          <t>2026-03-12</t>
        </is>
      </c>
      <c r="S771" s="4" t="inlineStr"/>
    </row>
    <row r="772">
      <c r="A772" s="10" t="inlineStr">
        <is>
          <t>F01156</t>
        </is>
      </c>
      <c r="B772" s="10" t="inlineStr">
        <is>
          <t>F01156</t>
        </is>
      </c>
      <c r="C772" s="10" t="inlineStr"/>
      <c r="D772" s="10" t="inlineStr"/>
      <c r="E772" s="10" t="inlineStr">
        <is>
          <t>DOOR MERANTI STABLE PANEL NO STAIN DAMAG</t>
        </is>
      </c>
      <c r="F772" s="10" t="inlineStr"/>
      <c r="G772" s="10" t="inlineStr"/>
      <c r="H772" s="10" t="inlineStr"/>
      <c r="I772" s="11" t="n">
        <v>539</v>
      </c>
      <c r="J772" s="6" t="n">
        <v>15</v>
      </c>
      <c r="K772" s="7">
        <f>IF(I772="","",I772*(1+J772/100))</f>
        <v/>
      </c>
      <c r="L772" s="12" t="inlineStr"/>
      <c r="M772" s="8">
        <f>IF(OR(L772="",K772="",L772=0),"",
  (L772-K772)/L772*100)</f>
        <v/>
      </c>
      <c r="N772" s="9" t="inlineStr"/>
      <c r="O772" s="10" t="inlineStr"/>
      <c r="P772" s="10" t="inlineStr"/>
      <c r="Q772" s="10" t="inlineStr"/>
      <c r="R772" s="10" t="inlineStr">
        <is>
          <t>2026-03-12</t>
        </is>
      </c>
      <c r="S772" s="10" t="inlineStr"/>
    </row>
    <row r="773">
      <c r="A773" s="3" t="inlineStr">
        <is>
          <t>F01157</t>
        </is>
      </c>
      <c r="B773" s="4" t="inlineStr">
        <is>
          <t>F01157</t>
        </is>
      </c>
      <c r="C773" s="4" t="inlineStr"/>
      <c r="D773" s="4" t="inlineStr"/>
      <c r="E773" s="3" t="inlineStr">
        <is>
          <t>STEEL SECURITY DOOR - L/R 2050X860X70MM</t>
        </is>
      </c>
      <c r="F773" s="4" t="inlineStr"/>
      <c r="G773" s="4" t="inlineStr"/>
      <c r="H773" s="4" t="inlineStr"/>
      <c r="I773" s="5" t="n">
        <v>795</v>
      </c>
      <c r="J773" s="6" t="n">
        <v>15</v>
      </c>
      <c r="K773" s="7">
        <f>IF(I773="","",I773*(1+J773/100))</f>
        <v/>
      </c>
      <c r="L773" s="12" t="inlineStr"/>
      <c r="M773" s="8">
        <f>IF(OR(L773="",K773="",L773=0),"",
  (L773-K773)/L773*100)</f>
        <v/>
      </c>
      <c r="N773" s="9" t="inlineStr"/>
      <c r="O773" s="4" t="inlineStr"/>
      <c r="P773" s="4" t="inlineStr"/>
      <c r="Q773" s="4" t="inlineStr"/>
      <c r="R773" s="4" t="inlineStr">
        <is>
          <t>2026-03-12</t>
        </is>
      </c>
      <c r="S773" s="4" t="inlineStr"/>
    </row>
    <row r="774">
      <c r="A774" s="10" t="inlineStr">
        <is>
          <t>F01158</t>
        </is>
      </c>
      <c r="B774" s="10" t="inlineStr">
        <is>
          <t>F01158</t>
        </is>
      </c>
      <c r="C774" s="10" t="inlineStr"/>
      <c r="D774" s="10" t="inlineStr">
        <is>
          <t>6970214715141</t>
        </is>
      </c>
      <c r="E774" s="10" t="inlineStr">
        <is>
          <t>TUMBLER HIBALL 240ML 6'S PACK</t>
        </is>
      </c>
      <c r="F774" s="10" t="inlineStr"/>
      <c r="G774" s="10" t="inlineStr"/>
      <c r="H774" s="10" t="inlineStr"/>
      <c r="I774" s="11" t="n">
        <v>25.95</v>
      </c>
      <c r="J774" s="6" t="n">
        <v>15</v>
      </c>
      <c r="K774" s="7">
        <f>IF(I774="","",I774*(1+J774/100))</f>
        <v/>
      </c>
      <c r="L774" s="12" t="inlineStr"/>
      <c r="M774" s="8">
        <f>IF(OR(L774="",K774="",L774=0),"",
  (L774-K774)/L774*100)</f>
        <v/>
      </c>
      <c r="N774" s="13" t="n">
        <v>45</v>
      </c>
      <c r="O774" s="10" t="inlineStr"/>
      <c r="P774" s="10" t="inlineStr"/>
      <c r="Q774" s="10" t="inlineStr"/>
      <c r="R774" s="10" t="inlineStr">
        <is>
          <t>2026-03-12</t>
        </is>
      </c>
      <c r="S774" s="10" t="inlineStr"/>
    </row>
    <row r="775">
      <c r="A775" s="3" t="inlineStr">
        <is>
          <t>F01159</t>
        </is>
      </c>
      <c r="B775" s="4" t="inlineStr">
        <is>
          <t>F01159</t>
        </is>
      </c>
      <c r="C775" s="4" t="inlineStr"/>
      <c r="D775" s="4" t="inlineStr">
        <is>
          <t>6970214710160</t>
        </is>
      </c>
      <c r="E775" s="3" t="inlineStr">
        <is>
          <t>TUMBLER WILLY LOOSE</t>
        </is>
      </c>
      <c r="F775" s="4" t="inlineStr"/>
      <c r="G775" s="4" t="inlineStr"/>
      <c r="H775" s="4" t="inlineStr"/>
      <c r="I775" s="5" t="n">
        <v>5.69</v>
      </c>
      <c r="J775" s="6" t="n">
        <v>15</v>
      </c>
      <c r="K775" s="7">
        <f>IF(I775="","",I775*(1+J775/100))</f>
        <v/>
      </c>
      <c r="L775" s="12" t="inlineStr"/>
      <c r="M775" s="8">
        <f>IF(OR(L775="",K775="",L775=0),"",
  (L775-K775)/L775*100)</f>
        <v/>
      </c>
      <c r="N775" s="14" t="n">
        <v>653</v>
      </c>
      <c r="O775" s="4" t="inlineStr"/>
      <c r="P775" s="4" t="inlineStr"/>
      <c r="Q775" s="4" t="inlineStr"/>
      <c r="R775" s="4" t="inlineStr">
        <is>
          <t>2026-03-12</t>
        </is>
      </c>
      <c r="S775" s="4" t="inlineStr"/>
    </row>
    <row r="776">
      <c r="A776" s="10" t="inlineStr">
        <is>
          <t>F01160</t>
        </is>
      </c>
      <c r="B776" s="10" t="inlineStr">
        <is>
          <t>F01160</t>
        </is>
      </c>
      <c r="C776" s="10" t="inlineStr"/>
      <c r="D776" s="10" t="inlineStr">
        <is>
          <t>6970214710207</t>
        </is>
      </c>
      <c r="E776" s="10" t="inlineStr">
        <is>
          <t>TUMBLER WILLY 6'S</t>
        </is>
      </c>
      <c r="F776" s="10" t="inlineStr"/>
      <c r="G776" s="10" t="inlineStr"/>
      <c r="H776" s="10" t="inlineStr"/>
      <c r="I776" s="11" t="n">
        <v>34.69</v>
      </c>
      <c r="J776" s="6" t="n">
        <v>15</v>
      </c>
      <c r="K776" s="7">
        <f>IF(I776="","",I776*(1+J776/100))</f>
        <v/>
      </c>
      <c r="L776" s="12" t="inlineStr"/>
      <c r="M776" s="8">
        <f>IF(OR(L776="",K776="",L776=0),"",
  (L776-K776)/L776*100)</f>
        <v/>
      </c>
      <c r="N776" s="13" t="n">
        <v>2</v>
      </c>
      <c r="O776" s="10" t="inlineStr"/>
      <c r="P776" s="10" t="inlineStr"/>
      <c r="Q776" s="10" t="inlineStr"/>
      <c r="R776" s="10" t="inlineStr">
        <is>
          <t>2026-03-12</t>
        </is>
      </c>
      <c r="S776" s="10" t="inlineStr"/>
    </row>
    <row r="777">
      <c r="A777" s="3" t="inlineStr">
        <is>
          <t>F01161</t>
        </is>
      </c>
      <c r="B777" s="4" t="inlineStr">
        <is>
          <t>F01161</t>
        </is>
      </c>
      <c r="C777" s="4" t="inlineStr"/>
      <c r="D777" s="4" t="inlineStr">
        <is>
          <t>6009693899285</t>
        </is>
      </c>
      <c r="E777" s="3" t="inlineStr">
        <is>
          <t>TUMBLER ZOMBIE LOOSE</t>
        </is>
      </c>
      <c r="F777" s="4" t="inlineStr"/>
      <c r="G777" s="4" t="inlineStr"/>
      <c r="H777" s="4" t="inlineStr"/>
      <c r="I777" s="5" t="n">
        <v>5.49</v>
      </c>
      <c r="J777" s="6" t="n">
        <v>15</v>
      </c>
      <c r="K777" s="7">
        <f>IF(I777="","",I777*(1+J777/100))</f>
        <v/>
      </c>
      <c r="L777" s="12" t="inlineStr"/>
      <c r="M777" s="8">
        <f>IF(OR(L777="",K777="",L777=0),"",
  (L777-K777)/L777*100)</f>
        <v/>
      </c>
      <c r="N777" s="14" t="n">
        <v>41857</v>
      </c>
      <c r="O777" s="4" t="inlineStr"/>
      <c r="P777" s="4" t="inlineStr"/>
      <c r="Q777" s="4" t="inlineStr"/>
      <c r="R777" s="4" t="inlineStr">
        <is>
          <t>2026-03-12</t>
        </is>
      </c>
      <c r="S777" s="4" t="inlineStr"/>
    </row>
    <row r="778">
      <c r="A778" s="10" t="inlineStr">
        <is>
          <t>F01162</t>
        </is>
      </c>
      <c r="B778" s="10" t="inlineStr">
        <is>
          <t>F01162</t>
        </is>
      </c>
      <c r="C778" s="10" t="inlineStr"/>
      <c r="D778" s="10" t="inlineStr">
        <is>
          <t>6970214710214</t>
        </is>
      </c>
      <c r="E778" s="10" t="inlineStr">
        <is>
          <t>TUMBLER ZOMBIE 6'S</t>
        </is>
      </c>
      <c r="F778" s="10" t="inlineStr"/>
      <c r="G778" s="10" t="inlineStr"/>
      <c r="H778" s="10" t="inlineStr"/>
      <c r="I778" s="11" t="n">
        <v>33.95</v>
      </c>
      <c r="J778" s="6" t="n">
        <v>15</v>
      </c>
      <c r="K778" s="7">
        <f>IF(I778="","",I778*(1+J778/100))</f>
        <v/>
      </c>
      <c r="L778" s="12" t="inlineStr"/>
      <c r="M778" s="8">
        <f>IF(OR(L778="",K778="",L778=0),"",
  (L778-K778)/L778*100)</f>
        <v/>
      </c>
      <c r="N778" s="13" t="n">
        <v>23</v>
      </c>
      <c r="O778" s="10" t="inlineStr"/>
      <c r="P778" s="10" t="inlineStr"/>
      <c r="Q778" s="10" t="inlineStr"/>
      <c r="R778" s="10" t="inlineStr">
        <is>
          <t>2026-03-12</t>
        </is>
      </c>
      <c r="S778" s="10" t="inlineStr"/>
    </row>
    <row r="779">
      <c r="A779" s="3" t="inlineStr">
        <is>
          <t>F01163</t>
        </is>
      </c>
      <c r="B779" s="4" t="inlineStr">
        <is>
          <t>F01163</t>
        </is>
      </c>
      <c r="C779" s="4" t="inlineStr"/>
      <c r="D779" s="4" t="inlineStr">
        <is>
          <t>6009693899254</t>
        </is>
      </c>
      <c r="E779" s="3" t="inlineStr">
        <is>
          <t>TUMBLER WHISKEY LOOSE</t>
        </is>
      </c>
      <c r="F779" s="4" t="inlineStr"/>
      <c r="G779" s="4" t="inlineStr"/>
      <c r="H779" s="4" t="inlineStr"/>
      <c r="I779" s="5" t="n">
        <v>4.69</v>
      </c>
      <c r="J779" s="6" t="n">
        <v>15</v>
      </c>
      <c r="K779" s="7">
        <f>IF(I779="","",I779*(1+J779/100))</f>
        <v/>
      </c>
      <c r="L779" s="12" t="inlineStr"/>
      <c r="M779" s="8">
        <f>IF(OR(L779="",K779="",L779=0),"",
  (L779-K779)/L779*100)</f>
        <v/>
      </c>
      <c r="N779" s="9" t="inlineStr"/>
      <c r="O779" s="4" t="inlineStr"/>
      <c r="P779" s="4" t="inlineStr"/>
      <c r="Q779" s="4" t="inlineStr"/>
      <c r="R779" s="4" t="inlineStr">
        <is>
          <t>2026-03-12</t>
        </is>
      </c>
      <c r="S779" s="4" t="inlineStr"/>
    </row>
    <row r="780">
      <c r="A780" s="10" t="inlineStr">
        <is>
          <t>F01164</t>
        </is>
      </c>
      <c r="B780" s="10" t="inlineStr">
        <is>
          <t>F01164</t>
        </is>
      </c>
      <c r="C780" s="10" t="inlineStr"/>
      <c r="D780" s="10" t="inlineStr">
        <is>
          <t>6970214710221</t>
        </is>
      </c>
      <c r="E780" s="10" t="inlineStr">
        <is>
          <t>TUMBLER WHISKEY 6'S</t>
        </is>
      </c>
      <c r="F780" s="10" t="inlineStr"/>
      <c r="G780" s="10" t="inlineStr"/>
      <c r="H780" s="10" t="inlineStr"/>
      <c r="I780" s="11" t="n">
        <v>15.28</v>
      </c>
      <c r="J780" s="6" t="n">
        <v>15</v>
      </c>
      <c r="K780" s="7">
        <f>IF(I780="","",I780*(1+J780/100))</f>
        <v/>
      </c>
      <c r="L780" s="12" t="inlineStr"/>
      <c r="M780" s="8">
        <f>IF(OR(L780="",K780="",L780=0),"",
  (L780-K780)/L780*100)</f>
        <v/>
      </c>
      <c r="N780" s="9" t="inlineStr"/>
      <c r="O780" s="10" t="inlineStr"/>
      <c r="P780" s="10" t="inlineStr"/>
      <c r="Q780" s="10" t="inlineStr"/>
      <c r="R780" s="10" t="inlineStr">
        <is>
          <t>2026-03-12</t>
        </is>
      </c>
      <c r="S780" s="10" t="inlineStr"/>
    </row>
    <row r="781">
      <c r="A781" s="3" t="inlineStr">
        <is>
          <t>F01165</t>
        </is>
      </c>
      <c r="B781" s="4" t="inlineStr">
        <is>
          <t>F01165</t>
        </is>
      </c>
      <c r="C781" s="4" t="inlineStr"/>
      <c r="D781" s="4" t="inlineStr"/>
      <c r="E781" s="3" t="inlineStr">
        <is>
          <t>VINYL EMBOSSED  0.60 X 30MT</t>
        </is>
      </c>
      <c r="F781" s="4" t="inlineStr"/>
      <c r="G781" s="4" t="inlineStr"/>
      <c r="H781" s="4" t="inlineStr"/>
      <c r="I781" s="5" t="n">
        <v>649</v>
      </c>
      <c r="J781" s="6" t="n">
        <v>15</v>
      </c>
      <c r="K781" s="7">
        <f>IF(I781="","",I781*(1+J781/100))</f>
        <v/>
      </c>
      <c r="L781" s="12" t="inlineStr"/>
      <c r="M781" s="8">
        <f>IF(OR(L781="",K781="",L781=0),"",
  (L781-K781)/L781*100)</f>
        <v/>
      </c>
      <c r="N781" s="9" t="inlineStr"/>
      <c r="O781" s="4" t="inlineStr"/>
      <c r="P781" s="4" t="inlineStr"/>
      <c r="Q781" s="4" t="inlineStr"/>
      <c r="R781" s="4" t="inlineStr">
        <is>
          <t>2026-03-12</t>
        </is>
      </c>
      <c r="S781" s="4" t="inlineStr"/>
    </row>
    <row r="782">
      <c r="A782" s="10" t="inlineStr">
        <is>
          <t>F01166</t>
        </is>
      </c>
      <c r="B782" s="10" t="inlineStr">
        <is>
          <t>F01166</t>
        </is>
      </c>
      <c r="C782" s="10" t="inlineStr"/>
      <c r="D782" s="10" t="inlineStr"/>
      <c r="E782" s="10" t="inlineStr">
        <is>
          <t>VINYL EMBOSSED  0.60X5MT(1.83) SHRINK</t>
        </is>
      </c>
      <c r="F782" s="10" t="inlineStr"/>
      <c r="G782" s="10" t="inlineStr"/>
      <c r="H782" s="10" t="inlineStr"/>
      <c r="I782" s="11" t="n">
        <v>119.95</v>
      </c>
      <c r="J782" s="6" t="n">
        <v>15</v>
      </c>
      <c r="K782" s="7">
        <f>IF(I782="","",I782*(1+J782/100))</f>
        <v/>
      </c>
      <c r="L782" s="12" t="inlineStr"/>
      <c r="M782" s="8">
        <f>IF(OR(L782="",K782="",L782=0),"",
  (L782-K782)/L782*100)</f>
        <v/>
      </c>
      <c r="N782" s="9" t="inlineStr"/>
      <c r="O782" s="10" t="inlineStr"/>
      <c r="P782" s="10" t="inlineStr"/>
      <c r="Q782" s="10" t="inlineStr"/>
      <c r="R782" s="10" t="inlineStr">
        <is>
          <t>2026-03-12</t>
        </is>
      </c>
      <c r="S782" s="10" t="inlineStr"/>
    </row>
    <row r="783">
      <c r="A783" s="3" t="inlineStr">
        <is>
          <t>F01167</t>
        </is>
      </c>
      <c r="B783" s="4" t="inlineStr">
        <is>
          <t>F01167</t>
        </is>
      </c>
      <c r="C783" s="4" t="inlineStr"/>
      <c r="D783" s="4" t="inlineStr"/>
      <c r="E783" s="3" t="inlineStr">
        <is>
          <t>CALCULATOR CASIO FX82-ZA</t>
        </is>
      </c>
      <c r="F783" s="4" t="inlineStr"/>
      <c r="G783" s="4" t="inlineStr"/>
      <c r="H783" s="4" t="inlineStr"/>
      <c r="I783" s="5" t="n">
        <v>189</v>
      </c>
      <c r="J783" s="6" t="n">
        <v>15</v>
      </c>
      <c r="K783" s="7">
        <f>IF(I783="","",I783*(1+J783/100))</f>
        <v/>
      </c>
      <c r="L783" s="12" t="inlineStr"/>
      <c r="M783" s="8">
        <f>IF(OR(L783="",K783="",L783=0),"",
  (L783-K783)/L783*100)</f>
        <v/>
      </c>
      <c r="N783" s="9" t="inlineStr"/>
      <c r="O783" s="4" t="inlineStr"/>
      <c r="P783" s="4" t="inlineStr"/>
      <c r="Q783" s="4" t="inlineStr"/>
      <c r="R783" s="4" t="inlineStr">
        <is>
          <t>2026-03-12</t>
        </is>
      </c>
      <c r="S783" s="4" t="inlineStr"/>
    </row>
    <row r="784">
      <c r="A784" s="10" t="inlineStr">
        <is>
          <t>F01170</t>
        </is>
      </c>
      <c r="B784" s="10" t="inlineStr">
        <is>
          <t>F01170</t>
        </is>
      </c>
      <c r="C784" s="10" t="inlineStr"/>
      <c r="D784" s="10" t="inlineStr">
        <is>
          <t>6009697451779</t>
        </is>
      </c>
      <c r="E784" s="10" t="inlineStr">
        <is>
          <t>PEEL &amp; STICK TILES</t>
        </is>
      </c>
      <c r="F784" s="10" t="inlineStr"/>
      <c r="G784" s="10" t="inlineStr"/>
      <c r="H784" s="10" t="inlineStr"/>
      <c r="I784" s="11" t="n">
        <v>225</v>
      </c>
      <c r="J784" s="6" t="n">
        <v>15</v>
      </c>
      <c r="K784" s="7">
        <f>IF(I784="","",I784*(1+J784/100))</f>
        <v/>
      </c>
      <c r="L784" s="12" t="inlineStr"/>
      <c r="M784" s="8">
        <f>IF(OR(L784="",K784="",L784=0),"",
  (L784-K784)/L784*100)</f>
        <v/>
      </c>
      <c r="N784" s="9" t="inlineStr"/>
      <c r="O784" s="10" t="inlineStr"/>
      <c r="P784" s="10" t="inlineStr"/>
      <c r="Q784" s="10" t="inlineStr"/>
      <c r="R784" s="10" t="inlineStr">
        <is>
          <t>2026-03-12</t>
        </is>
      </c>
      <c r="S784" s="10" t="inlineStr"/>
    </row>
    <row r="785">
      <c r="A785" s="3" t="inlineStr">
        <is>
          <t>F01171</t>
        </is>
      </c>
      <c r="B785" s="4" t="inlineStr">
        <is>
          <t>F01171</t>
        </is>
      </c>
      <c r="C785" s="4" t="inlineStr"/>
      <c r="D785" s="4" t="inlineStr">
        <is>
          <t>6009697451755</t>
        </is>
      </c>
      <c r="E785" s="3" t="inlineStr">
        <is>
          <t>PEEL &amp; STICK TILES</t>
        </is>
      </c>
      <c r="F785" s="4" t="inlineStr"/>
      <c r="G785" s="4" t="inlineStr"/>
      <c r="H785" s="4" t="inlineStr"/>
      <c r="I785" s="5" t="n">
        <v>105.4</v>
      </c>
      <c r="J785" s="6" t="n">
        <v>15</v>
      </c>
      <c r="K785" s="7">
        <f>IF(I785="","",I785*(1+J785/100))</f>
        <v/>
      </c>
      <c r="L785" s="12" t="inlineStr"/>
      <c r="M785" s="8">
        <f>IF(OR(L785="",K785="",L785=0),"",
  (L785-K785)/L785*100)</f>
        <v/>
      </c>
      <c r="N785" s="9" t="inlineStr"/>
      <c r="O785" s="4" t="inlineStr"/>
      <c r="P785" s="4" t="inlineStr"/>
      <c r="Q785" s="4" t="inlineStr"/>
      <c r="R785" s="4" t="inlineStr">
        <is>
          <t>2026-03-12</t>
        </is>
      </c>
      <c r="S785" s="4" t="inlineStr"/>
    </row>
    <row r="786">
      <c r="A786" s="10" t="inlineStr">
        <is>
          <t>F01172</t>
        </is>
      </c>
      <c r="B786" s="10" t="inlineStr">
        <is>
          <t>F01172</t>
        </is>
      </c>
      <c r="C786" s="10" t="inlineStr"/>
      <c r="D786" s="10" t="inlineStr">
        <is>
          <t>6009697451731</t>
        </is>
      </c>
      <c r="E786" s="10" t="inlineStr">
        <is>
          <t>PEEL &amp; STICK TILES</t>
        </is>
      </c>
      <c r="F786" s="10" t="inlineStr"/>
      <c r="G786" s="10" t="inlineStr"/>
      <c r="H786" s="10" t="inlineStr"/>
      <c r="I786" s="11" t="n">
        <v>154.95</v>
      </c>
      <c r="J786" s="6" t="n">
        <v>15</v>
      </c>
      <c r="K786" s="7">
        <f>IF(I786="","",I786*(1+J786/100))</f>
        <v/>
      </c>
      <c r="L786" s="12" t="inlineStr"/>
      <c r="M786" s="8">
        <f>IF(OR(L786="",K786="",L786=0),"",
  (L786-K786)/L786*100)</f>
        <v/>
      </c>
      <c r="N786" s="9" t="inlineStr"/>
      <c r="O786" s="10" t="inlineStr"/>
      <c r="P786" s="10" t="inlineStr"/>
      <c r="Q786" s="10" t="inlineStr"/>
      <c r="R786" s="10" t="inlineStr">
        <is>
          <t>2026-03-12</t>
        </is>
      </c>
      <c r="S786" s="10" t="inlineStr"/>
    </row>
    <row r="787">
      <c r="A787" s="3" t="inlineStr">
        <is>
          <t>F01173</t>
        </is>
      </c>
      <c r="B787" s="4" t="inlineStr">
        <is>
          <t>F01173</t>
        </is>
      </c>
      <c r="C787" s="4" t="inlineStr"/>
      <c r="D787" s="4" t="inlineStr">
        <is>
          <t>6009697451809</t>
        </is>
      </c>
      <c r="E787" s="3" t="inlineStr">
        <is>
          <t>PEEL &amp; STICK TILES</t>
        </is>
      </c>
      <c r="F787" s="4" t="inlineStr"/>
      <c r="G787" s="4" t="inlineStr"/>
      <c r="H787" s="4" t="inlineStr"/>
      <c r="I787" s="5" t="n">
        <v>229.9</v>
      </c>
      <c r="J787" s="6" t="n">
        <v>15</v>
      </c>
      <c r="K787" s="7">
        <f>IF(I787="","",I787*(1+J787/100))</f>
        <v/>
      </c>
      <c r="L787" s="12" t="inlineStr"/>
      <c r="M787" s="8">
        <f>IF(OR(L787="",K787="",L787=0),"",
  (L787-K787)/L787*100)</f>
        <v/>
      </c>
      <c r="N787" s="9" t="inlineStr"/>
      <c r="O787" s="4" t="inlineStr"/>
      <c r="P787" s="4" t="inlineStr"/>
      <c r="Q787" s="4" t="inlineStr"/>
      <c r="R787" s="4" t="inlineStr">
        <is>
          <t>2026-03-12</t>
        </is>
      </c>
      <c r="S787" s="4" t="inlineStr"/>
    </row>
    <row r="788">
      <c r="A788" s="10" t="inlineStr">
        <is>
          <t>F01174</t>
        </is>
      </c>
      <c r="B788" s="10" t="inlineStr">
        <is>
          <t>F01174</t>
        </is>
      </c>
      <c r="C788" s="10" t="inlineStr"/>
      <c r="D788" s="10" t="inlineStr">
        <is>
          <t>6009697451786</t>
        </is>
      </c>
      <c r="E788" s="10" t="inlineStr">
        <is>
          <t>PEEL &amp; STICK TILES</t>
        </is>
      </c>
      <c r="F788" s="10" t="inlineStr"/>
      <c r="G788" s="10" t="inlineStr"/>
      <c r="H788" s="10" t="inlineStr"/>
      <c r="I788" s="11" t="n">
        <v>225</v>
      </c>
      <c r="J788" s="6" t="n">
        <v>15</v>
      </c>
      <c r="K788" s="7">
        <f>IF(I788="","",I788*(1+J788/100))</f>
        <v/>
      </c>
      <c r="L788" s="12" t="inlineStr"/>
      <c r="M788" s="8">
        <f>IF(OR(L788="",K788="",L788=0),"",
  (L788-K788)/L788*100)</f>
        <v/>
      </c>
      <c r="N788" s="9" t="inlineStr"/>
      <c r="O788" s="10" t="inlineStr"/>
      <c r="P788" s="10" t="inlineStr"/>
      <c r="Q788" s="10" t="inlineStr"/>
      <c r="R788" s="10" t="inlineStr">
        <is>
          <t>2026-03-12</t>
        </is>
      </c>
      <c r="S788" s="10" t="inlineStr"/>
    </row>
    <row r="789">
      <c r="A789" s="3" t="inlineStr">
        <is>
          <t>F01175</t>
        </is>
      </c>
      <c r="B789" s="4" t="inlineStr">
        <is>
          <t>F01175</t>
        </is>
      </c>
      <c r="C789" s="4" t="inlineStr"/>
      <c r="D789" s="4" t="inlineStr">
        <is>
          <t>6009697451694</t>
        </is>
      </c>
      <c r="E789" s="3" t="inlineStr">
        <is>
          <t>PEEL &amp; STICK TILES  CL2024</t>
        </is>
      </c>
      <c r="F789" s="4" t="inlineStr"/>
      <c r="G789" s="4" t="inlineStr"/>
      <c r="H789" s="4" t="inlineStr"/>
      <c r="I789" s="5" t="n">
        <v>225</v>
      </c>
      <c r="J789" s="6" t="n">
        <v>15</v>
      </c>
      <c r="K789" s="7">
        <f>IF(I789="","",I789*(1+J789/100))</f>
        <v/>
      </c>
      <c r="L789" s="12" t="inlineStr"/>
      <c r="M789" s="8">
        <f>IF(OR(L789="",K789="",L789=0),"",
  (L789-K789)/L789*100)</f>
        <v/>
      </c>
      <c r="N789" s="9" t="inlineStr"/>
      <c r="O789" s="4" t="inlineStr"/>
      <c r="P789" s="4" t="inlineStr"/>
      <c r="Q789" s="4" t="inlineStr"/>
      <c r="R789" s="4" t="inlineStr">
        <is>
          <t>2026-03-12</t>
        </is>
      </c>
      <c r="S789" s="4" t="inlineStr"/>
    </row>
    <row r="790">
      <c r="A790" s="10" t="inlineStr">
        <is>
          <t>F01178</t>
        </is>
      </c>
      <c r="B790" s="10" t="inlineStr">
        <is>
          <t>F01178</t>
        </is>
      </c>
      <c r="C790" s="10" t="inlineStr"/>
      <c r="D790" s="10" t="inlineStr">
        <is>
          <t>6009677011498</t>
        </is>
      </c>
      <c r="E790" s="10" t="inlineStr">
        <is>
          <t>DOOR PVC FOLDING BLACK H2.03MXW0.85M</t>
        </is>
      </c>
      <c r="F790" s="10" t="inlineStr"/>
      <c r="G790" s="10" t="inlineStr"/>
      <c r="H790" s="10" t="inlineStr"/>
      <c r="I790" s="11" t="n">
        <v>439</v>
      </c>
      <c r="J790" s="6" t="n">
        <v>15</v>
      </c>
      <c r="K790" s="7">
        <f>IF(I790="","",I790*(1+J790/100))</f>
        <v/>
      </c>
      <c r="L790" s="12" t="inlineStr"/>
      <c r="M790" s="8">
        <f>IF(OR(L790="",K790="",L790=0),"",
  (L790-K790)/L790*100)</f>
        <v/>
      </c>
      <c r="N790" s="9" t="inlineStr"/>
      <c r="O790" s="10" t="inlineStr"/>
      <c r="P790" s="10" t="inlineStr"/>
      <c r="Q790" s="10" t="inlineStr"/>
      <c r="R790" s="10" t="inlineStr">
        <is>
          <t>2026-03-12</t>
        </is>
      </c>
      <c r="S790" s="10" t="inlineStr"/>
    </row>
    <row r="791">
      <c r="A791" s="3" t="inlineStr">
        <is>
          <t>F01179</t>
        </is>
      </c>
      <c r="B791" s="4" t="inlineStr">
        <is>
          <t>F01179</t>
        </is>
      </c>
      <c r="C791" s="4" t="inlineStr">
        <is>
          <t>21200</t>
        </is>
      </c>
      <c r="D791" s="4" t="inlineStr">
        <is>
          <t>6910926965335</t>
        </is>
      </c>
      <c r="E791" s="3" t="inlineStr">
        <is>
          <t>MORTICE LOCK CHROME (5 LEVER)</t>
        </is>
      </c>
      <c r="F791" s="4" t="inlineStr"/>
      <c r="G791" s="4" t="inlineStr"/>
      <c r="H791" s="4" t="inlineStr"/>
      <c r="I791" s="5" t="n">
        <v>24.95</v>
      </c>
      <c r="J791" s="6" t="n">
        <v>15</v>
      </c>
      <c r="K791" s="7">
        <f>IF(I791="","",I791*(1+J791/100))</f>
        <v/>
      </c>
      <c r="L791" s="5" t="n">
        <v>89</v>
      </c>
      <c r="M791" s="8">
        <f>IF(OR(L791="",K791="",L791=0),"",
  (L791-K791)/L791*100)</f>
        <v/>
      </c>
      <c r="N791" s="14" t="n">
        <v>26</v>
      </c>
      <c r="O791" s="4" t="inlineStr"/>
      <c r="P791" s="4" t="inlineStr"/>
      <c r="Q791" s="4" t="inlineStr"/>
      <c r="R791" s="4" t="inlineStr">
        <is>
          <t>2026-03-12</t>
        </is>
      </c>
      <c r="S791" s="4" t="inlineStr"/>
    </row>
    <row r="792">
      <c r="A792" s="10" t="inlineStr">
        <is>
          <t>F01183</t>
        </is>
      </c>
      <c r="B792" s="10" t="inlineStr">
        <is>
          <t>F01183</t>
        </is>
      </c>
      <c r="C792" s="10" t="inlineStr"/>
      <c r="D792" s="10" t="inlineStr"/>
      <c r="E792" s="10" t="inlineStr">
        <is>
          <t>DAMAGED STEEL DOOR (SINGLE)</t>
        </is>
      </c>
      <c r="F792" s="10" t="inlineStr"/>
      <c r="G792" s="10" t="inlineStr"/>
      <c r="H792" s="10" t="inlineStr"/>
      <c r="I792" s="11" t="n">
        <v>1295</v>
      </c>
      <c r="J792" s="6" t="n">
        <v>15</v>
      </c>
      <c r="K792" s="7">
        <f>IF(I792="","",I792*(1+J792/100))</f>
        <v/>
      </c>
      <c r="L792" s="12" t="inlineStr"/>
      <c r="M792" s="8">
        <f>IF(OR(L792="",K792="",L792=0),"",
  (L792-K792)/L792*100)</f>
        <v/>
      </c>
      <c r="N792" s="9" t="inlineStr"/>
      <c r="O792" s="10" t="inlineStr"/>
      <c r="P792" s="10" t="inlineStr"/>
      <c r="Q792" s="10" t="inlineStr"/>
      <c r="R792" s="10" t="inlineStr">
        <is>
          <t>2026-03-12</t>
        </is>
      </c>
      <c r="S792" s="10" t="inlineStr"/>
    </row>
    <row r="793">
      <c r="A793" s="3" t="inlineStr">
        <is>
          <t>F01184</t>
        </is>
      </c>
      <c r="B793" s="4" t="inlineStr">
        <is>
          <t>F01184</t>
        </is>
      </c>
      <c r="C793" s="4" t="inlineStr"/>
      <c r="D793" s="4" t="inlineStr">
        <is>
          <t>6009708440082</t>
        </is>
      </c>
      <c r="E793" s="3" t="inlineStr">
        <is>
          <t>BOWL 4.5" DECAL ASSTD  DESIGN</t>
        </is>
      </c>
      <c r="F793" s="4" t="inlineStr"/>
      <c r="G793" s="4" t="inlineStr"/>
      <c r="H793" s="4" t="inlineStr"/>
      <c r="I793" s="5" t="n">
        <v>5.99</v>
      </c>
      <c r="J793" s="6" t="n">
        <v>15</v>
      </c>
      <c r="K793" s="7">
        <f>IF(I793="","",I793*(1+J793/100))</f>
        <v/>
      </c>
      <c r="L793" s="12" t="inlineStr"/>
      <c r="M793" s="8">
        <f>IF(OR(L793="",K793="",L793=0),"",
  (L793-K793)/L793*100)</f>
        <v/>
      </c>
      <c r="N793" s="14" t="n">
        <v>6588</v>
      </c>
      <c r="O793" s="4" t="inlineStr"/>
      <c r="P793" s="4" t="inlineStr"/>
      <c r="Q793" s="4" t="inlineStr"/>
      <c r="R793" s="4" t="inlineStr">
        <is>
          <t>2026-03-12</t>
        </is>
      </c>
      <c r="S793" s="4" t="inlineStr"/>
    </row>
    <row r="794">
      <c r="A794" s="10" t="inlineStr">
        <is>
          <t>F01185</t>
        </is>
      </c>
      <c r="B794" s="10" t="inlineStr">
        <is>
          <t>F01185</t>
        </is>
      </c>
      <c r="C794" s="10" t="inlineStr"/>
      <c r="D794" s="10" t="inlineStr">
        <is>
          <t>6009708440099</t>
        </is>
      </c>
      <c r="E794" s="10" t="inlineStr">
        <is>
          <t>BOWL 8'' ASSORTED COLORS - NEW</t>
        </is>
      </c>
      <c r="F794" s="10" t="inlineStr"/>
      <c r="G794" s="10" t="inlineStr"/>
      <c r="H794" s="10" t="inlineStr"/>
      <c r="I794" s="11" t="n">
        <v>9.949999999999999</v>
      </c>
      <c r="J794" s="6" t="n">
        <v>15</v>
      </c>
      <c r="K794" s="7">
        <f>IF(I794="","",I794*(1+J794/100))</f>
        <v/>
      </c>
      <c r="L794" s="12" t="inlineStr"/>
      <c r="M794" s="8">
        <f>IF(OR(L794="",K794="",L794=0),"",
  (L794-K794)/L794*100)</f>
        <v/>
      </c>
      <c r="N794" s="9" t="inlineStr"/>
      <c r="O794" s="10" t="inlineStr"/>
      <c r="P794" s="10" t="inlineStr"/>
      <c r="Q794" s="10" t="inlineStr"/>
      <c r="R794" s="10" t="inlineStr">
        <is>
          <t>2026-03-12</t>
        </is>
      </c>
      <c r="S794" s="10" t="inlineStr"/>
    </row>
    <row r="795">
      <c r="A795" s="3" t="inlineStr">
        <is>
          <t>F01186</t>
        </is>
      </c>
      <c r="B795" s="4" t="inlineStr">
        <is>
          <t>F01186</t>
        </is>
      </c>
      <c r="C795" s="4" t="inlineStr"/>
      <c r="D795" s="4" t="inlineStr">
        <is>
          <t>6009697459935</t>
        </is>
      </c>
      <c r="E795" s="3" t="inlineStr">
        <is>
          <t>PLATE SOUP DECAL ASSTD 9"(48/60)</t>
        </is>
      </c>
      <c r="F795" s="4" t="inlineStr"/>
      <c r="G795" s="4" t="inlineStr"/>
      <c r="H795" s="4" t="inlineStr"/>
      <c r="I795" s="5" t="n">
        <v>8.949999999999999</v>
      </c>
      <c r="J795" s="6" t="n">
        <v>15</v>
      </c>
      <c r="K795" s="7">
        <f>IF(I795="","",I795*(1+J795/100))</f>
        <v/>
      </c>
      <c r="L795" s="12" t="inlineStr"/>
      <c r="M795" s="8">
        <f>IF(OR(L795="",K795="",L795=0),"",
  (L795-K795)/L795*100)</f>
        <v/>
      </c>
      <c r="N795" s="14" t="n">
        <v>16622</v>
      </c>
      <c r="O795" s="4" t="inlineStr"/>
      <c r="P795" s="4" t="inlineStr"/>
      <c r="Q795" s="4" t="inlineStr"/>
      <c r="R795" s="4" t="inlineStr">
        <is>
          <t>2026-03-12</t>
        </is>
      </c>
      <c r="S795" s="4" t="inlineStr"/>
    </row>
    <row r="796">
      <c r="A796" s="10" t="inlineStr">
        <is>
          <t>F01187</t>
        </is>
      </c>
      <c r="B796" s="10" t="inlineStr">
        <is>
          <t>F01187</t>
        </is>
      </c>
      <c r="C796" s="10" t="inlineStr"/>
      <c r="D796" s="10" t="inlineStr">
        <is>
          <t>6009705652969</t>
        </is>
      </c>
      <c r="E796" s="10" t="inlineStr">
        <is>
          <t>MUG 18OZ GLAZED BLUE</t>
        </is>
      </c>
      <c r="F796" s="10" t="inlineStr"/>
      <c r="G796" s="10" t="inlineStr"/>
      <c r="H796" s="10" t="inlineStr"/>
      <c r="I796" s="11" t="n">
        <v>7.95</v>
      </c>
      <c r="J796" s="6" t="n">
        <v>15</v>
      </c>
      <c r="K796" s="7">
        <f>IF(I796="","",I796*(1+J796/100))</f>
        <v/>
      </c>
      <c r="L796" s="12" t="inlineStr"/>
      <c r="M796" s="8">
        <f>IF(OR(L796="",K796="",L796=0),"",
  (L796-K796)/L796*100)</f>
        <v/>
      </c>
      <c r="N796" s="9" t="inlineStr"/>
      <c r="O796" s="10" t="inlineStr"/>
      <c r="P796" s="10" t="inlineStr"/>
      <c r="Q796" s="10" t="inlineStr"/>
      <c r="R796" s="10" t="inlineStr">
        <is>
          <t>2026-03-12</t>
        </is>
      </c>
      <c r="S796" s="10" t="inlineStr"/>
    </row>
    <row r="797">
      <c r="A797" s="3" t="inlineStr">
        <is>
          <t>F01188</t>
        </is>
      </c>
      <c r="B797" s="4" t="inlineStr">
        <is>
          <t>F01188</t>
        </is>
      </c>
      <c r="C797" s="4" t="inlineStr"/>
      <c r="D797" s="4" t="inlineStr">
        <is>
          <t>6009697459942</t>
        </is>
      </c>
      <c r="E797" s="3" t="inlineStr">
        <is>
          <t>BOWL 8" GGK</t>
        </is>
      </c>
      <c r="F797" s="4" t="inlineStr"/>
      <c r="G797" s="4" t="inlineStr"/>
      <c r="H797" s="4" t="inlineStr"/>
      <c r="I797" s="5" t="n">
        <v>6.77</v>
      </c>
      <c r="J797" s="6" t="n">
        <v>15</v>
      </c>
      <c r="K797" s="7">
        <f>IF(I797="","",I797*(1+J797/100))</f>
        <v/>
      </c>
      <c r="L797" s="12" t="inlineStr"/>
      <c r="M797" s="8">
        <f>IF(OR(L797="",K797="",L797=0),"",
  (L797-K797)/L797*100)</f>
        <v/>
      </c>
      <c r="N797" s="9" t="inlineStr"/>
      <c r="O797" s="4" t="inlineStr"/>
      <c r="P797" s="4" t="inlineStr"/>
      <c r="Q797" s="4" t="inlineStr"/>
      <c r="R797" s="4" t="inlineStr">
        <is>
          <t>2026-03-12</t>
        </is>
      </c>
      <c r="S797" s="4" t="inlineStr"/>
    </row>
    <row r="798">
      <c r="A798" s="10" t="inlineStr">
        <is>
          <t>F01189</t>
        </is>
      </c>
      <c r="B798" s="10" t="inlineStr">
        <is>
          <t>F01189</t>
        </is>
      </c>
      <c r="C798" s="10" t="inlineStr"/>
      <c r="D798" s="10" t="inlineStr">
        <is>
          <t>6009697459959</t>
        </is>
      </c>
      <c r="E798" s="10" t="inlineStr">
        <is>
          <t>BOWL 10" GGK WHITE (GOLD LINE)</t>
        </is>
      </c>
      <c r="F798" s="10" t="inlineStr"/>
      <c r="G798" s="10" t="inlineStr"/>
      <c r="H798" s="10" t="inlineStr"/>
      <c r="I798" s="11" t="n">
        <v>9.619999999999999</v>
      </c>
      <c r="J798" s="6" t="n">
        <v>15</v>
      </c>
      <c r="K798" s="7">
        <f>IF(I798="","",I798*(1+J798/100))</f>
        <v/>
      </c>
      <c r="L798" s="12" t="inlineStr"/>
      <c r="M798" s="8">
        <f>IF(OR(L798="",K798="",L798=0),"",
  (L798-K798)/L798*100)</f>
        <v/>
      </c>
      <c r="N798" s="9" t="inlineStr"/>
      <c r="O798" s="10" t="inlineStr"/>
      <c r="P798" s="10" t="inlineStr"/>
      <c r="Q798" s="10" t="inlineStr"/>
      <c r="R798" s="10" t="inlineStr">
        <is>
          <t>2026-03-12</t>
        </is>
      </c>
      <c r="S798" s="10" t="inlineStr"/>
    </row>
    <row r="799">
      <c r="A799" s="3" t="inlineStr">
        <is>
          <t>F01190</t>
        </is>
      </c>
      <c r="B799" s="4" t="inlineStr">
        <is>
          <t>F01190</t>
        </is>
      </c>
      <c r="C799" s="4" t="inlineStr"/>
      <c r="D799" s="4" t="inlineStr">
        <is>
          <t>6009697459966</t>
        </is>
      </c>
      <c r="E799" s="3" t="inlineStr">
        <is>
          <t>BOWL 7" WHITE</t>
        </is>
      </c>
      <c r="F799" s="4" t="inlineStr"/>
      <c r="G799" s="4" t="inlineStr"/>
      <c r="H799" s="4" t="inlineStr"/>
      <c r="I799" s="5" t="n">
        <v>4.38</v>
      </c>
      <c r="J799" s="6" t="n">
        <v>15</v>
      </c>
      <c r="K799" s="7">
        <f>IF(I799="","",I799*(1+J799/100))</f>
        <v/>
      </c>
      <c r="L799" s="12" t="inlineStr"/>
      <c r="M799" s="8">
        <f>IF(OR(L799="",K799="",L799=0),"",
  (L799-K799)/L799*100)</f>
        <v/>
      </c>
      <c r="N799" s="9" t="inlineStr"/>
      <c r="O799" s="4" t="inlineStr"/>
      <c r="P799" s="4" t="inlineStr"/>
      <c r="Q799" s="4" t="inlineStr"/>
      <c r="R799" s="4" t="inlineStr">
        <is>
          <t>2026-03-12</t>
        </is>
      </c>
      <c r="S799" s="4" t="inlineStr"/>
    </row>
    <row r="800">
      <c r="A800" s="10" t="inlineStr">
        <is>
          <t>F01191</t>
        </is>
      </c>
      <c r="B800" s="10" t="inlineStr">
        <is>
          <t>F01191</t>
        </is>
      </c>
      <c r="C800" s="10" t="inlineStr"/>
      <c r="D800" s="10" t="inlineStr">
        <is>
          <t>6009708440105</t>
        </is>
      </c>
      <c r="E800" s="10" t="inlineStr">
        <is>
          <t>PLATE 10.5'' WHITE SQUARE DECAL</t>
        </is>
      </c>
      <c r="F800" s="10" t="inlineStr"/>
      <c r="G800" s="10" t="inlineStr"/>
      <c r="H800" s="10" t="inlineStr"/>
      <c r="I800" s="11" t="n">
        <v>9.31</v>
      </c>
      <c r="J800" s="6" t="n">
        <v>15</v>
      </c>
      <c r="K800" s="7">
        <f>IF(I800="","",I800*(1+J800/100))</f>
        <v/>
      </c>
      <c r="L800" s="12" t="inlineStr"/>
      <c r="M800" s="8">
        <f>IF(OR(L800="",K800="",L800=0),"",
  (L800-K800)/L800*100)</f>
        <v/>
      </c>
      <c r="N800" s="9" t="inlineStr"/>
      <c r="O800" s="10" t="inlineStr"/>
      <c r="P800" s="10" t="inlineStr"/>
      <c r="Q800" s="10" t="inlineStr"/>
      <c r="R800" s="10" t="inlineStr">
        <is>
          <t>2026-03-12</t>
        </is>
      </c>
      <c r="S800" s="10" t="inlineStr"/>
    </row>
    <row r="801">
      <c r="A801" s="3" t="inlineStr">
        <is>
          <t>F01193</t>
        </is>
      </c>
      <c r="B801" s="4" t="inlineStr">
        <is>
          <t>F01193</t>
        </is>
      </c>
      <c r="C801" s="4" t="inlineStr"/>
      <c r="D801" s="4" t="inlineStr">
        <is>
          <t>6009708440136</t>
        </is>
      </c>
      <c r="E801" s="3" t="inlineStr">
        <is>
          <t>MUG 11/12OZ 2 COLOUR STRAIGHT</t>
        </is>
      </c>
      <c r="F801" s="4" t="inlineStr"/>
      <c r="G801" s="4" t="inlineStr"/>
      <c r="H801" s="4" t="inlineStr"/>
      <c r="I801" s="5" t="n">
        <v>8.5</v>
      </c>
      <c r="J801" s="6" t="n">
        <v>15</v>
      </c>
      <c r="K801" s="7">
        <f>IF(I801="","",I801*(1+J801/100))</f>
        <v/>
      </c>
      <c r="L801" s="12" t="inlineStr"/>
      <c r="M801" s="8">
        <f>IF(OR(L801="",K801="",L801=0),"",
  (L801-K801)/L801*100)</f>
        <v/>
      </c>
      <c r="N801" s="14" t="n">
        <v>34748</v>
      </c>
      <c r="O801" s="4" t="inlineStr"/>
      <c r="P801" s="4" t="inlineStr"/>
      <c r="Q801" s="4" t="inlineStr"/>
      <c r="R801" s="4" t="inlineStr">
        <is>
          <t>2026-03-12</t>
        </is>
      </c>
      <c r="S801" s="4" t="inlineStr"/>
    </row>
    <row r="802">
      <c r="A802" s="10" t="inlineStr">
        <is>
          <t>F01194</t>
        </is>
      </c>
      <c r="B802" s="10" t="inlineStr">
        <is>
          <t>F01194</t>
        </is>
      </c>
      <c r="C802" s="10" t="inlineStr"/>
      <c r="D802" s="10" t="inlineStr">
        <is>
          <t>6009705652020</t>
        </is>
      </c>
      <c r="E802" s="10" t="inlineStr">
        <is>
          <t>MUG 12OZ ASSORTED DECAL</t>
        </is>
      </c>
      <c r="F802" s="10" t="inlineStr"/>
      <c r="G802" s="10" t="inlineStr"/>
      <c r="H802" s="10" t="inlineStr"/>
      <c r="I802" s="11" t="n">
        <v>8.5</v>
      </c>
      <c r="J802" s="6" t="n">
        <v>15</v>
      </c>
      <c r="K802" s="7">
        <f>IF(I802="","",I802*(1+J802/100))</f>
        <v/>
      </c>
      <c r="L802" s="12" t="inlineStr"/>
      <c r="M802" s="8">
        <f>IF(OR(L802="",K802="",L802=0),"",
  (L802-K802)/L802*100)</f>
        <v/>
      </c>
      <c r="N802" s="13" t="n">
        <v>10467</v>
      </c>
      <c r="O802" s="10" t="inlineStr"/>
      <c r="P802" s="10" t="inlineStr"/>
      <c r="Q802" s="10" t="inlineStr"/>
      <c r="R802" s="10" t="inlineStr">
        <is>
          <t>2026-03-12</t>
        </is>
      </c>
      <c r="S802" s="10" t="inlineStr"/>
    </row>
    <row r="803">
      <c r="A803" s="3" t="inlineStr">
        <is>
          <t>F01195</t>
        </is>
      </c>
      <c r="B803" s="4" t="inlineStr">
        <is>
          <t>F01195</t>
        </is>
      </c>
      <c r="C803" s="4" t="inlineStr"/>
      <c r="D803" s="4" t="inlineStr">
        <is>
          <t>6009708440143</t>
        </is>
      </c>
      <c r="E803" s="3" t="inlineStr">
        <is>
          <t>MUG 11OZ PORCELAIN GLAZE COFFEE BLOCK</t>
        </is>
      </c>
      <c r="F803" s="4" t="inlineStr"/>
      <c r="G803" s="4" t="inlineStr"/>
      <c r="H803" s="4" t="inlineStr"/>
      <c r="I803" s="5" t="n">
        <v>7.99</v>
      </c>
      <c r="J803" s="6" t="n">
        <v>15</v>
      </c>
      <c r="K803" s="7">
        <f>IF(I803="","",I803*(1+J803/100))</f>
        <v/>
      </c>
      <c r="L803" s="12" t="inlineStr"/>
      <c r="M803" s="8">
        <f>IF(OR(L803="",K803="",L803=0),"",
  (L803-K803)/L803*100)</f>
        <v/>
      </c>
      <c r="N803" s="14" t="n">
        <v>4800</v>
      </c>
      <c r="O803" s="4" t="inlineStr"/>
      <c r="P803" s="4" t="inlineStr"/>
      <c r="Q803" s="4" t="inlineStr"/>
      <c r="R803" s="4" t="inlineStr">
        <is>
          <t>2026-03-12</t>
        </is>
      </c>
      <c r="S803" s="4" t="inlineStr"/>
    </row>
    <row r="804">
      <c r="A804" s="10" t="inlineStr">
        <is>
          <t>F01196</t>
        </is>
      </c>
      <c r="B804" s="10" t="inlineStr">
        <is>
          <t>F01196</t>
        </is>
      </c>
      <c r="C804" s="10" t="inlineStr"/>
      <c r="D804" s="10" t="inlineStr">
        <is>
          <t>6009708440150</t>
        </is>
      </c>
      <c r="E804" s="10" t="inlineStr">
        <is>
          <t>MUG 11OZ PORCELAIN GLAZE COFFEE ASSORTED</t>
        </is>
      </c>
      <c r="F804" s="10" t="inlineStr"/>
      <c r="G804" s="10" t="inlineStr"/>
      <c r="H804" s="10" t="inlineStr"/>
      <c r="I804" s="11" t="n">
        <v>7.99</v>
      </c>
      <c r="J804" s="6" t="n">
        <v>15</v>
      </c>
      <c r="K804" s="7">
        <f>IF(I804="","",I804*(1+J804/100))</f>
        <v/>
      </c>
      <c r="L804" s="12" t="inlineStr"/>
      <c r="M804" s="8">
        <f>IF(OR(L804="",K804="",L804=0),"",
  (L804-K804)/L804*100)</f>
        <v/>
      </c>
      <c r="N804" s="13" t="n">
        <v>6000</v>
      </c>
      <c r="O804" s="10" t="inlineStr"/>
      <c r="P804" s="10" t="inlineStr"/>
      <c r="Q804" s="10" t="inlineStr"/>
      <c r="R804" s="10" t="inlineStr">
        <is>
          <t>2026-03-12</t>
        </is>
      </c>
      <c r="S804" s="10" t="inlineStr"/>
    </row>
    <row r="805">
      <c r="A805" s="3" t="inlineStr">
        <is>
          <t>F01197</t>
        </is>
      </c>
      <c r="B805" s="4" t="inlineStr">
        <is>
          <t>F01197</t>
        </is>
      </c>
      <c r="C805" s="4" t="inlineStr"/>
      <c r="D805" s="4" t="inlineStr">
        <is>
          <t>6009708440266</t>
        </is>
      </c>
      <c r="E805" s="3" t="inlineStr">
        <is>
          <t>CAMP  CHAIR 6006-1G</t>
        </is>
      </c>
      <c r="F805" s="4" t="inlineStr"/>
      <c r="G805" s="4" t="inlineStr"/>
      <c r="H805" s="4" t="inlineStr"/>
      <c r="I805" s="5" t="n">
        <v>125.95</v>
      </c>
      <c r="J805" s="6" t="n">
        <v>15</v>
      </c>
      <c r="K805" s="7">
        <f>IF(I805="","",I805*(1+J805/100))</f>
        <v/>
      </c>
      <c r="L805" s="12" t="inlineStr"/>
      <c r="M805" s="8">
        <f>IF(OR(L805="",K805="",L805=0),"",
  (L805-K805)/L805*100)</f>
        <v/>
      </c>
      <c r="N805" s="14" t="n">
        <v>2020</v>
      </c>
      <c r="O805" s="4" t="inlineStr"/>
      <c r="P805" s="4" t="inlineStr"/>
      <c r="Q805" s="4" t="inlineStr"/>
      <c r="R805" s="4" t="inlineStr">
        <is>
          <t>2026-03-12</t>
        </is>
      </c>
      <c r="S805" s="4" t="inlineStr"/>
    </row>
    <row r="806">
      <c r="A806" s="10" t="inlineStr">
        <is>
          <t>F01198</t>
        </is>
      </c>
      <c r="B806" s="10" t="inlineStr">
        <is>
          <t>F01198</t>
        </is>
      </c>
      <c r="C806" s="10" t="inlineStr"/>
      <c r="D806" s="10" t="inlineStr">
        <is>
          <t>6009708440273</t>
        </is>
      </c>
      <c r="E806" s="10" t="inlineStr">
        <is>
          <t>CAMP CHAIR BLUE 6006-1B</t>
        </is>
      </c>
      <c r="F806" s="10" t="inlineStr"/>
      <c r="G806" s="10" t="inlineStr"/>
      <c r="H806" s="10" t="inlineStr"/>
      <c r="I806" s="11" t="n">
        <v>199</v>
      </c>
      <c r="J806" s="6" t="n">
        <v>15</v>
      </c>
      <c r="K806" s="7">
        <f>IF(I806="","",I806*(1+J806/100))</f>
        <v/>
      </c>
      <c r="L806" s="12" t="inlineStr"/>
      <c r="M806" s="8">
        <f>IF(OR(L806="",K806="",L806=0),"",
  (L806-K806)/L806*100)</f>
        <v/>
      </c>
      <c r="N806" s="9" t="inlineStr"/>
      <c r="O806" s="10" t="inlineStr"/>
      <c r="P806" s="10" t="inlineStr"/>
      <c r="Q806" s="10" t="inlineStr"/>
      <c r="R806" s="10" t="inlineStr">
        <is>
          <t>2026-03-12</t>
        </is>
      </c>
      <c r="S806" s="10" t="inlineStr"/>
    </row>
    <row r="807">
      <c r="A807" s="3" t="inlineStr">
        <is>
          <t>F01199</t>
        </is>
      </c>
      <c r="B807" s="4" t="inlineStr">
        <is>
          <t>F01199</t>
        </is>
      </c>
      <c r="C807" s="4" t="inlineStr"/>
      <c r="D807" s="4" t="inlineStr">
        <is>
          <t>6009708440280</t>
        </is>
      </c>
      <c r="E807" s="3" t="inlineStr">
        <is>
          <t>502-1 BEACH UMBRELLA LARGE ZS-1</t>
        </is>
      </c>
      <c r="F807" s="4" t="inlineStr"/>
      <c r="G807" s="4" t="inlineStr"/>
      <c r="H807" s="4" t="inlineStr"/>
      <c r="I807" s="5" t="n">
        <v>229</v>
      </c>
      <c r="J807" s="6" t="n">
        <v>15</v>
      </c>
      <c r="K807" s="7">
        <f>IF(I807="","",I807*(1+J807/100))</f>
        <v/>
      </c>
      <c r="L807" s="12" t="inlineStr"/>
      <c r="M807" s="8">
        <f>IF(OR(L807="",K807="",L807=0),"",
  (L807-K807)/L807*100)</f>
        <v/>
      </c>
      <c r="N807" s="9" t="inlineStr"/>
      <c r="O807" s="4" t="inlineStr"/>
      <c r="P807" s="4" t="inlineStr"/>
      <c r="Q807" s="4" t="inlineStr"/>
      <c r="R807" s="4" t="inlineStr">
        <is>
          <t>2026-03-12</t>
        </is>
      </c>
      <c r="S807" s="4" t="inlineStr"/>
    </row>
    <row r="808">
      <c r="A808" s="10" t="inlineStr">
        <is>
          <t>F01200</t>
        </is>
      </c>
      <c r="B808" s="10" t="inlineStr">
        <is>
          <t>F01200</t>
        </is>
      </c>
      <c r="C808" s="10" t="inlineStr"/>
      <c r="D808" s="10" t="inlineStr">
        <is>
          <t>6009708440297</t>
        </is>
      </c>
      <c r="E808" s="10" t="inlineStr">
        <is>
          <t>502-2 BEACH UMBRELLA SMALL ZS-1</t>
        </is>
      </c>
      <c r="F808" s="10" t="inlineStr"/>
      <c r="G808" s="10" t="inlineStr"/>
      <c r="H808" s="10" t="inlineStr"/>
      <c r="I808" s="11" t="n">
        <v>78.95</v>
      </c>
      <c r="J808" s="6" t="n">
        <v>15</v>
      </c>
      <c r="K808" s="7">
        <f>IF(I808="","",I808*(1+J808/100))</f>
        <v/>
      </c>
      <c r="L808" s="12" t="inlineStr"/>
      <c r="M808" s="8">
        <f>IF(OR(L808="",K808="",L808=0),"",
  (L808-K808)/L808*100)</f>
        <v/>
      </c>
      <c r="N808" s="9" t="inlineStr"/>
      <c r="O808" s="10" t="inlineStr"/>
      <c r="P808" s="10" t="inlineStr"/>
      <c r="Q808" s="10" t="inlineStr"/>
      <c r="R808" s="10" t="inlineStr">
        <is>
          <t>2026-03-12</t>
        </is>
      </c>
      <c r="S808" s="10" t="inlineStr"/>
    </row>
    <row r="809">
      <c r="A809" s="3" t="inlineStr">
        <is>
          <t>F01201</t>
        </is>
      </c>
      <c r="B809" s="4" t="inlineStr">
        <is>
          <t>F01201</t>
        </is>
      </c>
      <c r="C809" s="4" t="inlineStr"/>
      <c r="D809" s="4" t="inlineStr">
        <is>
          <t>6009708440174</t>
        </is>
      </c>
      <c r="E809" s="3" t="inlineStr">
        <is>
          <t>(TY-12) MAT PLS7200 POLY PVC 48X78</t>
        </is>
      </c>
      <c r="F809" s="4" t="inlineStr"/>
      <c r="G809" s="4" t="inlineStr"/>
      <c r="H809" s="4" t="inlineStr"/>
      <c r="I809" s="5" t="n">
        <v>31.8</v>
      </c>
      <c r="J809" s="6" t="n">
        <v>15</v>
      </c>
      <c r="K809" s="7">
        <f>IF(I809="","",I809*(1+J809/100))</f>
        <v/>
      </c>
      <c r="L809" s="12" t="inlineStr"/>
      <c r="M809" s="8">
        <f>IF(OR(L809="",K809="",L809=0),"",
  (L809-K809)/L809*100)</f>
        <v/>
      </c>
      <c r="N809" s="9" t="inlineStr"/>
      <c r="O809" s="4" t="inlineStr"/>
      <c r="P809" s="4" t="inlineStr"/>
      <c r="Q809" s="4" t="inlineStr"/>
      <c r="R809" s="4" t="inlineStr">
        <is>
          <t>2026-03-12</t>
        </is>
      </c>
      <c r="S809" s="4" t="inlineStr"/>
    </row>
    <row r="810">
      <c r="A810" s="10" t="inlineStr">
        <is>
          <t>F01202</t>
        </is>
      </c>
      <c r="B810" s="10" t="inlineStr">
        <is>
          <t>F01202</t>
        </is>
      </c>
      <c r="C810" s="10" t="inlineStr"/>
      <c r="D810" s="10" t="inlineStr">
        <is>
          <t>6009708440181</t>
        </is>
      </c>
      <c r="E810" s="10" t="inlineStr">
        <is>
          <t>MAT PLS514 PVC BLK/SILVER 48X78</t>
        </is>
      </c>
      <c r="F810" s="10" t="inlineStr"/>
      <c r="G810" s="10" t="inlineStr"/>
      <c r="H810" s="10" t="inlineStr"/>
      <c r="I810" s="11" t="n">
        <v>63.95</v>
      </c>
      <c r="J810" s="6" t="n">
        <v>15</v>
      </c>
      <c r="K810" s="7">
        <f>IF(I810="","",I810*(1+J810/100))</f>
        <v/>
      </c>
      <c r="L810" s="12" t="inlineStr"/>
      <c r="M810" s="8">
        <f>IF(OR(L810="",K810="",L810=0),"",
  (L810-K810)/L810*100)</f>
        <v/>
      </c>
      <c r="N810" s="9" t="inlineStr"/>
      <c r="O810" s="10" t="inlineStr"/>
      <c r="P810" s="10" t="inlineStr"/>
      <c r="Q810" s="10" t="inlineStr"/>
      <c r="R810" s="10" t="inlineStr">
        <is>
          <t>2026-03-12</t>
        </is>
      </c>
      <c r="S810" s="10" t="inlineStr"/>
    </row>
    <row r="811">
      <c r="A811" s="3" t="inlineStr">
        <is>
          <t>F01203</t>
        </is>
      </c>
      <c r="B811" s="4" t="inlineStr">
        <is>
          <t>F01203</t>
        </is>
      </c>
      <c r="C811" s="4" t="inlineStr"/>
      <c r="D811" s="4" t="inlineStr">
        <is>
          <t>6009708440198</t>
        </is>
      </c>
      <c r="E811" s="3" t="inlineStr">
        <is>
          <t>MAT PLS513(508-10) WELCOME BLK/SILVER OV</t>
        </is>
      </c>
      <c r="F811" s="4" t="inlineStr"/>
      <c r="G811" s="4" t="inlineStr"/>
      <c r="H811" s="4" t="inlineStr"/>
      <c r="I811" s="5" t="n">
        <v>37.98</v>
      </c>
      <c r="J811" s="6" t="n">
        <v>15</v>
      </c>
      <c r="K811" s="7">
        <f>IF(I811="","",I811*(1+J811/100))</f>
        <v/>
      </c>
      <c r="L811" s="12" t="inlineStr"/>
      <c r="M811" s="8">
        <f>IF(OR(L811="",K811="",L811=0),"",
  (L811-K811)/L811*100)</f>
        <v/>
      </c>
      <c r="N811" s="9" t="inlineStr"/>
      <c r="O811" s="4" t="inlineStr"/>
      <c r="P811" s="4" t="inlineStr"/>
      <c r="Q811" s="4" t="inlineStr"/>
      <c r="R811" s="4" t="inlineStr">
        <is>
          <t>2026-03-12</t>
        </is>
      </c>
      <c r="S811" s="4" t="inlineStr"/>
    </row>
    <row r="812">
      <c r="A812" s="10" t="inlineStr">
        <is>
          <t>F01204</t>
        </is>
      </c>
      <c r="B812" s="10" t="inlineStr">
        <is>
          <t>F01204</t>
        </is>
      </c>
      <c r="C812" s="10" t="inlineStr"/>
      <c r="D812" s="10" t="inlineStr">
        <is>
          <t>6009677013720</t>
        </is>
      </c>
      <c r="E812" s="10" t="inlineStr">
        <is>
          <t>BOWL 8" SOUP FANCY DECAL PORCELAIN</t>
        </is>
      </c>
      <c r="F812" s="10" t="inlineStr"/>
      <c r="G812" s="10" t="inlineStr"/>
      <c r="H812" s="10" t="inlineStr"/>
      <c r="I812" s="11" t="n">
        <v>8.789999999999999</v>
      </c>
      <c r="J812" s="6" t="n">
        <v>15</v>
      </c>
      <c r="K812" s="7">
        <f>IF(I812="","",I812*(1+J812/100))</f>
        <v/>
      </c>
      <c r="L812" s="12" t="inlineStr"/>
      <c r="M812" s="8">
        <f>IF(OR(L812="",K812="",L812=0),"",
  (L812-K812)/L812*100)</f>
        <v/>
      </c>
      <c r="N812" s="13" t="n">
        <v>1735</v>
      </c>
      <c r="O812" s="10" t="inlineStr"/>
      <c r="P812" s="10" t="inlineStr"/>
      <c r="Q812" s="10" t="inlineStr"/>
      <c r="R812" s="10" t="inlineStr">
        <is>
          <t>2026-03-12</t>
        </is>
      </c>
      <c r="S812" s="10" t="inlineStr"/>
    </row>
    <row r="813">
      <c r="A813" s="3" t="inlineStr">
        <is>
          <t>F01205</t>
        </is>
      </c>
      <c r="B813" s="4" t="inlineStr">
        <is>
          <t>F01205</t>
        </is>
      </c>
      <c r="C813" s="4" t="inlineStr"/>
      <c r="D813" s="4" t="inlineStr">
        <is>
          <t>6009693153950</t>
        </is>
      </c>
      <c r="E813" s="3" t="inlineStr">
        <is>
          <t>CHAIR PLASTIC BLACK</t>
        </is>
      </c>
      <c r="F813" s="4" t="inlineStr"/>
      <c r="G813" s="4" t="inlineStr"/>
      <c r="H813" s="4" t="inlineStr"/>
      <c r="I813" s="5" t="n">
        <v>199</v>
      </c>
      <c r="J813" s="6" t="n">
        <v>15</v>
      </c>
      <c r="K813" s="7">
        <f>IF(I813="","",I813*(1+J813/100))</f>
        <v/>
      </c>
      <c r="L813" s="12" t="inlineStr"/>
      <c r="M813" s="8">
        <f>IF(OR(L813="",K813="",L813=0),"",
  (L813-K813)/L813*100)</f>
        <v/>
      </c>
      <c r="N813" s="9" t="inlineStr"/>
      <c r="O813" s="4" t="inlineStr"/>
      <c r="P813" s="4" t="inlineStr"/>
      <c r="Q813" s="4" t="inlineStr"/>
      <c r="R813" s="4" t="inlineStr">
        <is>
          <t>2026-03-12</t>
        </is>
      </c>
      <c r="S813" s="4" t="inlineStr"/>
    </row>
    <row r="814">
      <c r="A814" s="10" t="inlineStr">
        <is>
          <t>F01206</t>
        </is>
      </c>
      <c r="B814" s="10" t="inlineStr">
        <is>
          <t>F01206</t>
        </is>
      </c>
      <c r="C814" s="10" t="inlineStr"/>
      <c r="D814" s="10" t="inlineStr">
        <is>
          <t>6009693156746</t>
        </is>
      </c>
      <c r="E814" s="10" t="inlineStr">
        <is>
          <t>STOOL PLASTIC ASSRTD</t>
        </is>
      </c>
      <c r="F814" s="10" t="inlineStr"/>
      <c r="G814" s="10" t="inlineStr"/>
      <c r="H814" s="10" t="inlineStr"/>
      <c r="I814" s="11" t="n">
        <v>199</v>
      </c>
      <c r="J814" s="6" t="n">
        <v>15</v>
      </c>
      <c r="K814" s="7">
        <f>IF(I814="","",I814*(1+J814/100))</f>
        <v/>
      </c>
      <c r="L814" s="12" t="inlineStr"/>
      <c r="M814" s="8">
        <f>IF(OR(L814="",K814="",L814=0),"",
  (L814-K814)/L814*100)</f>
        <v/>
      </c>
      <c r="N814" s="9" t="inlineStr"/>
      <c r="O814" s="10" t="inlineStr"/>
      <c r="P814" s="10" t="inlineStr"/>
      <c r="Q814" s="10" t="inlineStr"/>
      <c r="R814" s="10" t="inlineStr">
        <is>
          <t>2026-03-12</t>
        </is>
      </c>
      <c r="S814" s="10" t="inlineStr"/>
    </row>
    <row r="815">
      <c r="A815" s="3" t="inlineStr">
        <is>
          <t>F01207</t>
        </is>
      </c>
      <c r="B815" s="4" t="inlineStr">
        <is>
          <t>F01207</t>
        </is>
      </c>
      <c r="C815" s="4" t="inlineStr"/>
      <c r="D815" s="4" t="inlineStr">
        <is>
          <t>6009693156784</t>
        </is>
      </c>
      <c r="E815" s="3" t="inlineStr">
        <is>
          <t>STOOL PLASTIC BLACK</t>
        </is>
      </c>
      <c r="F815" s="4" t="inlineStr"/>
      <c r="G815" s="4" t="inlineStr"/>
      <c r="H815" s="4" t="inlineStr"/>
      <c r="I815" s="5" t="n">
        <v>199</v>
      </c>
      <c r="J815" s="6" t="n">
        <v>15</v>
      </c>
      <c r="K815" s="7">
        <f>IF(I815="","",I815*(1+J815/100))</f>
        <v/>
      </c>
      <c r="L815" s="12" t="inlineStr"/>
      <c r="M815" s="8">
        <f>IF(OR(L815="",K815="",L815=0),"",
  (L815-K815)/L815*100)</f>
        <v/>
      </c>
      <c r="N815" s="9" t="inlineStr"/>
      <c r="O815" s="4" t="inlineStr"/>
      <c r="P815" s="4" t="inlineStr"/>
      <c r="Q815" s="4" t="inlineStr"/>
      <c r="R815" s="4" t="inlineStr">
        <is>
          <t>2026-03-12</t>
        </is>
      </c>
      <c r="S815" s="4" t="inlineStr"/>
    </row>
    <row r="816">
      <c r="A816" s="10" t="inlineStr">
        <is>
          <t>F01208</t>
        </is>
      </c>
      <c r="B816" s="10" t="inlineStr">
        <is>
          <t>F01208</t>
        </is>
      </c>
      <c r="C816" s="10" t="inlineStr"/>
      <c r="D816" s="10" t="inlineStr">
        <is>
          <t>6009693156760</t>
        </is>
      </c>
      <c r="E816" s="10" t="inlineStr">
        <is>
          <t>LAUNDRY BASKET ASSRTD</t>
        </is>
      </c>
      <c r="F816" s="10" t="inlineStr"/>
      <c r="G816" s="10" t="inlineStr"/>
      <c r="H816" s="10" t="inlineStr"/>
      <c r="I816" s="11" t="n">
        <v>199</v>
      </c>
      <c r="J816" s="6" t="n">
        <v>15</v>
      </c>
      <c r="K816" s="7">
        <f>IF(I816="","",I816*(1+J816/100))</f>
        <v/>
      </c>
      <c r="L816" s="12" t="inlineStr"/>
      <c r="M816" s="8">
        <f>IF(OR(L816="",K816="",L816=0),"",
  (L816-K816)/L816*100)</f>
        <v/>
      </c>
      <c r="N816" s="9" t="inlineStr"/>
      <c r="O816" s="10" t="inlineStr"/>
      <c r="P816" s="10" t="inlineStr"/>
      <c r="Q816" s="10" t="inlineStr"/>
      <c r="R816" s="10" t="inlineStr">
        <is>
          <t>2026-03-12</t>
        </is>
      </c>
      <c r="S816" s="10" t="inlineStr"/>
    </row>
    <row r="817">
      <c r="A817" s="3" t="inlineStr">
        <is>
          <t>F01209</t>
        </is>
      </c>
      <c r="B817" s="4" t="inlineStr">
        <is>
          <t>F01209</t>
        </is>
      </c>
      <c r="C817" s="4" t="inlineStr"/>
      <c r="D817" s="4" t="inlineStr">
        <is>
          <t>6009693156739</t>
        </is>
      </c>
      <c r="E817" s="3" t="inlineStr">
        <is>
          <t>OVAL TUB ASSORTED 50L</t>
        </is>
      </c>
      <c r="F817" s="4" t="inlineStr"/>
      <c r="G817" s="4" t="inlineStr"/>
      <c r="H817" s="4" t="inlineStr"/>
      <c r="I817" s="5" t="n">
        <v>199</v>
      </c>
      <c r="J817" s="6" t="n">
        <v>15</v>
      </c>
      <c r="K817" s="7">
        <f>IF(I817="","",I817*(1+J817/100))</f>
        <v/>
      </c>
      <c r="L817" s="12" t="inlineStr"/>
      <c r="M817" s="8">
        <f>IF(OR(L817="",K817="",L817=0),"",
  (L817-K817)/L817*100)</f>
        <v/>
      </c>
      <c r="N817" s="9" t="inlineStr"/>
      <c r="O817" s="4" t="inlineStr"/>
      <c r="P817" s="4" t="inlineStr"/>
      <c r="Q817" s="4" t="inlineStr"/>
      <c r="R817" s="4" t="inlineStr">
        <is>
          <t>2026-03-12</t>
        </is>
      </c>
      <c r="S817" s="4" t="inlineStr"/>
    </row>
    <row r="818">
      <c r="A818" s="10" t="inlineStr">
        <is>
          <t>F01210</t>
        </is>
      </c>
      <c r="B818" s="10" t="inlineStr">
        <is>
          <t>F01210</t>
        </is>
      </c>
      <c r="C818" s="10" t="inlineStr"/>
      <c r="D818" s="10" t="inlineStr">
        <is>
          <t>6009693154445</t>
        </is>
      </c>
      <c r="E818" s="10" t="inlineStr">
        <is>
          <t>OVAL TUB ASSORTED 90L</t>
        </is>
      </c>
      <c r="F818" s="10" t="inlineStr"/>
      <c r="G818" s="10" t="inlineStr"/>
      <c r="H818" s="10" t="inlineStr"/>
      <c r="I818" s="11" t="n">
        <v>199</v>
      </c>
      <c r="J818" s="6" t="n">
        <v>15</v>
      </c>
      <c r="K818" s="7">
        <f>IF(I818="","",I818*(1+J818/100))</f>
        <v/>
      </c>
      <c r="L818" s="12" t="inlineStr"/>
      <c r="M818" s="8">
        <f>IF(OR(L818="",K818="",L818=0),"",
  (L818-K818)/L818*100)</f>
        <v/>
      </c>
      <c r="N818" s="9" t="inlineStr"/>
      <c r="O818" s="10" t="inlineStr"/>
      <c r="P818" s="10" t="inlineStr"/>
      <c r="Q818" s="10" t="inlineStr"/>
      <c r="R818" s="10" t="inlineStr">
        <is>
          <t>2026-03-12</t>
        </is>
      </c>
      <c r="S818" s="10" t="inlineStr"/>
    </row>
    <row r="819">
      <c r="A819" s="3" t="inlineStr">
        <is>
          <t>F01211</t>
        </is>
      </c>
      <c r="B819" s="4" t="inlineStr">
        <is>
          <t>F01211</t>
        </is>
      </c>
      <c r="C819" s="4" t="inlineStr"/>
      <c r="D819" s="4" t="inlineStr">
        <is>
          <t>6009699090471</t>
        </is>
      </c>
      <c r="E819" s="3" t="inlineStr">
        <is>
          <t>BATH BABY</t>
        </is>
      </c>
      <c r="F819" s="4" t="inlineStr"/>
      <c r="G819" s="4" t="inlineStr"/>
      <c r="H819" s="4" t="inlineStr"/>
      <c r="I819" s="5" t="n">
        <v>27.95</v>
      </c>
      <c r="J819" s="6" t="n">
        <v>15</v>
      </c>
      <c r="K819" s="7">
        <f>IF(I819="","",I819*(1+J819/100))</f>
        <v/>
      </c>
      <c r="L819" s="12" t="inlineStr"/>
      <c r="M819" s="8">
        <f>IF(OR(L819="",K819="",L819=0),"",
  (L819-K819)/L819*100)</f>
        <v/>
      </c>
      <c r="N819" s="14" t="n">
        <v>151</v>
      </c>
      <c r="O819" s="4" t="inlineStr"/>
      <c r="P819" s="4" t="inlineStr"/>
      <c r="Q819" s="4" t="inlineStr"/>
      <c r="R819" s="4" t="inlineStr">
        <is>
          <t>2026-03-12</t>
        </is>
      </c>
      <c r="S819" s="4" t="inlineStr"/>
    </row>
    <row r="820">
      <c r="A820" s="10" t="inlineStr">
        <is>
          <t>F01212</t>
        </is>
      </c>
      <c r="B820" s="10" t="inlineStr">
        <is>
          <t>F01212</t>
        </is>
      </c>
      <c r="C820" s="10" t="inlineStr"/>
      <c r="D820" s="10" t="inlineStr">
        <is>
          <t>6009693154452</t>
        </is>
      </c>
      <c r="E820" s="10" t="inlineStr">
        <is>
          <t>PLASTIC BASIN ASSRTD</t>
        </is>
      </c>
      <c r="F820" s="10" t="inlineStr"/>
      <c r="G820" s="10" t="inlineStr"/>
      <c r="H820" s="10" t="inlineStr"/>
      <c r="I820" s="11" t="n">
        <v>199</v>
      </c>
      <c r="J820" s="6" t="n">
        <v>15</v>
      </c>
      <c r="K820" s="7">
        <f>IF(I820="","",I820*(1+J820/100))</f>
        <v/>
      </c>
      <c r="L820" s="12" t="inlineStr"/>
      <c r="M820" s="8">
        <f>IF(OR(L820="",K820="",L820=0),"",
  (L820-K820)/L820*100)</f>
        <v/>
      </c>
      <c r="N820" s="9" t="inlineStr"/>
      <c r="O820" s="10" t="inlineStr"/>
      <c r="P820" s="10" t="inlineStr"/>
      <c r="Q820" s="10" t="inlineStr"/>
      <c r="R820" s="10" t="inlineStr">
        <is>
          <t>2026-03-12</t>
        </is>
      </c>
      <c r="S820" s="10" t="inlineStr"/>
    </row>
    <row r="821">
      <c r="A821" s="3" t="inlineStr">
        <is>
          <t>F01213</t>
        </is>
      </c>
      <c r="B821" s="4" t="inlineStr">
        <is>
          <t>F01213</t>
        </is>
      </c>
      <c r="C821" s="4" t="inlineStr"/>
      <c r="D821" s="4" t="inlineStr">
        <is>
          <t>0700083657268</t>
        </is>
      </c>
      <c r="E821" s="3" t="inlineStr">
        <is>
          <t>PLASTIC JUG 1L</t>
        </is>
      </c>
      <c r="F821" s="4" t="inlineStr"/>
      <c r="G821" s="4" t="inlineStr"/>
      <c r="H821" s="4" t="inlineStr"/>
      <c r="I821" s="5" t="n">
        <v>199</v>
      </c>
      <c r="J821" s="6" t="n">
        <v>15</v>
      </c>
      <c r="K821" s="7">
        <f>IF(I821="","",I821*(1+J821/100))</f>
        <v/>
      </c>
      <c r="L821" s="12" t="inlineStr"/>
      <c r="M821" s="8">
        <f>IF(OR(L821="",K821="",L821=0),"",
  (L821-K821)/L821*100)</f>
        <v/>
      </c>
      <c r="N821" s="9" t="inlineStr"/>
      <c r="O821" s="4" t="inlineStr"/>
      <c r="P821" s="4" t="inlineStr"/>
      <c r="Q821" s="4" t="inlineStr"/>
      <c r="R821" s="4" t="inlineStr">
        <is>
          <t>2026-03-12</t>
        </is>
      </c>
      <c r="S821" s="4" t="inlineStr"/>
    </row>
    <row r="822">
      <c r="A822" s="10" t="inlineStr">
        <is>
          <t>F01214</t>
        </is>
      </c>
      <c r="B822" s="10" t="inlineStr">
        <is>
          <t>F01214</t>
        </is>
      </c>
      <c r="C822" s="10" t="inlineStr"/>
      <c r="D822" s="10" t="inlineStr">
        <is>
          <t>6009697459997</t>
        </is>
      </c>
      <c r="E822" s="10" t="inlineStr">
        <is>
          <t>7.5" PLATE SIDE PLATE WHITE</t>
        </is>
      </c>
      <c r="F822" s="10" t="inlineStr"/>
      <c r="G822" s="10" t="inlineStr"/>
      <c r="H822" s="10" t="inlineStr"/>
      <c r="I822" s="11" t="n">
        <v>3.97</v>
      </c>
      <c r="J822" s="6" t="n">
        <v>15</v>
      </c>
      <c r="K822" s="7">
        <f>IF(I822="","",I822*(1+J822/100))</f>
        <v/>
      </c>
      <c r="L822" s="12" t="inlineStr"/>
      <c r="M822" s="8">
        <f>IF(OR(L822="",K822="",L822=0),"",
  (L822-K822)/L822*100)</f>
        <v/>
      </c>
      <c r="N822" s="9" t="inlineStr"/>
      <c r="O822" s="10" t="inlineStr"/>
      <c r="P822" s="10" t="inlineStr"/>
      <c r="Q822" s="10" t="inlineStr"/>
      <c r="R822" s="10" t="inlineStr">
        <is>
          <t>2026-03-12</t>
        </is>
      </c>
      <c r="S822" s="10" t="inlineStr"/>
    </row>
    <row r="823">
      <c r="A823" s="3" t="inlineStr">
        <is>
          <t>F01215</t>
        </is>
      </c>
      <c r="B823" s="4" t="inlineStr">
        <is>
          <t>F01215</t>
        </is>
      </c>
      <c r="C823" s="4" t="inlineStr"/>
      <c r="D823" s="4" t="inlineStr">
        <is>
          <t>1070980202601</t>
        </is>
      </c>
      <c r="E823" s="3" t="inlineStr">
        <is>
          <t>DRINK SET GLORIA PB-349/PC793-5/PC793-6/</t>
        </is>
      </c>
      <c r="F823" s="4" t="inlineStr"/>
      <c r="G823" s="4" t="inlineStr"/>
      <c r="H823" s="4" t="inlineStr"/>
      <c r="I823" s="5" t="n">
        <v>32.44</v>
      </c>
      <c r="J823" s="6" t="n">
        <v>15</v>
      </c>
      <c r="K823" s="7">
        <f>IF(I823="","",I823*(1+J823/100))</f>
        <v/>
      </c>
      <c r="L823" s="12" t="inlineStr"/>
      <c r="M823" s="8">
        <f>IF(OR(L823="",K823="",L823=0),"",
  (L823-K823)/L823*100)</f>
        <v/>
      </c>
      <c r="N823" s="9" t="inlineStr"/>
      <c r="O823" s="4" t="inlineStr"/>
      <c r="P823" s="4" t="inlineStr"/>
      <c r="Q823" s="4" t="inlineStr"/>
      <c r="R823" s="4" t="inlineStr">
        <is>
          <t>2026-03-12</t>
        </is>
      </c>
      <c r="S823" s="4" t="inlineStr"/>
    </row>
    <row r="824">
      <c r="A824" s="10" t="inlineStr">
        <is>
          <t>F01216</t>
        </is>
      </c>
      <c r="B824" s="10" t="inlineStr">
        <is>
          <t>F01216</t>
        </is>
      </c>
      <c r="C824" s="10" t="inlineStr"/>
      <c r="D824" s="10" t="inlineStr">
        <is>
          <t>6001224370294</t>
        </is>
      </c>
      <c r="E824" s="10" t="inlineStr">
        <is>
          <t>DRINK SET 7 PC JH-791227 AILSA</t>
        </is>
      </c>
      <c r="F824" s="10" t="inlineStr"/>
      <c r="G824" s="10" t="inlineStr"/>
      <c r="H824" s="10" t="inlineStr"/>
      <c r="I824" s="11" t="n">
        <v>31.63</v>
      </c>
      <c r="J824" s="6" t="n">
        <v>15</v>
      </c>
      <c r="K824" s="7">
        <f>IF(I824="","",I824*(1+J824/100))</f>
        <v/>
      </c>
      <c r="L824" s="12" t="inlineStr"/>
      <c r="M824" s="8">
        <f>IF(OR(L824="",K824="",L824=0),"",
  (L824-K824)/L824*100)</f>
        <v/>
      </c>
      <c r="N824" s="9" t="inlineStr"/>
      <c r="O824" s="10" t="inlineStr"/>
      <c r="P824" s="10" t="inlineStr"/>
      <c r="Q824" s="10" t="inlineStr"/>
      <c r="R824" s="10" t="inlineStr">
        <is>
          <t>2026-03-12</t>
        </is>
      </c>
      <c r="S824" s="10" t="inlineStr"/>
    </row>
    <row r="825">
      <c r="A825" s="3" t="inlineStr">
        <is>
          <t>F01217</t>
        </is>
      </c>
      <c r="B825" s="4" t="inlineStr">
        <is>
          <t>F01217</t>
        </is>
      </c>
      <c r="C825" s="4" t="inlineStr"/>
      <c r="D825" s="4" t="inlineStr">
        <is>
          <t>6001224370621</t>
        </is>
      </c>
      <c r="E825" s="3" t="inlineStr">
        <is>
          <t>DRINK SET 7PC 7912311 NICOLE</t>
        </is>
      </c>
      <c r="F825" s="4" t="inlineStr"/>
      <c r="G825" s="4" t="inlineStr"/>
      <c r="H825" s="4" t="inlineStr"/>
      <c r="I825" s="5" t="n">
        <v>44.95</v>
      </c>
      <c r="J825" s="6" t="n">
        <v>15</v>
      </c>
      <c r="K825" s="7">
        <f>IF(I825="","",I825*(1+J825/100))</f>
        <v/>
      </c>
      <c r="L825" s="12" t="inlineStr"/>
      <c r="M825" s="8">
        <f>IF(OR(L825="",K825="",L825=0),"",
  (L825-K825)/L825*100)</f>
        <v/>
      </c>
      <c r="N825" s="9" t="inlineStr"/>
      <c r="O825" s="4" t="inlineStr"/>
      <c r="P825" s="4" t="inlineStr"/>
      <c r="Q825" s="4" t="inlineStr"/>
      <c r="R825" s="4" t="inlineStr">
        <is>
          <t>2026-03-12</t>
        </is>
      </c>
      <c r="S825" s="4" t="inlineStr"/>
    </row>
    <row r="826">
      <c r="A826" s="10" t="inlineStr">
        <is>
          <t>F01218</t>
        </is>
      </c>
      <c r="B826" s="10" t="inlineStr">
        <is>
          <t>F01218</t>
        </is>
      </c>
      <c r="C826" s="10" t="inlineStr"/>
      <c r="D826" s="10" t="inlineStr">
        <is>
          <t>1070980216080</t>
        </is>
      </c>
      <c r="E826" s="10" t="inlineStr">
        <is>
          <t>DRINK SET 7PC SABINA (PA1000-3/PC793-2/P</t>
        </is>
      </c>
      <c r="F826" s="10" t="inlineStr"/>
      <c r="G826" s="10" t="inlineStr"/>
      <c r="H826" s="10" t="inlineStr"/>
      <c r="I826" s="11" t="n">
        <v>33.24</v>
      </c>
      <c r="J826" s="6" t="n">
        <v>15</v>
      </c>
      <c r="K826" s="7">
        <f>IF(I826="","",I826*(1+J826/100))</f>
        <v/>
      </c>
      <c r="L826" s="12" t="inlineStr"/>
      <c r="M826" s="8">
        <f>IF(OR(L826="",K826="",L826=0),"",
  (L826-K826)/L826*100)</f>
        <v/>
      </c>
      <c r="N826" s="9" t="inlineStr"/>
      <c r="O826" s="10" t="inlineStr"/>
      <c r="P826" s="10" t="inlineStr"/>
      <c r="Q826" s="10" t="inlineStr"/>
      <c r="R826" s="10" t="inlineStr">
        <is>
          <t>2026-03-12</t>
        </is>
      </c>
      <c r="S826" s="10" t="inlineStr"/>
    </row>
    <row r="827">
      <c r="A827" s="3" t="inlineStr">
        <is>
          <t>F01219</t>
        </is>
      </c>
      <c r="B827" s="4" t="inlineStr">
        <is>
          <t>F01219</t>
        </is>
      </c>
      <c r="C827" s="4" t="inlineStr"/>
      <c r="D827" s="4" t="inlineStr">
        <is>
          <t>6009705651733</t>
        </is>
      </c>
      <c r="E827" s="3" t="inlineStr">
        <is>
          <t>BASIN ENAMEL NON CHIP 45CM</t>
        </is>
      </c>
      <c r="F827" s="4" t="inlineStr"/>
      <c r="G827" s="4" t="inlineStr"/>
      <c r="H827" s="4" t="inlineStr"/>
      <c r="I827" s="5" t="n">
        <v>29.95</v>
      </c>
      <c r="J827" s="6" t="n">
        <v>15</v>
      </c>
      <c r="K827" s="7">
        <f>IF(I827="","",I827*(1+J827/100))</f>
        <v/>
      </c>
      <c r="L827" s="12" t="inlineStr"/>
      <c r="M827" s="8">
        <f>IF(OR(L827="",K827="",L827=0),"",
  (L827-K827)/L827*100)</f>
        <v/>
      </c>
      <c r="N827" s="9" t="inlineStr"/>
      <c r="O827" s="4" t="inlineStr"/>
      <c r="P827" s="4" t="inlineStr"/>
      <c r="Q827" s="4" t="inlineStr"/>
      <c r="R827" s="4" t="inlineStr">
        <is>
          <t>2026-03-12</t>
        </is>
      </c>
      <c r="S827" s="4" t="inlineStr"/>
    </row>
    <row r="828">
      <c r="A828" s="10" t="inlineStr">
        <is>
          <t>F01220</t>
        </is>
      </c>
      <c r="B828" s="10" t="inlineStr">
        <is>
          <t>F01220</t>
        </is>
      </c>
      <c r="C828" s="10" t="inlineStr"/>
      <c r="D828" s="10" t="inlineStr">
        <is>
          <t>6009705761740</t>
        </is>
      </c>
      <c r="E828" s="10" t="inlineStr">
        <is>
          <t>BASIN ENAMEL NON CHIP 50CM</t>
        </is>
      </c>
      <c r="F828" s="10" t="inlineStr"/>
      <c r="G828" s="10" t="inlineStr"/>
      <c r="H828" s="10" t="inlineStr"/>
      <c r="I828" s="11" t="n">
        <v>38.95</v>
      </c>
      <c r="J828" s="6" t="n">
        <v>15</v>
      </c>
      <c r="K828" s="7">
        <f>IF(I828="","",I828*(1+J828/100))</f>
        <v/>
      </c>
      <c r="L828" s="12" t="inlineStr"/>
      <c r="M828" s="8">
        <f>IF(OR(L828="",K828="",L828=0),"",
  (L828-K828)/L828*100)</f>
        <v/>
      </c>
      <c r="N828" s="9" t="inlineStr"/>
      <c r="O828" s="10" t="inlineStr"/>
      <c r="P828" s="10" t="inlineStr"/>
      <c r="Q828" s="10" t="inlineStr"/>
      <c r="R828" s="10" t="inlineStr">
        <is>
          <t>2026-03-12</t>
        </is>
      </c>
      <c r="S828" s="10" t="inlineStr"/>
    </row>
    <row r="829">
      <c r="A829" s="3" t="inlineStr">
        <is>
          <t>F01221</t>
        </is>
      </c>
      <c r="B829" s="4" t="inlineStr">
        <is>
          <t>F01221</t>
        </is>
      </c>
      <c r="C829" s="4" t="inlineStr"/>
      <c r="D829" s="4" t="inlineStr">
        <is>
          <t>6009705651757</t>
        </is>
      </c>
      <c r="E829" s="3" t="inlineStr">
        <is>
          <t>BASIN ENAMEL NON CHIP 60CM</t>
        </is>
      </c>
      <c r="F829" s="4" t="inlineStr"/>
      <c r="G829" s="4" t="inlineStr"/>
      <c r="H829" s="4" t="inlineStr"/>
      <c r="I829" s="5" t="n">
        <v>49.95</v>
      </c>
      <c r="J829" s="6" t="n">
        <v>15</v>
      </c>
      <c r="K829" s="7">
        <f>IF(I829="","",I829*(1+J829/100))</f>
        <v/>
      </c>
      <c r="L829" s="12" t="inlineStr"/>
      <c r="M829" s="8">
        <f>IF(OR(L829="",K829="",L829=0),"",
  (L829-K829)/L829*100)</f>
        <v/>
      </c>
      <c r="N829" s="9" t="inlineStr"/>
      <c r="O829" s="4" t="inlineStr"/>
      <c r="P829" s="4" t="inlineStr"/>
      <c r="Q829" s="4" t="inlineStr"/>
      <c r="R829" s="4" t="inlineStr">
        <is>
          <t>2026-03-12</t>
        </is>
      </c>
      <c r="S829" s="4" t="inlineStr"/>
    </row>
    <row r="830">
      <c r="A830" s="10" t="inlineStr">
        <is>
          <t>F01222</t>
        </is>
      </c>
      <c r="B830" s="10" t="inlineStr">
        <is>
          <t>F01222</t>
        </is>
      </c>
      <c r="C830" s="10" t="inlineStr"/>
      <c r="D830" s="10" t="inlineStr">
        <is>
          <t>6009705651764</t>
        </is>
      </c>
      <c r="E830" s="10" t="inlineStr">
        <is>
          <t>BASIN ENAMEL NON CHIP 70CM</t>
        </is>
      </c>
      <c r="F830" s="10" t="inlineStr"/>
      <c r="G830" s="10" t="inlineStr"/>
      <c r="H830" s="10" t="inlineStr"/>
      <c r="I830" s="11" t="n">
        <v>68.95</v>
      </c>
      <c r="J830" s="6" t="n">
        <v>15</v>
      </c>
      <c r="K830" s="7">
        <f>IF(I830="","",I830*(1+J830/100))</f>
        <v/>
      </c>
      <c r="L830" s="12" t="inlineStr"/>
      <c r="M830" s="8">
        <f>IF(OR(L830="",K830="",L830=0),"",
  (L830-K830)/L830*100)</f>
        <v/>
      </c>
      <c r="N830" s="9" t="inlineStr"/>
      <c r="O830" s="10" t="inlineStr"/>
      <c r="P830" s="10" t="inlineStr"/>
      <c r="Q830" s="10" t="inlineStr"/>
      <c r="R830" s="10" t="inlineStr">
        <is>
          <t>2026-03-12</t>
        </is>
      </c>
      <c r="S830" s="10" t="inlineStr"/>
    </row>
    <row r="831">
      <c r="A831" s="3" t="inlineStr">
        <is>
          <t>F01224</t>
        </is>
      </c>
      <c r="B831" s="4" t="inlineStr">
        <is>
          <t>F01224</t>
        </is>
      </c>
      <c r="C831" s="4" t="inlineStr"/>
      <c r="D831" s="4" t="inlineStr">
        <is>
          <t>6009677010576</t>
        </is>
      </c>
      <c r="E831" s="3" t="inlineStr">
        <is>
          <t>BY-112 PVC CEILING 3900*300*6MM</t>
        </is>
      </c>
      <c r="F831" s="4" t="inlineStr"/>
      <c r="G831" s="4" t="inlineStr"/>
      <c r="H831" s="4" t="inlineStr"/>
      <c r="I831" s="5" t="n">
        <v>355.21</v>
      </c>
      <c r="J831" s="6" t="n">
        <v>15</v>
      </c>
      <c r="K831" s="7">
        <f>IF(I831="","",I831*(1+J831/100))</f>
        <v/>
      </c>
      <c r="L831" s="12" t="inlineStr"/>
      <c r="M831" s="8">
        <f>IF(OR(L831="",K831="",L831=0),"",
  (L831-K831)/L831*100)</f>
        <v/>
      </c>
      <c r="N831" s="9" t="inlineStr"/>
      <c r="O831" s="4" t="inlineStr"/>
      <c r="P831" s="4" t="inlineStr"/>
      <c r="Q831" s="4" t="inlineStr"/>
      <c r="R831" s="4" t="inlineStr">
        <is>
          <t>2026-03-12</t>
        </is>
      </c>
      <c r="S831" s="4" t="inlineStr"/>
    </row>
    <row r="832">
      <c r="A832" s="10" t="inlineStr">
        <is>
          <t>F01225</t>
        </is>
      </c>
      <c r="B832" s="10" t="inlineStr">
        <is>
          <t>F01225</t>
        </is>
      </c>
      <c r="C832" s="10" t="inlineStr"/>
      <c r="D832" s="10" t="inlineStr">
        <is>
          <t>6009677010583</t>
        </is>
      </c>
      <c r="E832" s="10" t="inlineStr">
        <is>
          <t>BY-116 PVC CEILING 3900*300*6MM</t>
        </is>
      </c>
      <c r="F832" s="10" t="inlineStr"/>
      <c r="G832" s="10" t="inlineStr"/>
      <c r="H832" s="10" t="inlineStr"/>
      <c r="I832" s="11" t="n">
        <v>409</v>
      </c>
      <c r="J832" s="6" t="n">
        <v>15</v>
      </c>
      <c r="K832" s="7">
        <f>IF(I832="","",I832*(1+J832/100))</f>
        <v/>
      </c>
      <c r="L832" s="12" t="inlineStr"/>
      <c r="M832" s="8">
        <f>IF(OR(L832="",K832="",L832=0),"",
  (L832-K832)/L832*100)</f>
        <v/>
      </c>
      <c r="N832" s="9" t="inlineStr"/>
      <c r="O832" s="10" t="inlineStr"/>
      <c r="P832" s="10" t="inlineStr"/>
      <c r="Q832" s="10" t="inlineStr"/>
      <c r="R832" s="10" t="inlineStr">
        <is>
          <t>2026-03-12</t>
        </is>
      </c>
      <c r="S832" s="10" t="inlineStr"/>
    </row>
    <row r="833">
      <c r="A833" s="3" t="inlineStr">
        <is>
          <t>F01227</t>
        </is>
      </c>
      <c r="B833" s="4" t="inlineStr">
        <is>
          <t>F01227</t>
        </is>
      </c>
      <c r="C833" s="4" t="inlineStr"/>
      <c r="D833" s="4" t="inlineStr">
        <is>
          <t>6009677010507</t>
        </is>
      </c>
      <c r="E833" s="3" t="inlineStr">
        <is>
          <t>BY-119 PVC CEILING 3900*300*6MM</t>
        </is>
      </c>
      <c r="F833" s="4" t="inlineStr"/>
      <c r="G833" s="4" t="inlineStr"/>
      <c r="H833" s="4" t="inlineStr"/>
      <c r="I833" s="5" t="n">
        <v>355.31</v>
      </c>
      <c r="J833" s="6" t="n">
        <v>15</v>
      </c>
      <c r="K833" s="7">
        <f>IF(I833="","",I833*(1+J833/100))</f>
        <v/>
      </c>
      <c r="L833" s="12" t="inlineStr"/>
      <c r="M833" s="8">
        <f>IF(OR(L833="",K833="",L833=0),"",
  (L833-K833)/L833*100)</f>
        <v/>
      </c>
      <c r="N833" s="9" t="inlineStr"/>
      <c r="O833" s="4" t="inlineStr"/>
      <c r="P833" s="4" t="inlineStr"/>
      <c r="Q833" s="4" t="inlineStr"/>
      <c r="R833" s="4" t="inlineStr">
        <is>
          <t>2026-03-12</t>
        </is>
      </c>
      <c r="S833" s="4" t="inlineStr"/>
    </row>
    <row r="834">
      <c r="A834" s="10" t="inlineStr">
        <is>
          <t>F01228</t>
        </is>
      </c>
      <c r="B834" s="10" t="inlineStr">
        <is>
          <t>F01228</t>
        </is>
      </c>
      <c r="C834" s="10" t="inlineStr"/>
      <c r="D834" s="10" t="inlineStr">
        <is>
          <t>6009677010569</t>
        </is>
      </c>
      <c r="E834" s="10" t="inlineStr">
        <is>
          <t>BY-121 PVC CEILING 3900*300*6MM</t>
        </is>
      </c>
      <c r="F834" s="10" t="inlineStr"/>
      <c r="G834" s="10" t="inlineStr"/>
      <c r="H834" s="10" t="inlineStr"/>
      <c r="I834" s="11" t="n">
        <v>356.33</v>
      </c>
      <c r="J834" s="6" t="n">
        <v>15</v>
      </c>
      <c r="K834" s="7">
        <f>IF(I834="","",I834*(1+J834/100))</f>
        <v/>
      </c>
      <c r="L834" s="12" t="inlineStr"/>
      <c r="M834" s="8">
        <f>IF(OR(L834="",K834="",L834=0),"",
  (L834-K834)/L834*100)</f>
        <v/>
      </c>
      <c r="N834" s="9" t="inlineStr"/>
      <c r="O834" s="10" t="inlineStr"/>
      <c r="P834" s="10" t="inlineStr"/>
      <c r="Q834" s="10" t="inlineStr"/>
      <c r="R834" s="10" t="inlineStr">
        <is>
          <t>2026-03-12</t>
        </is>
      </c>
      <c r="S834" s="10" t="inlineStr"/>
    </row>
    <row r="835">
      <c r="A835" s="3" t="inlineStr">
        <is>
          <t>F01229</t>
        </is>
      </c>
      <c r="B835" s="4" t="inlineStr">
        <is>
          <t>F01229</t>
        </is>
      </c>
      <c r="C835" s="4" t="inlineStr"/>
      <c r="D835" s="4" t="inlineStr">
        <is>
          <t>6009708440945</t>
        </is>
      </c>
      <c r="E835" s="3" t="inlineStr">
        <is>
          <t>BY-124 PVC CEILING 3900*300*6MM</t>
        </is>
      </c>
      <c r="F835" s="4" t="inlineStr"/>
      <c r="G835" s="4" t="inlineStr"/>
      <c r="H835" s="4" t="inlineStr"/>
      <c r="I835" s="5" t="n">
        <v>409</v>
      </c>
      <c r="J835" s="6" t="n">
        <v>15</v>
      </c>
      <c r="K835" s="7">
        <f>IF(I835="","",I835*(1+J835/100))</f>
        <v/>
      </c>
      <c r="L835" s="12" t="inlineStr"/>
      <c r="M835" s="8">
        <f>IF(OR(L835="",K835="",L835=0),"",
  (L835-K835)/L835*100)</f>
        <v/>
      </c>
      <c r="N835" s="9" t="inlineStr"/>
      <c r="O835" s="4" t="inlineStr"/>
      <c r="P835" s="4" t="inlineStr"/>
      <c r="Q835" s="4" t="inlineStr"/>
      <c r="R835" s="4" t="inlineStr">
        <is>
          <t>2026-03-12</t>
        </is>
      </c>
      <c r="S835" s="4" t="inlineStr"/>
    </row>
    <row r="836">
      <c r="A836" s="10" t="inlineStr">
        <is>
          <t>F01231</t>
        </is>
      </c>
      <c r="B836" s="10" t="inlineStr">
        <is>
          <t>F01231</t>
        </is>
      </c>
      <c r="C836" s="10" t="inlineStr"/>
      <c r="D836" s="10" t="inlineStr">
        <is>
          <t>6009677010545</t>
        </is>
      </c>
      <c r="E836" s="10" t="inlineStr">
        <is>
          <t>BY-113 PVC CEILING 3900*300*6MM</t>
        </is>
      </c>
      <c r="F836" s="10" t="inlineStr"/>
      <c r="G836" s="10" t="inlineStr"/>
      <c r="H836" s="10" t="inlineStr"/>
      <c r="I836" s="11" t="n">
        <v>429</v>
      </c>
      <c r="J836" s="6" t="n">
        <v>15</v>
      </c>
      <c r="K836" s="7">
        <f>IF(I836="","",I836*(1+J836/100))</f>
        <v/>
      </c>
      <c r="L836" s="12" t="inlineStr"/>
      <c r="M836" s="8">
        <f>IF(OR(L836="",K836="",L836=0),"",
  (L836-K836)/L836*100)</f>
        <v/>
      </c>
      <c r="N836" s="9" t="inlineStr"/>
      <c r="O836" s="10" t="inlineStr"/>
      <c r="P836" s="10" t="inlineStr"/>
      <c r="Q836" s="10" t="inlineStr"/>
      <c r="R836" s="10" t="inlineStr">
        <is>
          <t>2026-03-12</t>
        </is>
      </c>
      <c r="S836" s="10" t="inlineStr"/>
    </row>
    <row r="837">
      <c r="A837" s="3" t="inlineStr">
        <is>
          <t>F01232</t>
        </is>
      </c>
      <c r="B837" s="4" t="inlineStr">
        <is>
          <t>F01232</t>
        </is>
      </c>
      <c r="C837" s="4" t="inlineStr"/>
      <c r="D837" s="4" t="inlineStr">
        <is>
          <t>6009677010552</t>
        </is>
      </c>
      <c r="E837" s="3" t="inlineStr">
        <is>
          <t>BY-114 PVC CEILING 3900*300*6MM</t>
        </is>
      </c>
      <c r="F837" s="4" t="inlineStr"/>
      <c r="G837" s="4" t="inlineStr"/>
      <c r="H837" s="4" t="inlineStr"/>
      <c r="I837" s="5" t="n">
        <v>409</v>
      </c>
      <c r="J837" s="6" t="n">
        <v>15</v>
      </c>
      <c r="K837" s="7">
        <f>IF(I837="","",I837*(1+J837/100))</f>
        <v/>
      </c>
      <c r="L837" s="12" t="inlineStr"/>
      <c r="M837" s="8">
        <f>IF(OR(L837="",K837="",L837=0),"",
  (L837-K837)/L837*100)</f>
        <v/>
      </c>
      <c r="N837" s="9" t="inlineStr"/>
      <c r="O837" s="4" t="inlineStr"/>
      <c r="P837" s="4" t="inlineStr"/>
      <c r="Q837" s="4" t="inlineStr"/>
      <c r="R837" s="4" t="inlineStr">
        <is>
          <t>2026-03-12</t>
        </is>
      </c>
      <c r="S837" s="4" t="inlineStr"/>
    </row>
    <row r="838">
      <c r="A838" s="10" t="inlineStr">
        <is>
          <t>F01234</t>
        </is>
      </c>
      <c r="B838" s="10" t="inlineStr">
        <is>
          <t>F01234</t>
        </is>
      </c>
      <c r="C838" s="10" t="inlineStr"/>
      <c r="D838" s="10" t="inlineStr"/>
      <c r="E838" s="10" t="inlineStr">
        <is>
          <t>BY-117 PVC CEILING 3900*300*6MM</t>
        </is>
      </c>
      <c r="F838" s="10" t="inlineStr"/>
      <c r="G838" s="10" t="inlineStr"/>
      <c r="H838" s="10" t="inlineStr"/>
      <c r="I838" s="11" t="n">
        <v>429</v>
      </c>
      <c r="J838" s="6" t="n">
        <v>15</v>
      </c>
      <c r="K838" s="7">
        <f>IF(I838="","",I838*(1+J838/100))</f>
        <v/>
      </c>
      <c r="L838" s="12" t="inlineStr"/>
      <c r="M838" s="8">
        <f>IF(OR(L838="",K838="",L838=0),"",
  (L838-K838)/L838*100)</f>
        <v/>
      </c>
      <c r="N838" s="9" t="inlineStr"/>
      <c r="O838" s="10" t="inlineStr"/>
      <c r="P838" s="10" t="inlineStr"/>
      <c r="Q838" s="10" t="inlineStr"/>
      <c r="R838" s="10" t="inlineStr">
        <is>
          <t>2026-03-12</t>
        </is>
      </c>
      <c r="S838" s="10" t="inlineStr"/>
    </row>
    <row r="839">
      <c r="A839" s="3" t="inlineStr">
        <is>
          <t>F01235</t>
        </is>
      </c>
      <c r="B839" s="4" t="inlineStr">
        <is>
          <t>F01235</t>
        </is>
      </c>
      <c r="C839" s="4" t="inlineStr"/>
      <c r="D839" s="4" t="inlineStr">
        <is>
          <t>6009677010521</t>
        </is>
      </c>
      <c r="E839" s="3" t="inlineStr">
        <is>
          <t>BY-120 PVC CEILING 3900*300*6MM</t>
        </is>
      </c>
      <c r="F839" s="4" t="inlineStr"/>
      <c r="G839" s="4" t="inlineStr"/>
      <c r="H839" s="4" t="inlineStr"/>
      <c r="I839" s="5" t="n">
        <v>356.11</v>
      </c>
      <c r="J839" s="6" t="n">
        <v>15</v>
      </c>
      <c r="K839" s="7">
        <f>IF(I839="","",I839*(1+J839/100))</f>
        <v/>
      </c>
      <c r="L839" s="12" t="inlineStr"/>
      <c r="M839" s="8">
        <f>IF(OR(L839="",K839="",L839=0),"",
  (L839-K839)/L839*100)</f>
        <v/>
      </c>
      <c r="N839" s="9" t="inlineStr"/>
      <c r="O839" s="4" t="inlineStr"/>
      <c r="P839" s="4" t="inlineStr"/>
      <c r="Q839" s="4" t="inlineStr"/>
      <c r="R839" s="4" t="inlineStr">
        <is>
          <t>2026-03-12</t>
        </is>
      </c>
      <c r="S839" s="4" t="inlineStr"/>
    </row>
    <row r="840">
      <c r="A840" s="10" t="inlineStr">
        <is>
          <t>F01236</t>
        </is>
      </c>
      <c r="B840" s="10" t="inlineStr">
        <is>
          <t>F01236</t>
        </is>
      </c>
      <c r="C840" s="10" t="inlineStr"/>
      <c r="D840" s="10" t="inlineStr">
        <is>
          <t>6009708440921</t>
        </is>
      </c>
      <c r="E840" s="10" t="inlineStr">
        <is>
          <t>BY-122 PVC CEILING 3900*300*6MM</t>
        </is>
      </c>
      <c r="F840" s="10" t="inlineStr"/>
      <c r="G840" s="10" t="inlineStr"/>
      <c r="H840" s="10" t="inlineStr"/>
      <c r="I840" s="11" t="n">
        <v>356.49</v>
      </c>
      <c r="J840" s="6" t="n">
        <v>15</v>
      </c>
      <c r="K840" s="7">
        <f>IF(I840="","",I840*(1+J840/100))</f>
        <v/>
      </c>
      <c r="L840" s="12" t="inlineStr"/>
      <c r="M840" s="8">
        <f>IF(OR(L840="",K840="",L840=0),"",
  (L840-K840)/L840*100)</f>
        <v/>
      </c>
      <c r="N840" s="9" t="inlineStr"/>
      <c r="O840" s="10" t="inlineStr"/>
      <c r="P840" s="10" t="inlineStr"/>
      <c r="Q840" s="10" t="inlineStr"/>
      <c r="R840" s="10" t="inlineStr">
        <is>
          <t>2026-03-12</t>
        </is>
      </c>
      <c r="S840" s="10" t="inlineStr"/>
    </row>
    <row r="841">
      <c r="A841" s="3" t="inlineStr">
        <is>
          <t>F01237</t>
        </is>
      </c>
      <c r="B841" s="4" t="inlineStr">
        <is>
          <t>F01237</t>
        </is>
      </c>
      <c r="C841" s="4" t="inlineStr"/>
      <c r="D841" s="4" t="inlineStr">
        <is>
          <t>6009708440938</t>
        </is>
      </c>
      <c r="E841" s="3" t="inlineStr">
        <is>
          <t>BY-123 PVC CEILING 3900*300*6MM</t>
        </is>
      </c>
      <c r="F841" s="4" t="inlineStr"/>
      <c r="G841" s="4" t="inlineStr"/>
      <c r="H841" s="4" t="inlineStr"/>
      <c r="I841" s="5" t="n">
        <v>355.27</v>
      </c>
      <c r="J841" s="6" t="n">
        <v>15</v>
      </c>
      <c r="K841" s="7">
        <f>IF(I841="","",I841*(1+J841/100))</f>
        <v/>
      </c>
      <c r="L841" s="12" t="inlineStr"/>
      <c r="M841" s="8">
        <f>IF(OR(L841="",K841="",L841=0),"",
  (L841-K841)/L841*100)</f>
        <v/>
      </c>
      <c r="N841" s="9" t="inlineStr"/>
      <c r="O841" s="4" t="inlineStr"/>
      <c r="P841" s="4" t="inlineStr"/>
      <c r="Q841" s="4" t="inlineStr"/>
      <c r="R841" s="4" t="inlineStr">
        <is>
          <t>2026-03-12</t>
        </is>
      </c>
      <c r="S841" s="4" t="inlineStr"/>
    </row>
    <row r="842">
      <c r="A842" s="10" t="inlineStr">
        <is>
          <t>F01238</t>
        </is>
      </c>
      <c r="B842" s="10" t="inlineStr">
        <is>
          <t>F01238</t>
        </is>
      </c>
      <c r="C842" s="10" t="inlineStr"/>
      <c r="D842" s="10" t="inlineStr">
        <is>
          <t>6009677010538</t>
        </is>
      </c>
      <c r="E842" s="10" t="inlineStr">
        <is>
          <t>BY-125 PVC CEILING 3900*300*6MM</t>
        </is>
      </c>
      <c r="F842" s="10" t="inlineStr"/>
      <c r="G842" s="10" t="inlineStr"/>
      <c r="H842" s="10" t="inlineStr"/>
      <c r="I842" s="11" t="n">
        <v>409</v>
      </c>
      <c r="J842" s="6" t="n">
        <v>15</v>
      </c>
      <c r="K842" s="7">
        <f>IF(I842="","",I842*(1+J842/100))</f>
        <v/>
      </c>
      <c r="L842" s="12" t="inlineStr"/>
      <c r="M842" s="8">
        <f>IF(OR(L842="",K842="",L842=0),"",
  (L842-K842)/L842*100)</f>
        <v/>
      </c>
      <c r="N842" s="9" t="inlineStr"/>
      <c r="O842" s="10" t="inlineStr"/>
      <c r="P842" s="10" t="inlineStr"/>
      <c r="Q842" s="10" t="inlineStr"/>
      <c r="R842" s="10" t="inlineStr">
        <is>
          <t>2026-03-12</t>
        </is>
      </c>
      <c r="S842" s="10" t="inlineStr"/>
    </row>
    <row r="843">
      <c r="A843" s="3" t="inlineStr">
        <is>
          <t>F01239</t>
        </is>
      </c>
      <c r="B843" s="4" t="inlineStr">
        <is>
          <t>F01239</t>
        </is>
      </c>
      <c r="C843" s="4" t="inlineStr"/>
      <c r="D843" s="4" t="inlineStr">
        <is>
          <t>6009677010514</t>
        </is>
      </c>
      <c r="E843" s="3" t="inlineStr">
        <is>
          <t>BY-126 PVC CEILING 3900*300*6MM</t>
        </is>
      </c>
      <c r="F843" s="4" t="inlineStr"/>
      <c r="G843" s="4" t="inlineStr"/>
      <c r="H843" s="4" t="inlineStr"/>
      <c r="I843" s="5" t="n">
        <v>409</v>
      </c>
      <c r="J843" s="6" t="n">
        <v>15</v>
      </c>
      <c r="K843" s="7">
        <f>IF(I843="","",I843*(1+J843/100))</f>
        <v/>
      </c>
      <c r="L843" s="12" t="inlineStr"/>
      <c r="M843" s="8">
        <f>IF(OR(L843="",K843="",L843=0),"",
  (L843-K843)/L843*100)</f>
        <v/>
      </c>
      <c r="N843" s="9" t="inlineStr"/>
      <c r="O843" s="4" t="inlineStr"/>
      <c r="P843" s="4" t="inlineStr"/>
      <c r="Q843" s="4" t="inlineStr"/>
      <c r="R843" s="4" t="inlineStr">
        <is>
          <t>2026-03-12</t>
        </is>
      </c>
      <c r="S843" s="4" t="inlineStr"/>
    </row>
    <row r="844">
      <c r="A844" s="10" t="inlineStr">
        <is>
          <t>F01240</t>
        </is>
      </c>
      <c r="B844" s="10" t="inlineStr">
        <is>
          <t>F01240</t>
        </is>
      </c>
      <c r="C844" s="10" t="inlineStr"/>
      <c r="D844" s="10" t="inlineStr">
        <is>
          <t>6009708440129</t>
        </is>
      </c>
      <c r="E844" s="10" t="inlineStr">
        <is>
          <t>MUG 12OZ/17OZ COLOR GLAZED</t>
        </is>
      </c>
      <c r="F844" s="10" t="inlineStr"/>
      <c r="G844" s="10" t="inlineStr"/>
      <c r="H844" s="10" t="inlineStr"/>
      <c r="I844" s="11" t="n">
        <v>7.95</v>
      </c>
      <c r="J844" s="6" t="n">
        <v>15</v>
      </c>
      <c r="K844" s="7">
        <f>IF(I844="","",I844*(1+J844/100))</f>
        <v/>
      </c>
      <c r="L844" s="12" t="inlineStr"/>
      <c r="M844" s="8">
        <f>IF(OR(L844="",K844="",L844=0),"",
  (L844-K844)/L844*100)</f>
        <v/>
      </c>
      <c r="N844" s="13" t="n">
        <v>9362</v>
      </c>
      <c r="O844" s="10" t="inlineStr"/>
      <c r="P844" s="10" t="inlineStr"/>
      <c r="Q844" s="10" t="inlineStr"/>
      <c r="R844" s="10" t="inlineStr">
        <is>
          <t>2026-03-12</t>
        </is>
      </c>
      <c r="S844" s="10" t="inlineStr"/>
    </row>
    <row r="845">
      <c r="A845" s="3" t="inlineStr">
        <is>
          <t>F01241</t>
        </is>
      </c>
      <c r="B845" s="4" t="inlineStr">
        <is>
          <t>F01241</t>
        </is>
      </c>
      <c r="C845" s="4" t="inlineStr"/>
      <c r="D845" s="4" t="inlineStr">
        <is>
          <t>6009708440228</t>
        </is>
      </c>
      <c r="E845" s="3" t="inlineStr">
        <is>
          <t>CHINA BAGS 11-1 50X50</t>
        </is>
      </c>
      <c r="F845" s="4" t="inlineStr"/>
      <c r="G845" s="4" t="inlineStr"/>
      <c r="H845" s="4" t="inlineStr"/>
      <c r="I845" s="5" t="n">
        <v>9.5</v>
      </c>
      <c r="J845" s="6" t="n">
        <v>15</v>
      </c>
      <c r="K845" s="7">
        <f>IF(I845="","",I845*(1+J845/100))</f>
        <v/>
      </c>
      <c r="L845" s="12" t="inlineStr"/>
      <c r="M845" s="8">
        <f>IF(OR(L845="",K845="",L845=0),"",
  (L845-K845)/L845*100)</f>
        <v/>
      </c>
      <c r="N845" s="9" t="inlineStr"/>
      <c r="O845" s="4" t="inlineStr"/>
      <c r="P845" s="4" t="inlineStr"/>
      <c r="Q845" s="4" t="inlineStr"/>
      <c r="R845" s="4" t="inlineStr">
        <is>
          <t>2026-03-12</t>
        </is>
      </c>
      <c r="S845" s="4" t="inlineStr"/>
    </row>
    <row r="846">
      <c r="A846" s="10" t="inlineStr">
        <is>
          <t>F01242</t>
        </is>
      </c>
      <c r="B846" s="10" t="inlineStr">
        <is>
          <t>F01242</t>
        </is>
      </c>
      <c r="C846" s="10" t="inlineStr"/>
      <c r="D846" s="10" t="inlineStr">
        <is>
          <t>6009708440235</t>
        </is>
      </c>
      <c r="E846" s="10" t="inlineStr">
        <is>
          <t>CHINA BAGS 11-2 60X60</t>
        </is>
      </c>
      <c r="F846" s="10" t="inlineStr"/>
      <c r="G846" s="10" t="inlineStr"/>
      <c r="H846" s="10" t="inlineStr"/>
      <c r="I846" s="11" t="n">
        <v>10.95</v>
      </c>
      <c r="J846" s="6" t="n">
        <v>15</v>
      </c>
      <c r="K846" s="7">
        <f>IF(I846="","",I846*(1+J846/100))</f>
        <v/>
      </c>
      <c r="L846" s="12" t="inlineStr"/>
      <c r="M846" s="8">
        <f>IF(OR(L846="",K846="",L846=0),"",
  (L846-K846)/L846*100)</f>
        <v/>
      </c>
      <c r="N846" s="9" t="inlineStr"/>
      <c r="O846" s="10" t="inlineStr"/>
      <c r="P846" s="10" t="inlineStr"/>
      <c r="Q846" s="10" t="inlineStr"/>
      <c r="R846" s="10" t="inlineStr">
        <is>
          <t>2026-03-12</t>
        </is>
      </c>
      <c r="S846" s="10" t="inlineStr"/>
    </row>
    <row r="847">
      <c r="A847" s="3" t="inlineStr">
        <is>
          <t>F01243</t>
        </is>
      </c>
      <c r="B847" s="4" t="inlineStr">
        <is>
          <t>F01243</t>
        </is>
      </c>
      <c r="C847" s="4" t="inlineStr"/>
      <c r="D847" s="4" t="inlineStr">
        <is>
          <t>6009708440242</t>
        </is>
      </c>
      <c r="E847" s="3" t="inlineStr">
        <is>
          <t>CHINA BAGS 11-3 70X65</t>
        </is>
      </c>
      <c r="F847" s="4" t="inlineStr"/>
      <c r="G847" s="4" t="inlineStr"/>
      <c r="H847" s="4" t="inlineStr"/>
      <c r="I847" s="5" t="n">
        <v>8.789999999999999</v>
      </c>
      <c r="J847" s="6" t="n">
        <v>15</v>
      </c>
      <c r="K847" s="7">
        <f>IF(I847="","",I847*(1+J847/100))</f>
        <v/>
      </c>
      <c r="L847" s="12" t="inlineStr"/>
      <c r="M847" s="8">
        <f>IF(OR(L847="",K847="",L847=0),"",
  (L847-K847)/L847*100)</f>
        <v/>
      </c>
      <c r="N847" s="9" t="inlineStr"/>
      <c r="O847" s="4" t="inlineStr"/>
      <c r="P847" s="4" t="inlineStr"/>
      <c r="Q847" s="4" t="inlineStr"/>
      <c r="R847" s="4" t="inlineStr">
        <is>
          <t>2026-03-12</t>
        </is>
      </c>
      <c r="S847" s="4" t="inlineStr"/>
    </row>
    <row r="848">
      <c r="A848" s="10" t="inlineStr">
        <is>
          <t>F01244</t>
        </is>
      </c>
      <c r="B848" s="10" t="inlineStr">
        <is>
          <t>F01244</t>
        </is>
      </c>
      <c r="C848" s="10" t="inlineStr"/>
      <c r="D848" s="10" t="inlineStr">
        <is>
          <t>6009708440259</t>
        </is>
      </c>
      <c r="E848" s="10" t="inlineStr">
        <is>
          <t>CHINA BAGS 11-4 80X70</t>
        </is>
      </c>
      <c r="F848" s="10" t="inlineStr"/>
      <c r="G848" s="10" t="inlineStr"/>
      <c r="H848" s="10" t="inlineStr"/>
      <c r="I848" s="11" t="n">
        <v>10.66</v>
      </c>
      <c r="J848" s="6" t="n">
        <v>15</v>
      </c>
      <c r="K848" s="7">
        <f>IF(I848="","",I848*(1+J848/100))</f>
        <v/>
      </c>
      <c r="L848" s="12" t="inlineStr"/>
      <c r="M848" s="8">
        <f>IF(OR(L848="",K848="",L848=0),"",
  (L848-K848)/L848*100)</f>
        <v/>
      </c>
      <c r="N848" s="9" t="inlineStr"/>
      <c r="O848" s="10" t="inlineStr"/>
      <c r="P848" s="10" t="inlineStr"/>
      <c r="Q848" s="10" t="inlineStr"/>
      <c r="R848" s="10" t="inlineStr">
        <is>
          <t>2026-03-12</t>
        </is>
      </c>
      <c r="S848" s="10" t="inlineStr"/>
    </row>
    <row r="849">
      <c r="A849" s="3" t="inlineStr">
        <is>
          <t>F01245</t>
        </is>
      </c>
      <c r="B849" s="4" t="inlineStr">
        <is>
          <t>F01245</t>
        </is>
      </c>
      <c r="C849" s="4" t="inlineStr"/>
      <c r="D849" s="4" t="inlineStr">
        <is>
          <t>6009708440303</t>
        </is>
      </c>
      <c r="E849" s="3" t="inlineStr">
        <is>
          <t>MELAMINE PLATE 10" 15-1 WHT/DESIGNS</t>
        </is>
      </c>
      <c r="F849" s="4" t="inlineStr"/>
      <c r="G849" s="4" t="inlineStr"/>
      <c r="H849" s="4" t="inlineStr"/>
      <c r="I849" s="5" t="n">
        <v>11.5</v>
      </c>
      <c r="J849" s="6" t="n">
        <v>15</v>
      </c>
      <c r="K849" s="7">
        <f>IF(I849="","",I849*(1+J849/100))</f>
        <v/>
      </c>
      <c r="L849" s="12" t="inlineStr"/>
      <c r="M849" s="8">
        <f>IF(OR(L849="",K849="",L849=0),"",
  (L849-K849)/L849*100)</f>
        <v/>
      </c>
      <c r="N849" s="9" t="inlineStr"/>
      <c r="O849" s="4" t="inlineStr"/>
      <c r="P849" s="4" t="inlineStr"/>
      <c r="Q849" s="4" t="inlineStr"/>
      <c r="R849" s="4" t="inlineStr">
        <is>
          <t>2026-03-12</t>
        </is>
      </c>
      <c r="S849" s="4" t="inlineStr"/>
    </row>
    <row r="850">
      <c r="A850" s="10" t="inlineStr">
        <is>
          <t>F01246</t>
        </is>
      </c>
      <c r="B850" s="10" t="inlineStr">
        <is>
          <t>F01246</t>
        </is>
      </c>
      <c r="C850" s="10" t="inlineStr"/>
      <c r="D850" s="10" t="inlineStr">
        <is>
          <t>6009708440310</t>
        </is>
      </c>
      <c r="E850" s="10" t="inlineStr">
        <is>
          <t>MELAMINE PLATE BRIGHT COLOURS 10" 15-2</t>
        </is>
      </c>
      <c r="F850" s="10" t="inlineStr"/>
      <c r="G850" s="10" t="inlineStr"/>
      <c r="H850" s="10" t="inlineStr"/>
      <c r="I850" s="11" t="n">
        <v>11.5</v>
      </c>
      <c r="J850" s="6" t="n">
        <v>15</v>
      </c>
      <c r="K850" s="7">
        <f>IF(I850="","",I850*(1+J850/100))</f>
        <v/>
      </c>
      <c r="L850" s="12" t="inlineStr"/>
      <c r="M850" s="8">
        <f>IF(OR(L850="",K850="",L850=0),"",
  (L850-K850)/L850*100)</f>
        <v/>
      </c>
      <c r="N850" s="9" t="inlineStr"/>
      <c r="O850" s="10" t="inlineStr"/>
      <c r="P850" s="10" t="inlineStr"/>
      <c r="Q850" s="10" t="inlineStr"/>
      <c r="R850" s="10" t="inlineStr">
        <is>
          <t>2026-03-12</t>
        </is>
      </c>
      <c r="S850" s="10" t="inlineStr"/>
    </row>
    <row r="851">
      <c r="A851" s="3" t="inlineStr">
        <is>
          <t>F01247</t>
        </is>
      </c>
      <c r="B851" s="4" t="inlineStr">
        <is>
          <t>F01247</t>
        </is>
      </c>
      <c r="C851" s="4" t="inlineStr"/>
      <c r="D851" s="4" t="inlineStr">
        <is>
          <t>6009708440327</t>
        </is>
      </c>
      <c r="E851" s="3" t="inlineStr">
        <is>
          <t>MELAMINE MUG 10 oz 15-3 WHT/DESIGNS</t>
        </is>
      </c>
      <c r="F851" s="4" t="inlineStr"/>
      <c r="G851" s="4" t="inlineStr"/>
      <c r="H851" s="4" t="inlineStr"/>
      <c r="I851" s="5" t="n">
        <v>9.5</v>
      </c>
      <c r="J851" s="6" t="n">
        <v>15</v>
      </c>
      <c r="K851" s="7">
        <f>IF(I851="","",I851*(1+J851/100))</f>
        <v/>
      </c>
      <c r="L851" s="12" t="inlineStr"/>
      <c r="M851" s="8">
        <f>IF(OR(L851="",K851="",L851=0),"",
  (L851-K851)/L851*100)</f>
        <v/>
      </c>
      <c r="N851" s="9" t="inlineStr"/>
      <c r="O851" s="4" t="inlineStr"/>
      <c r="P851" s="4" t="inlineStr"/>
      <c r="Q851" s="4" t="inlineStr"/>
      <c r="R851" s="4" t="inlineStr">
        <is>
          <t>2026-03-12</t>
        </is>
      </c>
      <c r="S851" s="4" t="inlineStr"/>
    </row>
    <row r="852">
      <c r="A852" s="10" t="inlineStr">
        <is>
          <t>F01248</t>
        </is>
      </c>
      <c r="B852" s="10" t="inlineStr">
        <is>
          <t>F01248</t>
        </is>
      </c>
      <c r="C852" s="10" t="inlineStr"/>
      <c r="D852" s="10" t="inlineStr">
        <is>
          <t>6009708440334</t>
        </is>
      </c>
      <c r="E852" s="10" t="inlineStr">
        <is>
          <t>MELAMINE MUG BRIGHT COLOURS 10 oz 15-4</t>
        </is>
      </c>
      <c r="F852" s="10" t="inlineStr"/>
      <c r="G852" s="10" t="inlineStr"/>
      <c r="H852" s="10" t="inlineStr"/>
      <c r="I852" s="11" t="n">
        <v>7.42</v>
      </c>
      <c r="J852" s="6" t="n">
        <v>15</v>
      </c>
      <c r="K852" s="7">
        <f>IF(I852="","",I852*(1+J852/100))</f>
        <v/>
      </c>
      <c r="L852" s="12" t="inlineStr"/>
      <c r="M852" s="8">
        <f>IF(OR(L852="",K852="",L852=0),"",
  (L852-K852)/L852*100)</f>
        <v/>
      </c>
      <c r="N852" s="9" t="inlineStr"/>
      <c r="O852" s="10" t="inlineStr"/>
      <c r="P852" s="10" t="inlineStr"/>
      <c r="Q852" s="10" t="inlineStr"/>
      <c r="R852" s="10" t="inlineStr">
        <is>
          <t>2026-03-12</t>
        </is>
      </c>
      <c r="S852" s="10" t="inlineStr"/>
    </row>
    <row r="853">
      <c r="A853" s="3" t="inlineStr">
        <is>
          <t>F01249</t>
        </is>
      </c>
      <c r="B853" s="4" t="inlineStr">
        <is>
          <t>F01249</t>
        </is>
      </c>
      <c r="C853" s="4" t="inlineStr"/>
      <c r="D853" s="4" t="inlineStr">
        <is>
          <t>6009708440341</t>
        </is>
      </c>
      <c r="E853" s="3" t="inlineStr">
        <is>
          <t>MELAMINE BOWL 7" 15-5  WHT/DESIGNS</t>
        </is>
      </c>
      <c r="F853" s="4" t="inlineStr"/>
      <c r="G853" s="4" t="inlineStr"/>
      <c r="H853" s="4" t="inlineStr"/>
      <c r="I853" s="5" t="n">
        <v>8.470000000000001</v>
      </c>
      <c r="J853" s="6" t="n">
        <v>15</v>
      </c>
      <c r="K853" s="7">
        <f>IF(I853="","",I853*(1+J853/100))</f>
        <v/>
      </c>
      <c r="L853" s="12" t="inlineStr"/>
      <c r="M853" s="8">
        <f>IF(OR(L853="",K853="",L853=0),"",
  (L853-K853)/L853*100)</f>
        <v/>
      </c>
      <c r="N853" s="9" t="inlineStr"/>
      <c r="O853" s="4" t="inlineStr"/>
      <c r="P853" s="4" t="inlineStr"/>
      <c r="Q853" s="4" t="inlineStr"/>
      <c r="R853" s="4" t="inlineStr">
        <is>
          <t>2026-03-12</t>
        </is>
      </c>
      <c r="S853" s="4" t="inlineStr"/>
    </row>
    <row r="854">
      <c r="A854" s="10" t="inlineStr">
        <is>
          <t>F01250</t>
        </is>
      </c>
      <c r="B854" s="10" t="inlineStr">
        <is>
          <t>F01250</t>
        </is>
      </c>
      <c r="C854" s="10" t="inlineStr"/>
      <c r="D854" s="10" t="inlineStr">
        <is>
          <t>6009708440358</t>
        </is>
      </c>
      <c r="E854" s="10" t="inlineStr">
        <is>
          <t>MELAMINE BOWL BRIGHT COLOURS 7" 15-6</t>
        </is>
      </c>
      <c r="F854" s="10" t="inlineStr"/>
      <c r="G854" s="10" t="inlineStr"/>
      <c r="H854" s="10" t="inlineStr"/>
      <c r="I854" s="11" t="n">
        <v>8.19</v>
      </c>
      <c r="J854" s="6" t="n">
        <v>15</v>
      </c>
      <c r="K854" s="7">
        <f>IF(I854="","",I854*(1+J854/100))</f>
        <v/>
      </c>
      <c r="L854" s="12" t="inlineStr"/>
      <c r="M854" s="8">
        <f>IF(OR(L854="",K854="",L854=0),"",
  (L854-K854)/L854*100)</f>
        <v/>
      </c>
      <c r="N854" s="9" t="inlineStr"/>
      <c r="O854" s="10" t="inlineStr"/>
      <c r="P854" s="10" t="inlineStr"/>
      <c r="Q854" s="10" t="inlineStr"/>
      <c r="R854" s="10" t="inlineStr">
        <is>
          <t>2026-03-12</t>
        </is>
      </c>
      <c r="S854" s="10" t="inlineStr"/>
    </row>
    <row r="855">
      <c r="A855" s="3" t="inlineStr">
        <is>
          <t>F01251</t>
        </is>
      </c>
      <c r="B855" s="4" t="inlineStr">
        <is>
          <t>F01251</t>
        </is>
      </c>
      <c r="C855" s="4" t="inlineStr"/>
      <c r="D855" s="4" t="inlineStr"/>
      <c r="E855" s="3" t="inlineStr">
        <is>
          <t>PEEL &amp; STICK SINGLE DISPLAY STANDS</t>
        </is>
      </c>
      <c r="F855" s="4" t="inlineStr"/>
      <c r="G855" s="4" t="inlineStr"/>
      <c r="H855" s="4" t="inlineStr"/>
      <c r="I855" s="5" t="n">
        <v>0.01</v>
      </c>
      <c r="J855" s="6" t="n">
        <v>15</v>
      </c>
      <c r="K855" s="7">
        <f>IF(I855="","",I855*(1+J855/100))</f>
        <v/>
      </c>
      <c r="L855" s="12" t="inlineStr"/>
      <c r="M855" s="8">
        <f>IF(OR(L855="",K855="",L855=0),"",
  (L855-K855)/L855*100)</f>
        <v/>
      </c>
      <c r="N855" s="9" t="inlineStr"/>
      <c r="O855" s="4" t="inlineStr"/>
      <c r="P855" s="4" t="inlineStr"/>
      <c r="Q855" s="4" t="inlineStr"/>
      <c r="R855" s="4" t="inlineStr">
        <is>
          <t>2026-03-12</t>
        </is>
      </c>
      <c r="S855" s="4" t="inlineStr"/>
    </row>
    <row r="856">
      <c r="A856" s="10" t="inlineStr">
        <is>
          <t>F01252</t>
        </is>
      </c>
      <c r="B856" s="10" t="inlineStr">
        <is>
          <t>F01252</t>
        </is>
      </c>
      <c r="C856" s="10" t="inlineStr"/>
      <c r="D856" s="10" t="inlineStr">
        <is>
          <t>6009708440570</t>
        </is>
      </c>
      <c r="E856" s="10" t="inlineStr">
        <is>
          <t>CHAIR CAMP BETT  QLTY</t>
        </is>
      </c>
      <c r="F856" s="10" t="inlineStr"/>
      <c r="G856" s="10" t="inlineStr"/>
      <c r="H856" s="10" t="inlineStr"/>
      <c r="I856" s="11" t="n">
        <v>91.5</v>
      </c>
      <c r="J856" s="6" t="n">
        <v>15</v>
      </c>
      <c r="K856" s="7">
        <f>IF(I856="","",I856*(1+J856/100))</f>
        <v/>
      </c>
      <c r="L856" s="12" t="inlineStr"/>
      <c r="M856" s="8">
        <f>IF(OR(L856="",K856="",L856=0),"",
  (L856-K856)/L856*100)</f>
        <v/>
      </c>
      <c r="N856" s="9" t="inlineStr"/>
      <c r="O856" s="10" t="inlineStr"/>
      <c r="P856" s="10" t="inlineStr"/>
      <c r="Q856" s="10" t="inlineStr"/>
      <c r="R856" s="10" t="inlineStr">
        <is>
          <t>2026-03-12</t>
        </is>
      </c>
      <c r="S856" s="10" t="inlineStr"/>
    </row>
    <row r="857">
      <c r="A857" s="3" t="inlineStr">
        <is>
          <t>F01270</t>
        </is>
      </c>
      <c r="B857" s="4" t="inlineStr">
        <is>
          <t>F01270</t>
        </is>
      </c>
      <c r="C857" s="4" t="inlineStr"/>
      <c r="D857" s="4" t="inlineStr">
        <is>
          <t>6009708440563</t>
        </is>
      </c>
      <c r="E857" s="3" t="inlineStr">
        <is>
          <t>BOWL  5.5'' WHITE DEEP BOWL</t>
        </is>
      </c>
      <c r="F857" s="4" t="inlineStr"/>
      <c r="G857" s="4" t="inlineStr"/>
      <c r="H857" s="4" t="inlineStr"/>
      <c r="I857" s="5" t="n">
        <v>6.99</v>
      </c>
      <c r="J857" s="6" t="n">
        <v>15</v>
      </c>
      <c r="K857" s="7">
        <f>IF(I857="","",I857*(1+J857/100))</f>
        <v/>
      </c>
      <c r="L857" s="12" t="inlineStr"/>
      <c r="M857" s="8">
        <f>IF(OR(L857="",K857="",L857=0),"",
  (L857-K857)/L857*100)</f>
        <v/>
      </c>
      <c r="N857" s="14" t="n">
        <v>4840</v>
      </c>
      <c r="O857" s="4" t="inlineStr"/>
      <c r="P857" s="4" t="inlineStr"/>
      <c r="Q857" s="4" t="inlineStr"/>
      <c r="R857" s="4" t="inlineStr">
        <is>
          <t>2026-03-12</t>
        </is>
      </c>
      <c r="S857" s="4" t="inlineStr"/>
    </row>
    <row r="858">
      <c r="A858" s="10" t="inlineStr">
        <is>
          <t>F01271</t>
        </is>
      </c>
      <c r="B858" s="10" t="inlineStr">
        <is>
          <t>F01271</t>
        </is>
      </c>
      <c r="C858" s="10" t="inlineStr"/>
      <c r="D858" s="10" t="inlineStr">
        <is>
          <t>6009708440587</t>
        </is>
      </c>
      <c r="E858" s="10" t="inlineStr">
        <is>
          <t>CUTTING BOARD BAMBOO RECTANGLE  20X</t>
        </is>
      </c>
      <c r="F858" s="10" t="inlineStr"/>
      <c r="G858" s="10" t="inlineStr"/>
      <c r="H858" s="10" t="inlineStr"/>
      <c r="I858" s="11" t="n">
        <v>32.95</v>
      </c>
      <c r="J858" s="6" t="n">
        <v>15</v>
      </c>
      <c r="K858" s="7">
        <f>IF(I858="","",I858*(1+J858/100))</f>
        <v/>
      </c>
      <c r="L858" s="12" t="inlineStr"/>
      <c r="M858" s="8">
        <f>IF(OR(L858="",K858="",L858=0),"",
  (L858-K858)/L858*100)</f>
        <v/>
      </c>
      <c r="N858" s="9" t="inlineStr"/>
      <c r="O858" s="10" t="inlineStr"/>
      <c r="P858" s="10" t="inlineStr"/>
      <c r="Q858" s="10" t="inlineStr"/>
      <c r="R858" s="10" t="inlineStr">
        <is>
          <t>2026-03-12</t>
        </is>
      </c>
      <c r="S858" s="10" t="inlineStr"/>
    </row>
    <row r="859">
      <c r="A859" s="3" t="inlineStr">
        <is>
          <t>F01272</t>
        </is>
      </c>
      <c r="B859" s="4" t="inlineStr">
        <is>
          <t>F01272</t>
        </is>
      </c>
      <c r="C859" s="4" t="inlineStr"/>
      <c r="D859" s="4" t="inlineStr">
        <is>
          <t>6009708440594</t>
        </is>
      </c>
      <c r="E859" s="3" t="inlineStr">
        <is>
          <t>CUTTING BOARD BAMBOO ROUND  504-228CM 20</t>
        </is>
      </c>
      <c r="F859" s="4" t="inlineStr"/>
      <c r="G859" s="4" t="inlineStr"/>
      <c r="H859" s="4" t="inlineStr"/>
      <c r="I859" s="5" t="n">
        <v>32.95</v>
      </c>
      <c r="J859" s="6" t="n">
        <v>15</v>
      </c>
      <c r="K859" s="7">
        <f>IF(I859="","",I859*(1+J859/100))</f>
        <v/>
      </c>
      <c r="L859" s="12" t="inlineStr"/>
      <c r="M859" s="8">
        <f>IF(OR(L859="",K859="",L859=0),"",
  (L859-K859)/L859*100)</f>
        <v/>
      </c>
      <c r="N859" s="9" t="inlineStr"/>
      <c r="O859" s="4" t="inlineStr"/>
      <c r="P859" s="4" t="inlineStr"/>
      <c r="Q859" s="4" t="inlineStr"/>
      <c r="R859" s="4" t="inlineStr">
        <is>
          <t>2026-03-12</t>
        </is>
      </c>
      <c r="S859" s="4" t="inlineStr"/>
    </row>
    <row r="860">
      <c r="A860" s="10" t="inlineStr">
        <is>
          <t>F01273</t>
        </is>
      </c>
      <c r="B860" s="10" t="inlineStr">
        <is>
          <t>F01273</t>
        </is>
      </c>
      <c r="C860" s="10" t="inlineStr"/>
      <c r="D860" s="10" t="inlineStr">
        <is>
          <t>6009708440600</t>
        </is>
      </c>
      <c r="E860" s="10" t="inlineStr">
        <is>
          <t>CUTTING BOARD BAMBOO ROUND 504-3  34CM</t>
        </is>
      </c>
      <c r="F860" s="10" t="inlineStr"/>
      <c r="G860" s="10" t="inlineStr"/>
      <c r="H860" s="10" t="inlineStr"/>
      <c r="I860" s="11" t="n">
        <v>49.95</v>
      </c>
      <c r="J860" s="6" t="n">
        <v>15</v>
      </c>
      <c r="K860" s="7">
        <f>IF(I860="","",I860*(1+J860/100))</f>
        <v/>
      </c>
      <c r="L860" s="12" t="inlineStr"/>
      <c r="M860" s="8">
        <f>IF(OR(L860="",K860="",L860=0),"",
  (L860-K860)/L860*100)</f>
        <v/>
      </c>
      <c r="N860" s="9" t="inlineStr"/>
      <c r="O860" s="10" t="inlineStr"/>
      <c r="P860" s="10" t="inlineStr"/>
      <c r="Q860" s="10" t="inlineStr"/>
      <c r="R860" s="10" t="inlineStr">
        <is>
          <t>2026-03-12</t>
        </is>
      </c>
      <c r="S860" s="10" t="inlineStr"/>
    </row>
    <row r="861">
      <c r="A861" s="3" t="inlineStr">
        <is>
          <t>F01274</t>
        </is>
      </c>
      <c r="B861" s="4" t="inlineStr">
        <is>
          <t>F01274</t>
        </is>
      </c>
      <c r="C861" s="4" t="inlineStr"/>
      <c r="D861" s="4" t="inlineStr">
        <is>
          <t>6009708440617</t>
        </is>
      </c>
      <c r="E861" s="3" t="inlineStr">
        <is>
          <t>KNIFE SET CARD 506-3 3PC</t>
        </is>
      </c>
      <c r="F861" s="4" t="inlineStr"/>
      <c r="G861" s="4" t="inlineStr"/>
      <c r="H861" s="4" t="inlineStr"/>
      <c r="I861" s="5" t="n">
        <v>53.95</v>
      </c>
      <c r="J861" s="6" t="n">
        <v>15</v>
      </c>
      <c r="K861" s="7">
        <f>IF(I861="","",I861*(1+J861/100))</f>
        <v/>
      </c>
      <c r="L861" s="12" t="inlineStr"/>
      <c r="M861" s="8">
        <f>IF(OR(L861="",K861="",L861=0),"",
  (L861-K861)/L861*100)</f>
        <v/>
      </c>
      <c r="N861" s="9" t="inlineStr"/>
      <c r="O861" s="4" t="inlineStr"/>
      <c r="P861" s="4" t="inlineStr"/>
      <c r="Q861" s="4" t="inlineStr"/>
      <c r="R861" s="4" t="inlineStr">
        <is>
          <t>2026-03-12</t>
        </is>
      </c>
      <c r="S861" s="4" t="inlineStr"/>
    </row>
    <row r="862">
      <c r="A862" s="10" t="inlineStr">
        <is>
          <t>F01275</t>
        </is>
      </c>
      <c r="B862" s="10" t="inlineStr">
        <is>
          <t>F01275</t>
        </is>
      </c>
      <c r="C862" s="10" t="inlineStr"/>
      <c r="D862" s="10" t="inlineStr"/>
      <c r="E862" s="10" t="inlineStr">
        <is>
          <t>TAPE CLEAR 350MT 509-5</t>
        </is>
      </c>
      <c r="F862" s="10" t="inlineStr"/>
      <c r="G862" s="10" t="inlineStr"/>
      <c r="H862" s="10" t="inlineStr"/>
      <c r="I862" s="11" t="n">
        <v>256</v>
      </c>
      <c r="J862" s="6" t="n">
        <v>15</v>
      </c>
      <c r="K862" s="7">
        <f>IF(I862="","",I862*(1+J862/100))</f>
        <v/>
      </c>
      <c r="L862" s="12" t="inlineStr"/>
      <c r="M862" s="8">
        <f>IF(OR(L862="",K862="",L862=0),"",
  (L862-K862)/L862*100)</f>
        <v/>
      </c>
      <c r="N862" s="9" t="inlineStr"/>
      <c r="O862" s="10" t="inlineStr"/>
      <c r="P862" s="10" t="inlineStr"/>
      <c r="Q862" s="10" t="inlineStr"/>
      <c r="R862" s="10" t="inlineStr">
        <is>
          <t>2026-03-12</t>
        </is>
      </c>
      <c r="S862" s="10" t="inlineStr"/>
    </row>
    <row r="863">
      <c r="A863" s="3" t="inlineStr">
        <is>
          <t>F01276</t>
        </is>
      </c>
      <c r="B863" s="4" t="inlineStr">
        <is>
          <t>F01276</t>
        </is>
      </c>
      <c r="C863" s="4" t="inlineStr"/>
      <c r="D863" s="4" t="inlineStr">
        <is>
          <t>6009705652204</t>
        </is>
      </c>
      <c r="E863" s="3" t="inlineStr">
        <is>
          <t>MUG 11OZ PORCELAIN GLAZE COFFEE CREAM</t>
        </is>
      </c>
      <c r="F863" s="4" t="inlineStr"/>
      <c r="G863" s="4" t="inlineStr"/>
      <c r="H863" s="4" t="inlineStr"/>
      <c r="I863" s="5" t="n">
        <v>7.99</v>
      </c>
      <c r="J863" s="6" t="n">
        <v>15</v>
      </c>
      <c r="K863" s="7">
        <f>IF(I863="","",I863*(1+J863/100))</f>
        <v/>
      </c>
      <c r="L863" s="12" t="inlineStr"/>
      <c r="M863" s="8">
        <f>IF(OR(L863="",K863="",L863=0),"",
  (L863-K863)/L863*100)</f>
        <v/>
      </c>
      <c r="N863" s="14" t="n">
        <v>3792</v>
      </c>
      <c r="O863" s="4" t="inlineStr"/>
      <c r="P863" s="4" t="inlineStr"/>
      <c r="Q863" s="4" t="inlineStr"/>
      <c r="R863" s="4" t="inlineStr">
        <is>
          <t>2026-03-12</t>
        </is>
      </c>
      <c r="S863" s="4" t="inlineStr"/>
    </row>
    <row r="864">
      <c r="A864" s="10" t="inlineStr">
        <is>
          <t>F01277</t>
        </is>
      </c>
      <c r="B864" s="10" t="inlineStr">
        <is>
          <t>F01277</t>
        </is>
      </c>
      <c r="C864" s="10" t="inlineStr"/>
      <c r="D864" s="10" t="inlineStr">
        <is>
          <t>6009705652211</t>
        </is>
      </c>
      <c r="E864" s="10" t="inlineStr">
        <is>
          <t>MUG FINE BONE CHINA COFFEE CREAM ASSRT</t>
        </is>
      </c>
      <c r="F864" s="10" t="inlineStr"/>
      <c r="G864" s="10" t="inlineStr"/>
      <c r="H864" s="10" t="inlineStr"/>
      <c r="I864" s="11" t="n">
        <v>11.95</v>
      </c>
      <c r="J864" s="6" t="n">
        <v>15</v>
      </c>
      <c r="K864" s="7">
        <f>IF(I864="","",I864*(1+J864/100))</f>
        <v/>
      </c>
      <c r="L864" s="12" t="inlineStr"/>
      <c r="M864" s="8">
        <f>IF(OR(L864="",K864="",L864=0),"",
  (L864-K864)/L864*100)</f>
        <v/>
      </c>
      <c r="N864" s="9" t="inlineStr"/>
      <c r="O864" s="10" t="inlineStr"/>
      <c r="P864" s="10" t="inlineStr"/>
      <c r="Q864" s="10" t="inlineStr"/>
      <c r="R864" s="10" t="inlineStr">
        <is>
          <t>2026-03-12</t>
        </is>
      </c>
      <c r="S864" s="10" t="inlineStr"/>
    </row>
    <row r="865">
      <c r="A865" s="3" t="inlineStr">
        <is>
          <t>F01278</t>
        </is>
      </c>
      <c r="B865" s="4" t="inlineStr">
        <is>
          <t>F01278</t>
        </is>
      </c>
      <c r="C865" s="4" t="inlineStr"/>
      <c r="D865" s="4" t="inlineStr">
        <is>
          <t>6009705652228</t>
        </is>
      </c>
      <c r="E865" s="3" t="inlineStr">
        <is>
          <t>MUG 11OZ PORC GLAZE CIRCLE/STRIPE GREEN</t>
        </is>
      </c>
      <c r="F865" s="4" t="inlineStr"/>
      <c r="G865" s="4" t="inlineStr"/>
      <c r="H865" s="4" t="inlineStr"/>
      <c r="I865" s="5" t="n">
        <v>7.99</v>
      </c>
      <c r="J865" s="6" t="n">
        <v>15</v>
      </c>
      <c r="K865" s="7">
        <f>IF(I865="","",I865*(1+J865/100))</f>
        <v/>
      </c>
      <c r="L865" s="12" t="inlineStr"/>
      <c r="M865" s="8">
        <f>IF(OR(L865="",K865="",L865=0),"",
  (L865-K865)/L865*100)</f>
        <v/>
      </c>
      <c r="N865" s="14" t="n">
        <v>2112</v>
      </c>
      <c r="O865" s="4" t="inlineStr"/>
      <c r="P865" s="4" t="inlineStr"/>
      <c r="Q865" s="4" t="inlineStr"/>
      <c r="R865" s="4" t="inlineStr">
        <is>
          <t>2026-03-12</t>
        </is>
      </c>
      <c r="S865" s="4" t="inlineStr"/>
    </row>
    <row r="866">
      <c r="A866" s="10" t="inlineStr">
        <is>
          <t>F01279</t>
        </is>
      </c>
      <c r="B866" s="10" t="inlineStr">
        <is>
          <t>F01279</t>
        </is>
      </c>
      <c r="C866" s="10" t="inlineStr"/>
      <c r="D866" s="10" t="inlineStr">
        <is>
          <t>6009705652235</t>
        </is>
      </c>
      <c r="E866" s="10" t="inlineStr">
        <is>
          <t>MUG 11OZ PORC GLAZE STRIPE/CIRLE BLUE</t>
        </is>
      </c>
      <c r="F866" s="10" t="inlineStr"/>
      <c r="G866" s="10" t="inlineStr"/>
      <c r="H866" s="10" t="inlineStr"/>
      <c r="I866" s="11" t="n">
        <v>7.99</v>
      </c>
      <c r="J866" s="6" t="n">
        <v>15</v>
      </c>
      <c r="K866" s="7">
        <f>IF(I866="","",I866*(1+J866/100))</f>
        <v/>
      </c>
      <c r="L866" s="12" t="inlineStr"/>
      <c r="M866" s="8">
        <f>IF(OR(L866="",K866="",L866=0),"",
  (L866-K866)/L866*100)</f>
        <v/>
      </c>
      <c r="N866" s="13" t="n">
        <v>4692</v>
      </c>
      <c r="O866" s="10" t="inlineStr"/>
      <c r="P866" s="10" t="inlineStr"/>
      <c r="Q866" s="10" t="inlineStr"/>
      <c r="R866" s="10" t="inlineStr">
        <is>
          <t>2026-03-12</t>
        </is>
      </c>
      <c r="S866" s="10" t="inlineStr"/>
    </row>
    <row r="867">
      <c r="A867" s="3" t="inlineStr">
        <is>
          <t>F01290</t>
        </is>
      </c>
      <c r="B867" s="4" t="inlineStr">
        <is>
          <t>F01290</t>
        </is>
      </c>
      <c r="C867" s="4" t="inlineStr"/>
      <c r="D867" s="4" t="inlineStr"/>
      <c r="E867" s="3" t="inlineStr">
        <is>
          <t>BY-111 PVC CEILING DAMAGE LOOSE</t>
        </is>
      </c>
      <c r="F867" s="4" t="inlineStr"/>
      <c r="G867" s="4" t="inlineStr"/>
      <c r="H867" s="4" t="inlineStr"/>
      <c r="I867" s="5" t="n">
        <v>1</v>
      </c>
      <c r="J867" s="6" t="n">
        <v>15</v>
      </c>
      <c r="K867" s="7">
        <f>IF(I867="","",I867*(1+J867/100))</f>
        <v/>
      </c>
      <c r="L867" s="12" t="inlineStr"/>
      <c r="M867" s="8">
        <f>IF(OR(L867="",K867="",L867=0),"",
  (L867-K867)/L867*100)</f>
        <v/>
      </c>
      <c r="N867" s="9" t="inlineStr"/>
      <c r="O867" s="4" t="inlineStr"/>
      <c r="P867" s="4" t="inlineStr"/>
      <c r="Q867" s="4" t="inlineStr"/>
      <c r="R867" s="4" t="inlineStr">
        <is>
          <t>2026-03-12</t>
        </is>
      </c>
      <c r="S867" s="4" t="inlineStr"/>
    </row>
    <row r="868">
      <c r="A868" s="10" t="inlineStr">
        <is>
          <t>F01291</t>
        </is>
      </c>
      <c r="B868" s="10" t="inlineStr">
        <is>
          <t>F01291</t>
        </is>
      </c>
      <c r="C868" s="10" t="inlineStr"/>
      <c r="D868" s="10" t="inlineStr"/>
      <c r="E868" s="10" t="inlineStr">
        <is>
          <t>BY-123 PVC CEILING DAMAGE LOOSE</t>
        </is>
      </c>
      <c r="F868" s="10" t="inlineStr"/>
      <c r="G868" s="10" t="inlineStr"/>
      <c r="H868" s="10" t="inlineStr"/>
      <c r="I868" s="11" t="n">
        <v>35.76</v>
      </c>
      <c r="J868" s="6" t="n">
        <v>15</v>
      </c>
      <c r="K868" s="7">
        <f>IF(I868="","",I868*(1+J868/100))</f>
        <v/>
      </c>
      <c r="L868" s="12" t="inlineStr"/>
      <c r="M868" s="8">
        <f>IF(OR(L868="",K868="",L868=0),"",
  (L868-K868)/L868*100)</f>
        <v/>
      </c>
      <c r="N868" s="9" t="inlineStr"/>
      <c r="O868" s="10" t="inlineStr"/>
      <c r="P868" s="10" t="inlineStr"/>
      <c r="Q868" s="10" t="inlineStr"/>
      <c r="R868" s="10" t="inlineStr">
        <is>
          <t>2026-03-12</t>
        </is>
      </c>
      <c r="S868" s="10" t="inlineStr"/>
    </row>
    <row r="869">
      <c r="A869" s="3" t="inlineStr">
        <is>
          <t>F01292</t>
        </is>
      </c>
      <c r="B869" s="4" t="inlineStr">
        <is>
          <t>F01292</t>
        </is>
      </c>
      <c r="C869" s="4" t="inlineStr"/>
      <c r="D869" s="4" t="inlineStr"/>
      <c r="E869" s="3" t="inlineStr">
        <is>
          <t>BY-124 PVC CEILING DAMAGE LOOSE</t>
        </is>
      </c>
      <c r="F869" s="4" t="inlineStr"/>
      <c r="G869" s="4" t="inlineStr"/>
      <c r="H869" s="4" t="inlineStr"/>
      <c r="I869" s="5" t="n">
        <v>35.76</v>
      </c>
      <c r="J869" s="6" t="n">
        <v>15</v>
      </c>
      <c r="K869" s="7">
        <f>IF(I869="","",I869*(1+J869/100))</f>
        <v/>
      </c>
      <c r="L869" s="12" t="inlineStr"/>
      <c r="M869" s="8">
        <f>IF(OR(L869="",K869="",L869=0),"",
  (L869-K869)/L869*100)</f>
        <v/>
      </c>
      <c r="N869" s="9" t="inlineStr"/>
      <c r="O869" s="4" t="inlineStr"/>
      <c r="P869" s="4" t="inlineStr"/>
      <c r="Q869" s="4" t="inlineStr"/>
      <c r="R869" s="4" t="inlineStr">
        <is>
          <t>2026-03-12</t>
        </is>
      </c>
      <c r="S869" s="4" t="inlineStr"/>
    </row>
    <row r="870">
      <c r="A870" s="10" t="inlineStr">
        <is>
          <t>F01293</t>
        </is>
      </c>
      <c r="B870" s="10" t="inlineStr">
        <is>
          <t>F01293</t>
        </is>
      </c>
      <c r="C870" s="10" t="inlineStr">
        <is>
          <t>32132</t>
        </is>
      </c>
      <c r="D870" s="10" t="inlineStr">
        <is>
          <t>600977018091</t>
        </is>
      </c>
      <c r="E870" s="10" t="inlineStr">
        <is>
          <t>GLASS CHIMNEY 24s</t>
        </is>
      </c>
      <c r="F870" s="10" t="inlineStr"/>
      <c r="G870" s="10" t="inlineStr"/>
      <c r="H870" s="10" t="inlineStr"/>
      <c r="I870" s="11" t="n">
        <v>13.95</v>
      </c>
      <c r="J870" s="6" t="n">
        <v>15</v>
      </c>
      <c r="K870" s="7">
        <f>IF(I870="","",I870*(1+J870/100))</f>
        <v/>
      </c>
      <c r="L870" s="12" t="inlineStr"/>
      <c r="M870" s="8">
        <f>IF(OR(L870="",K870="",L870=0),"",
  (L870-K870)/L870*100)</f>
        <v/>
      </c>
      <c r="N870" s="13" t="n">
        <v>6</v>
      </c>
      <c r="O870" s="10" t="inlineStr"/>
      <c r="P870" s="10" t="inlineStr"/>
      <c r="Q870" s="10" t="inlineStr"/>
      <c r="R870" s="10" t="inlineStr">
        <is>
          <t>2026-03-12</t>
        </is>
      </c>
      <c r="S870" s="10" t="inlineStr"/>
    </row>
    <row r="871">
      <c r="A871" s="3" t="inlineStr">
        <is>
          <t>F01294</t>
        </is>
      </c>
      <c r="B871" s="4" t="inlineStr">
        <is>
          <t>F01294</t>
        </is>
      </c>
      <c r="C871" s="4" t="inlineStr"/>
      <c r="D871" s="4" t="inlineStr">
        <is>
          <t>6009708440976</t>
        </is>
      </c>
      <c r="E871" s="3" t="inlineStr">
        <is>
          <t>MUG 19/23 OZ ASSORTED GLAZED</t>
        </is>
      </c>
      <c r="F871" s="4" t="inlineStr"/>
      <c r="G871" s="4" t="inlineStr"/>
      <c r="H871" s="4" t="inlineStr"/>
      <c r="I871" s="5" t="n">
        <v>11.79</v>
      </c>
      <c r="J871" s="6" t="n">
        <v>15</v>
      </c>
      <c r="K871" s="7">
        <f>IF(I871="","",I871*(1+J871/100))</f>
        <v/>
      </c>
      <c r="L871" s="12" t="inlineStr"/>
      <c r="M871" s="8">
        <f>IF(OR(L871="",K871="",L871=0),"",
  (L871-K871)/L871*100)</f>
        <v/>
      </c>
      <c r="N871" s="9" t="inlineStr"/>
      <c r="O871" s="4" t="inlineStr"/>
      <c r="P871" s="4" t="inlineStr"/>
      <c r="Q871" s="4" t="inlineStr"/>
      <c r="R871" s="4" t="inlineStr">
        <is>
          <t>2026-03-12</t>
        </is>
      </c>
      <c r="S871" s="4" t="inlineStr"/>
    </row>
    <row r="872">
      <c r="A872" s="10" t="inlineStr">
        <is>
          <t>F01295</t>
        </is>
      </c>
      <c r="B872" s="10" t="inlineStr">
        <is>
          <t>F01295</t>
        </is>
      </c>
      <c r="C872" s="10" t="inlineStr"/>
      <c r="D872" s="10" t="inlineStr">
        <is>
          <t>6009708440983</t>
        </is>
      </c>
      <c r="E872" s="10" t="inlineStr">
        <is>
          <t>CHAIR FOLDING WHITE</t>
        </is>
      </c>
      <c r="F872" s="10" t="inlineStr"/>
      <c r="G872" s="10" t="inlineStr"/>
      <c r="H872" s="10" t="inlineStr"/>
      <c r="I872" s="11" t="n">
        <v>149</v>
      </c>
      <c r="J872" s="6" t="n">
        <v>15</v>
      </c>
      <c r="K872" s="7">
        <f>IF(I872="","",I872*(1+J872/100))</f>
        <v/>
      </c>
      <c r="L872" s="12" t="inlineStr"/>
      <c r="M872" s="8">
        <f>IF(OR(L872="",K872="",L872=0),"",
  (L872-K872)/L872*100)</f>
        <v/>
      </c>
      <c r="N872" s="9" t="inlineStr"/>
      <c r="O872" s="10" t="inlineStr"/>
      <c r="P872" s="10" t="inlineStr"/>
      <c r="Q872" s="10" t="inlineStr"/>
      <c r="R872" s="10" t="inlineStr">
        <is>
          <t>2026-03-12</t>
        </is>
      </c>
      <c r="S872" s="10" t="inlineStr"/>
    </row>
    <row r="873">
      <c r="A873" s="3" t="inlineStr">
        <is>
          <t>F01296</t>
        </is>
      </c>
      <c r="B873" s="4" t="inlineStr">
        <is>
          <t>F01296</t>
        </is>
      </c>
      <c r="C873" s="4" t="inlineStr"/>
      <c r="D873" s="4" t="inlineStr">
        <is>
          <t>6009708440952</t>
        </is>
      </c>
      <c r="E873" s="3" t="inlineStr">
        <is>
          <t>BY-127 PVC CEILING 3900*300*6MM</t>
        </is>
      </c>
      <c r="F873" s="4" t="inlineStr"/>
      <c r="G873" s="4" t="inlineStr"/>
      <c r="H873" s="4" t="inlineStr"/>
      <c r="I873" s="5" t="n">
        <v>354.16</v>
      </c>
      <c r="J873" s="6" t="n">
        <v>15</v>
      </c>
      <c r="K873" s="7">
        <f>IF(I873="","",I873*(1+J873/100))</f>
        <v/>
      </c>
      <c r="L873" s="12" t="inlineStr"/>
      <c r="M873" s="8">
        <f>IF(OR(L873="",K873="",L873=0),"",
  (L873-K873)/L873*100)</f>
        <v/>
      </c>
      <c r="N873" s="9" t="inlineStr"/>
      <c r="O873" s="4" t="inlineStr"/>
      <c r="P873" s="4" t="inlineStr"/>
      <c r="Q873" s="4" t="inlineStr"/>
      <c r="R873" s="4" t="inlineStr">
        <is>
          <t>2026-03-12</t>
        </is>
      </c>
      <c r="S873" s="4" t="inlineStr"/>
    </row>
    <row r="874">
      <c r="A874" s="10" t="inlineStr">
        <is>
          <t>F01297</t>
        </is>
      </c>
      <c r="B874" s="10" t="inlineStr">
        <is>
          <t>F01297</t>
        </is>
      </c>
      <c r="C874" s="10" t="inlineStr"/>
      <c r="D874" s="10" t="inlineStr"/>
      <c r="E874" s="10" t="inlineStr">
        <is>
          <t>CY-001 PVC CEILING 3900*300*8MM</t>
        </is>
      </c>
      <c r="F874" s="10" t="inlineStr"/>
      <c r="G874" s="10" t="inlineStr"/>
      <c r="H874" s="10" t="inlineStr"/>
      <c r="I874" s="11" t="n">
        <v>429.5</v>
      </c>
      <c r="J874" s="6" t="n">
        <v>15</v>
      </c>
      <c r="K874" s="7">
        <f>IF(I874="","",I874*(1+J874/100))</f>
        <v/>
      </c>
      <c r="L874" s="12" t="inlineStr"/>
      <c r="M874" s="8">
        <f>IF(OR(L874="",K874="",L874=0),"",
  (L874-K874)/L874*100)</f>
        <v/>
      </c>
      <c r="N874" s="9" t="inlineStr"/>
      <c r="O874" s="10" t="inlineStr"/>
      <c r="P874" s="10" t="inlineStr"/>
      <c r="Q874" s="10" t="inlineStr"/>
      <c r="R874" s="10" t="inlineStr">
        <is>
          <t>2026-03-12</t>
        </is>
      </c>
      <c r="S874" s="10" t="inlineStr"/>
    </row>
    <row r="875">
      <c r="A875" s="3" t="inlineStr">
        <is>
          <t>F01298</t>
        </is>
      </c>
      <c r="B875" s="4" t="inlineStr">
        <is>
          <t>F01298</t>
        </is>
      </c>
      <c r="C875" s="4" t="inlineStr"/>
      <c r="D875" s="4" t="inlineStr"/>
      <c r="E875" s="3" t="inlineStr">
        <is>
          <t>CY-002 PVC CEILING 3900*300*8MM</t>
        </is>
      </c>
      <c r="F875" s="4" t="inlineStr"/>
      <c r="G875" s="4" t="inlineStr"/>
      <c r="H875" s="4" t="inlineStr"/>
      <c r="I875" s="5" t="n">
        <v>429.5</v>
      </c>
      <c r="J875" s="6" t="n">
        <v>15</v>
      </c>
      <c r="K875" s="7">
        <f>IF(I875="","",I875*(1+J875/100))</f>
        <v/>
      </c>
      <c r="L875" s="12" t="inlineStr"/>
      <c r="M875" s="8">
        <f>IF(OR(L875="",K875="",L875=0),"",
  (L875-K875)/L875*100)</f>
        <v/>
      </c>
      <c r="N875" s="9" t="inlineStr"/>
      <c r="O875" s="4" t="inlineStr"/>
      <c r="P875" s="4" t="inlineStr"/>
      <c r="Q875" s="4" t="inlineStr"/>
      <c r="R875" s="4" t="inlineStr">
        <is>
          <t>2026-03-12</t>
        </is>
      </c>
      <c r="S875" s="4" t="inlineStr"/>
    </row>
    <row r="876">
      <c r="A876" s="10" t="inlineStr">
        <is>
          <t>F01299</t>
        </is>
      </c>
      <c r="B876" s="10" t="inlineStr">
        <is>
          <t>F01299</t>
        </is>
      </c>
      <c r="C876" s="10" t="inlineStr"/>
      <c r="D876" s="10" t="inlineStr"/>
      <c r="E876" s="10" t="inlineStr">
        <is>
          <t>CY-003 PVC CEILING 3900*300*8MM</t>
        </is>
      </c>
      <c r="F876" s="10" t="inlineStr"/>
      <c r="G876" s="10" t="inlineStr"/>
      <c r="H876" s="10" t="inlineStr"/>
      <c r="I876" s="11" t="n">
        <v>429.5</v>
      </c>
      <c r="J876" s="6" t="n">
        <v>15</v>
      </c>
      <c r="K876" s="7">
        <f>IF(I876="","",I876*(1+J876/100))</f>
        <v/>
      </c>
      <c r="L876" s="12" t="inlineStr"/>
      <c r="M876" s="8">
        <f>IF(OR(L876="",K876="",L876=0),"",
  (L876-K876)/L876*100)</f>
        <v/>
      </c>
      <c r="N876" s="9" t="inlineStr"/>
      <c r="O876" s="10" t="inlineStr"/>
      <c r="P876" s="10" t="inlineStr"/>
      <c r="Q876" s="10" t="inlineStr"/>
      <c r="R876" s="10" t="inlineStr">
        <is>
          <t>2026-03-12</t>
        </is>
      </c>
      <c r="S876" s="10" t="inlineStr"/>
    </row>
    <row r="877">
      <c r="A877" s="3" t="inlineStr">
        <is>
          <t>F01300</t>
        </is>
      </c>
      <c r="B877" s="4" t="inlineStr">
        <is>
          <t>F01300</t>
        </is>
      </c>
      <c r="C877" s="4" t="inlineStr"/>
      <c r="D877" s="4" t="inlineStr"/>
      <c r="E877" s="3" t="inlineStr">
        <is>
          <t>CY-004 PVC CEILING 3900*300*8MM</t>
        </is>
      </c>
      <c r="F877" s="4" t="inlineStr"/>
      <c r="G877" s="4" t="inlineStr"/>
      <c r="H877" s="4" t="inlineStr"/>
      <c r="I877" s="5" t="n">
        <v>1</v>
      </c>
      <c r="J877" s="6" t="n">
        <v>15</v>
      </c>
      <c r="K877" s="7">
        <f>IF(I877="","",I877*(1+J877/100))</f>
        <v/>
      </c>
      <c r="L877" s="12" t="inlineStr"/>
      <c r="M877" s="8">
        <f>IF(OR(L877="",K877="",L877=0),"",
  (L877-K877)/L877*100)</f>
        <v/>
      </c>
      <c r="N877" s="9" t="inlineStr"/>
      <c r="O877" s="4" t="inlineStr"/>
      <c r="P877" s="4" t="inlineStr"/>
      <c r="Q877" s="4" t="inlineStr"/>
      <c r="R877" s="4" t="inlineStr">
        <is>
          <t>2026-03-12</t>
        </is>
      </c>
      <c r="S877" s="4" t="inlineStr"/>
    </row>
    <row r="878">
      <c r="A878" s="10" t="inlineStr">
        <is>
          <t>F01301</t>
        </is>
      </c>
      <c r="B878" s="10" t="inlineStr">
        <is>
          <t>F01301</t>
        </is>
      </c>
      <c r="C878" s="10" t="inlineStr"/>
      <c r="D878" s="10" t="inlineStr"/>
      <c r="E878" s="10" t="inlineStr">
        <is>
          <t>CY-005 PVC CEILING 3900*300*8MM</t>
        </is>
      </c>
      <c r="F878" s="10" t="inlineStr"/>
      <c r="G878" s="10" t="inlineStr"/>
      <c r="H878" s="10" t="inlineStr"/>
      <c r="I878" s="11" t="n">
        <v>429.5</v>
      </c>
      <c r="J878" s="6" t="n">
        <v>15</v>
      </c>
      <c r="K878" s="7">
        <f>IF(I878="","",I878*(1+J878/100))</f>
        <v/>
      </c>
      <c r="L878" s="12" t="inlineStr"/>
      <c r="M878" s="8">
        <f>IF(OR(L878="",K878="",L878=0),"",
  (L878-K878)/L878*100)</f>
        <v/>
      </c>
      <c r="N878" s="9" t="inlineStr"/>
      <c r="O878" s="10" t="inlineStr"/>
      <c r="P878" s="10" t="inlineStr"/>
      <c r="Q878" s="10" t="inlineStr"/>
      <c r="R878" s="10" t="inlineStr">
        <is>
          <t>2026-03-12</t>
        </is>
      </c>
      <c r="S878" s="10" t="inlineStr"/>
    </row>
    <row r="879">
      <c r="A879" s="3" t="inlineStr">
        <is>
          <t>F01304</t>
        </is>
      </c>
      <c r="B879" s="4" t="inlineStr">
        <is>
          <t>F01304</t>
        </is>
      </c>
      <c r="C879" s="4" t="inlineStr"/>
      <c r="D879" s="4" t="inlineStr">
        <is>
          <t>6009708440969</t>
        </is>
      </c>
      <c r="E879" s="3" t="inlineStr">
        <is>
          <t>PLATE RUSTIC COLOR 10.5''</t>
        </is>
      </c>
      <c r="F879" s="4" t="inlineStr"/>
      <c r="G879" s="4" t="inlineStr"/>
      <c r="H879" s="4" t="inlineStr"/>
      <c r="I879" s="5" t="n">
        <v>14.95</v>
      </c>
      <c r="J879" s="6" t="n">
        <v>15</v>
      </c>
      <c r="K879" s="7">
        <f>IF(I879="","",I879*(1+J879/100))</f>
        <v/>
      </c>
      <c r="L879" s="12" t="inlineStr"/>
      <c r="M879" s="8">
        <f>IF(OR(L879="",K879="",L879=0),"",
  (L879-K879)/L879*100)</f>
        <v/>
      </c>
      <c r="N879" s="9" t="inlineStr"/>
      <c r="O879" s="4" t="inlineStr"/>
      <c r="P879" s="4" t="inlineStr"/>
      <c r="Q879" s="4" t="inlineStr"/>
      <c r="R879" s="4" t="inlineStr">
        <is>
          <t>2026-03-12</t>
        </is>
      </c>
      <c r="S879" s="4" t="inlineStr"/>
    </row>
    <row r="880">
      <c r="A880" s="10" t="inlineStr">
        <is>
          <t>F01305</t>
        </is>
      </c>
      <c r="B880" s="10" t="inlineStr">
        <is>
          <t>F01305</t>
        </is>
      </c>
      <c r="C880" s="10" t="inlineStr">
        <is>
          <t>19082</t>
        </is>
      </c>
      <c r="D880" s="10" t="inlineStr">
        <is>
          <t>6009708400994</t>
        </is>
      </c>
      <c r="E880" s="10" t="inlineStr">
        <is>
          <t>AWNING DIY 800X 1.2MTR BROWN HOLLOW</t>
        </is>
      </c>
      <c r="F880" s="10" t="inlineStr"/>
      <c r="G880" s="10" t="inlineStr"/>
      <c r="H880" s="10" t="inlineStr"/>
      <c r="I880" s="11" t="n">
        <v>329</v>
      </c>
      <c r="J880" s="6" t="n">
        <v>15</v>
      </c>
      <c r="K880" s="7">
        <f>IF(I880="","",I880*(1+J880/100))</f>
        <v/>
      </c>
      <c r="L880" s="11" t="n">
        <v>635</v>
      </c>
      <c r="M880" s="8">
        <f>IF(OR(L880="",K880="",L880=0),"",
  (L880-K880)/L880*100)</f>
        <v/>
      </c>
      <c r="N880" s="13" t="n">
        <v>685</v>
      </c>
      <c r="O880" s="10" t="inlineStr"/>
      <c r="P880" s="10" t="inlineStr"/>
      <c r="Q880" s="10" t="inlineStr"/>
      <c r="R880" s="10" t="inlineStr">
        <is>
          <t>2026-03-12</t>
        </is>
      </c>
      <c r="S880" s="10" t="inlineStr"/>
    </row>
    <row r="881">
      <c r="A881" s="3" t="inlineStr">
        <is>
          <t>F01306</t>
        </is>
      </c>
      <c r="B881" s="4" t="inlineStr">
        <is>
          <t>F01306</t>
        </is>
      </c>
      <c r="C881" s="4" t="inlineStr">
        <is>
          <t>32013</t>
        </is>
      </c>
      <c r="D881" s="4" t="inlineStr">
        <is>
          <t>6009708400987</t>
        </is>
      </c>
      <c r="E881" s="3" t="inlineStr">
        <is>
          <t>AWNING 800MMX 1MTR BROWN HOLLOW</t>
        </is>
      </c>
      <c r="F881" s="4" t="inlineStr"/>
      <c r="G881" s="4" t="inlineStr"/>
      <c r="H881" s="4" t="inlineStr"/>
      <c r="I881" s="5" t="n">
        <v>275</v>
      </c>
      <c r="J881" s="6" t="n">
        <v>15</v>
      </c>
      <c r="K881" s="7">
        <f>IF(I881="","",I881*(1+J881/100))</f>
        <v/>
      </c>
      <c r="L881" s="5" t="n">
        <v>499</v>
      </c>
      <c r="M881" s="8">
        <f>IF(OR(L881="",K881="",L881=0),"",
  (L881-K881)/L881*100)</f>
        <v/>
      </c>
      <c r="N881" s="14" t="n">
        <v>515</v>
      </c>
      <c r="O881" s="4" t="inlineStr"/>
      <c r="P881" s="4" t="inlineStr"/>
      <c r="Q881" s="4" t="inlineStr"/>
      <c r="R881" s="4" t="inlineStr">
        <is>
          <t>2026-03-12</t>
        </is>
      </c>
      <c r="S881" s="4" t="inlineStr"/>
    </row>
    <row r="882">
      <c r="A882" s="10" t="inlineStr">
        <is>
          <t>F01307</t>
        </is>
      </c>
      <c r="B882" s="10" t="inlineStr">
        <is>
          <t>F01307</t>
        </is>
      </c>
      <c r="C882" s="10" t="inlineStr"/>
      <c r="D882" s="10" t="inlineStr">
        <is>
          <t>6009697452905</t>
        </is>
      </c>
      <c r="E882" s="10" t="inlineStr">
        <is>
          <t>TAPE 50MT  BUFF CLEAR (36s)</t>
        </is>
      </c>
      <c r="F882" s="10" t="inlineStr"/>
      <c r="G882" s="10" t="inlineStr"/>
      <c r="H882" s="10" t="inlineStr"/>
      <c r="I882" s="11" t="n">
        <v>195</v>
      </c>
      <c r="J882" s="6" t="n">
        <v>15</v>
      </c>
      <c r="K882" s="7">
        <f>IF(I882="","",I882*(1+J882/100))</f>
        <v/>
      </c>
      <c r="L882" s="12" t="inlineStr"/>
      <c r="M882" s="8">
        <f>IF(OR(L882="",K882="",L882=0),"",
  (L882-K882)/L882*100)</f>
        <v/>
      </c>
      <c r="N882" s="9" t="inlineStr"/>
      <c r="O882" s="10" t="inlineStr"/>
      <c r="P882" s="10" t="inlineStr"/>
      <c r="Q882" s="10" t="inlineStr"/>
      <c r="R882" s="10" t="inlineStr">
        <is>
          <t>2026-03-12</t>
        </is>
      </c>
      <c r="S882" s="10" t="inlineStr"/>
    </row>
    <row r="883">
      <c r="A883" s="3" t="inlineStr">
        <is>
          <t>F01308</t>
        </is>
      </c>
      <c r="B883" s="4" t="inlineStr">
        <is>
          <t>F01308</t>
        </is>
      </c>
      <c r="C883" s="4" t="inlineStr"/>
      <c r="D883" s="4" t="inlineStr">
        <is>
          <t>6009697450307</t>
        </is>
      </c>
      <c r="E883" s="3" t="inlineStr">
        <is>
          <t>SHADE NET BLACK 1.8MX50M 80% SHADE</t>
        </is>
      </c>
      <c r="F883" s="4" t="inlineStr"/>
      <c r="G883" s="4" t="inlineStr"/>
      <c r="H883" s="4" t="inlineStr"/>
      <c r="I883" s="5" t="n">
        <v>1250</v>
      </c>
      <c r="J883" s="6" t="n">
        <v>15</v>
      </c>
      <c r="K883" s="7">
        <f>IF(I883="","",I883*(1+J883/100))</f>
        <v/>
      </c>
      <c r="L883" s="12" t="inlineStr"/>
      <c r="M883" s="8">
        <f>IF(OR(L883="",K883="",L883=0),"",
  (L883-K883)/L883*100)</f>
        <v/>
      </c>
      <c r="N883" s="9" t="inlineStr"/>
      <c r="O883" s="4" t="inlineStr"/>
      <c r="P883" s="4" t="inlineStr"/>
      <c r="Q883" s="4" t="inlineStr"/>
      <c r="R883" s="4" t="inlineStr">
        <is>
          <t>2026-03-12</t>
        </is>
      </c>
      <c r="S883" s="4" t="inlineStr"/>
    </row>
    <row r="884">
      <c r="A884" s="10" t="inlineStr">
        <is>
          <t>F01309</t>
        </is>
      </c>
      <c r="B884" s="10" t="inlineStr">
        <is>
          <t>F01309</t>
        </is>
      </c>
      <c r="C884" s="10" t="inlineStr"/>
      <c r="D884" s="10" t="inlineStr">
        <is>
          <t>6009697450314</t>
        </is>
      </c>
      <c r="E884" s="10" t="inlineStr">
        <is>
          <t>SHADE NET BLACK 3MX50M 80% SHADE</t>
        </is>
      </c>
      <c r="F884" s="10" t="inlineStr"/>
      <c r="G884" s="10" t="inlineStr"/>
      <c r="H884" s="10" t="inlineStr"/>
      <c r="I884" s="11" t="n">
        <v>2600</v>
      </c>
      <c r="J884" s="6" t="n">
        <v>15</v>
      </c>
      <c r="K884" s="7">
        <f>IF(I884="","",I884*(1+J884/100))</f>
        <v/>
      </c>
      <c r="L884" s="12" t="inlineStr"/>
      <c r="M884" s="8">
        <f>IF(OR(L884="",K884="",L884=0),"",
  (L884-K884)/L884*100)</f>
        <v/>
      </c>
      <c r="N884" s="9" t="inlineStr"/>
      <c r="O884" s="10" t="inlineStr"/>
      <c r="P884" s="10" t="inlineStr"/>
      <c r="Q884" s="10" t="inlineStr"/>
      <c r="R884" s="10" t="inlineStr">
        <is>
          <t>2026-03-12</t>
        </is>
      </c>
      <c r="S884" s="10" t="inlineStr"/>
    </row>
    <row r="885">
      <c r="A885" s="3" t="inlineStr">
        <is>
          <t>F01310</t>
        </is>
      </c>
      <c r="B885" s="4" t="inlineStr">
        <is>
          <t>F01310</t>
        </is>
      </c>
      <c r="C885" s="4" t="inlineStr"/>
      <c r="D885" s="4" t="inlineStr">
        <is>
          <t>6009677010903</t>
        </is>
      </c>
      <c r="E885" s="3" t="inlineStr">
        <is>
          <t>CHAIR  CAMP DELUXE 606-2</t>
        </is>
      </c>
      <c r="F885" s="4" t="inlineStr"/>
      <c r="G885" s="4" t="inlineStr"/>
      <c r="H885" s="4" t="inlineStr"/>
      <c r="I885" s="5" t="n">
        <v>162.45</v>
      </c>
      <c r="J885" s="6" t="n">
        <v>15</v>
      </c>
      <c r="K885" s="7">
        <f>IF(I885="","",I885*(1+J885/100))</f>
        <v/>
      </c>
      <c r="L885" s="12" t="inlineStr"/>
      <c r="M885" s="8">
        <f>IF(OR(L885="",K885="",L885=0),"",
  (L885-K885)/L885*100)</f>
        <v/>
      </c>
      <c r="N885" s="9" t="inlineStr"/>
      <c r="O885" s="4" t="inlineStr"/>
      <c r="P885" s="4" t="inlineStr"/>
      <c r="Q885" s="4" t="inlineStr"/>
      <c r="R885" s="4" t="inlineStr">
        <is>
          <t>2026-03-12</t>
        </is>
      </c>
      <c r="S885" s="4" t="inlineStr"/>
    </row>
    <row r="886">
      <c r="A886" s="10" t="inlineStr">
        <is>
          <t>F01311</t>
        </is>
      </c>
      <c r="B886" s="10" t="inlineStr">
        <is>
          <t>F01311</t>
        </is>
      </c>
      <c r="C886" s="10" t="inlineStr"/>
      <c r="D886" s="10" t="inlineStr">
        <is>
          <t>6009677010231</t>
        </is>
      </c>
      <c r="E886" s="10" t="inlineStr">
        <is>
          <t>SG613-1 GLUE FOR GUN CLEAR 1kg</t>
        </is>
      </c>
      <c r="F886" s="10" t="inlineStr"/>
      <c r="G886" s="10" t="inlineStr"/>
      <c r="H886" s="10" t="inlineStr"/>
      <c r="I886" s="11" t="n">
        <v>109.9</v>
      </c>
      <c r="J886" s="6" t="n">
        <v>15</v>
      </c>
      <c r="K886" s="7">
        <f>IF(I886="","",I886*(1+J886/100))</f>
        <v/>
      </c>
      <c r="L886" s="12" t="inlineStr"/>
      <c r="M886" s="8">
        <f>IF(OR(L886="",K886="",L886=0),"",
  (L886-K886)/L886*100)</f>
        <v/>
      </c>
      <c r="N886" s="9" t="inlineStr"/>
      <c r="O886" s="10" t="inlineStr"/>
      <c r="P886" s="10" t="inlineStr"/>
      <c r="Q886" s="10" t="inlineStr"/>
      <c r="R886" s="10" t="inlineStr">
        <is>
          <t>2026-03-12</t>
        </is>
      </c>
      <c r="S886" s="10" t="inlineStr"/>
    </row>
    <row r="887">
      <c r="A887" s="3" t="inlineStr">
        <is>
          <t>F01312</t>
        </is>
      </c>
      <c r="B887" s="4" t="inlineStr">
        <is>
          <t>F01312</t>
        </is>
      </c>
      <c r="C887" s="4" t="inlineStr"/>
      <c r="D887" s="4" t="inlineStr">
        <is>
          <t>6009677010248</t>
        </is>
      </c>
      <c r="E887" s="3" t="inlineStr">
        <is>
          <t>GLUE STICK FOR GLUE GUN WHITE  1kg</t>
        </is>
      </c>
      <c r="F887" s="4" t="inlineStr"/>
      <c r="G887" s="4" t="inlineStr"/>
      <c r="H887" s="4" t="inlineStr"/>
      <c r="I887" s="5" t="n">
        <v>87</v>
      </c>
      <c r="J887" s="6" t="n">
        <v>15</v>
      </c>
      <c r="K887" s="7">
        <f>IF(I887="","",I887*(1+J887/100))</f>
        <v/>
      </c>
      <c r="L887" s="12" t="inlineStr"/>
      <c r="M887" s="8">
        <f>IF(OR(L887="",K887="",L887=0),"",
  (L887-K887)/L887*100)</f>
        <v/>
      </c>
      <c r="N887" s="14" t="n">
        <v>189</v>
      </c>
      <c r="O887" s="4" t="inlineStr"/>
      <c r="P887" s="4" t="inlineStr"/>
      <c r="Q887" s="4" t="inlineStr"/>
      <c r="R887" s="4" t="inlineStr">
        <is>
          <t>2026-03-12</t>
        </is>
      </c>
      <c r="S887" s="4" t="inlineStr"/>
    </row>
    <row r="888">
      <c r="A888" s="10" t="inlineStr">
        <is>
          <t>F01313</t>
        </is>
      </c>
      <c r="B888" s="10" t="inlineStr">
        <is>
          <t>F01313</t>
        </is>
      </c>
      <c r="C888" s="10" t="inlineStr"/>
      <c r="D888" s="10" t="inlineStr">
        <is>
          <t>6009677010255</t>
        </is>
      </c>
      <c r="E888" s="10" t="inlineStr">
        <is>
          <t>SG613-3 GLUE FOR GUN OFF WHITE 1kg</t>
        </is>
      </c>
      <c r="F888" s="10" t="inlineStr"/>
      <c r="G888" s="10" t="inlineStr"/>
      <c r="H888" s="10" t="inlineStr"/>
      <c r="I888" s="11" t="n">
        <v>79.90000000000001</v>
      </c>
      <c r="J888" s="6" t="n">
        <v>15</v>
      </c>
      <c r="K888" s="7">
        <f>IF(I888="","",I888*(1+J888/100))</f>
        <v/>
      </c>
      <c r="L888" s="12" t="inlineStr"/>
      <c r="M888" s="8">
        <f>IF(OR(L888="",K888="",L888=0),"",
  (L888-K888)/L888*100)</f>
        <v/>
      </c>
      <c r="N888" s="9" t="inlineStr"/>
      <c r="O888" s="10" t="inlineStr"/>
      <c r="P888" s="10" t="inlineStr"/>
      <c r="Q888" s="10" t="inlineStr"/>
      <c r="R888" s="10" t="inlineStr">
        <is>
          <t>2026-03-12</t>
        </is>
      </c>
      <c r="S888" s="10" t="inlineStr"/>
    </row>
    <row r="889">
      <c r="A889" s="3" t="inlineStr">
        <is>
          <t>F01314</t>
        </is>
      </c>
      <c r="B889" s="4" t="inlineStr">
        <is>
          <t>F01314</t>
        </is>
      </c>
      <c r="C889" s="4" t="inlineStr"/>
      <c r="D889" s="4" t="inlineStr">
        <is>
          <t>6009677010750</t>
        </is>
      </c>
      <c r="E889" s="3" t="inlineStr">
        <is>
          <t>MUG 11OZ PORCELAIN GLAZE CIRCLE COLOR</t>
        </is>
      </c>
      <c r="F889" s="4" t="inlineStr"/>
      <c r="G889" s="4" t="inlineStr"/>
      <c r="H889" s="4" t="inlineStr"/>
      <c r="I889" s="5" t="n">
        <v>7.99</v>
      </c>
      <c r="J889" s="6" t="n">
        <v>15</v>
      </c>
      <c r="K889" s="7">
        <f>IF(I889="","",I889*(1+J889/100))</f>
        <v/>
      </c>
      <c r="L889" s="12" t="inlineStr"/>
      <c r="M889" s="8">
        <f>IF(OR(L889="",K889="",L889=0),"",
  (L889-K889)/L889*100)</f>
        <v/>
      </c>
      <c r="N889" s="14" t="n">
        <v>4080</v>
      </c>
      <c r="O889" s="4" t="inlineStr"/>
      <c r="P889" s="4" t="inlineStr"/>
      <c r="Q889" s="4" t="inlineStr"/>
      <c r="R889" s="4" t="inlineStr">
        <is>
          <t>2026-03-12</t>
        </is>
      </c>
      <c r="S889" s="4" t="inlineStr"/>
    </row>
    <row r="890">
      <c r="A890" s="10" t="inlineStr">
        <is>
          <t>F01315</t>
        </is>
      </c>
      <c r="B890" s="10" t="inlineStr">
        <is>
          <t>F01315</t>
        </is>
      </c>
      <c r="C890" s="10" t="inlineStr"/>
      <c r="D890" s="10" t="inlineStr">
        <is>
          <t>6009677010767</t>
        </is>
      </c>
      <c r="E890" s="10" t="inlineStr">
        <is>
          <t>MUG BONE CHINA GRAPHIC DESIGN</t>
        </is>
      </c>
      <c r="F890" s="10" t="inlineStr"/>
      <c r="G890" s="10" t="inlineStr"/>
      <c r="H890" s="10" t="inlineStr"/>
      <c r="I890" s="11" t="n">
        <v>9.949999999999999</v>
      </c>
      <c r="J890" s="6" t="n">
        <v>15</v>
      </c>
      <c r="K890" s="7">
        <f>IF(I890="","",I890*(1+J890/100))</f>
        <v/>
      </c>
      <c r="L890" s="12" t="inlineStr"/>
      <c r="M890" s="8">
        <f>IF(OR(L890="",K890="",L890=0),"",
  (L890-K890)/L890*100)</f>
        <v/>
      </c>
      <c r="N890" s="13" t="n">
        <v>1383</v>
      </c>
      <c r="O890" s="10" t="inlineStr"/>
      <c r="P890" s="10" t="inlineStr"/>
      <c r="Q890" s="10" t="inlineStr"/>
      <c r="R890" s="10" t="inlineStr">
        <is>
          <t>2026-03-12</t>
        </is>
      </c>
      <c r="S890" s="10" t="inlineStr"/>
    </row>
    <row r="891">
      <c r="A891" s="3" t="inlineStr">
        <is>
          <t>F01316</t>
        </is>
      </c>
      <c r="B891" s="4" t="inlineStr">
        <is>
          <t>F01316</t>
        </is>
      </c>
      <c r="C891" s="4" t="inlineStr"/>
      <c r="D891" s="4" t="inlineStr">
        <is>
          <t>6009677010774</t>
        </is>
      </c>
      <c r="E891" s="3" t="inlineStr">
        <is>
          <t>MUG FINE BONE CHINA COFFEE ASST DESIGNS</t>
        </is>
      </c>
      <c r="F891" s="4" t="inlineStr"/>
      <c r="G891" s="4" t="inlineStr"/>
      <c r="H891" s="4" t="inlineStr"/>
      <c r="I891" s="5" t="n">
        <v>7.95</v>
      </c>
      <c r="J891" s="6" t="n">
        <v>15</v>
      </c>
      <c r="K891" s="7">
        <f>IF(I891="","",I891*(1+J891/100))</f>
        <v/>
      </c>
      <c r="L891" s="12" t="inlineStr"/>
      <c r="M891" s="8">
        <f>IF(OR(L891="",K891="",L891=0),"",
  (L891-K891)/L891*100)</f>
        <v/>
      </c>
      <c r="N891" s="14" t="n">
        <v>1547</v>
      </c>
      <c r="O891" s="4" t="inlineStr"/>
      <c r="P891" s="4" t="inlineStr"/>
      <c r="Q891" s="4" t="inlineStr"/>
      <c r="R891" s="4" t="inlineStr">
        <is>
          <t>2026-03-12</t>
        </is>
      </c>
      <c r="S891" s="4" t="inlineStr"/>
    </row>
    <row r="892">
      <c r="A892" s="10" t="inlineStr">
        <is>
          <t>F01317</t>
        </is>
      </c>
      <c r="B892" s="10" t="inlineStr">
        <is>
          <t>F01317</t>
        </is>
      </c>
      <c r="C892" s="10" t="inlineStr"/>
      <c r="D892" s="10" t="inlineStr">
        <is>
          <t>6009677010804</t>
        </is>
      </c>
      <c r="E892" s="10" t="inlineStr">
        <is>
          <t>MUG FINE BONE COFFEE DESIGNS</t>
        </is>
      </c>
      <c r="F892" s="10" t="inlineStr"/>
      <c r="G892" s="10" t="inlineStr"/>
      <c r="H892" s="10" t="inlineStr"/>
      <c r="I892" s="11" t="n">
        <v>11.79</v>
      </c>
      <c r="J892" s="6" t="n">
        <v>15</v>
      </c>
      <c r="K892" s="7">
        <f>IF(I892="","",I892*(1+J892/100))</f>
        <v/>
      </c>
      <c r="L892" s="12" t="inlineStr"/>
      <c r="M892" s="8">
        <f>IF(OR(L892="",K892="",L892=0),"",
  (L892-K892)/L892*100)</f>
        <v/>
      </c>
      <c r="N892" s="9" t="inlineStr"/>
      <c r="O892" s="10" t="inlineStr"/>
      <c r="P892" s="10" t="inlineStr"/>
      <c r="Q892" s="10" t="inlineStr"/>
      <c r="R892" s="10" t="inlineStr">
        <is>
          <t>2026-03-12</t>
        </is>
      </c>
      <c r="S892" s="10" t="inlineStr"/>
    </row>
    <row r="893">
      <c r="A893" s="3" t="inlineStr">
        <is>
          <t>F01318</t>
        </is>
      </c>
      <c r="B893" s="4" t="inlineStr">
        <is>
          <t>F01318</t>
        </is>
      </c>
      <c r="C893" s="4" t="inlineStr"/>
      <c r="D893" s="4" t="inlineStr">
        <is>
          <t>6009677010989</t>
        </is>
      </c>
      <c r="E893" s="3" t="inlineStr">
        <is>
          <t>MUG EXCL FINE BONE CHINA RED/SLV</t>
        </is>
      </c>
      <c r="F893" s="4" t="inlineStr"/>
      <c r="G893" s="4" t="inlineStr"/>
      <c r="H893" s="4" t="inlineStr"/>
      <c r="I893" s="5" t="n">
        <v>11.79</v>
      </c>
      <c r="J893" s="6" t="n">
        <v>15</v>
      </c>
      <c r="K893" s="7">
        <f>IF(I893="","",I893*(1+J893/100))</f>
        <v/>
      </c>
      <c r="L893" s="12" t="inlineStr"/>
      <c r="M893" s="8">
        <f>IF(OR(L893="",K893="",L893=0),"",
  (L893-K893)/L893*100)</f>
        <v/>
      </c>
      <c r="N893" s="9" t="inlineStr"/>
      <c r="O893" s="4" t="inlineStr"/>
      <c r="P893" s="4" t="inlineStr"/>
      <c r="Q893" s="4" t="inlineStr"/>
      <c r="R893" s="4" t="inlineStr">
        <is>
          <t>2026-03-12</t>
        </is>
      </c>
      <c r="S893" s="4" t="inlineStr"/>
    </row>
    <row r="894">
      <c r="A894" s="10" t="inlineStr">
        <is>
          <t>F01319</t>
        </is>
      </c>
      <c r="B894" s="10" t="inlineStr">
        <is>
          <t>F01319</t>
        </is>
      </c>
      <c r="C894" s="10" t="inlineStr"/>
      <c r="D894" s="10" t="inlineStr">
        <is>
          <t>6009677010910</t>
        </is>
      </c>
      <c r="E894" s="10" t="inlineStr">
        <is>
          <t>607-1 FANCY CHINA BAGS 50X55CM</t>
        </is>
      </c>
      <c r="F894" s="10" t="inlineStr"/>
      <c r="G894" s="10" t="inlineStr"/>
      <c r="H894" s="10" t="inlineStr"/>
      <c r="I894" s="11" t="n">
        <v>12.49</v>
      </c>
      <c r="J894" s="6" t="n">
        <v>15</v>
      </c>
      <c r="K894" s="7">
        <f>IF(I894="","",I894*(1+J894/100))</f>
        <v/>
      </c>
      <c r="L894" s="12" t="inlineStr"/>
      <c r="M894" s="8">
        <f>IF(OR(L894="",K894="",L894=0),"",
  (L894-K894)/L894*100)</f>
        <v/>
      </c>
      <c r="N894" s="9" t="inlineStr"/>
      <c r="O894" s="10" t="inlineStr"/>
      <c r="P894" s="10" t="inlineStr"/>
      <c r="Q894" s="10" t="inlineStr"/>
      <c r="R894" s="10" t="inlineStr">
        <is>
          <t>2026-03-12</t>
        </is>
      </c>
      <c r="S894" s="10" t="inlineStr"/>
    </row>
    <row r="895">
      <c r="A895" s="3" t="inlineStr">
        <is>
          <t>F01320</t>
        </is>
      </c>
      <c r="B895" s="4" t="inlineStr">
        <is>
          <t>F01320</t>
        </is>
      </c>
      <c r="C895" s="4" t="inlineStr"/>
      <c r="D895" s="4" t="inlineStr">
        <is>
          <t>6009677010927</t>
        </is>
      </c>
      <c r="E895" s="3" t="inlineStr">
        <is>
          <t>607-2 FANCY CHINA BAGS 55X65CM</t>
        </is>
      </c>
      <c r="F895" s="4" t="inlineStr"/>
      <c r="G895" s="4" t="inlineStr"/>
      <c r="H895" s="4" t="inlineStr"/>
      <c r="I895" s="5" t="n">
        <v>13.95</v>
      </c>
      <c r="J895" s="6" t="n">
        <v>15</v>
      </c>
      <c r="K895" s="7">
        <f>IF(I895="","",I895*(1+J895/100))</f>
        <v/>
      </c>
      <c r="L895" s="12" t="inlineStr"/>
      <c r="M895" s="8">
        <f>IF(OR(L895="",K895="",L895=0),"",
  (L895-K895)/L895*100)</f>
        <v/>
      </c>
      <c r="N895" s="9" t="inlineStr"/>
      <c r="O895" s="4" t="inlineStr"/>
      <c r="P895" s="4" t="inlineStr"/>
      <c r="Q895" s="4" t="inlineStr"/>
      <c r="R895" s="4" t="inlineStr">
        <is>
          <t>2026-03-12</t>
        </is>
      </c>
      <c r="S895" s="4" t="inlineStr"/>
    </row>
    <row r="896">
      <c r="A896" s="10" t="inlineStr">
        <is>
          <t>F01321</t>
        </is>
      </c>
      <c r="B896" s="10" t="inlineStr">
        <is>
          <t>F01321</t>
        </is>
      </c>
      <c r="C896" s="10" t="inlineStr"/>
      <c r="D896" s="10" t="inlineStr">
        <is>
          <t>6009677010934</t>
        </is>
      </c>
      <c r="E896" s="10" t="inlineStr">
        <is>
          <t>607-3 FANCY CHINA BAGS 60X70CM</t>
        </is>
      </c>
      <c r="F896" s="10" t="inlineStr"/>
      <c r="G896" s="10" t="inlineStr"/>
      <c r="H896" s="10" t="inlineStr"/>
      <c r="I896" s="11" t="n">
        <v>15.79</v>
      </c>
      <c r="J896" s="6" t="n">
        <v>15</v>
      </c>
      <c r="K896" s="7">
        <f>IF(I896="","",I896*(1+J896/100))</f>
        <v/>
      </c>
      <c r="L896" s="12" t="inlineStr"/>
      <c r="M896" s="8">
        <f>IF(OR(L896="",K896="",L896=0),"",
  (L896-K896)/L896*100)</f>
        <v/>
      </c>
      <c r="N896" s="9" t="inlineStr"/>
      <c r="O896" s="10" t="inlineStr"/>
      <c r="P896" s="10" t="inlineStr"/>
      <c r="Q896" s="10" t="inlineStr"/>
      <c r="R896" s="10" t="inlineStr">
        <is>
          <t>2026-03-12</t>
        </is>
      </c>
      <c r="S896" s="10" t="inlineStr"/>
    </row>
    <row r="897">
      <c r="A897" s="3" t="inlineStr">
        <is>
          <t>F01322</t>
        </is>
      </c>
      <c r="B897" s="4" t="inlineStr">
        <is>
          <t>F01322</t>
        </is>
      </c>
      <c r="C897" s="4" t="inlineStr"/>
      <c r="D897" s="4" t="inlineStr">
        <is>
          <t>6009677010958</t>
        </is>
      </c>
      <c r="E897" s="3" t="inlineStr">
        <is>
          <t>607-4 FANCY CHINA BAGS 70X80CM</t>
        </is>
      </c>
      <c r="F897" s="4" t="inlineStr"/>
      <c r="G897" s="4" t="inlineStr"/>
      <c r="H897" s="4" t="inlineStr"/>
      <c r="I897" s="5" t="n">
        <v>19.79</v>
      </c>
      <c r="J897" s="6" t="n">
        <v>15</v>
      </c>
      <c r="K897" s="7">
        <f>IF(I897="","",I897*(1+J897/100))</f>
        <v/>
      </c>
      <c r="L897" s="12" t="inlineStr"/>
      <c r="M897" s="8">
        <f>IF(OR(L897="",K897="",L897=0),"",
  (L897-K897)/L897*100)</f>
        <v/>
      </c>
      <c r="N897" s="9" t="inlineStr"/>
      <c r="O897" s="4" t="inlineStr"/>
      <c r="P897" s="4" t="inlineStr"/>
      <c r="Q897" s="4" t="inlineStr"/>
      <c r="R897" s="4" t="inlineStr">
        <is>
          <t>2026-03-12</t>
        </is>
      </c>
      <c r="S897" s="4" t="inlineStr"/>
    </row>
    <row r="898">
      <c r="A898" s="10" t="inlineStr">
        <is>
          <t>F01323</t>
        </is>
      </c>
      <c r="B898" s="10" t="inlineStr">
        <is>
          <t>F01323</t>
        </is>
      </c>
      <c r="C898" s="10" t="inlineStr"/>
      <c r="D898" s="10" t="inlineStr">
        <is>
          <t>6009677010606</t>
        </is>
      </c>
      <c r="E898" s="10" t="inlineStr">
        <is>
          <t>601-1 7'' 8'' 10'' STEEL STRAINERS 3PC</t>
        </is>
      </c>
      <c r="F898" s="10" t="inlineStr"/>
      <c r="G898" s="10" t="inlineStr"/>
      <c r="H898" s="10" t="inlineStr"/>
      <c r="I898" s="11" t="n">
        <v>9.390000000000001</v>
      </c>
      <c r="J898" s="6" t="n">
        <v>15</v>
      </c>
      <c r="K898" s="7">
        <f>IF(I898="","",I898*(1+J898/100))</f>
        <v/>
      </c>
      <c r="L898" s="12" t="inlineStr"/>
      <c r="M898" s="8">
        <f>IF(OR(L898="",K898="",L898=0),"",
  (L898-K898)/L898*100)</f>
        <v/>
      </c>
      <c r="N898" s="9" t="inlineStr"/>
      <c r="O898" s="10" t="inlineStr"/>
      <c r="P898" s="10" t="inlineStr"/>
      <c r="Q898" s="10" t="inlineStr"/>
      <c r="R898" s="10" t="inlineStr">
        <is>
          <t>2026-03-12</t>
        </is>
      </c>
      <c r="S898" s="10" t="inlineStr"/>
    </row>
    <row r="899">
      <c r="A899" s="3" t="inlineStr">
        <is>
          <t>F01324</t>
        </is>
      </c>
      <c r="B899" s="4" t="inlineStr">
        <is>
          <t>F01324</t>
        </is>
      </c>
      <c r="C899" s="4" t="inlineStr"/>
      <c r="D899" s="4" t="inlineStr">
        <is>
          <t>6009677010613</t>
        </is>
      </c>
      <c r="E899" s="3" t="inlineStr">
        <is>
          <t>601-2 12'' 14'' 16'' STEEL STRAINERS 3PC</t>
        </is>
      </c>
      <c r="F899" s="4" t="inlineStr"/>
      <c r="G899" s="4" t="inlineStr"/>
      <c r="H899" s="4" t="inlineStr"/>
      <c r="I899" s="5" t="n">
        <v>17.7</v>
      </c>
      <c r="J899" s="6" t="n">
        <v>15</v>
      </c>
      <c r="K899" s="7">
        <f>IF(I899="","",I899*(1+J899/100))</f>
        <v/>
      </c>
      <c r="L899" s="12" t="inlineStr"/>
      <c r="M899" s="8">
        <f>IF(OR(L899="",K899="",L899=0),"",
  (L899-K899)/L899*100)</f>
        <v/>
      </c>
      <c r="N899" s="9" t="inlineStr"/>
      <c r="O899" s="4" t="inlineStr"/>
      <c r="P899" s="4" t="inlineStr"/>
      <c r="Q899" s="4" t="inlineStr"/>
      <c r="R899" s="4" t="inlineStr">
        <is>
          <t>2026-03-12</t>
        </is>
      </c>
      <c r="S899" s="4" t="inlineStr"/>
    </row>
    <row r="900">
      <c r="A900" s="10" t="inlineStr">
        <is>
          <t>F01325</t>
        </is>
      </c>
      <c r="B900" s="10" t="inlineStr">
        <is>
          <t>F01325</t>
        </is>
      </c>
      <c r="C900" s="10" t="inlineStr"/>
      <c r="D900" s="10" t="inlineStr">
        <is>
          <t>6009677010620</t>
        </is>
      </c>
      <c r="E900" s="10" t="inlineStr">
        <is>
          <t>601-3  8'' 10'' 12'' IRON STRAINERS 3PC</t>
        </is>
      </c>
      <c r="F900" s="10" t="inlineStr"/>
      <c r="G900" s="10" t="inlineStr"/>
      <c r="H900" s="10" t="inlineStr"/>
      <c r="I900" s="11" t="n">
        <v>5.43</v>
      </c>
      <c r="J900" s="6" t="n">
        <v>15</v>
      </c>
      <c r="K900" s="7">
        <f>IF(I900="","",I900*(1+J900/100))</f>
        <v/>
      </c>
      <c r="L900" s="12" t="inlineStr"/>
      <c r="M900" s="8">
        <f>IF(OR(L900="",K900="",L900=0),"",
  (L900-K900)/L900*100)</f>
        <v/>
      </c>
      <c r="N900" s="9" t="inlineStr"/>
      <c r="O900" s="10" t="inlineStr"/>
      <c r="P900" s="10" t="inlineStr"/>
      <c r="Q900" s="10" t="inlineStr"/>
      <c r="R900" s="10" t="inlineStr">
        <is>
          <t>2026-03-12</t>
        </is>
      </c>
      <c r="S900" s="10" t="inlineStr"/>
    </row>
    <row r="901">
      <c r="A901" s="3" t="inlineStr">
        <is>
          <t>F01326</t>
        </is>
      </c>
      <c r="B901" s="4" t="inlineStr">
        <is>
          <t>F01326</t>
        </is>
      </c>
      <c r="C901" s="4" t="inlineStr"/>
      <c r="D901" s="4" t="inlineStr">
        <is>
          <t>6009677010637</t>
        </is>
      </c>
      <c r="E901" s="3" t="inlineStr">
        <is>
          <t>601-4  12'' 14'' 16'' IRON STRAINERS 3PC</t>
        </is>
      </c>
      <c r="F901" s="4" t="inlineStr"/>
      <c r="G901" s="4" t="inlineStr"/>
      <c r="H901" s="4" t="inlineStr"/>
      <c r="I901" s="5" t="n">
        <v>7.75</v>
      </c>
      <c r="J901" s="6" t="n">
        <v>15</v>
      </c>
      <c r="K901" s="7">
        <f>IF(I901="","",I901*(1+J901/100))</f>
        <v/>
      </c>
      <c r="L901" s="12" t="inlineStr"/>
      <c r="M901" s="8">
        <f>IF(OR(L901="",K901="",L901=0),"",
  (L901-K901)/L901*100)</f>
        <v/>
      </c>
      <c r="N901" s="9" t="inlineStr"/>
      <c r="O901" s="4" t="inlineStr"/>
      <c r="P901" s="4" t="inlineStr"/>
      <c r="Q901" s="4" t="inlineStr"/>
      <c r="R901" s="4" t="inlineStr">
        <is>
          <t>2026-03-12</t>
        </is>
      </c>
      <c r="S901" s="4" t="inlineStr"/>
    </row>
    <row r="902">
      <c r="A902" s="10" t="inlineStr">
        <is>
          <t>F01327</t>
        </is>
      </c>
      <c r="B902" s="10" t="inlineStr">
        <is>
          <t>F01327</t>
        </is>
      </c>
      <c r="C902" s="10" t="inlineStr"/>
      <c r="D902" s="10" t="inlineStr">
        <is>
          <t>6009677010644</t>
        </is>
      </c>
      <c r="E902" s="10" t="inlineStr">
        <is>
          <t>601-9  16'' STRAINER STEEL</t>
        </is>
      </c>
      <c r="F902" s="10" t="inlineStr"/>
      <c r="G902" s="10" t="inlineStr"/>
      <c r="H902" s="10" t="inlineStr"/>
      <c r="I902" s="11" t="n">
        <v>15.5</v>
      </c>
      <c r="J902" s="6" t="n">
        <v>15</v>
      </c>
      <c r="K902" s="7">
        <f>IF(I902="","",I902*(1+J902/100))</f>
        <v/>
      </c>
      <c r="L902" s="12" t="inlineStr"/>
      <c r="M902" s="8">
        <f>IF(OR(L902="",K902="",L902=0),"",
  (L902-K902)/L902*100)</f>
        <v/>
      </c>
      <c r="N902" s="9" t="inlineStr"/>
      <c r="O902" s="10" t="inlineStr"/>
      <c r="P902" s="10" t="inlineStr"/>
      <c r="Q902" s="10" t="inlineStr"/>
      <c r="R902" s="10" t="inlineStr">
        <is>
          <t>2026-03-12</t>
        </is>
      </c>
      <c r="S902" s="10" t="inlineStr"/>
    </row>
    <row r="903">
      <c r="A903" s="3" t="inlineStr">
        <is>
          <t>F01328</t>
        </is>
      </c>
      <c r="B903" s="4" t="inlineStr">
        <is>
          <t>F01328</t>
        </is>
      </c>
      <c r="C903" s="4" t="inlineStr"/>
      <c r="D903" s="4" t="inlineStr">
        <is>
          <t>6009677010651</t>
        </is>
      </c>
      <c r="E903" s="3" t="inlineStr">
        <is>
          <t>601-10  18'' STRAINER STEEL</t>
        </is>
      </c>
      <c r="F903" s="4" t="inlineStr"/>
      <c r="G903" s="4" t="inlineStr"/>
      <c r="H903" s="4" t="inlineStr"/>
      <c r="I903" s="5" t="n">
        <v>11.05</v>
      </c>
      <c r="J903" s="6" t="n">
        <v>15</v>
      </c>
      <c r="K903" s="7">
        <f>IF(I903="","",I903*(1+J903/100))</f>
        <v/>
      </c>
      <c r="L903" s="12" t="inlineStr"/>
      <c r="M903" s="8">
        <f>IF(OR(L903="",K903="",L903=0),"",
  (L903-K903)/L903*100)</f>
        <v/>
      </c>
      <c r="N903" s="9" t="inlineStr"/>
      <c r="O903" s="4" t="inlineStr"/>
      <c r="P903" s="4" t="inlineStr"/>
      <c r="Q903" s="4" t="inlineStr"/>
      <c r="R903" s="4" t="inlineStr">
        <is>
          <t>2026-03-12</t>
        </is>
      </c>
      <c r="S903" s="4" t="inlineStr"/>
    </row>
    <row r="904">
      <c r="A904" s="10" t="inlineStr">
        <is>
          <t>F01329</t>
        </is>
      </c>
      <c r="B904" s="10" t="inlineStr">
        <is>
          <t>F01329</t>
        </is>
      </c>
      <c r="C904" s="10" t="inlineStr"/>
      <c r="D904" s="10" t="inlineStr">
        <is>
          <t>6009677010668</t>
        </is>
      </c>
      <c r="E904" s="10" t="inlineStr">
        <is>
          <t>601-11  20'' STRAINER STEEL</t>
        </is>
      </c>
      <c r="F904" s="10" t="inlineStr"/>
      <c r="G904" s="10" t="inlineStr"/>
      <c r="H904" s="10" t="inlineStr"/>
      <c r="I904" s="11" t="n">
        <v>14.95</v>
      </c>
      <c r="J904" s="6" t="n">
        <v>15</v>
      </c>
      <c r="K904" s="7">
        <f>IF(I904="","",I904*(1+J904/100))</f>
        <v/>
      </c>
      <c r="L904" s="12" t="inlineStr"/>
      <c r="M904" s="8">
        <f>IF(OR(L904="",K904="",L904=0),"",
  (L904-K904)/L904*100)</f>
        <v/>
      </c>
      <c r="N904" s="9" t="inlineStr"/>
      <c r="O904" s="10" t="inlineStr"/>
      <c r="P904" s="10" t="inlineStr"/>
      <c r="Q904" s="10" t="inlineStr"/>
      <c r="R904" s="10" t="inlineStr">
        <is>
          <t>2026-03-12</t>
        </is>
      </c>
      <c r="S904" s="10" t="inlineStr"/>
    </row>
    <row r="905">
      <c r="A905" s="3" t="inlineStr">
        <is>
          <t>F01330</t>
        </is>
      </c>
      <c r="B905" s="4" t="inlineStr">
        <is>
          <t>F01330</t>
        </is>
      </c>
      <c r="C905" s="4" t="inlineStr"/>
      <c r="D905" s="4" t="inlineStr">
        <is>
          <t>6009677010675</t>
        </is>
      </c>
      <c r="E905" s="3" t="inlineStr">
        <is>
          <t>601-12  22'' STRAINER STEEL</t>
        </is>
      </c>
      <c r="F905" s="4" t="inlineStr"/>
      <c r="G905" s="4" t="inlineStr"/>
      <c r="H905" s="4" t="inlineStr"/>
      <c r="I905" s="5" t="n">
        <v>13.6</v>
      </c>
      <c r="J905" s="6" t="n">
        <v>15</v>
      </c>
      <c r="K905" s="7">
        <f>IF(I905="","",I905*(1+J905/100))</f>
        <v/>
      </c>
      <c r="L905" s="12" t="inlineStr"/>
      <c r="M905" s="8">
        <f>IF(OR(L905="",K905="",L905=0),"",
  (L905-K905)/L905*100)</f>
        <v/>
      </c>
      <c r="N905" s="9" t="inlineStr"/>
      <c r="O905" s="4" t="inlineStr"/>
      <c r="P905" s="4" t="inlineStr"/>
      <c r="Q905" s="4" t="inlineStr"/>
      <c r="R905" s="4" t="inlineStr">
        <is>
          <t>2026-03-12</t>
        </is>
      </c>
      <c r="S905" s="4" t="inlineStr"/>
    </row>
    <row r="906">
      <c r="A906" s="10" t="inlineStr">
        <is>
          <t>F01333</t>
        </is>
      </c>
      <c r="B906" s="10" t="inlineStr">
        <is>
          <t>F01333</t>
        </is>
      </c>
      <c r="C906" s="10" t="inlineStr"/>
      <c r="D906" s="10" t="inlineStr">
        <is>
          <t>6009677010835</t>
        </is>
      </c>
      <c r="E906" s="10" t="inlineStr">
        <is>
          <t>604-1 MELAMINE TRAY SMALL 34.2*23cm</t>
        </is>
      </c>
      <c r="F906" s="10" t="inlineStr"/>
      <c r="G906" s="10" t="inlineStr"/>
      <c r="H906" s="10" t="inlineStr"/>
      <c r="I906" s="11" t="n">
        <v>17.27</v>
      </c>
      <c r="J906" s="6" t="n">
        <v>15</v>
      </c>
      <c r="K906" s="7">
        <f>IF(I906="","",I906*(1+J906/100))</f>
        <v/>
      </c>
      <c r="L906" s="12" t="inlineStr"/>
      <c r="M906" s="8">
        <f>IF(OR(L906="",K906="",L906=0),"",
  (L906-K906)/L906*100)</f>
        <v/>
      </c>
      <c r="N906" s="9" t="inlineStr"/>
      <c r="O906" s="10" t="inlineStr"/>
      <c r="P906" s="10" t="inlineStr"/>
      <c r="Q906" s="10" t="inlineStr"/>
      <c r="R906" s="10" t="inlineStr">
        <is>
          <t>2026-03-12</t>
        </is>
      </c>
      <c r="S906" s="10" t="inlineStr"/>
    </row>
    <row r="907">
      <c r="A907" s="3" t="inlineStr">
        <is>
          <t>F01334</t>
        </is>
      </c>
      <c r="B907" s="4" t="inlineStr">
        <is>
          <t>F01334</t>
        </is>
      </c>
      <c r="C907" s="4" t="inlineStr"/>
      <c r="D907" s="4" t="inlineStr">
        <is>
          <t>6009677010842</t>
        </is>
      </c>
      <c r="E907" s="3" t="inlineStr">
        <is>
          <t>604-2 MELAMINE TRAY MEDIUM 41*27.5cm</t>
        </is>
      </c>
      <c r="F907" s="4" t="inlineStr"/>
      <c r="G907" s="4" t="inlineStr"/>
      <c r="H907" s="4" t="inlineStr"/>
      <c r="I907" s="5" t="n">
        <v>23.24</v>
      </c>
      <c r="J907" s="6" t="n">
        <v>15</v>
      </c>
      <c r="K907" s="7">
        <f>IF(I907="","",I907*(1+J907/100))</f>
        <v/>
      </c>
      <c r="L907" s="12" t="inlineStr"/>
      <c r="M907" s="8">
        <f>IF(OR(L907="",K907="",L907=0),"",
  (L907-K907)/L907*100)</f>
        <v/>
      </c>
      <c r="N907" s="9" t="inlineStr"/>
      <c r="O907" s="4" t="inlineStr"/>
      <c r="P907" s="4" t="inlineStr"/>
      <c r="Q907" s="4" t="inlineStr"/>
      <c r="R907" s="4" t="inlineStr">
        <is>
          <t>2026-03-12</t>
        </is>
      </c>
      <c r="S907" s="4" t="inlineStr"/>
    </row>
    <row r="908">
      <c r="A908" s="10" t="inlineStr">
        <is>
          <t>F01335</t>
        </is>
      </c>
      <c r="B908" s="10" t="inlineStr">
        <is>
          <t>F01335</t>
        </is>
      </c>
      <c r="C908" s="10" t="inlineStr"/>
      <c r="D908" s="10" t="inlineStr">
        <is>
          <t>6009677010859</t>
        </is>
      </c>
      <c r="E908" s="10" t="inlineStr">
        <is>
          <t>604-3 MELAMINE TRAY large 46*31cm</t>
        </is>
      </c>
      <c r="F908" s="10" t="inlineStr"/>
      <c r="G908" s="10" t="inlineStr"/>
      <c r="H908" s="10" t="inlineStr"/>
      <c r="I908" s="11" t="n">
        <v>28.97</v>
      </c>
      <c r="J908" s="6" t="n">
        <v>15</v>
      </c>
      <c r="K908" s="7">
        <f>IF(I908="","",I908*(1+J908/100))</f>
        <v/>
      </c>
      <c r="L908" s="12" t="inlineStr"/>
      <c r="M908" s="8">
        <f>IF(OR(L908="",K908="",L908=0),"",
  (L908-K908)/L908*100)</f>
        <v/>
      </c>
      <c r="N908" s="9" t="inlineStr"/>
      <c r="O908" s="10" t="inlineStr"/>
      <c r="P908" s="10" t="inlineStr"/>
      <c r="Q908" s="10" t="inlineStr"/>
      <c r="R908" s="10" t="inlineStr">
        <is>
          <t>2026-03-12</t>
        </is>
      </c>
      <c r="S908" s="10" t="inlineStr"/>
    </row>
    <row r="909">
      <c r="A909" s="3" t="inlineStr">
        <is>
          <t>F01336</t>
        </is>
      </c>
      <c r="B909" s="4" t="inlineStr">
        <is>
          <t>F01336</t>
        </is>
      </c>
      <c r="C909" s="4" t="inlineStr"/>
      <c r="D909" s="4" t="inlineStr">
        <is>
          <t>6009677010866</t>
        </is>
      </c>
      <c r="E909" s="3" t="inlineStr">
        <is>
          <t>SPOON  SOUP LARGE PEACOCK DESIGN</t>
        </is>
      </c>
      <c r="F909" s="4" t="inlineStr"/>
      <c r="G909" s="4" t="inlineStr"/>
      <c r="H909" s="4" t="inlineStr"/>
      <c r="I909" s="5" t="n">
        <v>18.5</v>
      </c>
      <c r="J909" s="6" t="n">
        <v>15</v>
      </c>
      <c r="K909" s="7">
        <f>IF(I909="","",I909*(1+J909/100))</f>
        <v/>
      </c>
      <c r="L909" s="12" t="inlineStr"/>
      <c r="M909" s="8">
        <f>IF(OR(L909="",K909="",L909=0),"",
  (L909-K909)/L909*100)</f>
        <v/>
      </c>
      <c r="N909" s="9" t="inlineStr"/>
      <c r="O909" s="4" t="inlineStr"/>
      <c r="P909" s="4" t="inlineStr"/>
      <c r="Q909" s="4" t="inlineStr"/>
      <c r="R909" s="4" t="inlineStr">
        <is>
          <t>2026-03-12</t>
        </is>
      </c>
      <c r="S909" s="4" t="inlineStr"/>
    </row>
    <row r="910">
      <c r="A910" s="10" t="inlineStr">
        <is>
          <t>F01337</t>
        </is>
      </c>
      <c r="B910" s="10" t="inlineStr">
        <is>
          <t>F01337</t>
        </is>
      </c>
      <c r="C910" s="10" t="inlineStr"/>
      <c r="D910" s="10" t="inlineStr">
        <is>
          <t>6009677010873</t>
        </is>
      </c>
      <c r="E910" s="10" t="inlineStr">
        <is>
          <t>SPOON CURRY LARGE DESIGN</t>
        </is>
      </c>
      <c r="F910" s="10" t="inlineStr"/>
      <c r="G910" s="10" t="inlineStr"/>
      <c r="H910" s="10" t="inlineStr"/>
      <c r="I910" s="11" t="n">
        <v>13.5</v>
      </c>
      <c r="J910" s="6" t="n">
        <v>15</v>
      </c>
      <c r="K910" s="7">
        <f>IF(I910="","",I910*(1+J910/100))</f>
        <v/>
      </c>
      <c r="L910" s="12" t="inlineStr"/>
      <c r="M910" s="8">
        <f>IF(OR(L910="",K910="",L910=0),"",
  (L910-K910)/L910*100)</f>
        <v/>
      </c>
      <c r="N910" s="9" t="inlineStr"/>
      <c r="O910" s="10" t="inlineStr"/>
      <c r="P910" s="10" t="inlineStr"/>
      <c r="Q910" s="10" t="inlineStr"/>
      <c r="R910" s="10" t="inlineStr">
        <is>
          <t>2026-03-12</t>
        </is>
      </c>
      <c r="S910" s="10" t="inlineStr"/>
    </row>
    <row r="911">
      <c r="A911" s="3" t="inlineStr">
        <is>
          <t>F01338</t>
        </is>
      </c>
      <c r="B911" s="4" t="inlineStr">
        <is>
          <t>F01338</t>
        </is>
      </c>
      <c r="C911" s="4" t="inlineStr"/>
      <c r="D911" s="4" t="inlineStr">
        <is>
          <t>6009677010897</t>
        </is>
      </c>
      <c r="E911" s="3" t="inlineStr">
        <is>
          <t>SPOON  CURRY NO.4</t>
        </is>
      </c>
      <c r="F911" s="4" t="inlineStr"/>
      <c r="G911" s="4" t="inlineStr"/>
      <c r="H911" s="4" t="inlineStr"/>
      <c r="I911" s="5" t="n">
        <v>11.95</v>
      </c>
      <c r="J911" s="6" t="n">
        <v>15</v>
      </c>
      <c r="K911" s="7">
        <f>IF(I911="","",I911*(1+J911/100))</f>
        <v/>
      </c>
      <c r="L911" s="12" t="inlineStr"/>
      <c r="M911" s="8">
        <f>IF(OR(L911="",K911="",L911=0),"",
  (L911-K911)/L911*100)</f>
        <v/>
      </c>
      <c r="N911" s="9" t="inlineStr"/>
      <c r="O911" s="4" t="inlineStr"/>
      <c r="P911" s="4" t="inlineStr"/>
      <c r="Q911" s="4" t="inlineStr"/>
      <c r="R911" s="4" t="inlineStr">
        <is>
          <t>2026-03-12</t>
        </is>
      </c>
      <c r="S911" s="4" t="inlineStr"/>
    </row>
    <row r="912">
      <c r="A912" s="10" t="inlineStr">
        <is>
          <t>F01339</t>
        </is>
      </c>
      <c r="B912" s="10" t="inlineStr">
        <is>
          <t>F01339</t>
        </is>
      </c>
      <c r="C912" s="10" t="inlineStr">
        <is>
          <t>18515</t>
        </is>
      </c>
      <c r="D912" s="10" t="inlineStr">
        <is>
          <t>6009677010262</t>
        </is>
      </c>
      <c r="E912" s="10" t="inlineStr">
        <is>
          <t>TROWEL TILERS  6MM KNOTCH FIBREG HANDLE</t>
        </is>
      </c>
      <c r="F912" s="10" t="inlineStr"/>
      <c r="G912" s="10" t="inlineStr"/>
      <c r="H912" s="10" t="inlineStr"/>
      <c r="I912" s="11" t="n">
        <v>28.5</v>
      </c>
      <c r="J912" s="6" t="n">
        <v>15</v>
      </c>
      <c r="K912" s="7">
        <f>IF(I912="","",I912*(1+J912/100))</f>
        <v/>
      </c>
      <c r="L912" s="11" t="n">
        <v>280</v>
      </c>
      <c r="M912" s="8">
        <f>IF(OR(L912="",K912="",L912=0),"",
  (L912-K912)/L912*100)</f>
        <v/>
      </c>
      <c r="N912" s="13" t="n">
        <v>717</v>
      </c>
      <c r="O912" s="10" t="inlineStr"/>
      <c r="P912" s="10" t="inlineStr"/>
      <c r="Q912" s="10" t="inlineStr"/>
      <c r="R912" s="10" t="inlineStr">
        <is>
          <t>2026-03-12</t>
        </is>
      </c>
      <c r="S912" s="10" t="inlineStr"/>
    </row>
    <row r="913">
      <c r="A913" s="3" t="inlineStr">
        <is>
          <t>F01340</t>
        </is>
      </c>
      <c r="B913" s="4" t="inlineStr">
        <is>
          <t>F01340</t>
        </is>
      </c>
      <c r="C913" s="4" t="inlineStr">
        <is>
          <t>18516</t>
        </is>
      </c>
      <c r="D913" s="4" t="inlineStr">
        <is>
          <t>6009677010279</t>
        </is>
      </c>
      <c r="E913" s="3" t="inlineStr">
        <is>
          <t>TROWEL TILERS  10MM KNOTCH FIBREG HANDLE</t>
        </is>
      </c>
      <c r="F913" s="4" t="inlineStr"/>
      <c r="G913" s="4" t="inlineStr"/>
      <c r="H913" s="4" t="inlineStr"/>
      <c r="I913" s="5" t="n">
        <v>28.5</v>
      </c>
      <c r="J913" s="6" t="n">
        <v>15</v>
      </c>
      <c r="K913" s="7">
        <f>IF(I913="","",I913*(1+J913/100))</f>
        <v/>
      </c>
      <c r="L913" s="5" t="n">
        <v>290</v>
      </c>
      <c r="M913" s="8">
        <f>IF(OR(L913="",K913="",L913=0),"",
  (L913-K913)/L913*100)</f>
        <v/>
      </c>
      <c r="N913" s="14" t="n">
        <v>919</v>
      </c>
      <c r="O913" s="4" t="inlineStr"/>
      <c r="P913" s="4" t="inlineStr"/>
      <c r="Q913" s="4" t="inlineStr"/>
      <c r="R913" s="4" t="inlineStr">
        <is>
          <t>2026-03-12</t>
        </is>
      </c>
      <c r="S913" s="4" t="inlineStr"/>
    </row>
    <row r="914">
      <c r="A914" s="10" t="inlineStr">
        <is>
          <t>F01341</t>
        </is>
      </c>
      <c r="B914" s="10" t="inlineStr">
        <is>
          <t>F01341</t>
        </is>
      </c>
      <c r="C914" s="10" t="inlineStr"/>
      <c r="D914" s="10" t="inlineStr">
        <is>
          <t>6009677010972</t>
        </is>
      </c>
      <c r="E914" s="10" t="inlineStr">
        <is>
          <t>MUG EXCL FINE BONE CHINA AS</t>
        </is>
      </c>
      <c r="F914" s="10" t="inlineStr"/>
      <c r="G914" s="10" t="inlineStr"/>
      <c r="H914" s="10" t="inlineStr"/>
      <c r="I914" s="11" t="n">
        <v>11.79</v>
      </c>
      <c r="J914" s="6" t="n">
        <v>15</v>
      </c>
      <c r="K914" s="7">
        <f>IF(I914="","",I914*(1+J914/100))</f>
        <v/>
      </c>
      <c r="L914" s="12" t="inlineStr"/>
      <c r="M914" s="8">
        <f>IF(OR(L914="",K914="",L914=0),"",
  (L914-K914)/L914*100)</f>
        <v/>
      </c>
      <c r="N914" s="9" t="inlineStr"/>
      <c r="O914" s="10" t="inlineStr"/>
      <c r="P914" s="10" t="inlineStr"/>
      <c r="Q914" s="10" t="inlineStr"/>
      <c r="R914" s="10" t="inlineStr">
        <is>
          <t>2026-03-12</t>
        </is>
      </c>
      <c r="S914" s="10" t="inlineStr"/>
    </row>
    <row r="915">
      <c r="A915" s="3" t="inlineStr">
        <is>
          <t>F01342</t>
        </is>
      </c>
      <c r="B915" s="4" t="inlineStr">
        <is>
          <t>F01342</t>
        </is>
      </c>
      <c r="C915" s="4" t="inlineStr"/>
      <c r="D915" s="4" t="inlineStr">
        <is>
          <t>6009677010965</t>
        </is>
      </c>
      <c r="E915" s="3" t="inlineStr">
        <is>
          <t>MUG FINE BONE CAPPUCCINO DESIGNS</t>
        </is>
      </c>
      <c r="F915" s="4" t="inlineStr"/>
      <c r="G915" s="4" t="inlineStr"/>
      <c r="H915" s="4" t="inlineStr"/>
      <c r="I915" s="5" t="n">
        <v>11.79</v>
      </c>
      <c r="J915" s="6" t="n">
        <v>15</v>
      </c>
      <c r="K915" s="7">
        <f>IF(I915="","",I915*(1+J915/100))</f>
        <v/>
      </c>
      <c r="L915" s="12" t="inlineStr"/>
      <c r="M915" s="8">
        <f>IF(OR(L915="",K915="",L915=0),"",
  (L915-K915)/L915*100)</f>
        <v/>
      </c>
      <c r="N915" s="9" t="inlineStr"/>
      <c r="O915" s="4" t="inlineStr"/>
      <c r="P915" s="4" t="inlineStr"/>
      <c r="Q915" s="4" t="inlineStr"/>
      <c r="R915" s="4" t="inlineStr">
        <is>
          <t>2026-03-12</t>
        </is>
      </c>
      <c r="S915" s="4" t="inlineStr"/>
    </row>
    <row r="916">
      <c r="A916" s="10" t="inlineStr">
        <is>
          <t>F01343</t>
        </is>
      </c>
      <c r="B916" s="10" t="inlineStr">
        <is>
          <t>F01343</t>
        </is>
      </c>
      <c r="C916" s="10" t="inlineStr"/>
      <c r="D916" s="10" t="inlineStr">
        <is>
          <t>6009677010996</t>
        </is>
      </c>
      <c r="E916" s="10" t="inlineStr">
        <is>
          <t>MUG FINE BONE CHINA RED COFFEE DESIGNS</t>
        </is>
      </c>
      <c r="F916" s="10" t="inlineStr"/>
      <c r="G916" s="10" t="inlineStr"/>
      <c r="H916" s="10" t="inlineStr"/>
      <c r="I916" s="11" t="n">
        <v>11.79</v>
      </c>
      <c r="J916" s="6" t="n">
        <v>15</v>
      </c>
      <c r="K916" s="7">
        <f>IF(I916="","",I916*(1+J916/100))</f>
        <v/>
      </c>
      <c r="L916" s="12" t="inlineStr"/>
      <c r="M916" s="8">
        <f>IF(OR(L916="",K916="",L916=0),"",
  (L916-K916)/L916*100)</f>
        <v/>
      </c>
      <c r="N916" s="9" t="inlineStr"/>
      <c r="O916" s="10" t="inlineStr"/>
      <c r="P916" s="10" t="inlineStr"/>
      <c r="Q916" s="10" t="inlineStr"/>
      <c r="R916" s="10" t="inlineStr">
        <is>
          <t>2026-03-12</t>
        </is>
      </c>
      <c r="S916" s="10" t="inlineStr"/>
    </row>
    <row r="917">
      <c r="A917" s="3" t="inlineStr">
        <is>
          <t>F01344</t>
        </is>
      </c>
      <c r="B917" s="4" t="inlineStr">
        <is>
          <t>F01344</t>
        </is>
      </c>
      <c r="C917" s="4" t="inlineStr"/>
      <c r="D917" s="4" t="inlineStr">
        <is>
          <t>6009677010682</t>
        </is>
      </c>
      <c r="E917" s="3" t="inlineStr">
        <is>
          <t>MUG BONE CHINA ASST FLORAL COLORS</t>
        </is>
      </c>
      <c r="F917" s="4" t="inlineStr"/>
      <c r="G917" s="4" t="inlineStr"/>
      <c r="H917" s="4" t="inlineStr"/>
      <c r="I917" s="5" t="n">
        <v>11.79</v>
      </c>
      <c r="J917" s="6" t="n">
        <v>15</v>
      </c>
      <c r="K917" s="7">
        <f>IF(I917="","",I917*(1+J917/100))</f>
        <v/>
      </c>
      <c r="L917" s="12" t="inlineStr"/>
      <c r="M917" s="8">
        <f>IF(OR(L917="",K917="",L917=0),"",
  (L917-K917)/L917*100)</f>
        <v/>
      </c>
      <c r="N917" s="9" t="inlineStr"/>
      <c r="O917" s="4" t="inlineStr"/>
      <c r="P917" s="4" t="inlineStr"/>
      <c r="Q917" s="4" t="inlineStr"/>
      <c r="R917" s="4" t="inlineStr">
        <is>
          <t>2026-03-12</t>
        </is>
      </c>
      <c r="S917" s="4" t="inlineStr"/>
    </row>
    <row r="918">
      <c r="A918" s="10" t="inlineStr">
        <is>
          <t>F01345</t>
        </is>
      </c>
      <c r="B918" s="10" t="inlineStr">
        <is>
          <t>F01345</t>
        </is>
      </c>
      <c r="C918" s="10" t="inlineStr"/>
      <c r="D918" s="10" t="inlineStr">
        <is>
          <t>6009677010880</t>
        </is>
      </c>
      <c r="E918" s="10" t="inlineStr">
        <is>
          <t>SPOON CURRY NO.5</t>
        </is>
      </c>
      <c r="F918" s="10" t="inlineStr"/>
      <c r="G918" s="10" t="inlineStr"/>
      <c r="H918" s="10" t="inlineStr"/>
      <c r="I918" s="11" t="n">
        <v>11.95</v>
      </c>
      <c r="J918" s="6" t="n">
        <v>15</v>
      </c>
      <c r="K918" s="7">
        <f>IF(I918="","",I918*(1+J918/100))</f>
        <v/>
      </c>
      <c r="L918" s="12" t="inlineStr"/>
      <c r="M918" s="8">
        <f>IF(OR(L918="",K918="",L918=0),"",
  (L918-K918)/L918*100)</f>
        <v/>
      </c>
      <c r="N918" s="13" t="n">
        <v>3</v>
      </c>
      <c r="O918" s="10" t="inlineStr"/>
      <c r="P918" s="10" t="inlineStr"/>
      <c r="Q918" s="10" t="inlineStr"/>
      <c r="R918" s="10" t="inlineStr">
        <is>
          <t>2026-03-12</t>
        </is>
      </c>
      <c r="S918" s="10" t="inlineStr"/>
    </row>
    <row r="919">
      <c r="A919" s="3" t="inlineStr">
        <is>
          <t>F01346</t>
        </is>
      </c>
      <c r="B919" s="4" t="inlineStr">
        <is>
          <t>F01346</t>
        </is>
      </c>
      <c r="C919" s="4" t="inlineStr"/>
      <c r="D919" s="4" t="inlineStr">
        <is>
          <t>6009677010705</t>
        </is>
      </c>
      <c r="E919" s="3" t="inlineStr">
        <is>
          <t>MUG 11OZ PORCELAIN GLAZE COFFEE</t>
        </is>
      </c>
      <c r="F919" s="4" t="inlineStr"/>
      <c r="G919" s="4" t="inlineStr"/>
      <c r="H919" s="4" t="inlineStr"/>
      <c r="I919" s="5" t="n">
        <v>7.99</v>
      </c>
      <c r="J919" s="6" t="n">
        <v>15</v>
      </c>
      <c r="K919" s="7">
        <f>IF(I919="","",I919*(1+J919/100))</f>
        <v/>
      </c>
      <c r="L919" s="12" t="inlineStr"/>
      <c r="M919" s="8">
        <f>IF(OR(L919="",K919="",L919=0),"",
  (L919-K919)/L919*100)</f>
        <v/>
      </c>
      <c r="N919" s="14" t="n">
        <v>4800</v>
      </c>
      <c r="O919" s="4" t="inlineStr"/>
      <c r="P919" s="4" t="inlineStr"/>
      <c r="Q919" s="4" t="inlineStr"/>
      <c r="R919" s="4" t="inlineStr">
        <is>
          <t>2026-03-12</t>
        </is>
      </c>
      <c r="S919" s="4" t="inlineStr"/>
    </row>
    <row r="920">
      <c r="A920" s="10" t="inlineStr">
        <is>
          <t>F01347</t>
        </is>
      </c>
      <c r="B920" s="10" t="inlineStr">
        <is>
          <t>F01347</t>
        </is>
      </c>
      <c r="C920" s="10" t="inlineStr"/>
      <c r="D920" s="10" t="inlineStr">
        <is>
          <t>6009677010712</t>
        </is>
      </c>
      <c r="E920" s="10" t="inlineStr">
        <is>
          <t>MUG FINE BONE FLOWER DESIGNS</t>
        </is>
      </c>
      <c r="F920" s="10" t="inlineStr"/>
      <c r="G920" s="10" t="inlineStr"/>
      <c r="H920" s="10" t="inlineStr"/>
      <c r="I920" s="11" t="n">
        <v>11.95</v>
      </c>
      <c r="J920" s="6" t="n">
        <v>15</v>
      </c>
      <c r="K920" s="7">
        <f>IF(I920="","",I920*(1+J920/100))</f>
        <v/>
      </c>
      <c r="L920" s="12" t="inlineStr"/>
      <c r="M920" s="8">
        <f>IF(OR(L920="",K920="",L920=0),"",
  (L920-K920)/L920*100)</f>
        <v/>
      </c>
      <c r="N920" s="13" t="n">
        <v>219</v>
      </c>
      <c r="O920" s="10" t="inlineStr"/>
      <c r="P920" s="10" t="inlineStr"/>
      <c r="Q920" s="10" t="inlineStr"/>
      <c r="R920" s="10" t="inlineStr">
        <is>
          <t>2026-03-12</t>
        </is>
      </c>
      <c r="S920" s="10" t="inlineStr"/>
    </row>
    <row r="921">
      <c r="A921" s="3" t="inlineStr">
        <is>
          <t>F01348</t>
        </is>
      </c>
      <c r="B921" s="4" t="inlineStr">
        <is>
          <t>F01348</t>
        </is>
      </c>
      <c r="C921" s="4" t="inlineStr"/>
      <c r="D921" s="4" t="inlineStr">
        <is>
          <t>6009677010729</t>
        </is>
      </c>
      <c r="E921" s="3" t="inlineStr">
        <is>
          <t>MUG FINE BONE CHINA FLOWER ASST DESIGN</t>
        </is>
      </c>
      <c r="F921" s="4" t="inlineStr"/>
      <c r="G921" s="4" t="inlineStr"/>
      <c r="H921" s="4" t="inlineStr"/>
      <c r="I921" s="5" t="n">
        <v>7.95</v>
      </c>
      <c r="J921" s="6" t="n">
        <v>15</v>
      </c>
      <c r="K921" s="7">
        <f>IF(I921="","",I921*(1+J921/100))</f>
        <v/>
      </c>
      <c r="L921" s="12" t="inlineStr"/>
      <c r="M921" s="8">
        <f>IF(OR(L921="",K921="",L921=0),"",
  (L921-K921)/L921*100)</f>
        <v/>
      </c>
      <c r="N921" s="14" t="n">
        <v>566</v>
      </c>
      <c r="O921" s="4" t="inlineStr"/>
      <c r="P921" s="4" t="inlineStr"/>
      <c r="Q921" s="4" t="inlineStr"/>
      <c r="R921" s="4" t="inlineStr">
        <is>
          <t>2026-03-12</t>
        </is>
      </c>
      <c r="S921" s="4" t="inlineStr"/>
    </row>
    <row r="922">
      <c r="A922" s="10" t="inlineStr">
        <is>
          <t>F01349</t>
        </is>
      </c>
      <c r="B922" s="10" t="inlineStr">
        <is>
          <t>F01349</t>
        </is>
      </c>
      <c r="C922" s="10" t="inlineStr"/>
      <c r="D922" s="10" t="inlineStr">
        <is>
          <t>6009677010736</t>
        </is>
      </c>
      <c r="E922" s="10" t="inlineStr">
        <is>
          <t>MUG 11OZ PORCELAIN GLAZE COFFEE DESIGN</t>
        </is>
      </c>
      <c r="F922" s="10" t="inlineStr"/>
      <c r="G922" s="10" t="inlineStr"/>
      <c r="H922" s="10" t="inlineStr"/>
      <c r="I922" s="11" t="n">
        <v>7.99</v>
      </c>
      <c r="J922" s="6" t="n">
        <v>15</v>
      </c>
      <c r="K922" s="7">
        <f>IF(I922="","",I922*(1+J922/100))</f>
        <v/>
      </c>
      <c r="L922" s="12" t="inlineStr"/>
      <c r="M922" s="8">
        <f>IF(OR(L922="",K922="",L922=0),"",
  (L922-K922)/L922*100)</f>
        <v/>
      </c>
      <c r="N922" s="13" t="n">
        <v>2832</v>
      </c>
      <c r="O922" s="10" t="inlineStr"/>
      <c r="P922" s="10" t="inlineStr"/>
      <c r="Q922" s="10" t="inlineStr"/>
      <c r="R922" s="10" t="inlineStr">
        <is>
          <t>2026-03-12</t>
        </is>
      </c>
      <c r="S922" s="10" t="inlineStr"/>
    </row>
    <row r="923">
      <c r="A923" s="3" t="inlineStr">
        <is>
          <t>F01350</t>
        </is>
      </c>
      <c r="B923" s="4" t="inlineStr">
        <is>
          <t>F01350</t>
        </is>
      </c>
      <c r="C923" s="4" t="inlineStr"/>
      <c r="D923" s="4" t="inlineStr">
        <is>
          <t>6009677010743</t>
        </is>
      </c>
      <c r="E923" s="3" t="inlineStr">
        <is>
          <t>MUG FINE BONE CHINA HEARTS ASST DESIGN</t>
        </is>
      </c>
      <c r="F923" s="4" t="inlineStr"/>
      <c r="G923" s="4" t="inlineStr"/>
      <c r="H923" s="4" t="inlineStr"/>
      <c r="I923" s="5" t="n">
        <v>7.95</v>
      </c>
      <c r="J923" s="6" t="n">
        <v>15</v>
      </c>
      <c r="K923" s="7">
        <f>IF(I923="","",I923*(1+J923/100))</f>
        <v/>
      </c>
      <c r="L923" s="12" t="inlineStr"/>
      <c r="M923" s="8">
        <f>IF(OR(L923="",K923="",L923=0),"",
  (L923-K923)/L923*100)</f>
        <v/>
      </c>
      <c r="N923" s="14" t="n">
        <v>2309</v>
      </c>
      <c r="O923" s="4" t="inlineStr"/>
      <c r="P923" s="4" t="inlineStr"/>
      <c r="Q923" s="4" t="inlineStr"/>
      <c r="R923" s="4" t="inlineStr">
        <is>
          <t>2026-03-12</t>
        </is>
      </c>
      <c r="S923" s="4" t="inlineStr"/>
    </row>
    <row r="924">
      <c r="A924" s="10" t="inlineStr">
        <is>
          <t>F01351</t>
        </is>
      </c>
      <c r="B924" s="10" t="inlineStr">
        <is>
          <t>F01351</t>
        </is>
      </c>
      <c r="C924" s="10" t="inlineStr"/>
      <c r="D924" s="10" t="inlineStr">
        <is>
          <t>6009677010781</t>
        </is>
      </c>
      <c r="E924" s="10" t="inlineStr">
        <is>
          <t>MUG BONE CHINA HEARTS DESIGN</t>
        </is>
      </c>
      <c r="F924" s="10" t="inlineStr"/>
      <c r="G924" s="10" t="inlineStr"/>
      <c r="H924" s="10" t="inlineStr"/>
      <c r="I924" s="11" t="n">
        <v>9.949999999999999</v>
      </c>
      <c r="J924" s="6" t="n">
        <v>15</v>
      </c>
      <c r="K924" s="7">
        <f>IF(I924="","",I924*(1+J924/100))</f>
        <v/>
      </c>
      <c r="L924" s="12" t="inlineStr"/>
      <c r="M924" s="8">
        <f>IF(OR(L924="",K924="",L924=0),"",
  (L924-K924)/L924*100)</f>
        <v/>
      </c>
      <c r="N924" s="13" t="n">
        <v>484</v>
      </c>
      <c r="O924" s="10" t="inlineStr"/>
      <c r="P924" s="10" t="inlineStr"/>
      <c r="Q924" s="10" t="inlineStr"/>
      <c r="R924" s="10" t="inlineStr">
        <is>
          <t>2026-03-12</t>
        </is>
      </c>
      <c r="S924" s="10" t="inlineStr"/>
    </row>
    <row r="925">
      <c r="A925" s="3" t="inlineStr">
        <is>
          <t>F01352</t>
        </is>
      </c>
      <c r="B925" s="4" t="inlineStr">
        <is>
          <t>F01352</t>
        </is>
      </c>
      <c r="C925" s="4" t="inlineStr"/>
      <c r="D925" s="4" t="inlineStr">
        <is>
          <t>6009677010798</t>
        </is>
      </c>
      <c r="E925" s="3" t="inlineStr">
        <is>
          <t>MUG FINE BONE WRITTING ASSORT COLORS</t>
        </is>
      </c>
      <c r="F925" s="4" t="inlineStr"/>
      <c r="G925" s="4" t="inlineStr"/>
      <c r="H925" s="4" t="inlineStr"/>
      <c r="I925" s="5" t="n">
        <v>11.79</v>
      </c>
      <c r="J925" s="6" t="n">
        <v>15</v>
      </c>
      <c r="K925" s="7">
        <f>IF(I925="","",I925*(1+J925/100))</f>
        <v/>
      </c>
      <c r="L925" s="12" t="inlineStr"/>
      <c r="M925" s="8">
        <f>IF(OR(L925="",K925="",L925=0),"",
  (L925-K925)/L925*100)</f>
        <v/>
      </c>
      <c r="N925" s="9" t="inlineStr"/>
      <c r="O925" s="4" t="inlineStr"/>
      <c r="P925" s="4" t="inlineStr"/>
      <c r="Q925" s="4" t="inlineStr"/>
      <c r="R925" s="4" t="inlineStr">
        <is>
          <t>2026-03-12</t>
        </is>
      </c>
      <c r="S925" s="4" t="inlineStr"/>
    </row>
    <row r="926">
      <c r="A926" s="10" t="inlineStr">
        <is>
          <t>F01354</t>
        </is>
      </c>
      <c r="B926" s="10" t="inlineStr">
        <is>
          <t>F01354</t>
        </is>
      </c>
      <c r="C926" s="10" t="inlineStr"/>
      <c r="D926" s="10" t="inlineStr"/>
      <c r="E926" s="10" t="inlineStr">
        <is>
          <t>PEEL &amp; STICK DOUBLE DISPLAY STANDS</t>
        </is>
      </c>
      <c r="F926" s="10" t="inlineStr"/>
      <c r="G926" s="10" t="inlineStr"/>
      <c r="H926" s="10" t="inlineStr"/>
      <c r="I926" s="11" t="n">
        <v>0.01</v>
      </c>
      <c r="J926" s="6" t="n">
        <v>15</v>
      </c>
      <c r="K926" s="7">
        <f>IF(I926="","",I926*(1+J926/100))</f>
        <v/>
      </c>
      <c r="L926" s="12" t="inlineStr"/>
      <c r="M926" s="8">
        <f>IF(OR(L926="",K926="",L926=0),"",
  (L926-K926)/L926*100)</f>
        <v/>
      </c>
      <c r="N926" s="9" t="inlineStr"/>
      <c r="O926" s="10" t="inlineStr"/>
      <c r="P926" s="10" t="inlineStr"/>
      <c r="Q926" s="10" t="inlineStr"/>
      <c r="R926" s="10" t="inlineStr">
        <is>
          <t>2026-03-12</t>
        </is>
      </c>
      <c r="S926" s="10" t="inlineStr"/>
    </row>
    <row r="927">
      <c r="A927" s="3" t="inlineStr">
        <is>
          <t>F01355</t>
        </is>
      </c>
      <c r="B927" s="4" t="inlineStr">
        <is>
          <t>F01355</t>
        </is>
      </c>
      <c r="C927" s="4" t="inlineStr"/>
      <c r="D927" s="4" t="inlineStr"/>
      <c r="E927" s="3" t="inlineStr">
        <is>
          <t>TAPE 100MT  CLEAR ( LOCAL )509-3 BUFF</t>
        </is>
      </c>
      <c r="F927" s="4" t="inlineStr"/>
      <c r="G927" s="4" t="inlineStr"/>
      <c r="H927" s="4" t="inlineStr"/>
      <c r="I927" s="5" t="n">
        <v>369</v>
      </c>
      <c r="J927" s="6" t="n">
        <v>15</v>
      </c>
      <c r="K927" s="7">
        <f>IF(I927="","",I927*(1+J927/100))</f>
        <v/>
      </c>
      <c r="L927" s="12" t="inlineStr"/>
      <c r="M927" s="8">
        <f>IF(OR(L927="",K927="",L927=0),"",
  (L927-K927)/L927*100)</f>
        <v/>
      </c>
      <c r="N927" s="9" t="inlineStr"/>
      <c r="O927" s="4" t="inlineStr"/>
      <c r="P927" s="4" t="inlineStr"/>
      <c r="Q927" s="4" t="inlineStr"/>
      <c r="R927" s="4" t="inlineStr">
        <is>
          <t>2026-03-12</t>
        </is>
      </c>
      <c r="S927" s="4" t="inlineStr"/>
    </row>
    <row r="928">
      <c r="A928" s="10" t="inlineStr">
        <is>
          <t>F01356</t>
        </is>
      </c>
      <c r="B928" s="10" t="inlineStr">
        <is>
          <t>F01356</t>
        </is>
      </c>
      <c r="C928" s="10" t="inlineStr"/>
      <c r="D928" s="10" t="inlineStr">
        <is>
          <t>6009677010699</t>
        </is>
      </c>
      <c r="E928" s="10" t="inlineStr">
        <is>
          <t>MUG FINE BONE  WRITING ASSORT-new</t>
        </is>
      </c>
      <c r="F928" s="10" t="inlineStr"/>
      <c r="G928" s="10" t="inlineStr"/>
      <c r="H928" s="10" t="inlineStr"/>
      <c r="I928" s="11" t="n">
        <v>11.79</v>
      </c>
      <c r="J928" s="6" t="n">
        <v>15</v>
      </c>
      <c r="K928" s="7">
        <f>IF(I928="","",I928*(1+J928/100))</f>
        <v/>
      </c>
      <c r="L928" s="12" t="inlineStr"/>
      <c r="M928" s="8">
        <f>IF(OR(L928="",K928="",L928=0),"",
  (L928-K928)/L928*100)</f>
        <v/>
      </c>
      <c r="N928" s="9" t="inlineStr"/>
      <c r="O928" s="10" t="inlineStr"/>
      <c r="P928" s="10" t="inlineStr"/>
      <c r="Q928" s="10" t="inlineStr"/>
      <c r="R928" s="10" t="inlineStr">
        <is>
          <t>2026-03-12</t>
        </is>
      </c>
      <c r="S928" s="10" t="inlineStr"/>
    </row>
    <row r="929">
      <c r="A929" s="3" t="inlineStr">
        <is>
          <t>F01357</t>
        </is>
      </c>
      <c r="B929" s="4" t="inlineStr">
        <is>
          <t>F01357</t>
        </is>
      </c>
      <c r="C929" s="4" t="inlineStr"/>
      <c r="D929" s="4" t="inlineStr">
        <is>
          <t>1070980102666</t>
        </is>
      </c>
      <c r="E929" s="3" t="inlineStr">
        <is>
          <t>TUMBLER GLASS 109B 6Pcs 9oz</t>
        </is>
      </c>
      <c r="F929" s="4" t="inlineStr"/>
      <c r="G929" s="4" t="inlineStr"/>
      <c r="H929" s="4" t="inlineStr"/>
      <c r="I929" s="5" t="n">
        <v>12.2</v>
      </c>
      <c r="J929" s="6" t="n">
        <v>15</v>
      </c>
      <c r="K929" s="7">
        <f>IF(I929="","",I929*(1+J929/100))</f>
        <v/>
      </c>
      <c r="L929" s="12" t="inlineStr"/>
      <c r="M929" s="8">
        <f>IF(OR(L929="",K929="",L929=0),"",
  (L929-K929)/L929*100)</f>
        <v/>
      </c>
      <c r="N929" s="9" t="inlineStr"/>
      <c r="O929" s="4" t="inlineStr"/>
      <c r="P929" s="4" t="inlineStr"/>
      <c r="Q929" s="4" t="inlineStr"/>
      <c r="R929" s="4" t="inlineStr">
        <is>
          <t>2026-03-12</t>
        </is>
      </c>
      <c r="S929" s="4" t="inlineStr"/>
    </row>
    <row r="930">
      <c r="A930" s="10" t="inlineStr">
        <is>
          <t>F01358</t>
        </is>
      </c>
      <c r="B930" s="10" t="inlineStr">
        <is>
          <t>F01358</t>
        </is>
      </c>
      <c r="C930" s="10" t="inlineStr"/>
      <c r="D930" s="10" t="inlineStr">
        <is>
          <t>6001224385052</t>
        </is>
      </c>
      <c r="E930" s="10" t="inlineStr">
        <is>
          <t>TUMBLER 8011338 3Pcs CASTOR JAGER 8oz</t>
        </is>
      </c>
      <c r="F930" s="10" t="inlineStr"/>
      <c r="G930" s="10" t="inlineStr"/>
      <c r="H930" s="10" t="inlineStr"/>
      <c r="I930" s="11" t="n">
        <v>1.52</v>
      </c>
      <c r="J930" s="6" t="n">
        <v>15</v>
      </c>
      <c r="K930" s="7">
        <f>IF(I930="","",I930*(1+J930/100))</f>
        <v/>
      </c>
      <c r="L930" s="12" t="inlineStr"/>
      <c r="M930" s="8">
        <f>IF(OR(L930="",K930="",L930=0),"",
  (L930-K930)/L930*100)</f>
        <v/>
      </c>
      <c r="N930" s="9" t="inlineStr"/>
      <c r="O930" s="10" t="inlineStr"/>
      <c r="P930" s="10" t="inlineStr"/>
      <c r="Q930" s="10" t="inlineStr"/>
      <c r="R930" s="10" t="inlineStr">
        <is>
          <t>2026-03-12</t>
        </is>
      </c>
      <c r="S930" s="10" t="inlineStr"/>
    </row>
    <row r="931">
      <c r="A931" s="3" t="inlineStr">
        <is>
          <t>F01359</t>
        </is>
      </c>
      <c r="B931" s="4" t="inlineStr">
        <is>
          <t>F01359</t>
        </is>
      </c>
      <c r="C931" s="4" t="inlineStr"/>
      <c r="D931" s="4" t="inlineStr">
        <is>
          <t>4895046904834</t>
        </is>
      </c>
      <c r="E931" s="3" t="inlineStr">
        <is>
          <t>TUMBLER 8011338 6Pcs CASTOR JAGER 8oz</t>
        </is>
      </c>
      <c r="F931" s="4" t="inlineStr"/>
      <c r="G931" s="4" t="inlineStr"/>
      <c r="H931" s="4" t="inlineStr"/>
      <c r="I931" s="5" t="n">
        <v>14.95</v>
      </c>
      <c r="J931" s="6" t="n">
        <v>15</v>
      </c>
      <c r="K931" s="7">
        <f>IF(I931="","",I931*(1+J931/100))</f>
        <v/>
      </c>
      <c r="L931" s="12" t="inlineStr"/>
      <c r="M931" s="8">
        <f>IF(OR(L931="",K931="",L931=0),"",
  (L931-K931)/L931*100)</f>
        <v/>
      </c>
      <c r="N931" s="9" t="inlineStr"/>
      <c r="O931" s="4" t="inlineStr"/>
      <c r="P931" s="4" t="inlineStr"/>
      <c r="Q931" s="4" t="inlineStr"/>
      <c r="R931" s="4" t="inlineStr">
        <is>
          <t>2026-03-12</t>
        </is>
      </c>
      <c r="S931" s="4" t="inlineStr"/>
    </row>
    <row r="932">
      <c r="A932" s="10" t="inlineStr">
        <is>
          <t>F01360</t>
        </is>
      </c>
      <c r="B932" s="10" t="inlineStr">
        <is>
          <t>F01360</t>
        </is>
      </c>
      <c r="C932" s="10" t="inlineStr"/>
      <c r="D932" s="10" t="inlineStr">
        <is>
          <t>6009677010491</t>
        </is>
      </c>
      <c r="E932" s="10" t="inlineStr">
        <is>
          <t>GRATER  GOOD QUALITY ASST COLORS</t>
        </is>
      </c>
      <c r="F932" s="10" t="inlineStr"/>
      <c r="G932" s="10" t="inlineStr"/>
      <c r="H932" s="10" t="inlineStr"/>
      <c r="I932" s="11" t="n">
        <v>24.95</v>
      </c>
      <c r="J932" s="6" t="n">
        <v>15</v>
      </c>
      <c r="K932" s="7">
        <f>IF(I932="","",I932*(1+J932/100))</f>
        <v/>
      </c>
      <c r="L932" s="12" t="inlineStr"/>
      <c r="M932" s="8">
        <f>IF(OR(L932="",K932="",L932=0),"",
  (L932-K932)/L932*100)</f>
        <v/>
      </c>
      <c r="N932" s="13" t="n">
        <v>1042</v>
      </c>
      <c r="O932" s="10" t="inlineStr"/>
      <c r="P932" s="10" t="inlineStr"/>
      <c r="Q932" s="10" t="inlineStr"/>
      <c r="R932" s="10" t="inlineStr">
        <is>
          <t>2026-03-12</t>
        </is>
      </c>
      <c r="S932" s="10" t="inlineStr"/>
    </row>
    <row r="933">
      <c r="A933" s="3" t="inlineStr">
        <is>
          <t>F01361</t>
        </is>
      </c>
      <c r="B933" s="4" t="inlineStr">
        <is>
          <t>F01361</t>
        </is>
      </c>
      <c r="C933" s="4" t="inlineStr"/>
      <c r="D933" s="4" t="inlineStr">
        <is>
          <t>6009677011122</t>
        </is>
      </c>
      <c r="E933" s="3" t="inlineStr">
        <is>
          <t>Z140 ESPRESSO COFFEE MUG</t>
        </is>
      </c>
      <c r="F933" s="4" t="inlineStr"/>
      <c r="G933" s="4" t="inlineStr"/>
      <c r="H933" s="4" t="inlineStr"/>
      <c r="I933" s="5" t="n">
        <v>3.89</v>
      </c>
      <c r="J933" s="6" t="n">
        <v>15</v>
      </c>
      <c r="K933" s="7">
        <f>IF(I933="","",I933*(1+J933/100))</f>
        <v/>
      </c>
      <c r="L933" s="12" t="inlineStr"/>
      <c r="M933" s="8">
        <f>IF(OR(L933="",K933="",L933=0),"",
  (L933-K933)/L933*100)</f>
        <v/>
      </c>
      <c r="N933" s="9" t="inlineStr"/>
      <c r="O933" s="4" t="inlineStr"/>
      <c r="P933" s="4" t="inlineStr"/>
      <c r="Q933" s="4" t="inlineStr"/>
      <c r="R933" s="4" t="inlineStr">
        <is>
          <t>2026-03-12</t>
        </is>
      </c>
      <c r="S933" s="4" t="inlineStr"/>
    </row>
    <row r="934">
      <c r="A934" s="10" t="inlineStr">
        <is>
          <t>F01362</t>
        </is>
      </c>
      <c r="B934" s="10" t="inlineStr">
        <is>
          <t>F01362</t>
        </is>
      </c>
      <c r="C934" s="10" t="inlineStr"/>
      <c r="D934" s="10" t="inlineStr">
        <is>
          <t>6009677010392</t>
        </is>
      </c>
      <c r="E934" s="10" t="inlineStr">
        <is>
          <t>LOCK MORTICE FANCY HAND  COPPER IE-</t>
        </is>
      </c>
      <c r="F934" s="10" t="inlineStr"/>
      <c r="G934" s="10" t="inlineStr"/>
      <c r="H934" s="10" t="inlineStr"/>
      <c r="I934" s="11" t="n">
        <v>44.95</v>
      </c>
      <c r="J934" s="6" t="n">
        <v>15</v>
      </c>
      <c r="K934" s="7">
        <f>IF(I934="","",I934*(1+J934/100))</f>
        <v/>
      </c>
      <c r="L934" s="12" t="inlineStr"/>
      <c r="M934" s="8">
        <f>IF(OR(L934="",K934="",L934=0),"",
  (L934-K934)/L934*100)</f>
        <v/>
      </c>
      <c r="N934" s="9" t="inlineStr"/>
      <c r="O934" s="10" t="inlineStr"/>
      <c r="P934" s="10" t="inlineStr"/>
      <c r="Q934" s="10" t="inlineStr"/>
      <c r="R934" s="10" t="inlineStr">
        <is>
          <t>2026-03-12</t>
        </is>
      </c>
      <c r="S934" s="10" t="inlineStr"/>
    </row>
    <row r="935">
      <c r="A935" s="3" t="inlineStr">
        <is>
          <t>F01363</t>
        </is>
      </c>
      <c r="B935" s="4" t="inlineStr">
        <is>
          <t>F01363</t>
        </is>
      </c>
      <c r="C935" s="4" t="inlineStr"/>
      <c r="D935" s="4" t="inlineStr">
        <is>
          <t>6009677010408</t>
        </is>
      </c>
      <c r="E935" s="3" t="inlineStr">
        <is>
          <t>LOCK  MORTICE FANCY HAND  CHROME IE-</t>
        </is>
      </c>
      <c r="F935" s="4" t="inlineStr"/>
      <c r="G935" s="4" t="inlineStr"/>
      <c r="H935" s="4" t="inlineStr"/>
      <c r="I935" s="5" t="n">
        <v>44.95</v>
      </c>
      <c r="J935" s="6" t="n">
        <v>15</v>
      </c>
      <c r="K935" s="7">
        <f>IF(I935="","",I935*(1+J935/100))</f>
        <v/>
      </c>
      <c r="L935" s="12" t="inlineStr"/>
      <c r="M935" s="8">
        <f>IF(OR(L935="",K935="",L935=0),"",
  (L935-K935)/L935*100)</f>
        <v/>
      </c>
      <c r="N935" s="9" t="inlineStr"/>
      <c r="O935" s="4" t="inlineStr"/>
      <c r="P935" s="4" t="inlineStr"/>
      <c r="Q935" s="4" t="inlineStr"/>
      <c r="R935" s="4" t="inlineStr">
        <is>
          <t>2026-03-12</t>
        </is>
      </c>
      <c r="S935" s="4" t="inlineStr"/>
    </row>
    <row r="936">
      <c r="A936" s="10" t="inlineStr">
        <is>
          <t>F01364</t>
        </is>
      </c>
      <c r="B936" s="10" t="inlineStr">
        <is>
          <t>F01364</t>
        </is>
      </c>
      <c r="C936" s="10" t="inlineStr"/>
      <c r="D936" s="10" t="inlineStr">
        <is>
          <t>6009677010361</t>
        </is>
      </c>
      <c r="E936" s="10" t="inlineStr">
        <is>
          <t>CHAIR   7 01-2 BEACH/FISHING FOLDUP</t>
        </is>
      </c>
      <c r="F936" s="10" t="inlineStr"/>
      <c r="G936" s="10" t="inlineStr"/>
      <c r="H936" s="10" t="inlineStr"/>
      <c r="I936" s="11" t="n">
        <v>87.04000000000001</v>
      </c>
      <c r="J936" s="6" t="n">
        <v>15</v>
      </c>
      <c r="K936" s="7">
        <f>IF(I936="","",I936*(1+J936/100))</f>
        <v/>
      </c>
      <c r="L936" s="12" t="inlineStr"/>
      <c r="M936" s="8">
        <f>IF(OR(L936="",K936="",L936=0),"",
  (L936-K936)/L936*100)</f>
        <v/>
      </c>
      <c r="N936" s="9" t="inlineStr"/>
      <c r="O936" s="10" t="inlineStr"/>
      <c r="P936" s="10" t="inlineStr"/>
      <c r="Q936" s="10" t="inlineStr"/>
      <c r="R936" s="10" t="inlineStr">
        <is>
          <t>2026-03-12</t>
        </is>
      </c>
      <c r="S936" s="10" t="inlineStr"/>
    </row>
    <row r="937">
      <c r="A937" s="3" t="inlineStr">
        <is>
          <t>F01365</t>
        </is>
      </c>
      <c r="B937" s="4" t="inlineStr">
        <is>
          <t>F01365</t>
        </is>
      </c>
      <c r="C937" s="4" t="inlineStr"/>
      <c r="D937" s="4" t="inlineStr">
        <is>
          <t>6009677010378</t>
        </is>
      </c>
      <c r="E937" s="3" t="inlineStr">
        <is>
          <t>701-3 PICNIC TABLE + BENCH ALUMINIUM</t>
        </is>
      </c>
      <c r="F937" s="4" t="inlineStr"/>
      <c r="G937" s="4" t="inlineStr"/>
      <c r="H937" s="4" t="inlineStr"/>
      <c r="I937" s="5" t="n">
        <v>435.41</v>
      </c>
      <c r="J937" s="6" t="n">
        <v>15</v>
      </c>
      <c r="K937" s="7">
        <f>IF(I937="","",I937*(1+J937/100))</f>
        <v/>
      </c>
      <c r="L937" s="12" t="inlineStr"/>
      <c r="M937" s="8">
        <f>IF(OR(L937="",K937="",L937=0),"",
  (L937-K937)/L937*100)</f>
        <v/>
      </c>
      <c r="N937" s="9" t="inlineStr"/>
      <c r="O937" s="4" t="inlineStr"/>
      <c r="P937" s="4" t="inlineStr"/>
      <c r="Q937" s="4" t="inlineStr"/>
      <c r="R937" s="4" t="inlineStr">
        <is>
          <t>2026-03-12</t>
        </is>
      </c>
      <c r="S937" s="4" t="inlineStr"/>
    </row>
    <row r="938">
      <c r="A938" s="10" t="inlineStr">
        <is>
          <t>F01366</t>
        </is>
      </c>
      <c r="B938" s="10" t="inlineStr">
        <is>
          <t>F01366</t>
        </is>
      </c>
      <c r="C938" s="10" t="inlineStr"/>
      <c r="D938" s="10" t="inlineStr">
        <is>
          <t>6009677010385</t>
        </is>
      </c>
      <c r="E938" s="10" t="inlineStr">
        <is>
          <t>CHAIR CAMP HEAVY DUTY 22MM TUBE</t>
        </is>
      </c>
      <c r="F938" s="10" t="inlineStr"/>
      <c r="G938" s="10" t="inlineStr"/>
      <c r="H938" s="10" t="inlineStr"/>
      <c r="I938" s="11" t="n">
        <v>171.11</v>
      </c>
      <c r="J938" s="6" t="n">
        <v>15</v>
      </c>
      <c r="K938" s="7">
        <f>IF(I938="","",I938*(1+J938/100))</f>
        <v/>
      </c>
      <c r="L938" s="12" t="inlineStr"/>
      <c r="M938" s="8">
        <f>IF(OR(L938="",K938="",L938=0),"",
  (L938-K938)/L938*100)</f>
        <v/>
      </c>
      <c r="N938" s="9" t="inlineStr"/>
      <c r="O938" s="10" t="inlineStr"/>
      <c r="P938" s="10" t="inlineStr"/>
      <c r="Q938" s="10" t="inlineStr"/>
      <c r="R938" s="10" t="inlineStr">
        <is>
          <t>2026-03-12</t>
        </is>
      </c>
      <c r="S938" s="10" t="inlineStr"/>
    </row>
    <row r="939">
      <c r="A939" s="3" t="inlineStr">
        <is>
          <t>F01367</t>
        </is>
      </c>
      <c r="B939" s="4" t="inlineStr">
        <is>
          <t>F01367</t>
        </is>
      </c>
      <c r="C939" s="4" t="inlineStr">
        <is>
          <t>19344</t>
        </is>
      </c>
      <c r="D939" s="4" t="inlineStr">
        <is>
          <t>6009677011139</t>
        </is>
      </c>
      <c r="E939" s="3" t="inlineStr">
        <is>
          <t>LADDER HOUSEWIFE  2 STEP105-2</t>
        </is>
      </c>
      <c r="F939" s="4" t="inlineStr"/>
      <c r="G939" s="4" t="inlineStr"/>
      <c r="H939" s="4" t="inlineStr"/>
      <c r="I939" s="5" t="n">
        <v>345</v>
      </c>
      <c r="J939" s="6" t="n">
        <v>15</v>
      </c>
      <c r="K939" s="7">
        <f>IF(I939="","",I939*(1+J939/100))</f>
        <v/>
      </c>
      <c r="L939" s="5" t="n">
        <v>950</v>
      </c>
      <c r="M939" s="8">
        <f>IF(OR(L939="",K939="",L939=0),"",
  (L939-K939)/L939*100)</f>
        <v/>
      </c>
      <c r="N939" s="9" t="inlineStr"/>
      <c r="O939" s="4" t="inlineStr"/>
      <c r="P939" s="4" t="inlineStr"/>
      <c r="Q939" s="4" t="inlineStr"/>
      <c r="R939" s="4" t="inlineStr">
        <is>
          <t>2026-03-12</t>
        </is>
      </c>
      <c r="S939" s="4" t="inlineStr"/>
    </row>
    <row r="940">
      <c r="A940" s="10" t="inlineStr">
        <is>
          <t>F01368</t>
        </is>
      </c>
      <c r="B940" s="10" t="inlineStr">
        <is>
          <t>F01368</t>
        </is>
      </c>
      <c r="C940" s="10" t="inlineStr"/>
      <c r="D940" s="10" t="inlineStr">
        <is>
          <t>6009677013812</t>
        </is>
      </c>
      <c r="E940" s="10" t="inlineStr">
        <is>
          <t>LADDER HOUSEWIFE 105-5  5 STEP</t>
        </is>
      </c>
      <c r="F940" s="10" t="inlineStr"/>
      <c r="G940" s="10" t="inlineStr"/>
      <c r="H940" s="10" t="inlineStr"/>
      <c r="I940" s="11" t="n">
        <v>689</v>
      </c>
      <c r="J940" s="6" t="n">
        <v>15</v>
      </c>
      <c r="K940" s="7">
        <f>IF(I940="","",I940*(1+J940/100))</f>
        <v/>
      </c>
      <c r="L940" s="12" t="inlineStr"/>
      <c r="M940" s="8">
        <f>IF(OR(L940="",K940="",L940=0),"",
  (L940-K940)/L940*100)</f>
        <v/>
      </c>
      <c r="N940" s="13" t="n">
        <v>10</v>
      </c>
      <c r="O940" s="10" t="inlineStr"/>
      <c r="P940" s="10" t="inlineStr"/>
      <c r="Q940" s="10" t="inlineStr"/>
      <c r="R940" s="10" t="inlineStr">
        <is>
          <t>2026-03-12</t>
        </is>
      </c>
      <c r="S940" s="10" t="inlineStr"/>
    </row>
    <row r="941">
      <c r="A941" s="3" t="inlineStr">
        <is>
          <t>F01369</t>
        </is>
      </c>
      <c r="B941" s="4" t="inlineStr">
        <is>
          <t>F01369</t>
        </is>
      </c>
      <c r="C941" s="4" t="inlineStr"/>
      <c r="D941" s="4" t="inlineStr">
        <is>
          <t>6009677010439</t>
        </is>
      </c>
      <c r="E941" s="3" t="inlineStr">
        <is>
          <t>MELAMINE 10.5'' PLATE WHITE 15-7A</t>
        </is>
      </c>
      <c r="F941" s="4" t="inlineStr"/>
      <c r="G941" s="4" t="inlineStr"/>
      <c r="H941" s="4" t="inlineStr"/>
      <c r="I941" s="5" t="n">
        <v>9.5</v>
      </c>
      <c r="J941" s="6" t="n">
        <v>15</v>
      </c>
      <c r="K941" s="7">
        <f>IF(I941="","",I941*(1+J941/100))</f>
        <v/>
      </c>
      <c r="L941" s="12" t="inlineStr"/>
      <c r="M941" s="8">
        <f>IF(OR(L941="",K941="",L941=0),"",
  (L941-K941)/L941*100)</f>
        <v/>
      </c>
      <c r="N941" s="9" t="inlineStr"/>
      <c r="O941" s="4" t="inlineStr"/>
      <c r="P941" s="4" t="inlineStr"/>
      <c r="Q941" s="4" t="inlineStr"/>
      <c r="R941" s="4" t="inlineStr">
        <is>
          <t>2026-03-12</t>
        </is>
      </c>
      <c r="S941" s="4" t="inlineStr"/>
    </row>
    <row r="942">
      <c r="A942" s="10" t="inlineStr">
        <is>
          <t>F01370</t>
        </is>
      </c>
      <c r="B942" s="10" t="inlineStr">
        <is>
          <t>F01370</t>
        </is>
      </c>
      <c r="C942" s="10" t="inlineStr"/>
      <c r="D942" s="10" t="inlineStr">
        <is>
          <t>6009677010447</t>
        </is>
      </c>
      <c r="E942" s="10" t="inlineStr">
        <is>
          <t>15-7B  MELAMINE 75'' SOUP BOWL WHITE</t>
        </is>
      </c>
      <c r="F942" s="10" t="inlineStr"/>
      <c r="G942" s="10" t="inlineStr"/>
      <c r="H942" s="10" t="inlineStr"/>
      <c r="I942" s="11" t="n">
        <v>2.51</v>
      </c>
      <c r="J942" s="6" t="n">
        <v>15</v>
      </c>
      <c r="K942" s="7">
        <f>IF(I942="","",I942*(1+J942/100))</f>
        <v/>
      </c>
      <c r="L942" s="12" t="inlineStr"/>
      <c r="M942" s="8">
        <f>IF(OR(L942="",K942="",L942=0),"",
  (L942-K942)/L942*100)</f>
        <v/>
      </c>
      <c r="N942" s="9" t="inlineStr"/>
      <c r="O942" s="10" t="inlineStr"/>
      <c r="P942" s="10" t="inlineStr"/>
      <c r="Q942" s="10" t="inlineStr"/>
      <c r="R942" s="10" t="inlineStr">
        <is>
          <t>2026-03-12</t>
        </is>
      </c>
      <c r="S942" s="10" t="inlineStr"/>
    </row>
    <row r="943">
      <c r="A943" s="3" t="inlineStr">
        <is>
          <t>F01371</t>
        </is>
      </c>
      <c r="B943" s="4" t="inlineStr">
        <is>
          <t>F01371</t>
        </is>
      </c>
      <c r="C943" s="4" t="inlineStr"/>
      <c r="D943" s="4" t="inlineStr">
        <is>
          <t>6009677010455</t>
        </is>
      </c>
      <c r="E943" s="3" t="inlineStr">
        <is>
          <t>15-7C  MELAMINE 7'' CEREAL BOWL WHITE</t>
        </is>
      </c>
      <c r="F943" s="4" t="inlineStr"/>
      <c r="G943" s="4" t="inlineStr"/>
      <c r="H943" s="4" t="inlineStr"/>
      <c r="I943" s="5" t="n">
        <v>2.52</v>
      </c>
      <c r="J943" s="6" t="n">
        <v>15</v>
      </c>
      <c r="K943" s="7">
        <f>IF(I943="","",I943*(1+J943/100))</f>
        <v/>
      </c>
      <c r="L943" s="12" t="inlineStr"/>
      <c r="M943" s="8">
        <f>IF(OR(L943="",K943="",L943=0),"",
  (L943-K943)/L943*100)</f>
        <v/>
      </c>
      <c r="N943" s="9" t="inlineStr"/>
      <c r="O943" s="4" t="inlineStr"/>
      <c r="P943" s="4" t="inlineStr"/>
      <c r="Q943" s="4" t="inlineStr"/>
      <c r="R943" s="4" t="inlineStr">
        <is>
          <t>2026-03-12</t>
        </is>
      </c>
      <c r="S943" s="4" t="inlineStr"/>
    </row>
    <row r="944">
      <c r="A944" s="10" t="inlineStr">
        <is>
          <t>F01372</t>
        </is>
      </c>
      <c r="B944" s="10" t="inlineStr">
        <is>
          <t>F01372</t>
        </is>
      </c>
      <c r="C944" s="10" t="inlineStr"/>
      <c r="D944" s="10" t="inlineStr">
        <is>
          <t>60096770104000</t>
        </is>
      </c>
      <c r="E944" s="10" t="inlineStr">
        <is>
          <t>15-7D  MELAMINE 9'' SOUP PLATE WHITE</t>
        </is>
      </c>
      <c r="F944" s="10" t="inlineStr"/>
      <c r="G944" s="10" t="inlineStr"/>
      <c r="H944" s="10" t="inlineStr"/>
      <c r="I944" s="11" t="n">
        <v>9.49</v>
      </c>
      <c r="J944" s="6" t="n">
        <v>15</v>
      </c>
      <c r="K944" s="7">
        <f>IF(I944="","",I944*(1+J944/100))</f>
        <v/>
      </c>
      <c r="L944" s="12" t="inlineStr"/>
      <c r="M944" s="8">
        <f>IF(OR(L944="",K944="",L944=0),"",
  (L944-K944)/L944*100)</f>
        <v/>
      </c>
      <c r="N944" s="9" t="inlineStr"/>
      <c r="O944" s="10" t="inlineStr"/>
      <c r="P944" s="10" t="inlineStr"/>
      <c r="Q944" s="10" t="inlineStr"/>
      <c r="R944" s="10" t="inlineStr">
        <is>
          <t>2026-03-12</t>
        </is>
      </c>
      <c r="S944" s="10" t="inlineStr"/>
    </row>
    <row r="945">
      <c r="A945" s="3" t="inlineStr">
        <is>
          <t>F01373</t>
        </is>
      </c>
      <c r="B945" s="4" t="inlineStr">
        <is>
          <t>F01373</t>
        </is>
      </c>
      <c r="C945" s="4" t="inlineStr"/>
      <c r="D945" s="4" t="inlineStr">
        <is>
          <t>6009677010000</t>
        </is>
      </c>
      <c r="E945" s="3" t="inlineStr">
        <is>
          <t>15-7E  MELAMINE 10oz MUG WHITE</t>
        </is>
      </c>
      <c r="F945" s="4" t="inlineStr"/>
      <c r="G945" s="4" t="inlineStr"/>
      <c r="H945" s="4" t="inlineStr"/>
      <c r="I945" s="5" t="n">
        <v>3.27</v>
      </c>
      <c r="J945" s="6" t="n">
        <v>15</v>
      </c>
      <c r="K945" s="7">
        <f>IF(I945="","",I945*(1+J945/100))</f>
        <v/>
      </c>
      <c r="L945" s="12" t="inlineStr"/>
      <c r="M945" s="8">
        <f>IF(OR(L945="",K945="",L945=0),"",
  (L945-K945)/L945*100)</f>
        <v/>
      </c>
      <c r="N945" s="9" t="inlineStr"/>
      <c r="O945" s="4" t="inlineStr"/>
      <c r="P945" s="4" t="inlineStr"/>
      <c r="Q945" s="4" t="inlineStr"/>
      <c r="R945" s="4" t="inlineStr">
        <is>
          <t>2026-03-12</t>
        </is>
      </c>
      <c r="S945" s="4" t="inlineStr"/>
    </row>
    <row r="946">
      <c r="A946" s="10" t="inlineStr">
        <is>
          <t>F01374</t>
        </is>
      </c>
      <c r="B946" s="10" t="inlineStr">
        <is>
          <t>F01374</t>
        </is>
      </c>
      <c r="C946" s="10" t="inlineStr"/>
      <c r="D946" s="10" t="inlineStr">
        <is>
          <t>6009677010481</t>
        </is>
      </c>
      <c r="E946" s="10" t="inlineStr">
        <is>
          <t>15-7F  MELAMINE 7'' SIDE PLATE WHITE</t>
        </is>
      </c>
      <c r="F946" s="10" t="inlineStr"/>
      <c r="G946" s="10" t="inlineStr"/>
      <c r="H946" s="10" t="inlineStr"/>
      <c r="I946" s="11" t="n">
        <v>5.89</v>
      </c>
      <c r="J946" s="6" t="n">
        <v>15</v>
      </c>
      <c r="K946" s="7">
        <f>IF(I946="","",I946*(1+J946/100))</f>
        <v/>
      </c>
      <c r="L946" s="12" t="inlineStr"/>
      <c r="M946" s="8">
        <f>IF(OR(L946="",K946="",L946=0),"",
  (L946-K946)/L946*100)</f>
        <v/>
      </c>
      <c r="N946" s="9" t="inlineStr"/>
      <c r="O946" s="10" t="inlineStr"/>
      <c r="P946" s="10" t="inlineStr"/>
      <c r="Q946" s="10" t="inlineStr"/>
      <c r="R946" s="10" t="inlineStr">
        <is>
          <t>2026-03-12</t>
        </is>
      </c>
      <c r="S946" s="10" t="inlineStr"/>
    </row>
    <row r="947">
      <c r="A947" s="3" t="inlineStr">
        <is>
          <t>F01375</t>
        </is>
      </c>
      <c r="B947" s="4" t="inlineStr">
        <is>
          <t>F01375</t>
        </is>
      </c>
      <c r="C947" s="4" t="inlineStr"/>
      <c r="D947" s="4" t="inlineStr">
        <is>
          <t>6009677011177</t>
        </is>
      </c>
      <c r="E947" s="3" t="inlineStr">
        <is>
          <t>TUMBLER FIRNA FNG HI BALL LOOSE</t>
        </is>
      </c>
      <c r="F947" s="4" t="inlineStr"/>
      <c r="G947" s="4" t="inlineStr"/>
      <c r="H947" s="4" t="inlineStr"/>
      <c r="I947" s="5" t="n">
        <v>3.49</v>
      </c>
      <c r="J947" s="6" t="n">
        <v>15</v>
      </c>
      <c r="K947" s="7">
        <f>IF(I947="","",I947*(1+J947/100))</f>
        <v/>
      </c>
      <c r="L947" s="12" t="inlineStr"/>
      <c r="M947" s="8">
        <f>IF(OR(L947="",K947="",L947=0),"",
  (L947-K947)/L947*100)</f>
        <v/>
      </c>
      <c r="N947" s="9" t="inlineStr"/>
      <c r="O947" s="4" t="inlineStr"/>
      <c r="P947" s="4" t="inlineStr"/>
      <c r="Q947" s="4" t="inlineStr"/>
      <c r="R947" s="4" t="inlineStr">
        <is>
          <t>2026-03-12</t>
        </is>
      </c>
      <c r="S947" s="4" t="inlineStr"/>
    </row>
    <row r="948">
      <c r="A948" s="10" t="inlineStr">
        <is>
          <t>F01376</t>
        </is>
      </c>
      <c r="B948" s="10" t="inlineStr">
        <is>
          <t>F01376</t>
        </is>
      </c>
      <c r="C948" s="10" t="inlineStr"/>
      <c r="D948" s="10" t="inlineStr">
        <is>
          <t>18992787110395</t>
        </is>
      </c>
      <c r="E948" s="10" t="inlineStr">
        <is>
          <t>TUMBLER FIRNA B2-1414CF WILLY FNG LOOSE</t>
        </is>
      </c>
      <c r="F948" s="10" t="inlineStr"/>
      <c r="G948" s="10" t="inlineStr"/>
      <c r="H948" s="10" t="inlineStr"/>
      <c r="I948" s="11" t="n">
        <v>4.99</v>
      </c>
      <c r="J948" s="6" t="n">
        <v>15</v>
      </c>
      <c r="K948" s="7">
        <f>IF(I948="","",I948*(1+J948/100))</f>
        <v/>
      </c>
      <c r="L948" s="12" t="inlineStr"/>
      <c r="M948" s="8">
        <f>IF(OR(L948="",K948="",L948=0),"",
  (L948-K948)/L948*100)</f>
        <v/>
      </c>
      <c r="N948" s="9" t="inlineStr"/>
      <c r="O948" s="10" t="inlineStr"/>
      <c r="P948" s="10" t="inlineStr"/>
      <c r="Q948" s="10" t="inlineStr"/>
      <c r="R948" s="10" t="inlineStr">
        <is>
          <t>2026-03-12</t>
        </is>
      </c>
      <c r="S948" s="10" t="inlineStr"/>
    </row>
    <row r="949">
      <c r="A949" s="3" t="inlineStr">
        <is>
          <t>F01377</t>
        </is>
      </c>
      <c r="B949" s="4" t="inlineStr">
        <is>
          <t>F01377</t>
        </is>
      </c>
      <c r="C949" s="4" t="inlineStr"/>
      <c r="D949" s="4" t="inlineStr">
        <is>
          <t>18992787110265</t>
        </is>
      </c>
      <c r="E949" s="3" t="inlineStr">
        <is>
          <t>TUMBLER  FIRNA B1-11CF ZOMBIE FNG LOOSE</t>
        </is>
      </c>
      <c r="F949" s="4" t="inlineStr"/>
      <c r="G949" s="4" t="inlineStr"/>
      <c r="H949" s="4" t="inlineStr"/>
      <c r="I949" s="5" t="n">
        <v>4.89</v>
      </c>
      <c r="J949" s="6" t="n">
        <v>15</v>
      </c>
      <c r="K949" s="7">
        <f>IF(I949="","",I949*(1+J949/100))</f>
        <v/>
      </c>
      <c r="L949" s="12" t="inlineStr"/>
      <c r="M949" s="8">
        <f>IF(OR(L949="",K949="",L949=0),"",
  (L949-K949)/L949*100)</f>
        <v/>
      </c>
      <c r="N949" s="9" t="inlineStr"/>
      <c r="O949" s="4" t="inlineStr"/>
      <c r="P949" s="4" t="inlineStr"/>
      <c r="Q949" s="4" t="inlineStr"/>
      <c r="R949" s="4" t="inlineStr">
        <is>
          <t>2026-03-12</t>
        </is>
      </c>
      <c r="S949" s="4" t="inlineStr"/>
    </row>
    <row r="950">
      <c r="A950" s="10" t="inlineStr">
        <is>
          <t>F01378</t>
        </is>
      </c>
      <c r="B950" s="10" t="inlineStr">
        <is>
          <t>F01378</t>
        </is>
      </c>
      <c r="C950" s="10" t="inlineStr"/>
      <c r="D950" s="10" t="inlineStr"/>
      <c r="E950" s="10" t="inlineStr">
        <is>
          <t>CHAIR CAMP WIDE 19MM TUBE</t>
        </is>
      </c>
      <c r="F950" s="10" t="inlineStr"/>
      <c r="G950" s="10" t="inlineStr"/>
      <c r="H950" s="10" t="inlineStr"/>
      <c r="I950" s="11" t="n">
        <v>179</v>
      </c>
      <c r="J950" s="6" t="n">
        <v>15</v>
      </c>
      <c r="K950" s="7">
        <f>IF(I950="","",I950*(1+J950/100))</f>
        <v/>
      </c>
      <c r="L950" s="12" t="inlineStr"/>
      <c r="M950" s="8">
        <f>IF(OR(L950="",K950="",L950=0),"",
  (L950-K950)/L950*100)</f>
        <v/>
      </c>
      <c r="N950" s="9" t="inlineStr"/>
      <c r="O950" s="10" t="inlineStr"/>
      <c r="P950" s="10" t="inlineStr"/>
      <c r="Q950" s="10" t="inlineStr"/>
      <c r="R950" s="10" t="inlineStr">
        <is>
          <t>2026-03-12</t>
        </is>
      </c>
      <c r="S950" s="10" t="inlineStr"/>
    </row>
    <row r="951">
      <c r="A951" s="3" t="inlineStr">
        <is>
          <t>F01379</t>
        </is>
      </c>
      <c r="B951" s="4" t="inlineStr">
        <is>
          <t>F01379</t>
        </is>
      </c>
      <c r="C951" s="4" t="inlineStr"/>
      <c r="D951" s="4" t="inlineStr"/>
      <c r="E951" s="3" t="inlineStr">
        <is>
          <t>BRAAI STAND MED 600X435</t>
        </is>
      </c>
      <c r="F951" s="4" t="inlineStr"/>
      <c r="G951" s="4" t="inlineStr"/>
      <c r="H951" s="4" t="inlineStr"/>
      <c r="I951" s="5" t="n">
        <v>269</v>
      </c>
      <c r="J951" s="6" t="n">
        <v>15</v>
      </c>
      <c r="K951" s="7">
        <f>IF(I951="","",I951*(1+J951/100))</f>
        <v/>
      </c>
      <c r="L951" s="12" t="inlineStr"/>
      <c r="M951" s="8">
        <f>IF(OR(L951="",K951="",L951=0),"",
  (L951-K951)/L951*100)</f>
        <v/>
      </c>
      <c r="N951" s="9" t="inlineStr"/>
      <c r="O951" s="4" t="inlineStr"/>
      <c r="P951" s="4" t="inlineStr"/>
      <c r="Q951" s="4" t="inlineStr"/>
      <c r="R951" s="4" t="inlineStr">
        <is>
          <t>2026-03-12</t>
        </is>
      </c>
      <c r="S951" s="4" t="inlineStr"/>
    </row>
    <row r="952">
      <c r="A952" s="10" t="inlineStr">
        <is>
          <t>F01380</t>
        </is>
      </c>
      <c r="B952" s="10" t="inlineStr">
        <is>
          <t>F01380</t>
        </is>
      </c>
      <c r="C952" s="10" t="inlineStr"/>
      <c r="D952" s="10" t="inlineStr"/>
      <c r="E952" s="10" t="inlineStr">
        <is>
          <t>BRAAI STAND DAMAGED LRG 800X434</t>
        </is>
      </c>
      <c r="F952" s="10" t="inlineStr"/>
      <c r="G952" s="10" t="inlineStr"/>
      <c r="H952" s="10" t="inlineStr"/>
      <c r="I952" s="11" t="n">
        <v>275</v>
      </c>
      <c r="J952" s="6" t="n">
        <v>15</v>
      </c>
      <c r="K952" s="7">
        <f>IF(I952="","",I952*(1+J952/100))</f>
        <v/>
      </c>
      <c r="L952" s="12" t="inlineStr"/>
      <c r="M952" s="8">
        <f>IF(OR(L952="",K952="",L952=0),"",
  (L952-K952)/L952*100)</f>
        <v/>
      </c>
      <c r="N952" s="9" t="inlineStr"/>
      <c r="O952" s="10" t="inlineStr"/>
      <c r="P952" s="10" t="inlineStr"/>
      <c r="Q952" s="10" t="inlineStr"/>
      <c r="R952" s="10" t="inlineStr">
        <is>
          <t>2026-03-12</t>
        </is>
      </c>
      <c r="S952" s="10" t="inlineStr"/>
    </row>
    <row r="953">
      <c r="A953" s="3" t="inlineStr">
        <is>
          <t>F01381</t>
        </is>
      </c>
      <c r="B953" s="4" t="inlineStr">
        <is>
          <t>F01381</t>
        </is>
      </c>
      <c r="C953" s="4" t="inlineStr"/>
      <c r="D953" s="4" t="inlineStr">
        <is>
          <t>6009677010415</t>
        </is>
      </c>
      <c r="E953" s="3" t="inlineStr">
        <is>
          <t>LOCK  MORTICE FANCY HAND  BRASS</t>
        </is>
      </c>
      <c r="F953" s="4" t="inlineStr"/>
      <c r="G953" s="4" t="inlineStr"/>
      <c r="H953" s="4" t="inlineStr"/>
      <c r="I953" s="5" t="n">
        <v>48.95</v>
      </c>
      <c r="J953" s="6" t="n">
        <v>15</v>
      </c>
      <c r="K953" s="7">
        <f>IF(I953="","",I953*(1+J953/100))</f>
        <v/>
      </c>
      <c r="L953" s="12" t="inlineStr"/>
      <c r="M953" s="8">
        <f>IF(OR(L953="",K953="",L953=0),"",
  (L953-K953)/L953*100)</f>
        <v/>
      </c>
      <c r="N953" s="9" t="inlineStr"/>
      <c r="O953" s="4" t="inlineStr"/>
      <c r="P953" s="4" t="inlineStr"/>
      <c r="Q953" s="4" t="inlineStr"/>
      <c r="R953" s="4" t="inlineStr">
        <is>
          <t>2026-03-12</t>
        </is>
      </c>
      <c r="S953" s="4" t="inlineStr"/>
    </row>
    <row r="954">
      <c r="A954" s="10" t="inlineStr">
        <is>
          <t>F01382</t>
        </is>
      </c>
      <c r="B954" s="10" t="inlineStr">
        <is>
          <t>F01382</t>
        </is>
      </c>
      <c r="C954" s="10" t="inlineStr"/>
      <c r="D954" s="10" t="inlineStr"/>
      <c r="E954" s="10" t="inlineStr">
        <is>
          <t>SPARE PARTS FOR SAD IRON #3-1</t>
        </is>
      </c>
      <c r="F954" s="10" t="inlineStr"/>
      <c r="G954" s="10" t="inlineStr"/>
      <c r="H954" s="10" t="inlineStr"/>
      <c r="I954" s="11" t="n">
        <v>1</v>
      </c>
      <c r="J954" s="6" t="n">
        <v>15</v>
      </c>
      <c r="K954" s="7">
        <f>IF(I954="","",I954*(1+J954/100))</f>
        <v/>
      </c>
      <c r="L954" s="12" t="inlineStr"/>
      <c r="M954" s="8">
        <f>IF(OR(L954="",K954="",L954=0),"",
  (L954-K954)/L954*100)</f>
        <v/>
      </c>
      <c r="N954" s="9" t="inlineStr"/>
      <c r="O954" s="10" t="inlineStr"/>
      <c r="P954" s="10" t="inlineStr"/>
      <c r="Q954" s="10" t="inlineStr"/>
      <c r="R954" s="10" t="inlineStr">
        <is>
          <t>2026-03-12</t>
        </is>
      </c>
      <c r="S954" s="10" t="inlineStr"/>
    </row>
    <row r="955">
      <c r="A955" s="3" t="inlineStr">
        <is>
          <t>F01383</t>
        </is>
      </c>
      <c r="B955" s="4" t="inlineStr">
        <is>
          <t>F01383</t>
        </is>
      </c>
      <c r="C955" s="4" t="inlineStr"/>
      <c r="D955" s="4" t="inlineStr"/>
      <c r="E955" s="3" t="inlineStr">
        <is>
          <t>CORNICE EPS POLYSTYRENE 2000MMX112MM PLS</t>
        </is>
      </c>
      <c r="F955" s="4" t="inlineStr"/>
      <c r="G955" s="4" t="inlineStr"/>
      <c r="H955" s="4" t="inlineStr"/>
      <c r="I955" s="5" t="n">
        <v>18.55</v>
      </c>
      <c r="J955" s="6" t="n">
        <v>15</v>
      </c>
      <c r="K955" s="7">
        <f>IF(I955="","",I955*(1+J955/100))</f>
        <v/>
      </c>
      <c r="L955" s="12" t="inlineStr"/>
      <c r="M955" s="8">
        <f>IF(OR(L955="",K955="",L955=0),"",
  (L955-K955)/L955*100)</f>
        <v/>
      </c>
      <c r="N955" s="9" t="inlineStr"/>
      <c r="O955" s="4" t="inlineStr"/>
      <c r="P955" s="4" t="inlineStr"/>
      <c r="Q955" s="4" t="inlineStr"/>
      <c r="R955" s="4" t="inlineStr">
        <is>
          <t>2026-03-12</t>
        </is>
      </c>
      <c r="S955" s="4" t="inlineStr"/>
    </row>
    <row r="956">
      <c r="A956" s="10" t="inlineStr">
        <is>
          <t>F01384</t>
        </is>
      </c>
      <c r="B956" s="10" t="inlineStr">
        <is>
          <t>F01384</t>
        </is>
      </c>
      <c r="C956" s="10" t="inlineStr"/>
      <c r="D956" s="10" t="inlineStr"/>
      <c r="E956" s="10" t="inlineStr">
        <is>
          <t>CORNICE EPS POLYSTYRENE 2000MMX112MM PLS</t>
        </is>
      </c>
      <c r="F956" s="10" t="inlineStr"/>
      <c r="G956" s="10" t="inlineStr"/>
      <c r="H956" s="10" t="inlineStr"/>
      <c r="I956" s="11" t="n">
        <v>18.55</v>
      </c>
      <c r="J956" s="6" t="n">
        <v>15</v>
      </c>
      <c r="K956" s="7">
        <f>IF(I956="","",I956*(1+J956/100))</f>
        <v/>
      </c>
      <c r="L956" s="12" t="inlineStr"/>
      <c r="M956" s="8">
        <f>IF(OR(L956="",K956="",L956=0),"",
  (L956-K956)/L956*100)</f>
        <v/>
      </c>
      <c r="N956" s="9" t="inlineStr"/>
      <c r="O956" s="10" t="inlineStr"/>
      <c r="P956" s="10" t="inlineStr"/>
      <c r="Q956" s="10" t="inlineStr"/>
      <c r="R956" s="10" t="inlineStr">
        <is>
          <t>2026-03-12</t>
        </is>
      </c>
      <c r="S956" s="10" t="inlineStr"/>
    </row>
    <row r="957">
      <c r="A957" s="3" t="inlineStr">
        <is>
          <t>F01385</t>
        </is>
      </c>
      <c r="B957" s="4" t="inlineStr">
        <is>
          <t>F01385</t>
        </is>
      </c>
      <c r="C957" s="4" t="inlineStr"/>
      <c r="D957" s="4" t="inlineStr"/>
      <c r="E957" s="3" t="inlineStr">
        <is>
          <t>CORNICE EPS POLYSTYRENE 2000MMX112MM PLS</t>
        </is>
      </c>
      <c r="F957" s="4" t="inlineStr"/>
      <c r="G957" s="4" t="inlineStr"/>
      <c r="H957" s="4" t="inlineStr"/>
      <c r="I957" s="5" t="n">
        <v>18.58</v>
      </c>
      <c r="J957" s="6" t="n">
        <v>15</v>
      </c>
      <c r="K957" s="7">
        <f>IF(I957="","",I957*(1+J957/100))</f>
        <v/>
      </c>
      <c r="L957" s="12" t="inlineStr"/>
      <c r="M957" s="8">
        <f>IF(OR(L957="",K957="",L957=0),"",
  (L957-K957)/L957*100)</f>
        <v/>
      </c>
      <c r="N957" s="9" t="inlineStr"/>
      <c r="O957" s="4" t="inlineStr"/>
      <c r="P957" s="4" t="inlineStr"/>
      <c r="Q957" s="4" t="inlineStr"/>
      <c r="R957" s="4" t="inlineStr">
        <is>
          <t>2026-03-12</t>
        </is>
      </c>
      <c r="S957" s="4" t="inlineStr"/>
    </row>
    <row r="958">
      <c r="A958" s="10" t="inlineStr">
        <is>
          <t>F01386</t>
        </is>
      </c>
      <c r="B958" s="10" t="inlineStr">
        <is>
          <t>F01386</t>
        </is>
      </c>
      <c r="C958" s="10" t="inlineStr"/>
      <c r="D958" s="10" t="inlineStr"/>
      <c r="E958" s="10" t="inlineStr">
        <is>
          <t>CORNICE EPS POLYSTYRENE 2000MMX112MM PLS</t>
        </is>
      </c>
      <c r="F958" s="10" t="inlineStr"/>
      <c r="G958" s="10" t="inlineStr"/>
      <c r="H958" s="10" t="inlineStr"/>
      <c r="I958" s="11" t="n">
        <v>18.58</v>
      </c>
      <c r="J958" s="6" t="n">
        <v>15</v>
      </c>
      <c r="K958" s="7">
        <f>IF(I958="","",I958*(1+J958/100))</f>
        <v/>
      </c>
      <c r="L958" s="12" t="inlineStr"/>
      <c r="M958" s="8">
        <f>IF(OR(L958="",K958="",L958=0),"",
  (L958-K958)/L958*100)</f>
        <v/>
      </c>
      <c r="N958" s="9" t="inlineStr"/>
      <c r="O958" s="10" t="inlineStr"/>
      <c r="P958" s="10" t="inlineStr"/>
      <c r="Q958" s="10" t="inlineStr"/>
      <c r="R958" s="10" t="inlineStr">
        <is>
          <t>2026-03-12</t>
        </is>
      </c>
      <c r="S958" s="10" t="inlineStr"/>
    </row>
    <row r="959">
      <c r="A959" s="3" t="inlineStr">
        <is>
          <t>F01387</t>
        </is>
      </c>
      <c r="B959" s="4" t="inlineStr">
        <is>
          <t>F01387</t>
        </is>
      </c>
      <c r="C959" s="4" t="inlineStr"/>
      <c r="D959" s="4" t="inlineStr"/>
      <c r="E959" s="3" t="inlineStr">
        <is>
          <t>CORNICE EPS POLYSTYRENE 2000MMX140MM PLS</t>
        </is>
      </c>
      <c r="F959" s="4" t="inlineStr"/>
      <c r="G959" s="4" t="inlineStr"/>
      <c r="H959" s="4" t="inlineStr"/>
      <c r="I959" s="5" t="n">
        <v>24.75</v>
      </c>
      <c r="J959" s="6" t="n">
        <v>15</v>
      </c>
      <c r="K959" s="7">
        <f>IF(I959="","",I959*(1+J959/100))</f>
        <v/>
      </c>
      <c r="L959" s="12" t="inlineStr"/>
      <c r="M959" s="8">
        <f>IF(OR(L959="",K959="",L959=0),"",
  (L959-K959)/L959*100)</f>
        <v/>
      </c>
      <c r="N959" s="9" t="inlineStr"/>
      <c r="O959" s="4" t="inlineStr"/>
      <c r="P959" s="4" t="inlineStr"/>
      <c r="Q959" s="4" t="inlineStr"/>
      <c r="R959" s="4" t="inlineStr">
        <is>
          <t>2026-03-12</t>
        </is>
      </c>
      <c r="S959" s="4" t="inlineStr"/>
    </row>
    <row r="960">
      <c r="A960" s="10" t="inlineStr">
        <is>
          <t>F01388</t>
        </is>
      </c>
      <c r="B960" s="10" t="inlineStr">
        <is>
          <t>F01388</t>
        </is>
      </c>
      <c r="C960" s="10" t="inlineStr"/>
      <c r="D960" s="10" t="inlineStr"/>
      <c r="E960" s="10" t="inlineStr">
        <is>
          <t>CORNICE EPS POLYSTYRENE 2000MMX75MM PLS-</t>
        </is>
      </c>
      <c r="F960" s="10" t="inlineStr"/>
      <c r="G960" s="10" t="inlineStr"/>
      <c r="H960" s="10" t="inlineStr"/>
      <c r="I960" s="11" t="n">
        <v>16.58</v>
      </c>
      <c r="J960" s="6" t="n">
        <v>15</v>
      </c>
      <c r="K960" s="7">
        <f>IF(I960="","",I960*(1+J960/100))</f>
        <v/>
      </c>
      <c r="L960" s="12" t="inlineStr"/>
      <c r="M960" s="8">
        <f>IF(OR(L960="",K960="",L960=0),"",
  (L960-K960)/L960*100)</f>
        <v/>
      </c>
      <c r="N960" s="9" t="inlineStr"/>
      <c r="O960" s="10" t="inlineStr"/>
      <c r="P960" s="10" t="inlineStr"/>
      <c r="Q960" s="10" t="inlineStr"/>
      <c r="R960" s="10" t="inlineStr">
        <is>
          <t>2026-03-12</t>
        </is>
      </c>
      <c r="S960" s="10" t="inlineStr"/>
    </row>
    <row r="961">
      <c r="A961" s="3" t="inlineStr">
        <is>
          <t>F01389</t>
        </is>
      </c>
      <c r="B961" s="4" t="inlineStr">
        <is>
          <t>F01389</t>
        </is>
      </c>
      <c r="C961" s="4" t="inlineStr"/>
      <c r="D961" s="4" t="inlineStr"/>
      <c r="E961" s="3" t="inlineStr">
        <is>
          <t>CORNICE EPS POLYSTYRENE 2000MMX134MM PLS</t>
        </is>
      </c>
      <c r="F961" s="4" t="inlineStr"/>
      <c r="G961" s="4" t="inlineStr"/>
      <c r="H961" s="4" t="inlineStr"/>
      <c r="I961" s="5" t="n">
        <v>23.06</v>
      </c>
      <c r="J961" s="6" t="n">
        <v>15</v>
      </c>
      <c r="K961" s="7">
        <f>IF(I961="","",I961*(1+J961/100))</f>
        <v/>
      </c>
      <c r="L961" s="12" t="inlineStr"/>
      <c r="M961" s="8">
        <f>IF(OR(L961="",K961="",L961=0),"",
  (L961-K961)/L961*100)</f>
        <v/>
      </c>
      <c r="N961" s="9" t="inlineStr"/>
      <c r="O961" s="4" t="inlineStr"/>
      <c r="P961" s="4" t="inlineStr"/>
      <c r="Q961" s="4" t="inlineStr"/>
      <c r="R961" s="4" t="inlineStr">
        <is>
          <t>2026-03-12</t>
        </is>
      </c>
      <c r="S961" s="4" t="inlineStr"/>
    </row>
    <row r="962">
      <c r="A962" s="10" t="inlineStr">
        <is>
          <t>F01390</t>
        </is>
      </c>
      <c r="B962" s="10" t="inlineStr">
        <is>
          <t>F01390</t>
        </is>
      </c>
      <c r="C962" s="10" t="inlineStr"/>
      <c r="D962" s="10" t="inlineStr"/>
      <c r="E962" s="10" t="inlineStr">
        <is>
          <t>CORNICE EPS POLYSTYRENE 2000MMX110MM PLS</t>
        </is>
      </c>
      <c r="F962" s="10" t="inlineStr"/>
      <c r="G962" s="10" t="inlineStr"/>
      <c r="H962" s="10" t="inlineStr"/>
      <c r="I962" s="11" t="n">
        <v>20.62</v>
      </c>
      <c r="J962" s="6" t="n">
        <v>15</v>
      </c>
      <c r="K962" s="7">
        <f>IF(I962="","",I962*(1+J962/100))</f>
        <v/>
      </c>
      <c r="L962" s="12" t="inlineStr"/>
      <c r="M962" s="8">
        <f>IF(OR(L962="",K962="",L962=0),"",
  (L962-K962)/L962*100)</f>
        <v/>
      </c>
      <c r="N962" s="9" t="inlineStr"/>
      <c r="O962" s="10" t="inlineStr"/>
      <c r="P962" s="10" t="inlineStr"/>
      <c r="Q962" s="10" t="inlineStr"/>
      <c r="R962" s="10" t="inlineStr">
        <is>
          <t>2026-03-12</t>
        </is>
      </c>
      <c r="S962" s="10" t="inlineStr"/>
    </row>
    <row r="963">
      <c r="A963" s="3" t="inlineStr">
        <is>
          <t>F01391</t>
        </is>
      </c>
      <c r="B963" s="4" t="inlineStr">
        <is>
          <t>F01391</t>
        </is>
      </c>
      <c r="C963" s="4" t="inlineStr"/>
      <c r="D963" s="4" t="inlineStr"/>
      <c r="E963" s="3" t="inlineStr">
        <is>
          <t>CORNICE EPS POLYSTYRENE 2000MMX116MM PLS</t>
        </is>
      </c>
      <c r="F963" s="4" t="inlineStr"/>
      <c r="G963" s="4" t="inlineStr"/>
      <c r="H963" s="4" t="inlineStr"/>
      <c r="I963" s="5" t="n">
        <v>20.62</v>
      </c>
      <c r="J963" s="6" t="n">
        <v>15</v>
      </c>
      <c r="K963" s="7">
        <f>IF(I963="","",I963*(1+J963/100))</f>
        <v/>
      </c>
      <c r="L963" s="12" t="inlineStr"/>
      <c r="M963" s="8">
        <f>IF(OR(L963="",K963="",L963=0),"",
  (L963-K963)/L963*100)</f>
        <v/>
      </c>
      <c r="N963" s="9" t="inlineStr"/>
      <c r="O963" s="4" t="inlineStr"/>
      <c r="P963" s="4" t="inlineStr"/>
      <c r="Q963" s="4" t="inlineStr"/>
      <c r="R963" s="4" t="inlineStr">
        <is>
          <t>2026-03-12</t>
        </is>
      </c>
      <c r="S963" s="4" t="inlineStr"/>
    </row>
    <row r="964">
      <c r="A964" s="10" t="inlineStr">
        <is>
          <t>F01392</t>
        </is>
      </c>
      <c r="B964" s="10" t="inlineStr">
        <is>
          <t>F01392</t>
        </is>
      </c>
      <c r="C964" s="10" t="inlineStr"/>
      <c r="D964" s="10" t="inlineStr"/>
      <c r="E964" s="10" t="inlineStr">
        <is>
          <t>CORNICE EPS POLYSTYRENE 2000MMX105MM PLS</t>
        </is>
      </c>
      <c r="F964" s="10" t="inlineStr"/>
      <c r="G964" s="10" t="inlineStr"/>
      <c r="H964" s="10" t="inlineStr"/>
      <c r="I964" s="11" t="n">
        <v>20.58</v>
      </c>
      <c r="J964" s="6" t="n">
        <v>15</v>
      </c>
      <c r="K964" s="7">
        <f>IF(I964="","",I964*(1+J964/100))</f>
        <v/>
      </c>
      <c r="L964" s="12" t="inlineStr"/>
      <c r="M964" s="8">
        <f>IF(OR(L964="",K964="",L964=0),"",
  (L964-K964)/L964*100)</f>
        <v/>
      </c>
      <c r="N964" s="9" t="inlineStr"/>
      <c r="O964" s="10" t="inlineStr"/>
      <c r="P964" s="10" t="inlineStr"/>
      <c r="Q964" s="10" t="inlineStr"/>
      <c r="R964" s="10" t="inlineStr">
        <is>
          <t>2026-03-12</t>
        </is>
      </c>
      <c r="S964" s="10" t="inlineStr"/>
    </row>
    <row r="965">
      <c r="A965" s="3" t="inlineStr">
        <is>
          <t>F01393</t>
        </is>
      </c>
      <c r="B965" s="4" t="inlineStr">
        <is>
          <t>F01393</t>
        </is>
      </c>
      <c r="C965" s="4" t="inlineStr"/>
      <c r="D965" s="4" t="inlineStr"/>
      <c r="E965" s="3" t="inlineStr">
        <is>
          <t>CORNICE EPS POLYSTYRENE 2000MMX115MM PLS</t>
        </is>
      </c>
      <c r="F965" s="4" t="inlineStr"/>
      <c r="G965" s="4" t="inlineStr"/>
      <c r="H965" s="4" t="inlineStr"/>
      <c r="I965" s="5" t="n">
        <v>20.65</v>
      </c>
      <c r="J965" s="6" t="n">
        <v>15</v>
      </c>
      <c r="K965" s="7">
        <f>IF(I965="","",I965*(1+J965/100))</f>
        <v/>
      </c>
      <c r="L965" s="12" t="inlineStr"/>
      <c r="M965" s="8">
        <f>IF(OR(L965="",K965="",L965=0),"",
  (L965-K965)/L965*100)</f>
        <v/>
      </c>
      <c r="N965" s="9" t="inlineStr"/>
      <c r="O965" s="4" t="inlineStr"/>
      <c r="P965" s="4" t="inlineStr"/>
      <c r="Q965" s="4" t="inlineStr"/>
      <c r="R965" s="4" t="inlineStr">
        <is>
          <t>2026-03-12</t>
        </is>
      </c>
      <c r="S965" s="4" t="inlineStr"/>
    </row>
    <row r="966">
      <c r="A966" s="10" t="inlineStr">
        <is>
          <t>F01394</t>
        </is>
      </c>
      <c r="B966" s="10" t="inlineStr">
        <is>
          <t>F01394</t>
        </is>
      </c>
      <c r="C966" s="10" t="inlineStr"/>
      <c r="D966" s="10" t="inlineStr"/>
      <c r="E966" s="10" t="inlineStr">
        <is>
          <t>CORNICE EPS POLYSTYRENE 2000MMX145MM PLS</t>
        </is>
      </c>
      <c r="F966" s="10" t="inlineStr"/>
      <c r="G966" s="10" t="inlineStr"/>
      <c r="H966" s="10" t="inlineStr"/>
      <c r="I966" s="11" t="n">
        <v>23.76</v>
      </c>
      <c r="J966" s="6" t="n">
        <v>15</v>
      </c>
      <c r="K966" s="7">
        <f>IF(I966="","",I966*(1+J966/100))</f>
        <v/>
      </c>
      <c r="L966" s="12" t="inlineStr"/>
      <c r="M966" s="8">
        <f>IF(OR(L966="",K966="",L966=0),"",
  (L966-K966)/L966*100)</f>
        <v/>
      </c>
      <c r="N966" s="9" t="inlineStr"/>
      <c r="O966" s="10" t="inlineStr"/>
      <c r="P966" s="10" t="inlineStr"/>
      <c r="Q966" s="10" t="inlineStr"/>
      <c r="R966" s="10" t="inlineStr">
        <is>
          <t>2026-03-12</t>
        </is>
      </c>
      <c r="S966" s="10" t="inlineStr"/>
    </row>
    <row r="967">
      <c r="A967" s="3" t="inlineStr">
        <is>
          <t>F01395</t>
        </is>
      </c>
      <c r="B967" s="4" t="inlineStr">
        <is>
          <t>F01395</t>
        </is>
      </c>
      <c r="C967" s="4" t="inlineStr"/>
      <c r="D967" s="4" t="inlineStr"/>
      <c r="E967" s="3" t="inlineStr">
        <is>
          <t>CORNICE EPS POLYSTYRENE 2000MMX130MM PLS</t>
        </is>
      </c>
      <c r="F967" s="4" t="inlineStr"/>
      <c r="G967" s="4" t="inlineStr"/>
      <c r="H967" s="4" t="inlineStr"/>
      <c r="I967" s="5" t="n">
        <v>19.35</v>
      </c>
      <c r="J967" s="6" t="n">
        <v>15</v>
      </c>
      <c r="K967" s="7">
        <f>IF(I967="","",I967*(1+J967/100))</f>
        <v/>
      </c>
      <c r="L967" s="12" t="inlineStr"/>
      <c r="M967" s="8">
        <f>IF(OR(L967="",K967="",L967=0),"",
  (L967-K967)/L967*100)</f>
        <v/>
      </c>
      <c r="N967" s="9" t="inlineStr"/>
      <c r="O967" s="4" t="inlineStr"/>
      <c r="P967" s="4" t="inlineStr"/>
      <c r="Q967" s="4" t="inlineStr"/>
      <c r="R967" s="4" t="inlineStr">
        <is>
          <t>2026-03-12</t>
        </is>
      </c>
      <c r="S967" s="4" t="inlineStr"/>
    </row>
    <row r="968">
      <c r="A968" s="10" t="inlineStr">
        <is>
          <t>F01396</t>
        </is>
      </c>
      <c r="B968" s="10" t="inlineStr">
        <is>
          <t>F01396</t>
        </is>
      </c>
      <c r="C968" s="10" t="inlineStr"/>
      <c r="D968" s="10" t="inlineStr"/>
      <c r="E968" s="10" t="inlineStr">
        <is>
          <t>CORNICE EPS POLYSTYRENE 2000MMX125MM PLS</t>
        </is>
      </c>
      <c r="F968" s="10" t="inlineStr"/>
      <c r="G968" s="10" t="inlineStr"/>
      <c r="H968" s="10" t="inlineStr"/>
      <c r="I968" s="11" t="n">
        <v>19.34</v>
      </c>
      <c r="J968" s="6" t="n">
        <v>15</v>
      </c>
      <c r="K968" s="7">
        <f>IF(I968="","",I968*(1+J968/100))</f>
        <v/>
      </c>
      <c r="L968" s="12" t="inlineStr"/>
      <c r="M968" s="8">
        <f>IF(OR(L968="",K968="",L968=0),"",
  (L968-K968)/L968*100)</f>
        <v/>
      </c>
      <c r="N968" s="9" t="inlineStr"/>
      <c r="O968" s="10" t="inlineStr"/>
      <c r="P968" s="10" t="inlineStr"/>
      <c r="Q968" s="10" t="inlineStr"/>
      <c r="R968" s="10" t="inlineStr">
        <is>
          <t>2026-03-12</t>
        </is>
      </c>
      <c r="S968" s="10" t="inlineStr"/>
    </row>
    <row r="969">
      <c r="A969" s="3" t="inlineStr">
        <is>
          <t>F01397</t>
        </is>
      </c>
      <c r="B969" s="4" t="inlineStr">
        <is>
          <t>F01397</t>
        </is>
      </c>
      <c r="C969" s="4" t="inlineStr"/>
      <c r="D969" s="4" t="inlineStr"/>
      <c r="E969" s="3" t="inlineStr">
        <is>
          <t>CORNICE EPS 2MX110MM B01 WHITE</t>
        </is>
      </c>
      <c r="F969" s="4" t="inlineStr"/>
      <c r="G969" s="4" t="inlineStr"/>
      <c r="H969" s="4" t="inlineStr"/>
      <c r="I969" s="5" t="n">
        <v>19.31</v>
      </c>
      <c r="J969" s="6" t="n">
        <v>15</v>
      </c>
      <c r="K969" s="7">
        <f>IF(I969="","",I969*(1+J969/100))</f>
        <v/>
      </c>
      <c r="L969" s="12" t="inlineStr"/>
      <c r="M969" s="8">
        <f>IF(OR(L969="",K969="",L969=0),"",
  (L969-K969)/L969*100)</f>
        <v/>
      </c>
      <c r="N969" s="9" t="inlineStr"/>
      <c r="O969" s="4" t="inlineStr"/>
      <c r="P969" s="4" t="inlineStr"/>
      <c r="Q969" s="4" t="inlineStr"/>
      <c r="R969" s="4" t="inlineStr">
        <is>
          <t>2026-03-12</t>
        </is>
      </c>
      <c r="S969" s="4" t="inlineStr"/>
    </row>
    <row r="970">
      <c r="A970" s="10" t="inlineStr">
        <is>
          <t>F01398</t>
        </is>
      </c>
      <c r="B970" s="10" t="inlineStr">
        <is>
          <t>F01398</t>
        </is>
      </c>
      <c r="C970" s="10" t="inlineStr"/>
      <c r="D970" s="10" t="inlineStr"/>
      <c r="E970" s="10" t="inlineStr">
        <is>
          <t>CORNICE EPS POLYSTYRENE 2000MMX115MM PLS</t>
        </is>
      </c>
      <c r="F970" s="10" t="inlineStr"/>
      <c r="G970" s="10" t="inlineStr"/>
      <c r="H970" s="10" t="inlineStr"/>
      <c r="I970" s="11" t="n">
        <v>19.32</v>
      </c>
      <c r="J970" s="6" t="n">
        <v>15</v>
      </c>
      <c r="K970" s="7">
        <f>IF(I970="","",I970*(1+J970/100))</f>
        <v/>
      </c>
      <c r="L970" s="12" t="inlineStr"/>
      <c r="M970" s="8">
        <f>IF(OR(L970="",K970="",L970=0),"",
  (L970-K970)/L970*100)</f>
        <v/>
      </c>
      <c r="N970" s="9" t="inlineStr"/>
      <c r="O970" s="10" t="inlineStr"/>
      <c r="P970" s="10" t="inlineStr"/>
      <c r="Q970" s="10" t="inlineStr"/>
      <c r="R970" s="10" t="inlineStr">
        <is>
          <t>2026-03-12</t>
        </is>
      </c>
      <c r="S970" s="10" t="inlineStr"/>
    </row>
    <row r="971">
      <c r="A971" s="3" t="inlineStr">
        <is>
          <t>F01399</t>
        </is>
      </c>
      <c r="B971" s="4" t="inlineStr">
        <is>
          <t>F01399</t>
        </is>
      </c>
      <c r="C971" s="4" t="inlineStr"/>
      <c r="D971" s="4" t="inlineStr"/>
      <c r="E971" s="3" t="inlineStr">
        <is>
          <t>CORNICE EPS POLYSTYRENE 2000MMX190MM PLS</t>
        </is>
      </c>
      <c r="F971" s="4" t="inlineStr"/>
      <c r="G971" s="4" t="inlineStr"/>
      <c r="H971" s="4" t="inlineStr"/>
      <c r="I971" s="5" t="n">
        <v>30.35</v>
      </c>
      <c r="J971" s="6" t="n">
        <v>15</v>
      </c>
      <c r="K971" s="7">
        <f>IF(I971="","",I971*(1+J971/100))</f>
        <v/>
      </c>
      <c r="L971" s="12" t="inlineStr"/>
      <c r="M971" s="8">
        <f>IF(OR(L971="",K971="",L971=0),"",
  (L971-K971)/L971*100)</f>
        <v/>
      </c>
      <c r="N971" s="9" t="inlineStr"/>
      <c r="O971" s="4" t="inlineStr"/>
      <c r="P971" s="4" t="inlineStr"/>
      <c r="Q971" s="4" t="inlineStr"/>
      <c r="R971" s="4" t="inlineStr">
        <is>
          <t>2026-03-12</t>
        </is>
      </c>
      <c r="S971" s="4" t="inlineStr"/>
    </row>
    <row r="972">
      <c r="A972" s="10" t="inlineStr">
        <is>
          <t>F01400</t>
        </is>
      </c>
      <c r="B972" s="10" t="inlineStr">
        <is>
          <t>F01400</t>
        </is>
      </c>
      <c r="C972" s="10" t="inlineStr"/>
      <c r="D972" s="10" t="inlineStr"/>
      <c r="E972" s="10" t="inlineStr">
        <is>
          <t>MEDALLION  POLYSTYRENE EPS - D49  PLS-EP</t>
        </is>
      </c>
      <c r="F972" s="10" t="inlineStr"/>
      <c r="G972" s="10" t="inlineStr"/>
      <c r="H972" s="10" t="inlineStr"/>
      <c r="I972" s="11" t="n">
        <v>33.95</v>
      </c>
      <c r="J972" s="6" t="n">
        <v>15</v>
      </c>
      <c r="K972" s="7">
        <f>IF(I972="","",I972*(1+J972/100))</f>
        <v/>
      </c>
      <c r="L972" s="12" t="inlineStr"/>
      <c r="M972" s="8">
        <f>IF(OR(L972="",K972="",L972=0),"",
  (L972-K972)/L972*100)</f>
        <v/>
      </c>
      <c r="N972" s="9" t="inlineStr"/>
      <c r="O972" s="10" t="inlineStr"/>
      <c r="P972" s="10" t="inlineStr"/>
      <c r="Q972" s="10" t="inlineStr"/>
      <c r="R972" s="10" t="inlineStr">
        <is>
          <t>2026-03-12</t>
        </is>
      </c>
      <c r="S972" s="10" t="inlineStr"/>
    </row>
    <row r="973">
      <c r="A973" s="3" t="inlineStr">
        <is>
          <t>F01401</t>
        </is>
      </c>
      <c r="B973" s="4" t="inlineStr">
        <is>
          <t>F01401</t>
        </is>
      </c>
      <c r="C973" s="4" t="inlineStr"/>
      <c r="D973" s="4" t="inlineStr"/>
      <c r="E973" s="3" t="inlineStr">
        <is>
          <t>MEDALLION POLYSTYRENE EPS   PLS-EPS-MD02</t>
        </is>
      </c>
      <c r="F973" s="4" t="inlineStr"/>
      <c r="G973" s="4" t="inlineStr"/>
      <c r="H973" s="4" t="inlineStr"/>
      <c r="I973" s="5" t="n">
        <v>16.23</v>
      </c>
      <c r="J973" s="6" t="n">
        <v>15</v>
      </c>
      <c r="K973" s="7">
        <f>IF(I973="","",I973*(1+J973/100))</f>
        <v/>
      </c>
      <c r="L973" s="12" t="inlineStr"/>
      <c r="M973" s="8">
        <f>IF(OR(L973="",K973="",L973=0),"",
  (L973-K973)/L973*100)</f>
        <v/>
      </c>
      <c r="N973" s="9" t="inlineStr"/>
      <c r="O973" s="4" t="inlineStr"/>
      <c r="P973" s="4" t="inlineStr"/>
      <c r="Q973" s="4" t="inlineStr"/>
      <c r="R973" s="4" t="inlineStr">
        <is>
          <t>2026-03-12</t>
        </is>
      </c>
      <c r="S973" s="4" t="inlineStr"/>
    </row>
    <row r="974">
      <c r="A974" s="10" t="inlineStr">
        <is>
          <t>F01402</t>
        </is>
      </c>
      <c r="B974" s="10" t="inlineStr">
        <is>
          <t>F01402</t>
        </is>
      </c>
      <c r="C974" s="10" t="inlineStr"/>
      <c r="D974" s="10" t="inlineStr">
        <is>
          <t>6009677011719</t>
        </is>
      </c>
      <c r="E974" s="10" t="inlineStr">
        <is>
          <t>LM001 - PVC WALL &amp; CEILING LAMINATION PA</t>
        </is>
      </c>
      <c r="F974" s="10" t="inlineStr"/>
      <c r="G974" s="10" t="inlineStr"/>
      <c r="H974" s="10" t="inlineStr"/>
      <c r="I974" s="11" t="n">
        <v>895</v>
      </c>
      <c r="J974" s="6" t="n">
        <v>15</v>
      </c>
      <c r="K974" s="7">
        <f>IF(I974="","",I974*(1+J974/100))</f>
        <v/>
      </c>
      <c r="L974" s="12" t="inlineStr"/>
      <c r="M974" s="8">
        <f>IF(OR(L974="",K974="",L974=0),"",
  (L974-K974)/L974*100)</f>
        <v/>
      </c>
      <c r="N974" s="9" t="inlineStr"/>
      <c r="O974" s="10" t="inlineStr"/>
      <c r="P974" s="10" t="inlineStr"/>
      <c r="Q974" s="10" t="inlineStr"/>
      <c r="R974" s="10" t="inlineStr">
        <is>
          <t>2026-03-12</t>
        </is>
      </c>
      <c r="S974" s="10" t="inlineStr"/>
    </row>
    <row r="975">
      <c r="A975" s="3" t="inlineStr">
        <is>
          <t>F01403</t>
        </is>
      </c>
      <c r="B975" s="4" t="inlineStr">
        <is>
          <t>F01403</t>
        </is>
      </c>
      <c r="C975" s="4" t="inlineStr"/>
      <c r="D975" s="4" t="inlineStr">
        <is>
          <t>6009677011726</t>
        </is>
      </c>
      <c r="E975" s="3" t="inlineStr">
        <is>
          <t>LM002 - PVC WALL &amp; CEILING LAMINATION PA</t>
        </is>
      </c>
      <c r="F975" s="4" t="inlineStr"/>
      <c r="G975" s="4" t="inlineStr"/>
      <c r="H975" s="4" t="inlineStr"/>
      <c r="I975" s="5" t="n">
        <v>895</v>
      </c>
      <c r="J975" s="6" t="n">
        <v>15</v>
      </c>
      <c r="K975" s="7">
        <f>IF(I975="","",I975*(1+J975/100))</f>
        <v/>
      </c>
      <c r="L975" s="12" t="inlineStr"/>
      <c r="M975" s="8">
        <f>IF(OR(L975="",K975="",L975=0),"",
  (L975-K975)/L975*100)</f>
        <v/>
      </c>
      <c r="N975" s="9" t="inlineStr"/>
      <c r="O975" s="4" t="inlineStr"/>
      <c r="P975" s="4" t="inlineStr"/>
      <c r="Q975" s="4" t="inlineStr"/>
      <c r="R975" s="4" t="inlineStr">
        <is>
          <t>2026-03-12</t>
        </is>
      </c>
      <c r="S975" s="4" t="inlineStr"/>
    </row>
    <row r="976">
      <c r="A976" s="10" t="inlineStr">
        <is>
          <t>F01404</t>
        </is>
      </c>
      <c r="B976" s="10" t="inlineStr">
        <is>
          <t>F01404</t>
        </is>
      </c>
      <c r="C976" s="10" t="inlineStr"/>
      <c r="D976" s="10" t="inlineStr">
        <is>
          <t>6009677011733</t>
        </is>
      </c>
      <c r="E976" s="10" t="inlineStr">
        <is>
          <t>LM003 - PVC WALL &amp; CEILING LAMINATION PA</t>
        </is>
      </c>
      <c r="F976" s="10" t="inlineStr"/>
      <c r="G976" s="10" t="inlineStr"/>
      <c r="H976" s="10" t="inlineStr"/>
      <c r="I976" s="11" t="n">
        <v>895</v>
      </c>
      <c r="J976" s="6" t="n">
        <v>15</v>
      </c>
      <c r="K976" s="7">
        <f>IF(I976="","",I976*(1+J976/100))</f>
        <v/>
      </c>
      <c r="L976" s="12" t="inlineStr"/>
      <c r="M976" s="8">
        <f>IF(OR(L976="",K976="",L976=0),"",
  (L976-K976)/L976*100)</f>
        <v/>
      </c>
      <c r="N976" s="9" t="inlineStr"/>
      <c r="O976" s="10" t="inlineStr"/>
      <c r="P976" s="10" t="inlineStr"/>
      <c r="Q976" s="10" t="inlineStr"/>
      <c r="R976" s="10" t="inlineStr">
        <is>
          <t>2026-03-12</t>
        </is>
      </c>
      <c r="S976" s="10" t="inlineStr"/>
    </row>
    <row r="977">
      <c r="A977" s="3" t="inlineStr">
        <is>
          <t>F01405</t>
        </is>
      </c>
      <c r="B977" s="4" t="inlineStr">
        <is>
          <t>F01405</t>
        </is>
      </c>
      <c r="C977" s="4" t="inlineStr"/>
      <c r="D977" s="4" t="inlineStr">
        <is>
          <t>6009677011740</t>
        </is>
      </c>
      <c r="E977" s="3" t="inlineStr">
        <is>
          <t>LM004 - PVC WALL &amp; CEILING LAMINATION PA</t>
        </is>
      </c>
      <c r="F977" s="4" t="inlineStr"/>
      <c r="G977" s="4" t="inlineStr"/>
      <c r="H977" s="4" t="inlineStr"/>
      <c r="I977" s="5" t="n">
        <v>895</v>
      </c>
      <c r="J977" s="6" t="n">
        <v>15</v>
      </c>
      <c r="K977" s="7">
        <f>IF(I977="","",I977*(1+J977/100))</f>
        <v/>
      </c>
      <c r="L977" s="12" t="inlineStr"/>
      <c r="M977" s="8">
        <f>IF(OR(L977="",K977="",L977=0),"",
  (L977-K977)/L977*100)</f>
        <v/>
      </c>
      <c r="N977" s="9" t="inlineStr"/>
      <c r="O977" s="4" t="inlineStr"/>
      <c r="P977" s="4" t="inlineStr"/>
      <c r="Q977" s="4" t="inlineStr"/>
      <c r="R977" s="4" t="inlineStr">
        <is>
          <t>2026-03-12</t>
        </is>
      </c>
      <c r="S977" s="4" t="inlineStr"/>
    </row>
    <row r="978">
      <c r="A978" s="10" t="inlineStr">
        <is>
          <t>F01406</t>
        </is>
      </c>
      <c r="B978" s="10" t="inlineStr">
        <is>
          <t>F01406</t>
        </is>
      </c>
      <c r="C978" s="10" t="inlineStr"/>
      <c r="D978" s="10" t="inlineStr">
        <is>
          <t>6009677011771</t>
        </is>
      </c>
      <c r="E978" s="10" t="inlineStr">
        <is>
          <t>LM005 - PVC WALL &amp; CEILING LAMINATION PA</t>
        </is>
      </c>
      <c r="F978" s="10" t="inlineStr"/>
      <c r="G978" s="10" t="inlineStr"/>
      <c r="H978" s="10" t="inlineStr"/>
      <c r="I978" s="11" t="n">
        <v>895</v>
      </c>
      <c r="J978" s="6" t="n">
        <v>15</v>
      </c>
      <c r="K978" s="7">
        <f>IF(I978="","",I978*(1+J978/100))</f>
        <v/>
      </c>
      <c r="L978" s="12" t="inlineStr"/>
      <c r="M978" s="8">
        <f>IF(OR(L978="",K978="",L978=0),"",
  (L978-K978)/L978*100)</f>
        <v/>
      </c>
      <c r="N978" s="9" t="inlineStr"/>
      <c r="O978" s="10" t="inlineStr"/>
      <c r="P978" s="10" t="inlineStr"/>
      <c r="Q978" s="10" t="inlineStr"/>
      <c r="R978" s="10" t="inlineStr">
        <is>
          <t>2026-03-12</t>
        </is>
      </c>
      <c r="S978" s="10" t="inlineStr"/>
    </row>
    <row r="979">
      <c r="A979" s="3" t="inlineStr">
        <is>
          <t>F01407</t>
        </is>
      </c>
      <c r="B979" s="4" t="inlineStr">
        <is>
          <t>F01407</t>
        </is>
      </c>
      <c r="C979" s="4" t="inlineStr"/>
      <c r="D979" s="4" t="inlineStr">
        <is>
          <t>6009677011764</t>
        </is>
      </c>
      <c r="E979" s="3" t="inlineStr">
        <is>
          <t>LM006 - PVC WALL &amp; CEILING LAMINATION PA</t>
        </is>
      </c>
      <c r="F979" s="4" t="inlineStr"/>
      <c r="G979" s="4" t="inlineStr"/>
      <c r="H979" s="4" t="inlineStr"/>
      <c r="I979" s="5" t="n">
        <v>895</v>
      </c>
      <c r="J979" s="6" t="n">
        <v>15</v>
      </c>
      <c r="K979" s="7">
        <f>IF(I979="","",I979*(1+J979/100))</f>
        <v/>
      </c>
      <c r="L979" s="12" t="inlineStr"/>
      <c r="M979" s="8">
        <f>IF(OR(L979="",K979="",L979=0),"",
  (L979-K979)/L979*100)</f>
        <v/>
      </c>
      <c r="N979" s="9" t="inlineStr"/>
      <c r="O979" s="4" t="inlineStr"/>
      <c r="P979" s="4" t="inlineStr"/>
      <c r="Q979" s="4" t="inlineStr"/>
      <c r="R979" s="4" t="inlineStr">
        <is>
          <t>2026-03-12</t>
        </is>
      </c>
      <c r="S979" s="4" t="inlineStr"/>
    </row>
    <row r="980">
      <c r="A980" s="10" t="inlineStr">
        <is>
          <t>F01408</t>
        </is>
      </c>
      <c r="B980" s="10" t="inlineStr">
        <is>
          <t>F01408</t>
        </is>
      </c>
      <c r="C980" s="10" t="inlineStr"/>
      <c r="D980" s="10" t="inlineStr">
        <is>
          <t>6009677011771</t>
        </is>
      </c>
      <c r="E980" s="10" t="inlineStr">
        <is>
          <t>LM007 - PVC WALL &amp; CEILING LAMINATION PA</t>
        </is>
      </c>
      <c r="F980" s="10" t="inlineStr"/>
      <c r="G980" s="10" t="inlineStr"/>
      <c r="H980" s="10" t="inlineStr"/>
      <c r="I980" s="11" t="n">
        <v>895</v>
      </c>
      <c r="J980" s="6" t="n">
        <v>15</v>
      </c>
      <c r="K980" s="7">
        <f>IF(I980="","",I980*(1+J980/100))</f>
        <v/>
      </c>
      <c r="L980" s="12" t="inlineStr"/>
      <c r="M980" s="8">
        <f>IF(OR(L980="",K980="",L980=0),"",
  (L980-K980)/L980*100)</f>
        <v/>
      </c>
      <c r="N980" s="9" t="inlineStr"/>
      <c r="O980" s="10" t="inlineStr"/>
      <c r="P980" s="10" t="inlineStr"/>
      <c r="Q980" s="10" t="inlineStr"/>
      <c r="R980" s="10" t="inlineStr">
        <is>
          <t>2026-03-12</t>
        </is>
      </c>
      <c r="S980" s="10" t="inlineStr"/>
    </row>
    <row r="981">
      <c r="A981" s="3" t="inlineStr">
        <is>
          <t>F01409</t>
        </is>
      </c>
      <c r="B981" s="4" t="inlineStr">
        <is>
          <t>F01409</t>
        </is>
      </c>
      <c r="C981" s="4" t="inlineStr"/>
      <c r="D981" s="4" t="inlineStr">
        <is>
          <t>6009677011788</t>
        </is>
      </c>
      <c r="E981" s="3" t="inlineStr">
        <is>
          <t>LM008 - PVC WALL &amp; CEILING LAMINATION PA</t>
        </is>
      </c>
      <c r="F981" s="4" t="inlineStr"/>
      <c r="G981" s="4" t="inlineStr"/>
      <c r="H981" s="4" t="inlineStr"/>
      <c r="I981" s="5" t="n">
        <v>895</v>
      </c>
      <c r="J981" s="6" t="n">
        <v>15</v>
      </c>
      <c r="K981" s="7">
        <f>IF(I981="","",I981*(1+J981/100))</f>
        <v/>
      </c>
      <c r="L981" s="12" t="inlineStr"/>
      <c r="M981" s="8">
        <f>IF(OR(L981="",K981="",L981=0),"",
  (L981-K981)/L981*100)</f>
        <v/>
      </c>
      <c r="N981" s="9" t="inlineStr"/>
      <c r="O981" s="4" t="inlineStr"/>
      <c r="P981" s="4" t="inlineStr"/>
      <c r="Q981" s="4" t="inlineStr"/>
      <c r="R981" s="4" t="inlineStr">
        <is>
          <t>2026-03-12</t>
        </is>
      </c>
      <c r="S981" s="4" t="inlineStr"/>
    </row>
    <row r="982">
      <c r="A982" s="10" t="inlineStr">
        <is>
          <t>F01410</t>
        </is>
      </c>
      <c r="B982" s="10" t="inlineStr">
        <is>
          <t>F01410</t>
        </is>
      </c>
      <c r="C982" s="10" t="inlineStr"/>
      <c r="D982" s="10" t="inlineStr">
        <is>
          <t>6009677011795</t>
        </is>
      </c>
      <c r="E982" s="10" t="inlineStr">
        <is>
          <t>LM009 - PVC WALL &amp; CEILING LAMINATION PA</t>
        </is>
      </c>
      <c r="F982" s="10" t="inlineStr"/>
      <c r="G982" s="10" t="inlineStr"/>
      <c r="H982" s="10" t="inlineStr"/>
      <c r="I982" s="11" t="n">
        <v>895</v>
      </c>
      <c r="J982" s="6" t="n">
        <v>15</v>
      </c>
      <c r="K982" s="7">
        <f>IF(I982="","",I982*(1+J982/100))</f>
        <v/>
      </c>
      <c r="L982" s="12" t="inlineStr"/>
      <c r="M982" s="8">
        <f>IF(OR(L982="",K982="",L982=0),"",
  (L982-K982)/L982*100)</f>
        <v/>
      </c>
      <c r="N982" s="9" t="inlineStr"/>
      <c r="O982" s="10" t="inlineStr"/>
      <c r="P982" s="10" t="inlineStr"/>
      <c r="Q982" s="10" t="inlineStr"/>
      <c r="R982" s="10" t="inlineStr">
        <is>
          <t>2026-03-12</t>
        </is>
      </c>
      <c r="S982" s="10" t="inlineStr"/>
    </row>
    <row r="983">
      <c r="A983" s="3" t="inlineStr">
        <is>
          <t>F01411</t>
        </is>
      </c>
      <c r="B983" s="4" t="inlineStr">
        <is>
          <t>F01411</t>
        </is>
      </c>
      <c r="C983" s="4" t="inlineStr"/>
      <c r="D983" s="4" t="inlineStr">
        <is>
          <t>6009693900639</t>
        </is>
      </c>
      <c r="E983" s="3" t="inlineStr">
        <is>
          <t>MILKSHAKE GLASS</t>
        </is>
      </c>
      <c r="F983" s="4" t="inlineStr"/>
      <c r="G983" s="4" t="inlineStr"/>
      <c r="H983" s="4" t="inlineStr"/>
      <c r="I983" s="5" t="n">
        <v>3.95</v>
      </c>
      <c r="J983" s="6" t="n">
        <v>15</v>
      </c>
      <c r="K983" s="7">
        <f>IF(I983="","",I983*(1+J983/100))</f>
        <v/>
      </c>
      <c r="L983" s="12" t="inlineStr"/>
      <c r="M983" s="8">
        <f>IF(OR(L983="",K983="",L983=0),"",
  (L983-K983)/L983*100)</f>
        <v/>
      </c>
      <c r="N983" s="9" t="inlineStr"/>
      <c r="O983" s="4" t="inlineStr"/>
      <c r="P983" s="4" t="inlineStr"/>
      <c r="Q983" s="4" t="inlineStr"/>
      <c r="R983" s="4" t="inlineStr">
        <is>
          <t>2026-03-12</t>
        </is>
      </c>
      <c r="S983" s="4" t="inlineStr"/>
    </row>
    <row r="984">
      <c r="A984" s="10" t="inlineStr">
        <is>
          <t>F01412</t>
        </is>
      </c>
      <c r="B984" s="10" t="inlineStr">
        <is>
          <t>F01412</t>
        </is>
      </c>
      <c r="C984" s="10" t="inlineStr"/>
      <c r="D984" s="10" t="inlineStr">
        <is>
          <t>6009677011610</t>
        </is>
      </c>
      <c r="E984" s="10" t="inlineStr">
        <is>
          <t>LARGE PLUTO GLASS GM22</t>
        </is>
      </c>
      <c r="F984" s="10" t="inlineStr"/>
      <c r="G984" s="10" t="inlineStr"/>
      <c r="H984" s="10" t="inlineStr"/>
      <c r="I984" s="11" t="n">
        <v>3.95</v>
      </c>
      <c r="J984" s="6" t="n">
        <v>15</v>
      </c>
      <c r="K984" s="7">
        <f>IF(I984="","",I984*(1+J984/100))</f>
        <v/>
      </c>
      <c r="L984" s="12" t="inlineStr"/>
      <c r="M984" s="8">
        <f>IF(OR(L984="",K984="",L984=0),"",
  (L984-K984)/L984*100)</f>
        <v/>
      </c>
      <c r="N984" s="9" t="inlineStr"/>
      <c r="O984" s="10" t="inlineStr"/>
      <c r="P984" s="10" t="inlineStr"/>
      <c r="Q984" s="10" t="inlineStr"/>
      <c r="R984" s="10" t="inlineStr">
        <is>
          <t>2026-03-12</t>
        </is>
      </c>
      <c r="S984" s="10" t="inlineStr"/>
    </row>
    <row r="985">
      <c r="A985" s="3" t="inlineStr">
        <is>
          <t>F01413</t>
        </is>
      </c>
      <c r="B985" s="4" t="inlineStr">
        <is>
          <t>F01413</t>
        </is>
      </c>
      <c r="C985" s="4" t="inlineStr"/>
      <c r="D985" s="4" t="inlineStr">
        <is>
          <t>6009693899278</t>
        </is>
      </c>
      <c r="E985" s="3" t="inlineStr">
        <is>
          <t>TUMBLER HIBALL 240ML 6'S WINDOW</t>
        </is>
      </c>
      <c r="F985" s="4" t="inlineStr"/>
      <c r="G985" s="4" t="inlineStr"/>
      <c r="H985" s="4" t="inlineStr"/>
      <c r="I985" s="5" t="n">
        <v>18.95</v>
      </c>
      <c r="J985" s="6" t="n">
        <v>15</v>
      </c>
      <c r="K985" s="7">
        <f>IF(I985="","",I985*(1+J985/100))</f>
        <v/>
      </c>
      <c r="L985" s="12" t="inlineStr"/>
      <c r="M985" s="8">
        <f>IF(OR(L985="",K985="",L985=0),"",
  (L985-K985)/L985*100)</f>
        <v/>
      </c>
      <c r="N985" s="9" t="inlineStr"/>
      <c r="O985" s="4" t="inlineStr"/>
      <c r="P985" s="4" t="inlineStr"/>
      <c r="Q985" s="4" t="inlineStr"/>
      <c r="R985" s="4" t="inlineStr">
        <is>
          <t>2026-03-12</t>
        </is>
      </c>
      <c r="S985" s="4" t="inlineStr"/>
    </row>
    <row r="986">
      <c r="A986" s="10" t="inlineStr">
        <is>
          <t>F01414</t>
        </is>
      </c>
      <c r="B986" s="10" t="inlineStr">
        <is>
          <t>F01414</t>
        </is>
      </c>
      <c r="C986" s="10" t="inlineStr"/>
      <c r="D986" s="10" t="inlineStr">
        <is>
          <t>5246187935611</t>
        </is>
      </c>
      <c r="E986" s="10" t="inlineStr">
        <is>
          <t>MUG SET 3 PC COLOR 14OZ S-019 812-1/A/B</t>
        </is>
      </c>
      <c r="F986" s="10" t="inlineStr"/>
      <c r="G986" s="10" t="inlineStr"/>
      <c r="H986" s="10" t="inlineStr"/>
      <c r="I986" s="11" t="n">
        <v>31.62</v>
      </c>
      <c r="J986" s="6" t="n">
        <v>15</v>
      </c>
      <c r="K986" s="7">
        <f>IF(I986="","",I986*(1+J986/100))</f>
        <v/>
      </c>
      <c r="L986" s="12" t="inlineStr"/>
      <c r="M986" s="8">
        <f>IF(OR(L986="",K986="",L986=0),"",
  (L986-K986)/L986*100)</f>
        <v/>
      </c>
      <c r="N986" s="9" t="inlineStr"/>
      <c r="O986" s="10" t="inlineStr"/>
      <c r="P986" s="10" t="inlineStr"/>
      <c r="Q986" s="10" t="inlineStr"/>
      <c r="R986" s="10" t="inlineStr">
        <is>
          <t>2026-03-12</t>
        </is>
      </c>
      <c r="S986" s="10" t="inlineStr"/>
    </row>
    <row r="987">
      <c r="A987" s="3" t="inlineStr">
        <is>
          <t>F01415</t>
        </is>
      </c>
      <c r="B987" s="4" t="inlineStr">
        <is>
          <t>F01415</t>
        </is>
      </c>
      <c r="C987" s="4" t="inlineStr"/>
      <c r="D987" s="4" t="inlineStr">
        <is>
          <t>5015786785336</t>
        </is>
      </c>
      <c r="E987" s="3" t="inlineStr">
        <is>
          <t>TUMBLER SET COLOR 3'S 16 OZ V SHAPE S-03</t>
        </is>
      </c>
      <c r="F987" s="4" t="inlineStr"/>
      <c r="G987" s="4" t="inlineStr"/>
      <c r="H987" s="4" t="inlineStr"/>
      <c r="I987" s="5" t="n">
        <v>24.95</v>
      </c>
      <c r="J987" s="6" t="n">
        <v>15</v>
      </c>
      <c r="K987" s="7">
        <f>IF(I987="","",I987*(1+J987/100))</f>
        <v/>
      </c>
      <c r="L987" s="12" t="inlineStr"/>
      <c r="M987" s="8">
        <f>IF(OR(L987="",K987="",L987=0),"",
  (L987-K987)/L987*100)</f>
        <v/>
      </c>
      <c r="N987" s="9" t="inlineStr"/>
      <c r="O987" s="4" t="inlineStr"/>
      <c r="P987" s="4" t="inlineStr"/>
      <c r="Q987" s="4" t="inlineStr"/>
      <c r="R987" s="4" t="inlineStr">
        <is>
          <t>2026-03-12</t>
        </is>
      </c>
      <c r="S987" s="4" t="inlineStr"/>
    </row>
    <row r="988">
      <c r="A988" s="10" t="inlineStr">
        <is>
          <t>F01416</t>
        </is>
      </c>
      <c r="B988" s="10" t="inlineStr">
        <is>
          <t>F01416</t>
        </is>
      </c>
      <c r="C988" s="10" t="inlineStr"/>
      <c r="D988" s="10" t="inlineStr">
        <is>
          <t>8022652281042</t>
        </is>
      </c>
      <c r="E988" s="10" t="inlineStr">
        <is>
          <t>TUMBLER SET 3'S MILKSHAKE COLORS S-021 8</t>
        </is>
      </c>
      <c r="F988" s="10" t="inlineStr"/>
      <c r="G988" s="10" t="inlineStr"/>
      <c r="H988" s="10" t="inlineStr"/>
      <c r="I988" s="11" t="n">
        <v>32.95</v>
      </c>
      <c r="J988" s="6" t="n">
        <v>15</v>
      </c>
      <c r="K988" s="7">
        <f>IF(I988="","",I988*(1+J988/100))</f>
        <v/>
      </c>
      <c r="L988" s="12" t="inlineStr"/>
      <c r="M988" s="8">
        <f>IF(OR(L988="",K988="",L988=0),"",
  (L988-K988)/L988*100)</f>
        <v/>
      </c>
      <c r="N988" s="9" t="inlineStr"/>
      <c r="O988" s="10" t="inlineStr"/>
      <c r="P988" s="10" t="inlineStr"/>
      <c r="Q988" s="10" t="inlineStr"/>
      <c r="R988" s="10" t="inlineStr">
        <is>
          <t>2026-03-12</t>
        </is>
      </c>
      <c r="S988" s="10" t="inlineStr"/>
    </row>
    <row r="989">
      <c r="A989" s="3" t="inlineStr">
        <is>
          <t>F01418</t>
        </is>
      </c>
      <c r="B989" s="4" t="inlineStr">
        <is>
          <t>F01418</t>
        </is>
      </c>
      <c r="C989" s="4" t="inlineStr"/>
      <c r="D989" s="4" t="inlineStr">
        <is>
          <t>6009677013584</t>
        </is>
      </c>
      <c r="E989" s="3" t="inlineStr">
        <is>
          <t>BOWL 10.25" PURE WHITE SHALLOW  814-10</t>
        </is>
      </c>
      <c r="F989" s="4" t="inlineStr"/>
      <c r="G989" s="4" t="inlineStr"/>
      <c r="H989" s="4" t="inlineStr"/>
      <c r="I989" s="5" t="n">
        <v>2.43</v>
      </c>
      <c r="J989" s="6" t="n">
        <v>15</v>
      </c>
      <c r="K989" s="7">
        <f>IF(I989="","",I989*(1+J989/100))</f>
        <v/>
      </c>
      <c r="L989" s="12" t="inlineStr"/>
      <c r="M989" s="8">
        <f>IF(OR(L989="",K989="",L989=0),"",
  (L989-K989)/L989*100)</f>
        <v/>
      </c>
      <c r="N989" s="9" t="inlineStr"/>
      <c r="O989" s="4" t="inlineStr"/>
      <c r="P989" s="4" t="inlineStr"/>
      <c r="Q989" s="4" t="inlineStr"/>
      <c r="R989" s="4" t="inlineStr">
        <is>
          <t>2026-03-12</t>
        </is>
      </c>
      <c r="S989" s="4" t="inlineStr"/>
    </row>
    <row r="990">
      <c r="A990" s="10" t="inlineStr">
        <is>
          <t>F01419</t>
        </is>
      </c>
      <c r="B990" s="10" t="inlineStr">
        <is>
          <t>F01419</t>
        </is>
      </c>
      <c r="C990" s="10" t="inlineStr"/>
      <c r="D990" s="10" t="inlineStr">
        <is>
          <t>5015786785329</t>
        </is>
      </c>
      <c r="E990" s="10" t="inlineStr">
        <is>
          <t>TUMBLER SET 3'S CLR 16 OZ V SHAPE CIRCLE</t>
        </is>
      </c>
      <c r="F990" s="10" t="inlineStr"/>
      <c r="G990" s="10" t="inlineStr"/>
      <c r="H990" s="10" t="inlineStr"/>
      <c r="I990" s="11" t="n">
        <v>32.95</v>
      </c>
      <c r="J990" s="6" t="n">
        <v>15</v>
      </c>
      <c r="K990" s="7">
        <f>IF(I990="","",I990*(1+J990/100))</f>
        <v/>
      </c>
      <c r="L990" s="12" t="inlineStr"/>
      <c r="M990" s="8">
        <f>IF(OR(L990="",K990="",L990=0),"",
  (L990-K990)/L990*100)</f>
        <v/>
      </c>
      <c r="N990" s="9" t="inlineStr"/>
      <c r="O990" s="10" t="inlineStr"/>
      <c r="P990" s="10" t="inlineStr"/>
      <c r="Q990" s="10" t="inlineStr"/>
      <c r="R990" s="10" t="inlineStr">
        <is>
          <t>2026-03-12</t>
        </is>
      </c>
      <c r="S990" s="10" t="inlineStr"/>
    </row>
    <row r="991">
      <c r="A991" s="3" t="inlineStr">
        <is>
          <t>F01420</t>
        </is>
      </c>
      <c r="B991" s="4" t="inlineStr">
        <is>
          <t>F01420</t>
        </is>
      </c>
      <c r="C991" s="4" t="inlineStr"/>
      <c r="D991" s="4" t="inlineStr">
        <is>
          <t>5015786785374</t>
        </is>
      </c>
      <c r="E991" s="3" t="inlineStr">
        <is>
          <t>TUMBLER SET 3'S COLOR 12OZ V SHAPE  S-03</t>
        </is>
      </c>
      <c r="F991" s="4" t="inlineStr"/>
      <c r="G991" s="4" t="inlineStr"/>
      <c r="H991" s="4" t="inlineStr"/>
      <c r="I991" s="5" t="n">
        <v>26.04</v>
      </c>
      <c r="J991" s="6" t="n">
        <v>15</v>
      </c>
      <c r="K991" s="7">
        <f>IF(I991="","",I991*(1+J991/100))</f>
        <v/>
      </c>
      <c r="L991" s="12" t="inlineStr"/>
      <c r="M991" s="8">
        <f>IF(OR(L991="",K991="",L991=0),"",
  (L991-K991)/L991*100)</f>
        <v/>
      </c>
      <c r="N991" s="9" t="inlineStr"/>
      <c r="O991" s="4" t="inlineStr"/>
      <c r="P991" s="4" t="inlineStr"/>
      <c r="Q991" s="4" t="inlineStr"/>
      <c r="R991" s="4" t="inlineStr">
        <is>
          <t>2026-03-12</t>
        </is>
      </c>
      <c r="S991" s="4" t="inlineStr"/>
    </row>
    <row r="992">
      <c r="A992" s="10" t="inlineStr">
        <is>
          <t>F01421</t>
        </is>
      </c>
      <c r="B992" s="10" t="inlineStr">
        <is>
          <t>F01421</t>
        </is>
      </c>
      <c r="C992" s="10" t="inlineStr"/>
      <c r="D992" s="10" t="inlineStr">
        <is>
          <t>5015786785350</t>
        </is>
      </c>
      <c r="E992" s="10" t="inlineStr">
        <is>
          <t>TUMBLER SET 3'S CLR 12OZ V SHAPE WAVE S-</t>
        </is>
      </c>
      <c r="F992" s="10" t="inlineStr"/>
      <c r="G992" s="10" t="inlineStr"/>
      <c r="H992" s="10" t="inlineStr"/>
      <c r="I992" s="11" t="n">
        <v>26.04</v>
      </c>
      <c r="J992" s="6" t="n">
        <v>15</v>
      </c>
      <c r="K992" s="7">
        <f>IF(I992="","",I992*(1+J992/100))</f>
        <v/>
      </c>
      <c r="L992" s="12" t="inlineStr"/>
      <c r="M992" s="8">
        <f>IF(OR(L992="",K992="",L992=0),"",
  (L992-K992)/L992*100)</f>
        <v/>
      </c>
      <c r="N992" s="9" t="inlineStr"/>
      <c r="O992" s="10" t="inlineStr"/>
      <c r="P992" s="10" t="inlineStr"/>
      <c r="Q992" s="10" t="inlineStr"/>
      <c r="R992" s="10" t="inlineStr">
        <is>
          <t>2026-03-12</t>
        </is>
      </c>
      <c r="S992" s="10" t="inlineStr"/>
    </row>
    <row r="993">
      <c r="A993" s="3" t="inlineStr">
        <is>
          <t>F01422</t>
        </is>
      </c>
      <c r="B993" s="4" t="inlineStr">
        <is>
          <t>F01422</t>
        </is>
      </c>
      <c r="C993" s="4" t="inlineStr"/>
      <c r="D993" s="4" t="inlineStr">
        <is>
          <t>5015786785367</t>
        </is>
      </c>
      <c r="E993" s="3" t="inlineStr">
        <is>
          <t>TUMBLER SET 3'S 12OZ CLR V SHAPE CIRCLE</t>
        </is>
      </c>
      <c r="F993" s="4" t="inlineStr"/>
      <c r="G993" s="4" t="inlineStr"/>
      <c r="H993" s="4" t="inlineStr"/>
      <c r="I993" s="5" t="n">
        <v>28.95</v>
      </c>
      <c r="J993" s="6" t="n">
        <v>15</v>
      </c>
      <c r="K993" s="7">
        <f>IF(I993="","",I993*(1+J993/100))</f>
        <v/>
      </c>
      <c r="L993" s="12" t="inlineStr"/>
      <c r="M993" s="8">
        <f>IF(OR(L993="",K993="",L993=0),"",
  (L993-K993)/L993*100)</f>
        <v/>
      </c>
      <c r="N993" s="9" t="inlineStr"/>
      <c r="O993" s="4" t="inlineStr"/>
      <c r="P993" s="4" t="inlineStr"/>
      <c r="Q993" s="4" t="inlineStr"/>
      <c r="R993" s="4" t="inlineStr">
        <is>
          <t>2026-03-12</t>
        </is>
      </c>
      <c r="S993" s="4" t="inlineStr"/>
    </row>
    <row r="994">
      <c r="A994" s="10" t="inlineStr">
        <is>
          <t>F01423</t>
        </is>
      </c>
      <c r="B994" s="10" t="inlineStr">
        <is>
          <t>F01423</t>
        </is>
      </c>
      <c r="C994" s="10" t="inlineStr"/>
      <c r="D994" s="10" t="inlineStr">
        <is>
          <t>5015786785398</t>
        </is>
      </c>
      <c r="E994" s="10" t="inlineStr">
        <is>
          <t>TUMBLER SET 3'S CLR WHISKEY  S-036 812-8</t>
        </is>
      </c>
      <c r="F994" s="10" t="inlineStr"/>
      <c r="G994" s="10" t="inlineStr"/>
      <c r="H994" s="10" t="inlineStr"/>
      <c r="I994" s="11" t="n">
        <v>28.95</v>
      </c>
      <c r="J994" s="6" t="n">
        <v>15</v>
      </c>
      <c r="K994" s="7">
        <f>IF(I994="","",I994*(1+J994/100))</f>
        <v/>
      </c>
      <c r="L994" s="12" t="inlineStr"/>
      <c r="M994" s="8">
        <f>IF(OR(L994="",K994="",L994=0),"",
  (L994-K994)/L994*100)</f>
        <v/>
      </c>
      <c r="N994" s="9" t="inlineStr"/>
      <c r="O994" s="10" t="inlineStr"/>
      <c r="P994" s="10" t="inlineStr"/>
      <c r="Q994" s="10" t="inlineStr"/>
      <c r="R994" s="10" t="inlineStr">
        <is>
          <t>2026-03-12</t>
        </is>
      </c>
      <c r="S994" s="10" t="inlineStr"/>
    </row>
    <row r="995">
      <c r="A995" s="3" t="inlineStr">
        <is>
          <t>F01424</t>
        </is>
      </c>
      <c r="B995" s="4" t="inlineStr">
        <is>
          <t>F01424</t>
        </is>
      </c>
      <c r="C995" s="4" t="inlineStr"/>
      <c r="D995" s="4" t="inlineStr">
        <is>
          <t>6009677013652</t>
        </is>
      </c>
      <c r="E995" s="3" t="inlineStr">
        <is>
          <t>GLASS JAR PLASTIC LID 816-9</t>
        </is>
      </c>
      <c r="F995" s="4" t="inlineStr"/>
      <c r="G995" s="4" t="inlineStr"/>
      <c r="H995" s="4" t="inlineStr"/>
      <c r="I995" s="5" t="n">
        <v>6.82</v>
      </c>
      <c r="J995" s="6" t="n">
        <v>15</v>
      </c>
      <c r="K995" s="7">
        <f>IF(I995="","",I995*(1+J995/100))</f>
        <v/>
      </c>
      <c r="L995" s="12" t="inlineStr"/>
      <c r="M995" s="8">
        <f>IF(OR(L995="",K995="",L995=0),"",
  (L995-K995)/L995*100)</f>
        <v/>
      </c>
      <c r="N995" s="9" t="inlineStr"/>
      <c r="O995" s="4" t="inlineStr"/>
      <c r="P995" s="4" t="inlineStr"/>
      <c r="Q995" s="4" t="inlineStr"/>
      <c r="R995" s="4" t="inlineStr">
        <is>
          <t>2026-03-12</t>
        </is>
      </c>
      <c r="S995" s="4" t="inlineStr"/>
    </row>
    <row r="996">
      <c r="A996" s="10" t="inlineStr">
        <is>
          <t>F01425</t>
        </is>
      </c>
      <c r="B996" s="10" t="inlineStr">
        <is>
          <t>F01425</t>
        </is>
      </c>
      <c r="C996" s="10" t="inlineStr"/>
      <c r="D996" s="10" t="inlineStr"/>
      <c r="E996" s="10" t="inlineStr">
        <is>
          <t>BY-114 PVC CEILING DAMAGE LOOSE</t>
        </is>
      </c>
      <c r="F996" s="10" t="inlineStr"/>
      <c r="G996" s="10" t="inlineStr"/>
      <c r="H996" s="10" t="inlineStr"/>
      <c r="I996" s="11" t="n">
        <v>35.58</v>
      </c>
      <c r="J996" s="6" t="n">
        <v>15</v>
      </c>
      <c r="K996" s="7">
        <f>IF(I996="","",I996*(1+J996/100))</f>
        <v/>
      </c>
      <c r="L996" s="12" t="inlineStr"/>
      <c r="M996" s="8">
        <f>IF(OR(L996="",K996="",L996=0),"",
  (L996-K996)/L996*100)</f>
        <v/>
      </c>
      <c r="N996" s="9" t="inlineStr"/>
      <c r="O996" s="10" t="inlineStr"/>
      <c r="P996" s="10" t="inlineStr"/>
      <c r="Q996" s="10" t="inlineStr"/>
      <c r="R996" s="10" t="inlineStr">
        <is>
          <t>2026-03-12</t>
        </is>
      </c>
      <c r="S996" s="10" t="inlineStr"/>
    </row>
    <row r="997">
      <c r="A997" s="3" t="inlineStr">
        <is>
          <t>F01426</t>
        </is>
      </c>
      <c r="B997" s="4" t="inlineStr">
        <is>
          <t>F01426</t>
        </is>
      </c>
      <c r="C997" s="4" t="inlineStr"/>
      <c r="D997" s="4" t="inlineStr">
        <is>
          <t>6009677011603</t>
        </is>
      </c>
      <c r="E997" s="3" t="inlineStr">
        <is>
          <t>DRINK SET 7 PC TJ7208A GOLD/SILVER 6 DES</t>
        </is>
      </c>
      <c r="F997" s="4" t="inlineStr"/>
      <c r="G997" s="4" t="inlineStr"/>
      <c r="H997" s="4" t="inlineStr"/>
      <c r="I997" s="5" t="n">
        <v>33.39</v>
      </c>
      <c r="J997" s="6" t="n">
        <v>15</v>
      </c>
      <c r="K997" s="7">
        <f>IF(I997="","",I997*(1+J997/100))</f>
        <v/>
      </c>
      <c r="L997" s="12" t="inlineStr"/>
      <c r="M997" s="8">
        <f>IF(OR(L997="",K997="",L997=0),"",
  (L997-K997)/L997*100)</f>
        <v/>
      </c>
      <c r="N997" s="9" t="inlineStr"/>
      <c r="O997" s="4" t="inlineStr"/>
      <c r="P997" s="4" t="inlineStr"/>
      <c r="Q997" s="4" t="inlineStr"/>
      <c r="R997" s="4" t="inlineStr">
        <is>
          <t>2026-03-12</t>
        </is>
      </c>
      <c r="S997" s="4" t="inlineStr"/>
    </row>
    <row r="998">
      <c r="A998" s="10" t="inlineStr">
        <is>
          <t>F01434</t>
        </is>
      </c>
      <c r="B998" s="10" t="inlineStr">
        <is>
          <t>F01434</t>
        </is>
      </c>
      <c r="C998" s="10" t="inlineStr"/>
      <c r="D998" s="10" t="inlineStr"/>
      <c r="E998" s="10" t="inlineStr">
        <is>
          <t>SOLAR PANEL 335 WATTS</t>
        </is>
      </c>
      <c r="F998" s="10" t="inlineStr"/>
      <c r="G998" s="10" t="inlineStr"/>
      <c r="H998" s="10" t="inlineStr"/>
      <c r="I998" s="11" t="n">
        <v>2395</v>
      </c>
      <c r="J998" s="6" t="n">
        <v>15</v>
      </c>
      <c r="K998" s="7">
        <f>IF(I998="","",I998*(1+J998/100))</f>
        <v/>
      </c>
      <c r="L998" s="12" t="inlineStr"/>
      <c r="M998" s="8">
        <f>IF(OR(L998="",K998="",L998=0),"",
  (L998-K998)/L998*100)</f>
        <v/>
      </c>
      <c r="N998" s="9" t="inlineStr"/>
      <c r="O998" s="10" t="inlineStr"/>
      <c r="P998" s="10" t="inlineStr"/>
      <c r="Q998" s="10" t="inlineStr"/>
      <c r="R998" s="10" t="inlineStr">
        <is>
          <t>2026-03-12</t>
        </is>
      </c>
      <c r="S998" s="10" t="inlineStr"/>
    </row>
    <row r="999">
      <c r="A999" s="3" t="inlineStr">
        <is>
          <t>F01435</t>
        </is>
      </c>
      <c r="B999" s="4" t="inlineStr">
        <is>
          <t>F01435</t>
        </is>
      </c>
      <c r="C999" s="4" t="inlineStr"/>
      <c r="D999" s="4" t="inlineStr">
        <is>
          <t>6943936304542</t>
        </is>
      </c>
      <c r="E999" s="3" t="inlineStr">
        <is>
          <t>EP050 FLASK 0.5 LITRE EPISODE  SERIES</t>
        </is>
      </c>
      <c r="F999" s="4" t="inlineStr"/>
      <c r="G999" s="4" t="inlineStr"/>
      <c r="H999" s="4" t="inlineStr"/>
      <c r="I999" s="5" t="n">
        <v>37.28</v>
      </c>
      <c r="J999" s="6" t="n">
        <v>15</v>
      </c>
      <c r="K999" s="7">
        <f>IF(I999="","",I999*(1+J999/100))</f>
        <v/>
      </c>
      <c r="L999" s="12" t="inlineStr"/>
      <c r="M999" s="8">
        <f>IF(OR(L999="",K999="",L999=0),"",
  (L999-K999)/L999*100)</f>
        <v/>
      </c>
      <c r="N999" s="9" t="inlineStr"/>
      <c r="O999" s="4" t="inlineStr"/>
      <c r="P999" s="4" t="inlineStr"/>
      <c r="Q999" s="4" t="inlineStr"/>
      <c r="R999" s="4" t="inlineStr">
        <is>
          <t>2026-03-12</t>
        </is>
      </c>
      <c r="S999" s="4" t="inlineStr"/>
    </row>
    <row r="1000">
      <c r="A1000" s="10" t="inlineStr">
        <is>
          <t>F01436</t>
        </is>
      </c>
      <c r="B1000" s="10" t="inlineStr">
        <is>
          <t>F01436</t>
        </is>
      </c>
      <c r="C1000" s="10" t="inlineStr"/>
      <c r="D1000" s="10" t="inlineStr">
        <is>
          <t>6943936304559</t>
        </is>
      </c>
      <c r="E1000" s="10" t="inlineStr">
        <is>
          <t>EP100 FLASKS 1 LITRE EPISODE SERIES</t>
        </is>
      </c>
      <c r="F1000" s="10" t="inlineStr"/>
      <c r="G1000" s="10" t="inlineStr"/>
      <c r="H1000" s="10" t="inlineStr"/>
      <c r="I1000" s="11" t="n">
        <v>43.14</v>
      </c>
      <c r="J1000" s="6" t="n">
        <v>15</v>
      </c>
      <c r="K1000" s="7">
        <f>IF(I1000="","",I1000*(1+J1000/100))</f>
        <v/>
      </c>
      <c r="L1000" s="12" t="inlineStr"/>
      <c r="M1000" s="8">
        <f>IF(OR(L1000="",K1000="",L1000=0),"",
  (L1000-K1000)/L1000*100)</f>
        <v/>
      </c>
      <c r="N1000" s="9" t="inlineStr"/>
      <c r="O1000" s="10" t="inlineStr"/>
      <c r="P1000" s="10" t="inlineStr"/>
      <c r="Q1000" s="10" t="inlineStr"/>
      <c r="R1000" s="10" t="inlineStr">
        <is>
          <t>2026-03-12</t>
        </is>
      </c>
      <c r="S1000" s="10" t="inlineStr"/>
    </row>
    <row r="1001">
      <c r="A1001" s="3" t="inlineStr">
        <is>
          <t>F01437</t>
        </is>
      </c>
      <c r="B1001" s="4" t="inlineStr">
        <is>
          <t>F01437</t>
        </is>
      </c>
      <c r="C1001" s="4" t="inlineStr"/>
      <c r="D1001" s="4" t="inlineStr">
        <is>
          <t>6943936304566</t>
        </is>
      </c>
      <c r="E1001" s="3" t="inlineStr">
        <is>
          <t>EP180 FLASKS 1.8 LITRE EPISODE SERIES</t>
        </is>
      </c>
      <c r="F1001" s="4" t="inlineStr"/>
      <c r="G1001" s="4" t="inlineStr"/>
      <c r="H1001" s="4" t="inlineStr"/>
      <c r="I1001" s="5" t="n">
        <v>53.1</v>
      </c>
      <c r="J1001" s="6" t="n">
        <v>15</v>
      </c>
      <c r="K1001" s="7">
        <f>IF(I1001="","",I1001*(1+J1001/100))</f>
        <v/>
      </c>
      <c r="L1001" s="12" t="inlineStr"/>
      <c r="M1001" s="8">
        <f>IF(OR(L1001="",K1001="",L1001=0),"",
  (L1001-K1001)/L1001*100)</f>
        <v/>
      </c>
      <c r="N1001" s="9" t="inlineStr"/>
      <c r="O1001" s="4" t="inlineStr"/>
      <c r="P1001" s="4" t="inlineStr"/>
      <c r="Q1001" s="4" t="inlineStr"/>
      <c r="R1001" s="4" t="inlineStr">
        <is>
          <t>2026-03-12</t>
        </is>
      </c>
      <c r="S1001" s="4" t="inlineStr"/>
    </row>
    <row r="1002">
      <c r="A1002" s="10" t="inlineStr">
        <is>
          <t>F01438</t>
        </is>
      </c>
      <c r="B1002" s="10" t="inlineStr">
        <is>
          <t>F01438</t>
        </is>
      </c>
      <c r="C1002" s="10" t="inlineStr"/>
      <c r="D1002" s="10" t="inlineStr">
        <is>
          <t>6943936308137</t>
        </is>
      </c>
      <c r="E1002" s="10" t="inlineStr">
        <is>
          <t>ER050D1 FLASKS 0.5 LITRE EARNEST SERIES</t>
        </is>
      </c>
      <c r="F1002" s="10" t="inlineStr"/>
      <c r="G1002" s="10" t="inlineStr"/>
      <c r="H1002" s="10" t="inlineStr"/>
      <c r="I1002" s="11" t="n">
        <v>37.67</v>
      </c>
      <c r="J1002" s="6" t="n">
        <v>15</v>
      </c>
      <c r="K1002" s="7">
        <f>IF(I1002="","",I1002*(1+J1002/100))</f>
        <v/>
      </c>
      <c r="L1002" s="12" t="inlineStr"/>
      <c r="M1002" s="8">
        <f>IF(OR(L1002="",K1002="",L1002=0),"",
  (L1002-K1002)/L1002*100)</f>
        <v/>
      </c>
      <c r="N1002" s="9" t="inlineStr"/>
      <c r="O1002" s="10" t="inlineStr"/>
      <c r="P1002" s="10" t="inlineStr"/>
      <c r="Q1002" s="10" t="inlineStr"/>
      <c r="R1002" s="10" t="inlineStr">
        <is>
          <t>2026-03-12</t>
        </is>
      </c>
      <c r="S1002" s="10" t="inlineStr"/>
    </row>
    <row r="1003">
      <c r="A1003" s="3" t="inlineStr">
        <is>
          <t>F01439</t>
        </is>
      </c>
      <c r="B1003" s="4" t="inlineStr">
        <is>
          <t>F01439</t>
        </is>
      </c>
      <c r="C1003" s="4" t="inlineStr"/>
      <c r="D1003" s="4" t="inlineStr">
        <is>
          <t>6943936307963</t>
        </is>
      </c>
      <c r="E1003" s="3" t="inlineStr">
        <is>
          <t>ER100D1 FLASKS 1 LITRE EARNEST SERIES PO</t>
        </is>
      </c>
      <c r="F1003" s="4" t="inlineStr"/>
      <c r="G1003" s="4" t="inlineStr"/>
      <c r="H1003" s="4" t="inlineStr"/>
      <c r="I1003" s="5" t="n">
        <v>43.13</v>
      </c>
      <c r="J1003" s="6" t="n">
        <v>15</v>
      </c>
      <c r="K1003" s="7">
        <f>IF(I1003="","",I1003*(1+J1003/100))</f>
        <v/>
      </c>
      <c r="L1003" s="12" t="inlineStr"/>
      <c r="M1003" s="8">
        <f>IF(OR(L1003="",K1003="",L1003=0),"",
  (L1003-K1003)/L1003*100)</f>
        <v/>
      </c>
      <c r="N1003" s="9" t="inlineStr"/>
      <c r="O1003" s="4" t="inlineStr"/>
      <c r="P1003" s="4" t="inlineStr"/>
      <c r="Q1003" s="4" t="inlineStr"/>
      <c r="R1003" s="4" t="inlineStr">
        <is>
          <t>2026-03-12</t>
        </is>
      </c>
      <c r="S1003" s="4" t="inlineStr"/>
    </row>
    <row r="1004">
      <c r="A1004" s="10" t="inlineStr">
        <is>
          <t>F01440</t>
        </is>
      </c>
      <c r="B1004" s="10" t="inlineStr">
        <is>
          <t>F01440</t>
        </is>
      </c>
      <c r="C1004" s="10" t="inlineStr"/>
      <c r="D1004" s="10" t="inlineStr">
        <is>
          <t>6943936307970</t>
        </is>
      </c>
      <c r="E1004" s="10" t="inlineStr">
        <is>
          <t>ER180D1 FLASKS 1.8 LITRE EARNEST SERIES</t>
        </is>
      </c>
      <c r="F1004" s="10" t="inlineStr"/>
      <c r="G1004" s="10" t="inlineStr"/>
      <c r="H1004" s="10" t="inlineStr"/>
      <c r="I1004" s="11" t="n">
        <v>51.73</v>
      </c>
      <c r="J1004" s="6" t="n">
        <v>15</v>
      </c>
      <c r="K1004" s="7">
        <f>IF(I1004="","",I1004*(1+J1004/100))</f>
        <v/>
      </c>
      <c r="L1004" s="12" t="inlineStr"/>
      <c r="M1004" s="8">
        <f>IF(OR(L1004="",K1004="",L1004=0),"",
  (L1004-K1004)/L1004*100)</f>
        <v/>
      </c>
      <c r="N1004" s="9" t="inlineStr"/>
      <c r="O1004" s="10" t="inlineStr"/>
      <c r="P1004" s="10" t="inlineStr"/>
      <c r="Q1004" s="10" t="inlineStr"/>
      <c r="R1004" s="10" t="inlineStr">
        <is>
          <t>2026-03-12</t>
        </is>
      </c>
      <c r="S1004" s="10" t="inlineStr"/>
    </row>
    <row r="1005">
      <c r="A1005" s="3" t="inlineStr">
        <is>
          <t>F01441</t>
        </is>
      </c>
      <c r="B1005" s="4" t="inlineStr">
        <is>
          <t>F01441</t>
        </is>
      </c>
      <c r="C1005" s="4" t="inlineStr"/>
      <c r="D1005" s="4" t="inlineStr">
        <is>
          <t>6943936309899</t>
        </is>
      </c>
      <c r="E1005" s="3" t="inlineStr">
        <is>
          <t>NB200H FLASKS 2 LITRE ARMSTRONG SERIES</t>
        </is>
      </c>
      <c r="F1005" s="4" t="inlineStr"/>
      <c r="G1005" s="4" t="inlineStr"/>
      <c r="H1005" s="4" t="inlineStr"/>
      <c r="I1005" s="5" t="n">
        <v>99.95</v>
      </c>
      <c r="J1005" s="6" t="n">
        <v>15</v>
      </c>
      <c r="K1005" s="7">
        <f>IF(I1005="","",I1005*(1+J1005/100))</f>
        <v/>
      </c>
      <c r="L1005" s="12" t="inlineStr"/>
      <c r="M1005" s="8">
        <f>IF(OR(L1005="",K1005="",L1005=0),"",
  (L1005-K1005)/L1005*100)</f>
        <v/>
      </c>
      <c r="N1005" s="9" t="inlineStr"/>
      <c r="O1005" s="4" t="inlineStr"/>
      <c r="P1005" s="4" t="inlineStr"/>
      <c r="Q1005" s="4" t="inlineStr"/>
      <c r="R1005" s="4" t="inlineStr">
        <is>
          <t>2026-03-12</t>
        </is>
      </c>
      <c r="S1005" s="4" t="inlineStr"/>
    </row>
    <row r="1006">
      <c r="A1006" s="10" t="inlineStr">
        <is>
          <t>F01442</t>
        </is>
      </c>
      <c r="B1006" s="10" t="inlineStr">
        <is>
          <t>F01442</t>
        </is>
      </c>
      <c r="C1006" s="10" t="inlineStr"/>
      <c r="D1006" s="10" t="inlineStr">
        <is>
          <t>6943936309905</t>
        </is>
      </c>
      <c r="E1006" s="10" t="inlineStr">
        <is>
          <t>NB320H FLASKS 3.2 LITRE ARMSTRONG SERIES</t>
        </is>
      </c>
      <c r="F1006" s="10" t="inlineStr"/>
      <c r="G1006" s="10" t="inlineStr"/>
      <c r="H1006" s="10" t="inlineStr"/>
      <c r="I1006" s="11" t="n">
        <v>129</v>
      </c>
      <c r="J1006" s="6" t="n">
        <v>15</v>
      </c>
      <c r="K1006" s="7">
        <f>IF(I1006="","",I1006*(1+J1006/100))</f>
        <v/>
      </c>
      <c r="L1006" s="12" t="inlineStr"/>
      <c r="M1006" s="8">
        <f>IF(OR(L1006="",K1006="",L1006=0),"",
  (L1006-K1006)/L1006*100)</f>
        <v/>
      </c>
      <c r="N1006" s="9" t="inlineStr"/>
      <c r="O1006" s="10" t="inlineStr"/>
      <c r="P1006" s="10" t="inlineStr"/>
      <c r="Q1006" s="10" t="inlineStr"/>
      <c r="R1006" s="10" t="inlineStr">
        <is>
          <t>2026-03-12</t>
        </is>
      </c>
      <c r="S1006" s="10" t="inlineStr"/>
    </row>
    <row r="1007">
      <c r="A1007" s="3" t="inlineStr">
        <is>
          <t>F01443</t>
        </is>
      </c>
      <c r="B1007" s="4" t="inlineStr">
        <is>
          <t>F01443</t>
        </is>
      </c>
      <c r="C1007" s="4" t="inlineStr"/>
      <c r="D1007" s="4" t="inlineStr">
        <is>
          <t>7898897612313</t>
        </is>
      </c>
      <c r="E1007" s="3" t="inlineStr">
        <is>
          <t>TAPE HEAVY DUTY DUCT TAPE 50MMX20M 803-1</t>
        </is>
      </c>
      <c r="F1007" s="4" t="inlineStr"/>
      <c r="G1007" s="4" t="inlineStr"/>
      <c r="H1007" s="4" t="inlineStr"/>
      <c r="I1007" s="5" t="n">
        <v>14.66</v>
      </c>
      <c r="J1007" s="6" t="n">
        <v>15</v>
      </c>
      <c r="K1007" s="7">
        <f>IF(I1007="","",I1007*(1+J1007/100))</f>
        <v/>
      </c>
      <c r="L1007" s="12" t="inlineStr"/>
      <c r="M1007" s="8">
        <f>IF(OR(L1007="",K1007="",L1007=0),"",
  (L1007-K1007)/L1007*100)</f>
        <v/>
      </c>
      <c r="N1007" s="9" t="inlineStr"/>
      <c r="O1007" s="4" t="inlineStr"/>
      <c r="P1007" s="4" t="inlineStr"/>
      <c r="Q1007" s="4" t="inlineStr"/>
      <c r="R1007" s="4" t="inlineStr">
        <is>
          <t>2026-03-12</t>
        </is>
      </c>
      <c r="S1007" s="4" t="inlineStr"/>
    </row>
    <row r="1008">
      <c r="A1008" s="10" t="inlineStr">
        <is>
          <t>F01444</t>
        </is>
      </c>
      <c r="B1008" s="10" t="inlineStr">
        <is>
          <t>F01444</t>
        </is>
      </c>
      <c r="C1008" s="10" t="inlineStr"/>
      <c r="D1008" s="10" t="inlineStr">
        <is>
          <t>7898897611767</t>
        </is>
      </c>
      <c r="E1008" s="10" t="inlineStr">
        <is>
          <t>TAPE DOUBLE SIDED  MOUNTING TAPE 2.4X5M</t>
        </is>
      </c>
      <c r="F1008" s="10" t="inlineStr"/>
      <c r="G1008" s="10" t="inlineStr"/>
      <c r="H1008" s="10" t="inlineStr"/>
      <c r="I1008" s="11" t="n">
        <v>8.949999999999999</v>
      </c>
      <c r="J1008" s="6" t="n">
        <v>15</v>
      </c>
      <c r="K1008" s="7">
        <f>IF(I1008="","",I1008*(1+J1008/100))</f>
        <v/>
      </c>
      <c r="L1008" s="12" t="inlineStr"/>
      <c r="M1008" s="8">
        <f>IF(OR(L1008="",K1008="",L1008=0),"",
  (L1008-K1008)/L1008*100)</f>
        <v/>
      </c>
      <c r="N1008" s="9" t="inlineStr"/>
      <c r="O1008" s="10" t="inlineStr"/>
      <c r="P1008" s="10" t="inlineStr"/>
      <c r="Q1008" s="10" t="inlineStr"/>
      <c r="R1008" s="10" t="inlineStr">
        <is>
          <t>2026-03-12</t>
        </is>
      </c>
      <c r="S1008" s="10" t="inlineStr"/>
    </row>
    <row r="1009">
      <c r="A1009" s="3" t="inlineStr">
        <is>
          <t>F01445</t>
        </is>
      </c>
      <c r="B1009" s="4" t="inlineStr">
        <is>
          <t>F01445</t>
        </is>
      </c>
      <c r="C1009" s="4" t="inlineStr"/>
      <c r="D1009" s="4" t="inlineStr">
        <is>
          <t>7898897611552</t>
        </is>
      </c>
      <c r="E1009" s="3" t="inlineStr">
        <is>
          <t>TAPE DOUBLE SIDED CLEAR MOUNTING   1.8X2</t>
        </is>
      </c>
      <c r="F1009" s="4" t="inlineStr"/>
      <c r="G1009" s="4" t="inlineStr"/>
      <c r="H1009" s="4" t="inlineStr"/>
      <c r="I1009" s="5" t="n">
        <v>8.949999999999999</v>
      </c>
      <c r="J1009" s="6" t="n">
        <v>15</v>
      </c>
      <c r="K1009" s="7">
        <f>IF(I1009="","",I1009*(1+J1009/100))</f>
        <v/>
      </c>
      <c r="L1009" s="12" t="inlineStr"/>
      <c r="M1009" s="8">
        <f>IF(OR(L1009="",K1009="",L1009=0),"",
  (L1009-K1009)/L1009*100)</f>
        <v/>
      </c>
      <c r="N1009" s="9" t="inlineStr"/>
      <c r="O1009" s="4" t="inlineStr"/>
      <c r="P1009" s="4" t="inlineStr"/>
      <c r="Q1009" s="4" t="inlineStr"/>
      <c r="R1009" s="4" t="inlineStr">
        <is>
          <t>2026-03-12</t>
        </is>
      </c>
      <c r="S1009" s="4" t="inlineStr"/>
    </row>
    <row r="1010">
      <c r="A1010" s="10" t="inlineStr">
        <is>
          <t>F01446</t>
        </is>
      </c>
      <c r="B1010" s="10" t="inlineStr">
        <is>
          <t>F01446</t>
        </is>
      </c>
      <c r="C1010" s="10" t="inlineStr"/>
      <c r="D1010" s="10" t="inlineStr">
        <is>
          <t>7898897612115</t>
        </is>
      </c>
      <c r="E1010" s="10" t="inlineStr">
        <is>
          <t>TAPE INSULATION PVC 3PCS BLACK SET 1.8X1</t>
        </is>
      </c>
      <c r="F1010" s="10" t="inlineStr"/>
      <c r="G1010" s="10" t="inlineStr"/>
      <c r="H1010" s="10" t="inlineStr"/>
      <c r="I1010" s="11" t="n">
        <v>11.5</v>
      </c>
      <c r="J1010" s="6" t="n">
        <v>15</v>
      </c>
      <c r="K1010" s="7">
        <f>IF(I1010="","",I1010*(1+J1010/100))</f>
        <v/>
      </c>
      <c r="L1010" s="12" t="inlineStr"/>
      <c r="M1010" s="8">
        <f>IF(OR(L1010="",K1010="",L1010=0),"",
  (L1010-K1010)/L1010*100)</f>
        <v/>
      </c>
      <c r="N1010" s="9" t="inlineStr"/>
      <c r="O1010" s="10" t="inlineStr"/>
      <c r="P1010" s="10" t="inlineStr"/>
      <c r="Q1010" s="10" t="inlineStr"/>
      <c r="R1010" s="10" t="inlineStr">
        <is>
          <t>2026-03-12</t>
        </is>
      </c>
      <c r="S1010" s="10" t="inlineStr"/>
    </row>
    <row r="1011">
      <c r="A1011" s="3" t="inlineStr">
        <is>
          <t>F01447</t>
        </is>
      </c>
      <c r="B1011" s="4" t="inlineStr">
        <is>
          <t>F01447</t>
        </is>
      </c>
      <c r="C1011" s="4" t="inlineStr"/>
      <c r="D1011" s="4" t="inlineStr">
        <is>
          <t>7898897612863</t>
        </is>
      </c>
      <c r="E1011" s="3" t="inlineStr">
        <is>
          <t>TAPE BATHROOM ANTI SLIP STRIP (6PCS) 2CM</t>
        </is>
      </c>
      <c r="F1011" s="4" t="inlineStr"/>
      <c r="G1011" s="4" t="inlineStr"/>
      <c r="H1011" s="4" t="inlineStr"/>
      <c r="I1011" s="5" t="n">
        <v>11.95</v>
      </c>
      <c r="J1011" s="6" t="n">
        <v>15</v>
      </c>
      <c r="K1011" s="7">
        <f>IF(I1011="","",I1011*(1+J1011/100))</f>
        <v/>
      </c>
      <c r="L1011" s="12" t="inlineStr"/>
      <c r="M1011" s="8">
        <f>IF(OR(L1011="",K1011="",L1011=0),"",
  (L1011-K1011)/L1011*100)</f>
        <v/>
      </c>
      <c r="N1011" s="9" t="inlineStr"/>
      <c r="O1011" s="4" t="inlineStr"/>
      <c r="P1011" s="4" t="inlineStr"/>
      <c r="Q1011" s="4" t="inlineStr"/>
      <c r="R1011" s="4" t="inlineStr">
        <is>
          <t>2026-03-12</t>
        </is>
      </c>
      <c r="S1011" s="4" t="inlineStr"/>
    </row>
    <row r="1012">
      <c r="A1012" s="10" t="inlineStr">
        <is>
          <t>F01448</t>
        </is>
      </c>
      <c r="B1012" s="10" t="inlineStr">
        <is>
          <t>F01448</t>
        </is>
      </c>
      <c r="C1012" s="10" t="inlineStr"/>
      <c r="D1012" s="10" t="inlineStr">
        <is>
          <t>7898897612283</t>
        </is>
      </c>
      <c r="E1012" s="10" t="inlineStr">
        <is>
          <t>TAPE ANTI SLIP STEP TAPE (2PCS) 15CMX60C</t>
        </is>
      </c>
      <c r="F1012" s="10" t="inlineStr"/>
      <c r="G1012" s="10" t="inlineStr"/>
      <c r="H1012" s="10" t="inlineStr"/>
      <c r="I1012" s="11" t="n">
        <v>39.95</v>
      </c>
      <c r="J1012" s="6" t="n">
        <v>15</v>
      </c>
      <c r="K1012" s="7">
        <f>IF(I1012="","",I1012*(1+J1012/100))</f>
        <v/>
      </c>
      <c r="L1012" s="12" t="inlineStr"/>
      <c r="M1012" s="8">
        <f>IF(OR(L1012="",K1012="",L1012=0),"",
  (L1012-K1012)/L1012*100)</f>
        <v/>
      </c>
      <c r="N1012" s="9" t="inlineStr"/>
      <c r="O1012" s="10" t="inlineStr"/>
      <c r="P1012" s="10" t="inlineStr"/>
      <c r="Q1012" s="10" t="inlineStr"/>
      <c r="R1012" s="10" t="inlineStr">
        <is>
          <t>2026-03-12</t>
        </is>
      </c>
      <c r="S1012" s="10" t="inlineStr"/>
    </row>
    <row r="1013">
      <c r="A1013" s="3" t="inlineStr">
        <is>
          <t>F01449</t>
        </is>
      </c>
      <c r="B1013" s="4" t="inlineStr">
        <is>
          <t>F01449</t>
        </is>
      </c>
      <c r="C1013" s="4" t="inlineStr"/>
      <c r="D1013" s="4" t="inlineStr">
        <is>
          <t>7898897612276</t>
        </is>
      </c>
      <c r="E1013" s="3" t="inlineStr">
        <is>
          <t>TAPE  ANTI SLIP 5M ROLL TAPE 5CMX5M 803-</t>
        </is>
      </c>
      <c r="F1013" s="4" t="inlineStr"/>
      <c r="G1013" s="4" t="inlineStr"/>
      <c r="H1013" s="4" t="inlineStr"/>
      <c r="I1013" s="5" t="n">
        <v>18.22</v>
      </c>
      <c r="J1013" s="6" t="n">
        <v>15</v>
      </c>
      <c r="K1013" s="7">
        <f>IF(I1013="","",I1013*(1+J1013/100))</f>
        <v/>
      </c>
      <c r="L1013" s="12" t="inlineStr"/>
      <c r="M1013" s="8">
        <f>IF(OR(L1013="",K1013="",L1013=0),"",
  (L1013-K1013)/L1013*100)</f>
        <v/>
      </c>
      <c r="N1013" s="9" t="inlineStr"/>
      <c r="O1013" s="4" t="inlineStr"/>
      <c r="P1013" s="4" t="inlineStr"/>
      <c r="Q1013" s="4" t="inlineStr"/>
      <c r="R1013" s="4" t="inlineStr">
        <is>
          <t>2026-03-12</t>
        </is>
      </c>
      <c r="S1013" s="4" t="inlineStr"/>
    </row>
    <row r="1014">
      <c r="A1014" s="10" t="inlineStr">
        <is>
          <t>F01450</t>
        </is>
      </c>
      <c r="B1014" s="10" t="inlineStr">
        <is>
          <t>F01450</t>
        </is>
      </c>
      <c r="C1014" s="10" t="inlineStr"/>
      <c r="D1014" s="10" t="inlineStr">
        <is>
          <t>7898897612757</t>
        </is>
      </c>
      <c r="E1014" s="10" t="inlineStr">
        <is>
          <t>TAPE FLASH BAND WATER PROOF TAPE 5CMX2.5</t>
        </is>
      </c>
      <c r="F1014" s="10" t="inlineStr"/>
      <c r="G1014" s="10" t="inlineStr"/>
      <c r="H1014" s="10" t="inlineStr"/>
      <c r="I1014" s="11" t="n">
        <v>15.06</v>
      </c>
      <c r="J1014" s="6" t="n">
        <v>15</v>
      </c>
      <c r="K1014" s="7">
        <f>IF(I1014="","",I1014*(1+J1014/100))</f>
        <v/>
      </c>
      <c r="L1014" s="12" t="inlineStr"/>
      <c r="M1014" s="8">
        <f>IF(OR(L1014="",K1014="",L1014=0),"",
  (L1014-K1014)/L1014*100)</f>
        <v/>
      </c>
      <c r="N1014" s="9" t="inlineStr"/>
      <c r="O1014" s="10" t="inlineStr"/>
      <c r="P1014" s="10" t="inlineStr"/>
      <c r="Q1014" s="10" t="inlineStr"/>
      <c r="R1014" s="10" t="inlineStr">
        <is>
          <t>2026-03-12</t>
        </is>
      </c>
      <c r="S1014" s="10" t="inlineStr"/>
    </row>
    <row r="1015">
      <c r="A1015" s="3" t="inlineStr">
        <is>
          <t>F01451</t>
        </is>
      </c>
      <c r="B1015" s="4" t="inlineStr">
        <is>
          <t>F01451</t>
        </is>
      </c>
      <c r="C1015" s="4" t="inlineStr"/>
      <c r="D1015" s="4" t="inlineStr">
        <is>
          <t>7898897612788</t>
        </is>
      </c>
      <c r="E1015" s="3" t="inlineStr">
        <is>
          <t>TAPE FLASH BAND WATER PROOF TAPE 5CMX10M</t>
        </is>
      </c>
      <c r="F1015" s="4" t="inlineStr"/>
      <c r="G1015" s="4" t="inlineStr"/>
      <c r="H1015" s="4" t="inlineStr"/>
      <c r="I1015" s="5" t="n">
        <v>47.08</v>
      </c>
      <c r="J1015" s="6" t="n">
        <v>15</v>
      </c>
      <c r="K1015" s="7">
        <f>IF(I1015="","",I1015*(1+J1015/100))</f>
        <v/>
      </c>
      <c r="L1015" s="12" t="inlineStr"/>
      <c r="M1015" s="8">
        <f>IF(OR(L1015="",K1015="",L1015=0),"",
  (L1015-K1015)/L1015*100)</f>
        <v/>
      </c>
      <c r="N1015" s="9" t="inlineStr"/>
      <c r="O1015" s="4" t="inlineStr"/>
      <c r="P1015" s="4" t="inlineStr"/>
      <c r="Q1015" s="4" t="inlineStr"/>
      <c r="R1015" s="4" t="inlineStr">
        <is>
          <t>2026-03-12</t>
        </is>
      </c>
      <c r="S1015" s="4" t="inlineStr"/>
    </row>
    <row r="1016">
      <c r="A1016" s="10" t="inlineStr">
        <is>
          <t>F01452</t>
        </is>
      </c>
      <c r="B1016" s="10" t="inlineStr">
        <is>
          <t>F01452</t>
        </is>
      </c>
      <c r="C1016" s="10" t="inlineStr"/>
      <c r="D1016" s="10" t="inlineStr"/>
      <c r="E1016" s="10" t="inlineStr">
        <is>
          <t>LOCK CICA INDUSTRIAL PADLOCK 40MM 806-1</t>
        </is>
      </c>
      <c r="F1016" s="10" t="inlineStr"/>
      <c r="G1016" s="10" t="inlineStr"/>
      <c r="H1016" s="10" t="inlineStr"/>
      <c r="I1016" s="11" t="n">
        <v>44.95</v>
      </c>
      <c r="J1016" s="6" t="n">
        <v>15</v>
      </c>
      <c r="K1016" s="7">
        <f>IF(I1016="","",I1016*(1+J1016/100))</f>
        <v/>
      </c>
      <c r="L1016" s="12" t="inlineStr"/>
      <c r="M1016" s="8">
        <f>IF(OR(L1016="",K1016="",L1016=0),"",
  (L1016-K1016)/L1016*100)</f>
        <v/>
      </c>
      <c r="N1016" s="9" t="inlineStr"/>
      <c r="O1016" s="10" t="inlineStr"/>
      <c r="P1016" s="10" t="inlineStr"/>
      <c r="Q1016" s="10" t="inlineStr"/>
      <c r="R1016" s="10" t="inlineStr">
        <is>
          <t>2026-03-12</t>
        </is>
      </c>
      <c r="S1016" s="10" t="inlineStr"/>
    </row>
    <row r="1017">
      <c r="A1017" s="3" t="inlineStr">
        <is>
          <t>F01453</t>
        </is>
      </c>
      <c r="B1017" s="4" t="inlineStr">
        <is>
          <t>F01453</t>
        </is>
      </c>
      <c r="C1017" s="4" t="inlineStr"/>
      <c r="D1017" s="4" t="inlineStr"/>
      <c r="E1017" s="3" t="inlineStr">
        <is>
          <t>LOCK  CICA INDUSTRIAL PADLOCK 50MM 806-2</t>
        </is>
      </c>
      <c r="F1017" s="4" t="inlineStr"/>
      <c r="G1017" s="4" t="inlineStr"/>
      <c r="H1017" s="4" t="inlineStr"/>
      <c r="I1017" s="5" t="n">
        <v>33.93</v>
      </c>
      <c r="J1017" s="6" t="n">
        <v>15</v>
      </c>
      <c r="K1017" s="7">
        <f>IF(I1017="","",I1017*(1+J1017/100))</f>
        <v/>
      </c>
      <c r="L1017" s="12" t="inlineStr"/>
      <c r="M1017" s="8">
        <f>IF(OR(L1017="",K1017="",L1017=0),"",
  (L1017-K1017)/L1017*100)</f>
        <v/>
      </c>
      <c r="N1017" s="9" t="inlineStr"/>
      <c r="O1017" s="4" t="inlineStr"/>
      <c r="P1017" s="4" t="inlineStr"/>
      <c r="Q1017" s="4" t="inlineStr"/>
      <c r="R1017" s="4" t="inlineStr">
        <is>
          <t>2026-03-12</t>
        </is>
      </c>
      <c r="S1017" s="4" t="inlineStr"/>
    </row>
    <row r="1018">
      <c r="A1018" s="10" t="inlineStr">
        <is>
          <t>F01454</t>
        </is>
      </c>
      <c r="B1018" s="10" t="inlineStr">
        <is>
          <t>F01454</t>
        </is>
      </c>
      <c r="C1018" s="10" t="inlineStr"/>
      <c r="D1018" s="10" t="inlineStr"/>
      <c r="E1018" s="10" t="inlineStr">
        <is>
          <t>LOCK CICA INDUSTRIAL PADLOCK 60MM 806-3</t>
        </is>
      </c>
      <c r="F1018" s="10" t="inlineStr"/>
      <c r="G1018" s="10" t="inlineStr"/>
      <c r="H1018" s="10" t="inlineStr"/>
      <c r="I1018" s="11" t="n">
        <v>37.5</v>
      </c>
      <c r="J1018" s="6" t="n">
        <v>15</v>
      </c>
      <c r="K1018" s="7">
        <f>IF(I1018="","",I1018*(1+J1018/100))</f>
        <v/>
      </c>
      <c r="L1018" s="12" t="inlineStr"/>
      <c r="M1018" s="8">
        <f>IF(OR(L1018="",K1018="",L1018=0),"",
  (L1018-K1018)/L1018*100)</f>
        <v/>
      </c>
      <c r="N1018" s="9" t="inlineStr"/>
      <c r="O1018" s="10" t="inlineStr"/>
      <c r="P1018" s="10" t="inlineStr"/>
      <c r="Q1018" s="10" t="inlineStr"/>
      <c r="R1018" s="10" t="inlineStr">
        <is>
          <t>2026-03-12</t>
        </is>
      </c>
      <c r="S1018" s="10" t="inlineStr"/>
    </row>
    <row r="1019">
      <c r="A1019" s="3" t="inlineStr">
        <is>
          <t>F01455</t>
        </is>
      </c>
      <c r="B1019" s="4" t="inlineStr">
        <is>
          <t>F01455</t>
        </is>
      </c>
      <c r="C1019" s="4" t="inlineStr"/>
      <c r="D1019" s="4" t="inlineStr"/>
      <c r="E1019" s="3" t="inlineStr">
        <is>
          <t>LOCK CICA INDUSTRIAL PADLOCK 70MM 806-4</t>
        </is>
      </c>
      <c r="F1019" s="4" t="inlineStr"/>
      <c r="G1019" s="4" t="inlineStr"/>
      <c r="H1019" s="4" t="inlineStr"/>
      <c r="I1019" s="5" t="n">
        <v>61.95</v>
      </c>
      <c r="J1019" s="6" t="n">
        <v>15</v>
      </c>
      <c r="K1019" s="7">
        <f>IF(I1019="","",I1019*(1+J1019/100))</f>
        <v/>
      </c>
      <c r="L1019" s="12" t="inlineStr"/>
      <c r="M1019" s="8">
        <f>IF(OR(L1019="",K1019="",L1019=0),"",
  (L1019-K1019)/L1019*100)</f>
        <v/>
      </c>
      <c r="N1019" s="9" t="inlineStr"/>
      <c r="O1019" s="4" t="inlineStr"/>
      <c r="P1019" s="4" t="inlineStr"/>
      <c r="Q1019" s="4" t="inlineStr"/>
      <c r="R1019" s="4" t="inlineStr">
        <is>
          <t>2026-03-12</t>
        </is>
      </c>
      <c r="S1019" s="4" t="inlineStr"/>
    </row>
    <row r="1020">
      <c r="A1020" s="10" t="inlineStr">
        <is>
          <t>F01456</t>
        </is>
      </c>
      <c r="B1020" s="10" t="inlineStr">
        <is>
          <t>F01456</t>
        </is>
      </c>
      <c r="C1020" s="10" t="inlineStr"/>
      <c r="D1020" s="10" t="inlineStr"/>
      <c r="E1020" s="10" t="inlineStr">
        <is>
          <t>LOCK  SECURITY PADLOCK VIKINGO 40MM 806-</t>
        </is>
      </c>
      <c r="F1020" s="10" t="inlineStr"/>
      <c r="G1020" s="10" t="inlineStr"/>
      <c r="H1020" s="10" t="inlineStr"/>
      <c r="I1020" s="11" t="n">
        <v>7.13</v>
      </c>
      <c r="J1020" s="6" t="n">
        <v>15</v>
      </c>
      <c r="K1020" s="7">
        <f>IF(I1020="","",I1020*(1+J1020/100))</f>
        <v/>
      </c>
      <c r="L1020" s="12" t="inlineStr"/>
      <c r="M1020" s="8">
        <f>IF(OR(L1020="",K1020="",L1020=0),"",
  (L1020-K1020)/L1020*100)</f>
        <v/>
      </c>
      <c r="N1020" s="9" t="inlineStr"/>
      <c r="O1020" s="10" t="inlineStr"/>
      <c r="P1020" s="10" t="inlineStr"/>
      <c r="Q1020" s="10" t="inlineStr"/>
      <c r="R1020" s="10" t="inlineStr">
        <is>
          <t>2026-03-12</t>
        </is>
      </c>
      <c r="S1020" s="10" t="inlineStr"/>
    </row>
    <row r="1021">
      <c r="A1021" s="3" t="inlineStr">
        <is>
          <t>F01457</t>
        </is>
      </c>
      <c r="B1021" s="4" t="inlineStr">
        <is>
          <t>F01457</t>
        </is>
      </c>
      <c r="C1021" s="4" t="inlineStr"/>
      <c r="D1021" s="4" t="inlineStr"/>
      <c r="E1021" s="3" t="inlineStr">
        <is>
          <t>LOCK SECURITY PADLOCK VIKINGO 50MM 806-6</t>
        </is>
      </c>
      <c r="F1021" s="4" t="inlineStr"/>
      <c r="G1021" s="4" t="inlineStr"/>
      <c r="H1021" s="4" t="inlineStr"/>
      <c r="I1021" s="5" t="n">
        <v>8.52</v>
      </c>
      <c r="J1021" s="6" t="n">
        <v>15</v>
      </c>
      <c r="K1021" s="7">
        <f>IF(I1021="","",I1021*(1+J1021/100))</f>
        <v/>
      </c>
      <c r="L1021" s="12" t="inlineStr"/>
      <c r="M1021" s="8">
        <f>IF(OR(L1021="",K1021="",L1021=0),"",
  (L1021-K1021)/L1021*100)</f>
        <v/>
      </c>
      <c r="N1021" s="9" t="inlineStr"/>
      <c r="O1021" s="4" t="inlineStr"/>
      <c r="P1021" s="4" t="inlineStr"/>
      <c r="Q1021" s="4" t="inlineStr"/>
      <c r="R1021" s="4" t="inlineStr">
        <is>
          <t>2026-03-12</t>
        </is>
      </c>
      <c r="S1021" s="4" t="inlineStr"/>
    </row>
    <row r="1022">
      <c r="A1022" s="10" t="inlineStr">
        <is>
          <t>F01458</t>
        </is>
      </c>
      <c r="B1022" s="10" t="inlineStr">
        <is>
          <t>F01458</t>
        </is>
      </c>
      <c r="C1022" s="10" t="inlineStr"/>
      <c r="D1022" s="10" t="inlineStr"/>
      <c r="E1022" s="10" t="inlineStr">
        <is>
          <t>LOCK SECURITY PADLOCK VIKINGO 60MM 806-7</t>
        </is>
      </c>
      <c r="F1022" s="10" t="inlineStr"/>
      <c r="G1022" s="10" t="inlineStr"/>
      <c r="H1022" s="10" t="inlineStr"/>
      <c r="I1022" s="11" t="n">
        <v>34.95</v>
      </c>
      <c r="J1022" s="6" t="n">
        <v>15</v>
      </c>
      <c r="K1022" s="7">
        <f>IF(I1022="","",I1022*(1+J1022/100))</f>
        <v/>
      </c>
      <c r="L1022" s="12" t="inlineStr"/>
      <c r="M1022" s="8">
        <f>IF(OR(L1022="",K1022="",L1022=0),"",
  (L1022-K1022)/L1022*100)</f>
        <v/>
      </c>
      <c r="N1022" s="9" t="inlineStr"/>
      <c r="O1022" s="10" t="inlineStr"/>
      <c r="P1022" s="10" t="inlineStr"/>
      <c r="Q1022" s="10" t="inlineStr"/>
      <c r="R1022" s="10" t="inlineStr">
        <is>
          <t>2026-03-12</t>
        </is>
      </c>
      <c r="S1022" s="10" t="inlineStr"/>
    </row>
    <row r="1023">
      <c r="A1023" s="3" t="inlineStr">
        <is>
          <t>F01459</t>
        </is>
      </c>
      <c r="B1023" s="4" t="inlineStr">
        <is>
          <t>F01459</t>
        </is>
      </c>
      <c r="C1023" s="4" t="inlineStr"/>
      <c r="D1023" s="4" t="inlineStr"/>
      <c r="E1023" s="3" t="inlineStr">
        <is>
          <t>LOCK SECURITY PADLOCK VIKINGO 70MM 806-8</t>
        </is>
      </c>
      <c r="F1023" s="4" t="inlineStr"/>
      <c r="G1023" s="4" t="inlineStr"/>
      <c r="H1023" s="4" t="inlineStr"/>
      <c r="I1023" s="5" t="n">
        <v>39.95</v>
      </c>
      <c r="J1023" s="6" t="n">
        <v>15</v>
      </c>
      <c r="K1023" s="7">
        <f>IF(I1023="","",I1023*(1+J1023/100))</f>
        <v/>
      </c>
      <c r="L1023" s="12" t="inlineStr"/>
      <c r="M1023" s="8">
        <f>IF(OR(L1023="",K1023="",L1023=0),"",
  (L1023-K1023)/L1023*100)</f>
        <v/>
      </c>
      <c r="N1023" s="9" t="inlineStr"/>
      <c r="O1023" s="4" t="inlineStr"/>
      <c r="P1023" s="4" t="inlineStr"/>
      <c r="Q1023" s="4" t="inlineStr"/>
      <c r="R1023" s="4" t="inlineStr">
        <is>
          <t>2026-03-12</t>
        </is>
      </c>
      <c r="S1023" s="4" t="inlineStr"/>
    </row>
    <row r="1024">
      <c r="A1024" s="10" t="inlineStr">
        <is>
          <t>F01460</t>
        </is>
      </c>
      <c r="B1024" s="10" t="inlineStr">
        <is>
          <t>F01460</t>
        </is>
      </c>
      <c r="C1024" s="10" t="inlineStr"/>
      <c r="D1024" s="10" t="inlineStr">
        <is>
          <t>6009677013577</t>
        </is>
      </c>
      <c r="E1024" s="10" t="inlineStr">
        <is>
          <t>BOWL 8.25" PURE WHITE SHALLOW 814-9</t>
        </is>
      </c>
      <c r="F1024" s="10" t="inlineStr"/>
      <c r="G1024" s="10" t="inlineStr"/>
      <c r="H1024" s="10" t="inlineStr"/>
      <c r="I1024" s="11" t="n">
        <v>1.38</v>
      </c>
      <c r="J1024" s="6" t="n">
        <v>15</v>
      </c>
      <c r="K1024" s="7">
        <f>IF(I1024="","",I1024*(1+J1024/100))</f>
        <v/>
      </c>
      <c r="L1024" s="12" t="inlineStr"/>
      <c r="M1024" s="8">
        <f>IF(OR(L1024="",K1024="",L1024=0),"",
  (L1024-K1024)/L1024*100)</f>
        <v/>
      </c>
      <c r="N1024" s="9" t="inlineStr"/>
      <c r="O1024" s="10" t="inlineStr"/>
      <c r="P1024" s="10" t="inlineStr"/>
      <c r="Q1024" s="10" t="inlineStr"/>
      <c r="R1024" s="10" t="inlineStr">
        <is>
          <t>2026-03-12</t>
        </is>
      </c>
      <c r="S1024" s="10" t="inlineStr"/>
    </row>
    <row r="1025">
      <c r="A1025" s="3" t="inlineStr">
        <is>
          <t>F01461</t>
        </is>
      </c>
      <c r="B1025" s="4" t="inlineStr">
        <is>
          <t>F01461</t>
        </is>
      </c>
      <c r="C1025" s="4" t="inlineStr"/>
      <c r="D1025" s="4" t="inlineStr">
        <is>
          <t>6009677013591</t>
        </is>
      </c>
      <c r="E1025" s="3" t="inlineStr">
        <is>
          <t>BOWL 12.25" PURE WHITE SHALLOW 814-11</t>
        </is>
      </c>
      <c r="F1025" s="4" t="inlineStr"/>
      <c r="G1025" s="4" t="inlineStr"/>
      <c r="H1025" s="4" t="inlineStr"/>
      <c r="I1025" s="5" t="n">
        <v>18.95</v>
      </c>
      <c r="J1025" s="6" t="n">
        <v>15</v>
      </c>
      <c r="K1025" s="7">
        <f>IF(I1025="","",I1025*(1+J1025/100))</f>
        <v/>
      </c>
      <c r="L1025" s="12" t="inlineStr"/>
      <c r="M1025" s="8">
        <f>IF(OR(L1025="",K1025="",L1025=0),"",
  (L1025-K1025)/L1025*100)</f>
        <v/>
      </c>
      <c r="N1025" s="9" t="inlineStr"/>
      <c r="O1025" s="4" t="inlineStr"/>
      <c r="P1025" s="4" t="inlineStr"/>
      <c r="Q1025" s="4" t="inlineStr"/>
      <c r="R1025" s="4" t="inlineStr">
        <is>
          <t>2026-03-12</t>
        </is>
      </c>
      <c r="S1025" s="4" t="inlineStr"/>
    </row>
    <row r="1026">
      <c r="A1026" s="10" t="inlineStr">
        <is>
          <t>F01464</t>
        </is>
      </c>
      <c r="B1026" s="10" t="inlineStr">
        <is>
          <t>F01464</t>
        </is>
      </c>
      <c r="C1026" s="10" t="inlineStr">
        <is>
          <t>19353</t>
        </is>
      </c>
      <c r="D1026" s="10" t="inlineStr">
        <is>
          <t>6009677012792</t>
        </is>
      </c>
      <c r="E1026" s="10" t="inlineStr">
        <is>
          <t>PADBOLT 200MM CARDED GALV +SCREWS</t>
        </is>
      </c>
      <c r="F1026" s="10" t="inlineStr"/>
      <c r="G1026" s="10" t="inlineStr"/>
      <c r="H1026" s="10" t="inlineStr"/>
      <c r="I1026" s="11" t="n">
        <v>21.5</v>
      </c>
      <c r="J1026" s="6" t="n">
        <v>15</v>
      </c>
      <c r="K1026" s="7">
        <f>IF(I1026="","",I1026*(1+J1026/100))</f>
        <v/>
      </c>
      <c r="L1026" s="11" t="n">
        <v>150</v>
      </c>
      <c r="M1026" s="8">
        <f>IF(OR(L1026="",K1026="",L1026=0),"",
  (L1026-K1026)/L1026*100)</f>
        <v/>
      </c>
      <c r="N1026" s="13" t="n">
        <v>1661</v>
      </c>
      <c r="O1026" s="10" t="inlineStr"/>
      <c r="P1026" s="10" t="inlineStr"/>
      <c r="Q1026" s="10" t="inlineStr"/>
      <c r="R1026" s="10" t="inlineStr">
        <is>
          <t>2026-03-12</t>
        </is>
      </c>
      <c r="S1026" s="10" t="inlineStr"/>
    </row>
    <row r="1027">
      <c r="A1027" s="3" t="inlineStr">
        <is>
          <t>F01465</t>
        </is>
      </c>
      <c r="B1027" s="4" t="inlineStr">
        <is>
          <t>F01465</t>
        </is>
      </c>
      <c r="C1027" s="4" t="inlineStr"/>
      <c r="D1027" s="4" t="inlineStr"/>
      <c r="E1027" s="3" t="inlineStr">
        <is>
          <t>DOOR -SECURITY STEEL MOTHER N SON 2050X1</t>
        </is>
      </c>
      <c r="F1027" s="4" t="inlineStr"/>
      <c r="G1027" s="4" t="inlineStr"/>
      <c r="H1027" s="4" t="inlineStr"/>
      <c r="I1027" s="5" t="n">
        <v>1999.37</v>
      </c>
      <c r="J1027" s="6" t="n">
        <v>15</v>
      </c>
      <c r="K1027" s="7">
        <f>IF(I1027="","",I1027*(1+J1027/100))</f>
        <v/>
      </c>
      <c r="L1027" s="12" t="inlineStr"/>
      <c r="M1027" s="8">
        <f>IF(OR(L1027="",K1027="",L1027=0),"",
  (L1027-K1027)/L1027*100)</f>
        <v/>
      </c>
      <c r="N1027" s="9" t="inlineStr"/>
      <c r="O1027" s="4" t="inlineStr"/>
      <c r="P1027" s="4" t="inlineStr"/>
      <c r="Q1027" s="4" t="inlineStr"/>
      <c r="R1027" s="4" t="inlineStr">
        <is>
          <t>2026-03-12</t>
        </is>
      </c>
      <c r="S1027" s="4" t="inlineStr"/>
    </row>
    <row r="1028">
      <c r="A1028" s="10" t="inlineStr">
        <is>
          <t>F01466</t>
        </is>
      </c>
      <c r="B1028" s="10" t="inlineStr">
        <is>
          <t>F01466</t>
        </is>
      </c>
      <c r="C1028" s="10" t="inlineStr"/>
      <c r="D1028" s="10" t="inlineStr"/>
      <c r="E1028" s="10" t="inlineStr">
        <is>
          <t>DOOR-SECURITY STEEL MOTHER N SON - 2050X</t>
        </is>
      </c>
      <c r="F1028" s="10" t="inlineStr"/>
      <c r="G1028" s="10" t="inlineStr"/>
      <c r="H1028" s="10" t="inlineStr"/>
      <c r="I1028" s="11" t="n">
        <v>1999.37</v>
      </c>
      <c r="J1028" s="6" t="n">
        <v>15</v>
      </c>
      <c r="K1028" s="7">
        <f>IF(I1028="","",I1028*(1+J1028/100))</f>
        <v/>
      </c>
      <c r="L1028" s="12" t="inlineStr"/>
      <c r="M1028" s="8">
        <f>IF(OR(L1028="",K1028="",L1028=0),"",
  (L1028-K1028)/L1028*100)</f>
        <v/>
      </c>
      <c r="N1028" s="9" t="inlineStr"/>
      <c r="O1028" s="10" t="inlineStr"/>
      <c r="P1028" s="10" t="inlineStr"/>
      <c r="Q1028" s="10" t="inlineStr"/>
      <c r="R1028" s="10" t="inlineStr">
        <is>
          <t>2026-03-12</t>
        </is>
      </c>
      <c r="S1028" s="10" t="inlineStr"/>
    </row>
    <row r="1029">
      <c r="A1029" s="3" t="inlineStr">
        <is>
          <t>F01467</t>
        </is>
      </c>
      <c r="B1029" s="4" t="inlineStr">
        <is>
          <t>F01467</t>
        </is>
      </c>
      <c r="C1029" s="4" t="inlineStr"/>
      <c r="D1029" s="4" t="inlineStr"/>
      <c r="E1029" s="3" t="inlineStr">
        <is>
          <t>DOOR - SECURITY STEEL -  2050X960X70MM B</t>
        </is>
      </c>
      <c r="F1029" s="4" t="inlineStr"/>
      <c r="G1029" s="4" t="inlineStr"/>
      <c r="H1029" s="4" t="inlineStr"/>
      <c r="I1029" s="5" t="n">
        <v>1342.35</v>
      </c>
      <c r="J1029" s="6" t="n">
        <v>15</v>
      </c>
      <c r="K1029" s="7">
        <f>IF(I1029="","",I1029*(1+J1029/100))</f>
        <v/>
      </c>
      <c r="L1029" s="12" t="inlineStr"/>
      <c r="M1029" s="8">
        <f>IF(OR(L1029="",K1029="",L1029=0),"",
  (L1029-K1029)/L1029*100)</f>
        <v/>
      </c>
      <c r="N1029" s="9" t="inlineStr"/>
      <c r="O1029" s="4" t="inlineStr"/>
      <c r="P1029" s="4" t="inlineStr"/>
      <c r="Q1029" s="4" t="inlineStr"/>
      <c r="R1029" s="4" t="inlineStr">
        <is>
          <t>2026-03-12</t>
        </is>
      </c>
      <c r="S1029" s="4" t="inlineStr"/>
    </row>
    <row r="1030">
      <c r="A1030" s="10" t="inlineStr">
        <is>
          <t>F01468</t>
        </is>
      </c>
      <c r="B1030" s="10" t="inlineStr">
        <is>
          <t>F01468</t>
        </is>
      </c>
      <c r="C1030" s="10" t="inlineStr"/>
      <c r="D1030" s="10" t="inlineStr"/>
      <c r="E1030" s="10" t="inlineStr">
        <is>
          <t>STEEL SECURITY DOOR -  2050X960X70MM BD5</t>
        </is>
      </c>
      <c r="F1030" s="10" t="inlineStr"/>
      <c r="G1030" s="10" t="inlineStr"/>
      <c r="H1030" s="10" t="inlineStr"/>
      <c r="I1030" s="11" t="n">
        <v>1342.35</v>
      </c>
      <c r="J1030" s="6" t="n">
        <v>15</v>
      </c>
      <c r="K1030" s="7">
        <f>IF(I1030="","",I1030*(1+J1030/100))</f>
        <v/>
      </c>
      <c r="L1030" s="12" t="inlineStr"/>
      <c r="M1030" s="8">
        <f>IF(OR(L1030="",K1030="",L1030=0),"",
  (L1030-K1030)/L1030*100)</f>
        <v/>
      </c>
      <c r="N1030" s="9" t="inlineStr"/>
      <c r="O1030" s="10" t="inlineStr"/>
      <c r="P1030" s="10" t="inlineStr"/>
      <c r="Q1030" s="10" t="inlineStr"/>
      <c r="R1030" s="10" t="inlineStr">
        <is>
          <t>2026-03-12</t>
        </is>
      </c>
      <c r="S1030" s="10" t="inlineStr"/>
    </row>
    <row r="1031">
      <c r="A1031" s="3" t="inlineStr">
        <is>
          <t>F01469</t>
        </is>
      </c>
      <c r="B1031" s="4" t="inlineStr">
        <is>
          <t>F01469</t>
        </is>
      </c>
      <c r="C1031" s="4" t="inlineStr"/>
      <c r="D1031" s="4" t="inlineStr"/>
      <c r="E1031" s="3" t="inlineStr">
        <is>
          <t>DOOR -FANCY ST/STEEL SECURITY-  2050X810</t>
        </is>
      </c>
      <c r="F1031" s="4" t="inlineStr"/>
      <c r="G1031" s="4" t="inlineStr"/>
      <c r="H1031" s="4" t="inlineStr"/>
      <c r="I1031" s="5" t="n">
        <v>2212.46</v>
      </c>
      <c r="J1031" s="6" t="n">
        <v>15</v>
      </c>
      <c r="K1031" s="7">
        <f>IF(I1031="","",I1031*(1+J1031/100))</f>
        <v/>
      </c>
      <c r="L1031" s="12" t="inlineStr"/>
      <c r="M1031" s="8">
        <f>IF(OR(L1031="",K1031="",L1031=0),"",
  (L1031-K1031)/L1031*100)</f>
        <v/>
      </c>
      <c r="N1031" s="14" t="n">
        <v>1</v>
      </c>
      <c r="O1031" s="4" t="inlineStr"/>
      <c r="P1031" s="4" t="inlineStr"/>
      <c r="Q1031" s="4" t="inlineStr"/>
      <c r="R1031" s="4" t="inlineStr">
        <is>
          <t>2026-03-12</t>
        </is>
      </c>
      <c r="S1031" s="4" t="inlineStr"/>
    </row>
    <row r="1032">
      <c r="A1032" s="10" t="inlineStr">
        <is>
          <t>F01470</t>
        </is>
      </c>
      <c r="B1032" s="10" t="inlineStr">
        <is>
          <t>F01470</t>
        </is>
      </c>
      <c r="C1032" s="10" t="inlineStr"/>
      <c r="D1032" s="10" t="inlineStr"/>
      <c r="E1032" s="10" t="inlineStr">
        <is>
          <t>DOOR - SECURITY STEEL - 2050X960X70MM BD</t>
        </is>
      </c>
      <c r="F1032" s="10" t="inlineStr"/>
      <c r="G1032" s="10" t="inlineStr"/>
      <c r="H1032" s="10" t="inlineStr"/>
      <c r="I1032" s="11" t="n">
        <v>1695</v>
      </c>
      <c r="J1032" s="6" t="n">
        <v>15</v>
      </c>
      <c r="K1032" s="7">
        <f>IF(I1032="","",I1032*(1+J1032/100))</f>
        <v/>
      </c>
      <c r="L1032" s="12" t="inlineStr"/>
      <c r="M1032" s="8">
        <f>IF(OR(L1032="",K1032="",L1032=0),"",
  (L1032-K1032)/L1032*100)</f>
        <v/>
      </c>
      <c r="N1032" s="9" t="inlineStr"/>
      <c r="O1032" s="10" t="inlineStr"/>
      <c r="P1032" s="10" t="inlineStr"/>
      <c r="Q1032" s="10" t="inlineStr"/>
      <c r="R1032" s="10" t="inlineStr">
        <is>
          <t>2026-03-12</t>
        </is>
      </c>
      <c r="S1032" s="10" t="inlineStr"/>
    </row>
    <row r="1033">
      <c r="A1033" s="3" t="inlineStr">
        <is>
          <t>F01471</t>
        </is>
      </c>
      <c r="B1033" s="4" t="inlineStr">
        <is>
          <t>F01471</t>
        </is>
      </c>
      <c r="C1033" s="4" t="inlineStr"/>
      <c r="D1033" s="4" t="inlineStr"/>
      <c r="E1033" s="3" t="inlineStr">
        <is>
          <t>DOOR -FANCY ST/STEEL SECURITY  2050X810X</t>
        </is>
      </c>
      <c r="F1033" s="4" t="inlineStr"/>
      <c r="G1033" s="4" t="inlineStr"/>
      <c r="H1033" s="4" t="inlineStr"/>
      <c r="I1033" s="5" t="n">
        <v>3695</v>
      </c>
      <c r="J1033" s="6" t="n">
        <v>15</v>
      </c>
      <c r="K1033" s="7">
        <f>IF(I1033="","",I1033*(1+J1033/100))</f>
        <v/>
      </c>
      <c r="L1033" s="12" t="inlineStr"/>
      <c r="M1033" s="8">
        <f>IF(OR(L1033="",K1033="",L1033=0),"",
  (L1033-K1033)/L1033*100)</f>
        <v/>
      </c>
      <c r="N1033" s="14" t="n">
        <v>1</v>
      </c>
      <c r="O1033" s="4" t="inlineStr"/>
      <c r="P1033" s="4" t="inlineStr"/>
      <c r="Q1033" s="4" t="inlineStr"/>
      <c r="R1033" s="4" t="inlineStr">
        <is>
          <t>2026-03-12</t>
        </is>
      </c>
      <c r="S1033" s="4" t="inlineStr"/>
    </row>
    <row r="1034">
      <c r="A1034" s="10" t="inlineStr">
        <is>
          <t>F01472</t>
        </is>
      </c>
      <c r="B1034" s="10" t="inlineStr">
        <is>
          <t>F01472</t>
        </is>
      </c>
      <c r="C1034" s="10" t="inlineStr"/>
      <c r="D1034" s="10" t="inlineStr"/>
      <c r="E1034" s="10" t="inlineStr">
        <is>
          <t>DOOR -FANCY ST/STEEL SECURITY -  2050X81</t>
        </is>
      </c>
      <c r="F1034" s="10" t="inlineStr"/>
      <c r="G1034" s="10" t="inlineStr"/>
      <c r="H1034" s="10" t="inlineStr"/>
      <c r="I1034" s="11" t="n">
        <v>2169</v>
      </c>
      <c r="J1034" s="6" t="n">
        <v>15</v>
      </c>
      <c r="K1034" s="7">
        <f>IF(I1034="","",I1034*(1+J1034/100))</f>
        <v/>
      </c>
      <c r="L1034" s="12" t="inlineStr"/>
      <c r="M1034" s="8">
        <f>IF(OR(L1034="",K1034="",L1034=0),"",
  (L1034-K1034)/L1034*100)</f>
        <v/>
      </c>
      <c r="N1034" s="9" t="inlineStr"/>
      <c r="O1034" s="10" t="inlineStr"/>
      <c r="P1034" s="10" t="inlineStr"/>
      <c r="Q1034" s="10" t="inlineStr"/>
      <c r="R1034" s="10" t="inlineStr">
        <is>
          <t>2026-03-12</t>
        </is>
      </c>
      <c r="S1034" s="10" t="inlineStr"/>
    </row>
    <row r="1035">
      <c r="A1035" s="3" t="inlineStr">
        <is>
          <t>F01473</t>
        </is>
      </c>
      <c r="B1035" s="4" t="inlineStr">
        <is>
          <t>F01473</t>
        </is>
      </c>
      <c r="C1035" s="4" t="inlineStr"/>
      <c r="D1035" s="4" t="inlineStr">
        <is>
          <t>6009677013607</t>
        </is>
      </c>
      <c r="E1035" s="3" t="inlineStr">
        <is>
          <t>BOWL 6'' ROUND DECAL PORC 816-1</t>
        </is>
      </c>
      <c r="F1035" s="4" t="inlineStr"/>
      <c r="G1035" s="4" t="inlineStr"/>
      <c r="H1035" s="4" t="inlineStr"/>
      <c r="I1035" s="5" t="n">
        <v>8.949999999999999</v>
      </c>
      <c r="J1035" s="6" t="n">
        <v>15</v>
      </c>
      <c r="K1035" s="7">
        <f>IF(I1035="","",I1035*(1+J1035/100))</f>
        <v/>
      </c>
      <c r="L1035" s="12" t="inlineStr"/>
      <c r="M1035" s="8">
        <f>IF(OR(L1035="",K1035="",L1035=0),"",
  (L1035-K1035)/L1035*100)</f>
        <v/>
      </c>
      <c r="N1035" s="14" t="n">
        <v>7810</v>
      </c>
      <c r="O1035" s="4" t="inlineStr"/>
      <c r="P1035" s="4" t="inlineStr"/>
      <c r="Q1035" s="4" t="inlineStr"/>
      <c r="R1035" s="4" t="inlineStr">
        <is>
          <t>2026-03-12</t>
        </is>
      </c>
      <c r="S1035" s="4" t="inlineStr"/>
    </row>
    <row r="1036">
      <c r="A1036" s="10" t="inlineStr">
        <is>
          <t>F01474</t>
        </is>
      </c>
      <c r="B1036" s="10" t="inlineStr">
        <is>
          <t>F01474</t>
        </is>
      </c>
      <c r="C1036" s="10" t="inlineStr"/>
      <c r="D1036" s="10" t="inlineStr">
        <is>
          <t>6009677013614</t>
        </is>
      </c>
      <c r="E1036" s="10" t="inlineStr">
        <is>
          <t>BOWL 8'' ROUND DECAL PORC 816-2</t>
        </is>
      </c>
      <c r="F1036" s="10" t="inlineStr"/>
      <c r="G1036" s="10" t="inlineStr"/>
      <c r="H1036" s="10" t="inlineStr"/>
      <c r="I1036" s="11" t="n">
        <v>12.95</v>
      </c>
      <c r="J1036" s="6" t="n">
        <v>15</v>
      </c>
      <c r="K1036" s="7">
        <f>IF(I1036="","",I1036*(1+J1036/100))</f>
        <v/>
      </c>
      <c r="L1036" s="12" t="inlineStr"/>
      <c r="M1036" s="8">
        <f>IF(OR(L1036="",K1036="",L1036=0),"",
  (L1036-K1036)/L1036*100)</f>
        <v/>
      </c>
      <c r="N1036" s="13" t="n">
        <v>6152</v>
      </c>
      <c r="O1036" s="10" t="inlineStr"/>
      <c r="P1036" s="10" t="inlineStr"/>
      <c r="Q1036" s="10" t="inlineStr"/>
      <c r="R1036" s="10" t="inlineStr">
        <is>
          <t>2026-03-12</t>
        </is>
      </c>
      <c r="S1036" s="10" t="inlineStr"/>
    </row>
    <row r="1037">
      <c r="A1037" s="3" t="inlineStr">
        <is>
          <t>F01475</t>
        </is>
      </c>
      <c r="B1037" s="4" t="inlineStr">
        <is>
          <t>F01475</t>
        </is>
      </c>
      <c r="C1037" s="4" t="inlineStr"/>
      <c r="D1037" s="4" t="inlineStr"/>
      <c r="E1037" s="3" t="inlineStr">
        <is>
          <t>PEEL &amp; STICK TILES</t>
        </is>
      </c>
      <c r="F1037" s="4" t="inlineStr"/>
      <c r="G1037" s="4" t="inlineStr"/>
      <c r="H1037" s="4" t="inlineStr"/>
      <c r="I1037" s="5" t="n">
        <v>199</v>
      </c>
      <c r="J1037" s="6" t="n">
        <v>15</v>
      </c>
      <c r="K1037" s="7">
        <f>IF(I1037="","",I1037*(1+J1037/100))</f>
        <v/>
      </c>
      <c r="L1037" s="12" t="inlineStr"/>
      <c r="M1037" s="8">
        <f>IF(OR(L1037="",K1037="",L1037=0),"",
  (L1037-K1037)/L1037*100)</f>
        <v/>
      </c>
      <c r="N1037" s="9" t="inlineStr"/>
      <c r="O1037" s="4" t="inlineStr"/>
      <c r="P1037" s="4" t="inlineStr"/>
      <c r="Q1037" s="4" t="inlineStr"/>
      <c r="R1037" s="4" t="inlineStr">
        <is>
          <t>2026-03-12</t>
        </is>
      </c>
      <c r="S1037" s="4" t="inlineStr"/>
    </row>
    <row r="1038">
      <c r="A1038" s="10" t="inlineStr">
        <is>
          <t>F01476</t>
        </is>
      </c>
      <c r="B1038" s="10" t="inlineStr">
        <is>
          <t>F01476</t>
        </is>
      </c>
      <c r="C1038" s="10" t="inlineStr"/>
      <c r="D1038" s="10" t="inlineStr"/>
      <c r="E1038" s="10" t="inlineStr">
        <is>
          <t>PEEL &amp; STICK TILES</t>
        </is>
      </c>
      <c r="F1038" s="10" t="inlineStr"/>
      <c r="G1038" s="10" t="inlineStr"/>
      <c r="H1038" s="10" t="inlineStr"/>
      <c r="I1038" s="11" t="n">
        <v>225</v>
      </c>
      <c r="J1038" s="6" t="n">
        <v>15</v>
      </c>
      <c r="K1038" s="7">
        <f>IF(I1038="","",I1038*(1+J1038/100))</f>
        <v/>
      </c>
      <c r="L1038" s="12" t="inlineStr"/>
      <c r="M1038" s="8">
        <f>IF(OR(L1038="",K1038="",L1038=0),"",
  (L1038-K1038)/L1038*100)</f>
        <v/>
      </c>
      <c r="N1038" s="9" t="inlineStr"/>
      <c r="O1038" s="10" t="inlineStr"/>
      <c r="P1038" s="10" t="inlineStr"/>
      <c r="Q1038" s="10" t="inlineStr"/>
      <c r="R1038" s="10" t="inlineStr">
        <is>
          <t>2026-03-12</t>
        </is>
      </c>
      <c r="S1038" s="10" t="inlineStr"/>
    </row>
    <row r="1039">
      <c r="A1039" s="3" t="inlineStr">
        <is>
          <t>F01477</t>
        </is>
      </c>
      <c r="B1039" s="4" t="inlineStr">
        <is>
          <t>F01477</t>
        </is>
      </c>
      <c r="C1039" s="4" t="inlineStr"/>
      <c r="D1039" s="4" t="inlineStr"/>
      <c r="E1039" s="3" t="inlineStr">
        <is>
          <t>PEEL &amp; STICK TILES</t>
        </is>
      </c>
      <c r="F1039" s="4" t="inlineStr"/>
      <c r="G1039" s="4" t="inlineStr"/>
      <c r="H1039" s="4" t="inlineStr"/>
      <c r="I1039" s="5" t="n">
        <v>134.41</v>
      </c>
      <c r="J1039" s="6" t="n">
        <v>15</v>
      </c>
      <c r="K1039" s="7">
        <f>IF(I1039="","",I1039*(1+J1039/100))</f>
        <v/>
      </c>
      <c r="L1039" s="12" t="inlineStr"/>
      <c r="M1039" s="8">
        <f>IF(OR(L1039="",K1039="",L1039=0),"",
  (L1039-K1039)/L1039*100)</f>
        <v/>
      </c>
      <c r="N1039" s="9" t="inlineStr"/>
      <c r="O1039" s="4" t="inlineStr"/>
      <c r="P1039" s="4" t="inlineStr"/>
      <c r="Q1039" s="4" t="inlineStr"/>
      <c r="R1039" s="4" t="inlineStr">
        <is>
          <t>2026-03-12</t>
        </is>
      </c>
      <c r="S1039" s="4" t="inlineStr"/>
    </row>
    <row r="1040">
      <c r="A1040" s="10" t="inlineStr">
        <is>
          <t>F01478</t>
        </is>
      </c>
      <c r="B1040" s="10" t="inlineStr">
        <is>
          <t>F01478</t>
        </is>
      </c>
      <c r="C1040" s="10" t="inlineStr"/>
      <c r="D1040" s="10" t="inlineStr">
        <is>
          <t>6009677012402</t>
        </is>
      </c>
      <c r="E1040" s="10" t="inlineStr">
        <is>
          <t>PEEL &amp; STICK TILES</t>
        </is>
      </c>
      <c r="F1040" s="10" t="inlineStr"/>
      <c r="G1040" s="10" t="inlineStr"/>
      <c r="H1040" s="10" t="inlineStr"/>
      <c r="I1040" s="11" t="n">
        <v>225</v>
      </c>
      <c r="J1040" s="6" t="n">
        <v>15</v>
      </c>
      <c r="K1040" s="7">
        <f>IF(I1040="","",I1040*(1+J1040/100))</f>
        <v/>
      </c>
      <c r="L1040" s="12" t="inlineStr"/>
      <c r="M1040" s="8">
        <f>IF(OR(L1040="",K1040="",L1040=0),"",
  (L1040-K1040)/L1040*100)</f>
        <v/>
      </c>
      <c r="N1040" s="9" t="inlineStr"/>
      <c r="O1040" s="10" t="inlineStr"/>
      <c r="P1040" s="10" t="inlineStr"/>
      <c r="Q1040" s="10" t="inlineStr"/>
      <c r="R1040" s="10" t="inlineStr">
        <is>
          <t>2026-03-12</t>
        </is>
      </c>
      <c r="S1040" s="10" t="inlineStr"/>
    </row>
    <row r="1041">
      <c r="A1041" s="3" t="inlineStr">
        <is>
          <t>F01479</t>
        </is>
      </c>
      <c r="B1041" s="4" t="inlineStr">
        <is>
          <t>F01479</t>
        </is>
      </c>
      <c r="C1041" s="4" t="inlineStr"/>
      <c r="D1041" s="4" t="inlineStr"/>
      <c r="E1041" s="3" t="inlineStr">
        <is>
          <t>PEEL &amp; STICK TILES</t>
        </is>
      </c>
      <c r="F1041" s="4" t="inlineStr"/>
      <c r="G1041" s="4" t="inlineStr"/>
      <c r="H1041" s="4" t="inlineStr"/>
      <c r="I1041" s="5" t="n">
        <v>169</v>
      </c>
      <c r="J1041" s="6" t="n">
        <v>15</v>
      </c>
      <c r="K1041" s="7">
        <f>IF(I1041="","",I1041*(1+J1041/100))</f>
        <v/>
      </c>
      <c r="L1041" s="12" t="inlineStr"/>
      <c r="M1041" s="8">
        <f>IF(OR(L1041="",K1041="",L1041=0),"",
  (L1041-K1041)/L1041*100)</f>
        <v/>
      </c>
      <c r="N1041" s="9" t="inlineStr"/>
      <c r="O1041" s="4" t="inlineStr"/>
      <c r="P1041" s="4" t="inlineStr"/>
      <c r="Q1041" s="4" t="inlineStr"/>
      <c r="R1041" s="4" t="inlineStr">
        <is>
          <t>2026-03-12</t>
        </is>
      </c>
      <c r="S1041" s="4" t="inlineStr"/>
    </row>
    <row r="1042">
      <c r="A1042" s="10" t="inlineStr">
        <is>
          <t>F01480</t>
        </is>
      </c>
      <c r="B1042" s="10" t="inlineStr">
        <is>
          <t>F01480</t>
        </is>
      </c>
      <c r="C1042" s="10" t="inlineStr"/>
      <c r="D1042" s="10" t="inlineStr"/>
      <c r="E1042" s="10" t="inlineStr">
        <is>
          <t>PEEL &amp; STICK TILES</t>
        </is>
      </c>
      <c r="F1042" s="10" t="inlineStr"/>
      <c r="G1042" s="10" t="inlineStr"/>
      <c r="H1042" s="10" t="inlineStr"/>
      <c r="I1042" s="11" t="n">
        <v>133.82</v>
      </c>
      <c r="J1042" s="6" t="n">
        <v>15</v>
      </c>
      <c r="K1042" s="7">
        <f>IF(I1042="","",I1042*(1+J1042/100))</f>
        <v/>
      </c>
      <c r="L1042" s="12" t="inlineStr"/>
      <c r="M1042" s="8">
        <f>IF(OR(L1042="",K1042="",L1042=0),"",
  (L1042-K1042)/L1042*100)</f>
        <v/>
      </c>
      <c r="N1042" s="9" t="inlineStr"/>
      <c r="O1042" s="10" t="inlineStr"/>
      <c r="P1042" s="10" t="inlineStr"/>
      <c r="Q1042" s="10" t="inlineStr"/>
      <c r="R1042" s="10" t="inlineStr">
        <is>
          <t>2026-03-12</t>
        </is>
      </c>
      <c r="S1042" s="10" t="inlineStr"/>
    </row>
    <row r="1043">
      <c r="A1043" s="3" t="inlineStr">
        <is>
          <t>F01481</t>
        </is>
      </c>
      <c r="B1043" s="4" t="inlineStr">
        <is>
          <t>F01481</t>
        </is>
      </c>
      <c r="C1043" s="4" t="inlineStr"/>
      <c r="D1043" s="4" t="inlineStr"/>
      <c r="E1043" s="3" t="inlineStr">
        <is>
          <t>PEEL &amp; STICK TILES</t>
        </is>
      </c>
      <c r="F1043" s="4" t="inlineStr"/>
      <c r="G1043" s="4" t="inlineStr"/>
      <c r="H1043" s="4" t="inlineStr"/>
      <c r="I1043" s="5" t="n">
        <v>199</v>
      </c>
      <c r="J1043" s="6" t="n">
        <v>15</v>
      </c>
      <c r="K1043" s="7">
        <f>IF(I1043="","",I1043*(1+J1043/100))</f>
        <v/>
      </c>
      <c r="L1043" s="12" t="inlineStr"/>
      <c r="M1043" s="8">
        <f>IF(OR(L1043="",K1043="",L1043=0),"",
  (L1043-K1043)/L1043*100)</f>
        <v/>
      </c>
      <c r="N1043" s="9" t="inlineStr"/>
      <c r="O1043" s="4" t="inlineStr"/>
      <c r="P1043" s="4" t="inlineStr"/>
      <c r="Q1043" s="4" t="inlineStr"/>
      <c r="R1043" s="4" t="inlineStr">
        <is>
          <t>2026-03-12</t>
        </is>
      </c>
      <c r="S1043" s="4" t="inlineStr"/>
    </row>
    <row r="1044">
      <c r="A1044" s="10" t="inlineStr">
        <is>
          <t>F01482</t>
        </is>
      </c>
      <c r="B1044" s="10" t="inlineStr">
        <is>
          <t>F01482</t>
        </is>
      </c>
      <c r="C1044" s="10" t="inlineStr"/>
      <c r="D1044" s="10" t="inlineStr">
        <is>
          <t>6009677012372</t>
        </is>
      </c>
      <c r="E1044" s="10" t="inlineStr">
        <is>
          <t>PEEL &amp; STICK TILES</t>
        </is>
      </c>
      <c r="F1044" s="10" t="inlineStr"/>
      <c r="G1044" s="10" t="inlineStr"/>
      <c r="H1044" s="10" t="inlineStr"/>
      <c r="I1044" s="11" t="n">
        <v>133.61</v>
      </c>
      <c r="J1044" s="6" t="n">
        <v>15</v>
      </c>
      <c r="K1044" s="7">
        <f>IF(I1044="","",I1044*(1+J1044/100))</f>
        <v/>
      </c>
      <c r="L1044" s="12" t="inlineStr"/>
      <c r="M1044" s="8">
        <f>IF(OR(L1044="",K1044="",L1044=0),"",
  (L1044-K1044)/L1044*100)</f>
        <v/>
      </c>
      <c r="N1044" s="9" t="inlineStr"/>
      <c r="O1044" s="10" t="inlineStr"/>
      <c r="P1044" s="10" t="inlineStr"/>
      <c r="Q1044" s="10" t="inlineStr"/>
      <c r="R1044" s="10" t="inlineStr">
        <is>
          <t>2026-03-12</t>
        </is>
      </c>
      <c r="S1044" s="10" t="inlineStr"/>
    </row>
    <row r="1045">
      <c r="A1045" s="3" t="inlineStr">
        <is>
          <t>F01483</t>
        </is>
      </c>
      <c r="B1045" s="4" t="inlineStr">
        <is>
          <t>F01483</t>
        </is>
      </c>
      <c r="C1045" s="4" t="inlineStr"/>
      <c r="D1045" s="4" t="inlineStr">
        <is>
          <t>6009677012105</t>
        </is>
      </c>
      <c r="E1045" s="3" t="inlineStr">
        <is>
          <t>CORNICE POLYURETHANE  2.4MX11CM PLS-PU-C</t>
        </is>
      </c>
      <c r="F1045" s="4" t="inlineStr"/>
      <c r="G1045" s="4" t="inlineStr"/>
      <c r="H1045" s="4" t="inlineStr"/>
      <c r="I1045" s="5" t="n">
        <v>45.95</v>
      </c>
      <c r="J1045" s="6" t="n">
        <v>15</v>
      </c>
      <c r="K1045" s="7">
        <f>IF(I1045="","",I1045*(1+J1045/100))</f>
        <v/>
      </c>
      <c r="L1045" s="12" t="inlineStr"/>
      <c r="M1045" s="8">
        <f>IF(OR(L1045="",K1045="",L1045=0),"",
  (L1045-K1045)/L1045*100)</f>
        <v/>
      </c>
      <c r="N1045" s="9" t="inlineStr"/>
      <c r="O1045" s="4" t="inlineStr"/>
      <c r="P1045" s="4" t="inlineStr"/>
      <c r="Q1045" s="4" t="inlineStr"/>
      <c r="R1045" s="4" t="inlineStr">
        <is>
          <t>2026-03-12</t>
        </is>
      </c>
      <c r="S1045" s="4" t="inlineStr"/>
    </row>
    <row r="1046">
      <c r="A1046" s="10" t="inlineStr">
        <is>
          <t>F01484</t>
        </is>
      </c>
      <c r="B1046" s="10" t="inlineStr">
        <is>
          <t>F01484</t>
        </is>
      </c>
      <c r="C1046" s="10" t="inlineStr"/>
      <c r="D1046" s="10" t="inlineStr">
        <is>
          <t>6009677012310</t>
        </is>
      </c>
      <c r="E1046" s="10" t="inlineStr">
        <is>
          <t>CORNICE POLYURETHANE  2.4MX9.2CM PLS-PU-</t>
        </is>
      </c>
      <c r="F1046" s="10" t="inlineStr"/>
      <c r="G1046" s="10" t="inlineStr"/>
      <c r="H1046" s="10" t="inlineStr"/>
      <c r="I1046" s="11" t="n">
        <v>35.82</v>
      </c>
      <c r="J1046" s="6" t="n">
        <v>15</v>
      </c>
      <c r="K1046" s="7">
        <f>IF(I1046="","",I1046*(1+J1046/100))</f>
        <v/>
      </c>
      <c r="L1046" s="12" t="inlineStr"/>
      <c r="M1046" s="8">
        <f>IF(OR(L1046="",K1046="",L1046=0),"",
  (L1046-K1046)/L1046*100)</f>
        <v/>
      </c>
      <c r="N1046" s="9" t="inlineStr"/>
      <c r="O1046" s="10" t="inlineStr"/>
      <c r="P1046" s="10" t="inlineStr"/>
      <c r="Q1046" s="10" t="inlineStr"/>
      <c r="R1046" s="10" t="inlineStr">
        <is>
          <t>2026-03-12</t>
        </is>
      </c>
      <c r="S1046" s="10" t="inlineStr"/>
    </row>
    <row r="1047">
      <c r="A1047" s="3" t="inlineStr">
        <is>
          <t>F01485</t>
        </is>
      </c>
      <c r="B1047" s="4" t="inlineStr">
        <is>
          <t>F01485</t>
        </is>
      </c>
      <c r="C1047" s="4" t="inlineStr"/>
      <c r="D1047" s="4" t="inlineStr"/>
      <c r="E1047" s="3" t="inlineStr">
        <is>
          <t>MEDALLION POLYURETHANE 300M PLS-PU-MD008</t>
        </is>
      </c>
      <c r="F1047" s="4" t="inlineStr"/>
      <c r="G1047" s="4" t="inlineStr"/>
      <c r="H1047" s="4" t="inlineStr"/>
      <c r="I1047" s="5" t="n">
        <v>54.95</v>
      </c>
      <c r="J1047" s="6" t="n">
        <v>15</v>
      </c>
      <c r="K1047" s="7">
        <f>IF(I1047="","",I1047*(1+J1047/100))</f>
        <v/>
      </c>
      <c r="L1047" s="12" t="inlineStr"/>
      <c r="M1047" s="8">
        <f>IF(OR(L1047="",K1047="",L1047=0),"",
  (L1047-K1047)/L1047*100)</f>
        <v/>
      </c>
      <c r="N1047" s="9" t="inlineStr"/>
      <c r="O1047" s="4" t="inlineStr"/>
      <c r="P1047" s="4" t="inlineStr"/>
      <c r="Q1047" s="4" t="inlineStr"/>
      <c r="R1047" s="4" t="inlineStr">
        <is>
          <t>2026-03-12</t>
        </is>
      </c>
      <c r="S1047" s="4" t="inlineStr"/>
    </row>
    <row r="1048">
      <c r="A1048" s="10" t="inlineStr">
        <is>
          <t>F01486</t>
        </is>
      </c>
      <c r="B1048" s="10" t="inlineStr">
        <is>
          <t>F01486</t>
        </is>
      </c>
      <c r="C1048" s="10" t="inlineStr"/>
      <c r="D1048" s="10" t="inlineStr">
        <is>
          <t>6009677012303</t>
        </is>
      </c>
      <c r="E1048" s="10" t="inlineStr">
        <is>
          <t>DADU RAIL POLYURETHANE  2.4MX5.1CM PLS-P</t>
        </is>
      </c>
      <c r="F1048" s="10" t="inlineStr"/>
      <c r="G1048" s="10" t="inlineStr"/>
      <c r="H1048" s="10" t="inlineStr"/>
      <c r="I1048" s="11" t="n">
        <v>26.39</v>
      </c>
      <c r="J1048" s="6" t="n">
        <v>15</v>
      </c>
      <c r="K1048" s="7">
        <f>IF(I1048="","",I1048*(1+J1048/100))</f>
        <v/>
      </c>
      <c r="L1048" s="12" t="inlineStr"/>
      <c r="M1048" s="8">
        <f>IF(OR(L1048="",K1048="",L1048=0),"",
  (L1048-K1048)/L1048*100)</f>
        <v/>
      </c>
      <c r="N1048" s="9" t="inlineStr"/>
      <c r="O1048" s="10" t="inlineStr"/>
      <c r="P1048" s="10" t="inlineStr"/>
      <c r="Q1048" s="10" t="inlineStr"/>
      <c r="R1048" s="10" t="inlineStr">
        <is>
          <t>2026-03-12</t>
        </is>
      </c>
      <c r="S1048" s="10" t="inlineStr"/>
    </row>
    <row r="1049">
      <c r="A1049" s="3" t="inlineStr">
        <is>
          <t>F01487</t>
        </is>
      </c>
      <c r="B1049" s="4" t="inlineStr">
        <is>
          <t>F01487</t>
        </is>
      </c>
      <c r="C1049" s="4" t="inlineStr"/>
      <c r="D1049" s="4" t="inlineStr">
        <is>
          <t>6009677012273</t>
        </is>
      </c>
      <c r="E1049" s="3" t="inlineStr">
        <is>
          <t>CORNICE POLYURETHANE  2.4MX10.2CM PLS-PU</t>
        </is>
      </c>
      <c r="F1049" s="4" t="inlineStr"/>
      <c r="G1049" s="4" t="inlineStr"/>
      <c r="H1049" s="4" t="inlineStr"/>
      <c r="I1049" s="5" t="n">
        <v>35.82</v>
      </c>
      <c r="J1049" s="6" t="n">
        <v>15</v>
      </c>
      <c r="K1049" s="7">
        <f>IF(I1049="","",I1049*(1+J1049/100))</f>
        <v/>
      </c>
      <c r="L1049" s="12" t="inlineStr"/>
      <c r="M1049" s="8">
        <f>IF(OR(L1049="",K1049="",L1049=0),"",
  (L1049-K1049)/L1049*100)</f>
        <v/>
      </c>
      <c r="N1049" s="9" t="inlineStr"/>
      <c r="O1049" s="4" t="inlineStr"/>
      <c r="P1049" s="4" t="inlineStr"/>
      <c r="Q1049" s="4" t="inlineStr"/>
      <c r="R1049" s="4" t="inlineStr">
        <is>
          <t>2026-03-12</t>
        </is>
      </c>
      <c r="S1049" s="4" t="inlineStr"/>
    </row>
    <row r="1050">
      <c r="A1050" s="10" t="inlineStr">
        <is>
          <t>F01488</t>
        </is>
      </c>
      <c r="B1050" s="10" t="inlineStr">
        <is>
          <t>F01488</t>
        </is>
      </c>
      <c r="C1050" s="10" t="inlineStr"/>
      <c r="D1050" s="10" t="inlineStr">
        <is>
          <t>6009677012266</t>
        </is>
      </c>
      <c r="E1050" s="10" t="inlineStr">
        <is>
          <t>CORNICE POLYURETHANE  2.4MX10.6CM PLS-PU</t>
        </is>
      </c>
      <c r="F1050" s="10" t="inlineStr"/>
      <c r="G1050" s="10" t="inlineStr"/>
      <c r="H1050" s="10" t="inlineStr"/>
      <c r="I1050" s="11" t="n">
        <v>39.81</v>
      </c>
      <c r="J1050" s="6" t="n">
        <v>15</v>
      </c>
      <c r="K1050" s="7">
        <f>IF(I1050="","",I1050*(1+J1050/100))</f>
        <v/>
      </c>
      <c r="L1050" s="12" t="inlineStr"/>
      <c r="M1050" s="8">
        <f>IF(OR(L1050="",K1050="",L1050=0),"",
  (L1050-K1050)/L1050*100)</f>
        <v/>
      </c>
      <c r="N1050" s="9" t="inlineStr"/>
      <c r="O1050" s="10" t="inlineStr"/>
      <c r="P1050" s="10" t="inlineStr"/>
      <c r="Q1050" s="10" t="inlineStr"/>
      <c r="R1050" s="10" t="inlineStr">
        <is>
          <t>2026-03-12</t>
        </is>
      </c>
      <c r="S1050" s="10" t="inlineStr"/>
    </row>
    <row r="1051">
      <c r="A1051" s="3" t="inlineStr">
        <is>
          <t>F01489</t>
        </is>
      </c>
      <c r="B1051" s="4" t="inlineStr">
        <is>
          <t>F01489</t>
        </is>
      </c>
      <c r="C1051" s="4" t="inlineStr"/>
      <c r="D1051" s="4" t="inlineStr">
        <is>
          <t>6009677012297</t>
        </is>
      </c>
      <c r="E1051" s="3" t="inlineStr">
        <is>
          <t>DADU RAIL POLYURETHANE  2.4MX2.7CM PLS-P</t>
        </is>
      </c>
      <c r="F1051" s="4" t="inlineStr"/>
      <c r="G1051" s="4" t="inlineStr"/>
      <c r="H1051" s="4" t="inlineStr"/>
      <c r="I1051" s="5" t="n">
        <v>29.95</v>
      </c>
      <c r="J1051" s="6" t="n">
        <v>15</v>
      </c>
      <c r="K1051" s="7">
        <f>IF(I1051="","",I1051*(1+J1051/100))</f>
        <v/>
      </c>
      <c r="L1051" s="12" t="inlineStr"/>
      <c r="M1051" s="8">
        <f>IF(OR(L1051="",K1051="",L1051=0),"",
  (L1051-K1051)/L1051*100)</f>
        <v/>
      </c>
      <c r="N1051" s="9" t="inlineStr"/>
      <c r="O1051" s="4" t="inlineStr"/>
      <c r="P1051" s="4" t="inlineStr"/>
      <c r="Q1051" s="4" t="inlineStr"/>
      <c r="R1051" s="4" t="inlineStr">
        <is>
          <t>2026-03-12</t>
        </is>
      </c>
      <c r="S1051" s="4" t="inlineStr"/>
    </row>
    <row r="1052">
      <c r="A1052" s="10" t="inlineStr">
        <is>
          <t>F01490</t>
        </is>
      </c>
      <c r="B1052" s="10" t="inlineStr">
        <is>
          <t>F01490</t>
        </is>
      </c>
      <c r="C1052" s="10" t="inlineStr"/>
      <c r="D1052" s="10" t="inlineStr">
        <is>
          <t>6009677012334</t>
        </is>
      </c>
      <c r="E1052" s="10" t="inlineStr">
        <is>
          <t>DADU RAIL POLYURETHANE  2.4MX4.2CM PLS-P</t>
        </is>
      </c>
      <c r="F1052" s="10" t="inlineStr"/>
      <c r="G1052" s="10" t="inlineStr"/>
      <c r="H1052" s="10" t="inlineStr"/>
      <c r="I1052" s="11" t="n">
        <v>29.95</v>
      </c>
      <c r="J1052" s="6" t="n">
        <v>15</v>
      </c>
      <c r="K1052" s="7">
        <f>IF(I1052="","",I1052*(1+J1052/100))</f>
        <v/>
      </c>
      <c r="L1052" s="12" t="inlineStr"/>
      <c r="M1052" s="8">
        <f>IF(OR(L1052="",K1052="",L1052=0),"",
  (L1052-K1052)/L1052*100)</f>
        <v/>
      </c>
      <c r="N1052" s="9" t="inlineStr"/>
      <c r="O1052" s="10" t="inlineStr"/>
      <c r="P1052" s="10" t="inlineStr"/>
      <c r="Q1052" s="10" t="inlineStr"/>
      <c r="R1052" s="10" t="inlineStr">
        <is>
          <t>2026-03-12</t>
        </is>
      </c>
      <c r="S1052" s="10" t="inlineStr"/>
    </row>
    <row r="1053">
      <c r="A1053" s="3" t="inlineStr">
        <is>
          <t>F01491</t>
        </is>
      </c>
      <c r="B1053" s="4" t="inlineStr">
        <is>
          <t>F01491</t>
        </is>
      </c>
      <c r="C1053" s="4" t="inlineStr"/>
      <c r="D1053" s="4" t="inlineStr">
        <is>
          <t>6009677012327</t>
        </is>
      </c>
      <c r="E1053" s="3" t="inlineStr">
        <is>
          <t>CORNICE POLYURETHANE  2.4MX11.5CM PLS-PU</t>
        </is>
      </c>
      <c r="F1053" s="4" t="inlineStr"/>
      <c r="G1053" s="4" t="inlineStr"/>
      <c r="H1053" s="4" t="inlineStr"/>
      <c r="I1053" s="5" t="n">
        <v>45.95</v>
      </c>
      <c r="J1053" s="6" t="n">
        <v>15</v>
      </c>
      <c r="K1053" s="7">
        <f>IF(I1053="","",I1053*(1+J1053/100))</f>
        <v/>
      </c>
      <c r="L1053" s="12" t="inlineStr"/>
      <c r="M1053" s="8">
        <f>IF(OR(L1053="",K1053="",L1053=0),"",
  (L1053-K1053)/L1053*100)</f>
        <v/>
      </c>
      <c r="N1053" s="9" t="inlineStr"/>
      <c r="O1053" s="4" t="inlineStr"/>
      <c r="P1053" s="4" t="inlineStr"/>
      <c r="Q1053" s="4" t="inlineStr"/>
      <c r="R1053" s="4" t="inlineStr">
        <is>
          <t>2026-03-12</t>
        </is>
      </c>
      <c r="S1053" s="4" t="inlineStr"/>
    </row>
    <row r="1054">
      <c r="A1054" s="10" t="inlineStr">
        <is>
          <t>F01492</t>
        </is>
      </c>
      <c r="B1054" s="10" t="inlineStr">
        <is>
          <t>F01492</t>
        </is>
      </c>
      <c r="C1054" s="10" t="inlineStr"/>
      <c r="D1054" s="10" t="inlineStr">
        <is>
          <t>6009677012099</t>
        </is>
      </c>
      <c r="E1054" s="10" t="inlineStr">
        <is>
          <t>CORNICE POLYURETHANE  2.4MX11CM PLS-PU-C</t>
        </is>
      </c>
      <c r="F1054" s="10" t="inlineStr"/>
      <c r="G1054" s="10" t="inlineStr"/>
      <c r="H1054" s="10" t="inlineStr"/>
      <c r="I1054" s="11" t="n">
        <v>45.95</v>
      </c>
      <c r="J1054" s="6" t="n">
        <v>15</v>
      </c>
      <c r="K1054" s="7">
        <f>IF(I1054="","",I1054*(1+J1054/100))</f>
        <v/>
      </c>
      <c r="L1054" s="12" t="inlineStr"/>
      <c r="M1054" s="8">
        <f>IF(OR(L1054="",K1054="",L1054=0),"",
  (L1054-K1054)/L1054*100)</f>
        <v/>
      </c>
      <c r="N1054" s="9" t="inlineStr"/>
      <c r="O1054" s="10" t="inlineStr"/>
      <c r="P1054" s="10" t="inlineStr"/>
      <c r="Q1054" s="10" t="inlineStr"/>
      <c r="R1054" s="10" t="inlineStr">
        <is>
          <t>2026-03-12</t>
        </is>
      </c>
      <c r="S1054" s="10" t="inlineStr"/>
    </row>
    <row r="1055">
      <c r="A1055" s="3" t="inlineStr">
        <is>
          <t>F01493</t>
        </is>
      </c>
      <c r="B1055" s="4" t="inlineStr">
        <is>
          <t>F01493</t>
        </is>
      </c>
      <c r="C1055" s="4" t="inlineStr"/>
      <c r="D1055" s="4" t="inlineStr">
        <is>
          <t>6009677012112</t>
        </is>
      </c>
      <c r="E1055" s="3" t="inlineStr">
        <is>
          <t>CORNICE POLYURETHANE  2.4MX13.7CM PLS-PU</t>
        </is>
      </c>
      <c r="F1055" s="4" t="inlineStr"/>
      <c r="G1055" s="4" t="inlineStr"/>
      <c r="H1055" s="4" t="inlineStr"/>
      <c r="I1055" s="5" t="n">
        <v>69.95</v>
      </c>
      <c r="J1055" s="6" t="n">
        <v>15</v>
      </c>
      <c r="K1055" s="7">
        <f>IF(I1055="","",I1055*(1+J1055/100))</f>
        <v/>
      </c>
      <c r="L1055" s="12" t="inlineStr"/>
      <c r="M1055" s="8">
        <f>IF(OR(L1055="",K1055="",L1055=0),"",
  (L1055-K1055)/L1055*100)</f>
        <v/>
      </c>
      <c r="N1055" s="9" t="inlineStr"/>
      <c r="O1055" s="4" t="inlineStr"/>
      <c r="P1055" s="4" t="inlineStr"/>
      <c r="Q1055" s="4" t="inlineStr"/>
      <c r="R1055" s="4" t="inlineStr">
        <is>
          <t>2026-03-12</t>
        </is>
      </c>
      <c r="S1055" s="4" t="inlineStr"/>
    </row>
    <row r="1056">
      <c r="A1056" s="10" t="inlineStr">
        <is>
          <t>F01494</t>
        </is>
      </c>
      <c r="B1056" s="10" t="inlineStr">
        <is>
          <t>F01494</t>
        </is>
      </c>
      <c r="C1056" s="10" t="inlineStr"/>
      <c r="D1056" s="10" t="inlineStr">
        <is>
          <t>6009677012280</t>
        </is>
      </c>
      <c r="E1056" s="10" t="inlineStr">
        <is>
          <t>CORNICE POLYURETHANE  2.4MX9.6CM PLS-PU-</t>
        </is>
      </c>
      <c r="F1056" s="10" t="inlineStr"/>
      <c r="G1056" s="10" t="inlineStr"/>
      <c r="H1056" s="10" t="inlineStr"/>
      <c r="I1056" s="11" t="n">
        <v>45.95</v>
      </c>
      <c r="J1056" s="6" t="n">
        <v>15</v>
      </c>
      <c r="K1056" s="7">
        <f>IF(I1056="","",I1056*(1+J1056/100))</f>
        <v/>
      </c>
      <c r="L1056" s="12" t="inlineStr"/>
      <c r="M1056" s="8">
        <f>IF(OR(L1056="",K1056="",L1056=0),"",
  (L1056-K1056)/L1056*100)</f>
        <v/>
      </c>
      <c r="N1056" s="9" t="inlineStr"/>
      <c r="O1056" s="10" t="inlineStr"/>
      <c r="P1056" s="10" t="inlineStr"/>
      <c r="Q1056" s="10" t="inlineStr"/>
      <c r="R1056" s="10" t="inlineStr">
        <is>
          <t>2026-03-12</t>
        </is>
      </c>
      <c r="S1056" s="10" t="inlineStr"/>
    </row>
    <row r="1057">
      <c r="A1057" s="3" t="inlineStr">
        <is>
          <t>F01495</t>
        </is>
      </c>
      <c r="B1057" s="4" t="inlineStr">
        <is>
          <t>F01495</t>
        </is>
      </c>
      <c r="C1057" s="4" t="inlineStr"/>
      <c r="D1057" s="4" t="inlineStr">
        <is>
          <t>6009677012259</t>
        </is>
      </c>
      <c r="E1057" s="3" t="inlineStr">
        <is>
          <t>CORNICE POLYURETHANE  2.4MX9.3CM PLS-PU-</t>
        </is>
      </c>
      <c r="F1057" s="4" t="inlineStr"/>
      <c r="G1057" s="4" t="inlineStr"/>
      <c r="H1057" s="4" t="inlineStr"/>
      <c r="I1057" s="5" t="n">
        <v>39.63</v>
      </c>
      <c r="J1057" s="6" t="n">
        <v>15</v>
      </c>
      <c r="K1057" s="7">
        <f>IF(I1057="","",I1057*(1+J1057/100))</f>
        <v/>
      </c>
      <c r="L1057" s="12" t="inlineStr"/>
      <c r="M1057" s="8">
        <f>IF(OR(L1057="",K1057="",L1057=0),"",
  (L1057-K1057)/L1057*100)</f>
        <v/>
      </c>
      <c r="N1057" s="9" t="inlineStr"/>
      <c r="O1057" s="4" t="inlineStr"/>
      <c r="P1057" s="4" t="inlineStr"/>
      <c r="Q1057" s="4" t="inlineStr"/>
      <c r="R1057" s="4" t="inlineStr">
        <is>
          <t>2026-03-12</t>
        </is>
      </c>
      <c r="S1057" s="4" t="inlineStr"/>
    </row>
    <row r="1058">
      <c r="A1058" s="10" t="inlineStr">
        <is>
          <t>F01496</t>
        </is>
      </c>
      <c r="B1058" s="10" t="inlineStr">
        <is>
          <t>F01496</t>
        </is>
      </c>
      <c r="C1058" s="10" t="inlineStr"/>
      <c r="D1058" s="10" t="inlineStr">
        <is>
          <t>600967701166</t>
        </is>
      </c>
      <c r="E1058" s="10" t="inlineStr">
        <is>
          <t>TUMBLER HIBALL 45 W/BOX</t>
        </is>
      </c>
      <c r="F1058" s="10" t="inlineStr"/>
      <c r="G1058" s="10" t="inlineStr"/>
      <c r="H1058" s="10" t="inlineStr"/>
      <c r="I1058" s="11" t="n">
        <v>9.9</v>
      </c>
      <c r="J1058" s="6" t="n">
        <v>15</v>
      </c>
      <c r="K1058" s="7">
        <f>IF(I1058="","",I1058*(1+J1058/100))</f>
        <v/>
      </c>
      <c r="L1058" s="12" t="inlineStr"/>
      <c r="M1058" s="8">
        <f>IF(OR(L1058="",K1058="",L1058=0),"",
  (L1058-K1058)/L1058*100)</f>
        <v/>
      </c>
      <c r="N1058" s="9" t="inlineStr"/>
      <c r="O1058" s="10" t="inlineStr"/>
      <c r="P1058" s="10" t="inlineStr"/>
      <c r="Q1058" s="10" t="inlineStr"/>
      <c r="R1058" s="10" t="inlineStr">
        <is>
          <t>2026-03-12</t>
        </is>
      </c>
      <c r="S1058" s="10" t="inlineStr"/>
    </row>
    <row r="1059">
      <c r="A1059" s="3" t="inlineStr">
        <is>
          <t>F01497</t>
        </is>
      </c>
      <c r="B1059" s="4" t="inlineStr">
        <is>
          <t>F01497</t>
        </is>
      </c>
      <c r="C1059" s="4" t="inlineStr"/>
      <c r="D1059" s="4" t="inlineStr">
        <is>
          <t>6009677011191</t>
        </is>
      </c>
      <c r="E1059" s="3" t="inlineStr">
        <is>
          <t>TUMBLER SET 6PCS W/PACK RED GOLD C4609-6</t>
        </is>
      </c>
      <c r="F1059" s="4" t="inlineStr"/>
      <c r="G1059" s="4" t="inlineStr"/>
      <c r="H1059" s="4" t="inlineStr"/>
      <c r="I1059" s="5" t="n">
        <v>24.31</v>
      </c>
      <c r="J1059" s="6" t="n">
        <v>15</v>
      </c>
      <c r="K1059" s="7">
        <f>IF(I1059="","",I1059*(1+J1059/100))</f>
        <v/>
      </c>
      <c r="L1059" s="12" t="inlineStr"/>
      <c r="M1059" s="8">
        <f>IF(OR(L1059="",K1059="",L1059=0),"",
  (L1059-K1059)/L1059*100)</f>
        <v/>
      </c>
      <c r="N1059" s="9" t="inlineStr"/>
      <c r="O1059" s="4" t="inlineStr"/>
      <c r="P1059" s="4" t="inlineStr"/>
      <c r="Q1059" s="4" t="inlineStr"/>
      <c r="R1059" s="4" t="inlineStr">
        <is>
          <t>2026-03-12</t>
        </is>
      </c>
      <c r="S1059" s="4" t="inlineStr"/>
    </row>
    <row r="1060">
      <c r="A1060" s="10" t="inlineStr">
        <is>
          <t>F01498</t>
        </is>
      </c>
      <c r="B1060" s="10" t="inlineStr">
        <is>
          <t>F01498</t>
        </is>
      </c>
      <c r="C1060" s="10" t="inlineStr"/>
      <c r="D1060" s="10" t="inlineStr">
        <is>
          <t>6009677011207</t>
        </is>
      </c>
      <c r="E1060" s="10" t="inlineStr">
        <is>
          <t>TUMBLER SET 6PCS W/PACK BLACK GOLD C4609</t>
        </is>
      </c>
      <c r="F1060" s="10" t="inlineStr"/>
      <c r="G1060" s="10" t="inlineStr"/>
      <c r="H1060" s="10" t="inlineStr"/>
      <c r="I1060" s="11" t="n">
        <v>25.95</v>
      </c>
      <c r="J1060" s="6" t="n">
        <v>15</v>
      </c>
      <c r="K1060" s="7">
        <f>IF(I1060="","",I1060*(1+J1060/100))</f>
        <v/>
      </c>
      <c r="L1060" s="12" t="inlineStr"/>
      <c r="M1060" s="8">
        <f>IF(OR(L1060="",K1060="",L1060=0),"",
  (L1060-K1060)/L1060*100)</f>
        <v/>
      </c>
      <c r="N1060" s="9" t="inlineStr"/>
      <c r="O1060" s="10" t="inlineStr"/>
      <c r="P1060" s="10" t="inlineStr"/>
      <c r="Q1060" s="10" t="inlineStr"/>
      <c r="R1060" s="10" t="inlineStr">
        <is>
          <t>2026-03-12</t>
        </is>
      </c>
      <c r="S1060" s="10" t="inlineStr"/>
    </row>
    <row r="1061">
      <c r="A1061" s="3" t="inlineStr">
        <is>
          <t>F01499</t>
        </is>
      </c>
      <c r="B1061" s="4" t="inlineStr">
        <is>
          <t>F01499</t>
        </is>
      </c>
      <c r="C1061" s="4" t="inlineStr"/>
      <c r="D1061" s="4" t="inlineStr">
        <is>
          <t>6009677011214</t>
        </is>
      </c>
      <c r="E1061" s="3" t="inlineStr">
        <is>
          <t>TUMBLER SET 6PCS W/PACK BLUE GOLD C4609-</t>
        </is>
      </c>
      <c r="F1061" s="4" t="inlineStr"/>
      <c r="G1061" s="4" t="inlineStr"/>
      <c r="H1061" s="4" t="inlineStr"/>
      <c r="I1061" s="5" t="n">
        <v>24.95</v>
      </c>
      <c r="J1061" s="6" t="n">
        <v>15</v>
      </c>
      <c r="K1061" s="7">
        <f>IF(I1061="","",I1061*(1+J1061/100))</f>
        <v/>
      </c>
      <c r="L1061" s="12" t="inlineStr"/>
      <c r="M1061" s="8">
        <f>IF(OR(L1061="",K1061="",L1061=0),"",
  (L1061-K1061)/L1061*100)</f>
        <v/>
      </c>
      <c r="N1061" s="9" t="inlineStr"/>
      <c r="O1061" s="4" t="inlineStr"/>
      <c r="P1061" s="4" t="inlineStr"/>
      <c r="Q1061" s="4" t="inlineStr"/>
      <c r="R1061" s="4" t="inlineStr">
        <is>
          <t>2026-03-12</t>
        </is>
      </c>
      <c r="S1061" s="4" t="inlineStr"/>
    </row>
    <row r="1062">
      <c r="A1062" s="10" t="inlineStr">
        <is>
          <t>F01500</t>
        </is>
      </c>
      <c r="B1062" s="10" t="inlineStr">
        <is>
          <t>F01500</t>
        </is>
      </c>
      <c r="C1062" s="10" t="inlineStr"/>
      <c r="D1062" s="10" t="inlineStr">
        <is>
          <t>6009677011436</t>
        </is>
      </c>
      <c r="E1062" s="10" t="inlineStr">
        <is>
          <t>TUMBLER SET 6PCS W/PACK PINK RED GOLD C4</t>
        </is>
      </c>
      <c r="F1062" s="10" t="inlineStr"/>
      <c r="G1062" s="10" t="inlineStr"/>
      <c r="H1062" s="10" t="inlineStr"/>
      <c r="I1062" s="11" t="n">
        <v>24.95</v>
      </c>
      <c r="J1062" s="6" t="n">
        <v>15</v>
      </c>
      <c r="K1062" s="7">
        <f>IF(I1062="","",I1062*(1+J1062/100))</f>
        <v/>
      </c>
      <c r="L1062" s="12" t="inlineStr"/>
      <c r="M1062" s="8">
        <f>IF(OR(L1062="",K1062="",L1062=0),"",
  (L1062-K1062)/L1062*100)</f>
        <v/>
      </c>
      <c r="N1062" s="9" t="inlineStr"/>
      <c r="O1062" s="10" t="inlineStr"/>
      <c r="P1062" s="10" t="inlineStr"/>
      <c r="Q1062" s="10" t="inlineStr"/>
      <c r="R1062" s="10" t="inlineStr">
        <is>
          <t>2026-03-12</t>
        </is>
      </c>
      <c r="S1062" s="10" t="inlineStr"/>
    </row>
    <row r="1063">
      <c r="A1063" s="3" t="inlineStr">
        <is>
          <t>F01501</t>
        </is>
      </c>
      <c r="B1063" s="4" t="inlineStr">
        <is>
          <t>F01501</t>
        </is>
      </c>
      <c r="C1063" s="4" t="inlineStr"/>
      <c r="D1063" s="4" t="inlineStr">
        <is>
          <t>6009677011443</t>
        </is>
      </c>
      <c r="E1063" s="3" t="inlineStr">
        <is>
          <t>TUMBLER SET 6PCS W/PACK GOLD C4609-6E</t>
        </is>
      </c>
      <c r="F1063" s="4" t="inlineStr"/>
      <c r="G1063" s="4" t="inlineStr"/>
      <c r="H1063" s="4" t="inlineStr"/>
      <c r="I1063" s="5" t="n">
        <v>24.95</v>
      </c>
      <c r="J1063" s="6" t="n">
        <v>15</v>
      </c>
      <c r="K1063" s="7">
        <f>IF(I1063="","",I1063*(1+J1063/100))</f>
        <v/>
      </c>
      <c r="L1063" s="12" t="inlineStr"/>
      <c r="M1063" s="8">
        <f>IF(OR(L1063="",K1063="",L1063=0),"",
  (L1063-K1063)/L1063*100)</f>
        <v/>
      </c>
      <c r="N1063" s="9" t="inlineStr"/>
      <c r="O1063" s="4" t="inlineStr"/>
      <c r="P1063" s="4" t="inlineStr"/>
      <c r="Q1063" s="4" t="inlineStr"/>
      <c r="R1063" s="4" t="inlineStr">
        <is>
          <t>2026-03-12</t>
        </is>
      </c>
      <c r="S1063" s="4" t="inlineStr"/>
    </row>
    <row r="1064">
      <c r="A1064" s="10" t="inlineStr">
        <is>
          <t>F01502</t>
        </is>
      </c>
      <c r="B1064" s="10" t="inlineStr">
        <is>
          <t>F01502</t>
        </is>
      </c>
      <c r="C1064" s="10" t="inlineStr"/>
      <c r="D1064" s="10" t="inlineStr">
        <is>
          <t>6009677011450</t>
        </is>
      </c>
      <c r="E1064" s="10" t="inlineStr">
        <is>
          <t>TUMBLER SET 6PCS W/PACK RED FLOWER GOLD</t>
        </is>
      </c>
      <c r="F1064" s="10" t="inlineStr"/>
      <c r="G1064" s="10" t="inlineStr"/>
      <c r="H1064" s="10" t="inlineStr"/>
      <c r="I1064" s="11" t="n">
        <v>25.95</v>
      </c>
      <c r="J1064" s="6" t="n">
        <v>15</v>
      </c>
      <c r="K1064" s="7">
        <f>IF(I1064="","",I1064*(1+J1064/100))</f>
        <v/>
      </c>
      <c r="L1064" s="12" t="inlineStr"/>
      <c r="M1064" s="8">
        <f>IF(OR(L1064="",K1064="",L1064=0),"",
  (L1064-K1064)/L1064*100)</f>
        <v/>
      </c>
      <c r="N1064" s="9" t="inlineStr"/>
      <c r="O1064" s="10" t="inlineStr"/>
      <c r="P1064" s="10" t="inlineStr"/>
      <c r="Q1064" s="10" t="inlineStr"/>
      <c r="R1064" s="10" t="inlineStr">
        <is>
          <t>2026-03-12</t>
        </is>
      </c>
      <c r="S1064" s="10" t="inlineStr"/>
    </row>
    <row r="1065">
      <c r="A1065" s="3" t="inlineStr">
        <is>
          <t>F01503</t>
        </is>
      </c>
      <c r="B1065" s="4" t="inlineStr">
        <is>
          <t>F01503</t>
        </is>
      </c>
      <c r="C1065" s="4" t="inlineStr"/>
      <c r="D1065" s="4" t="inlineStr">
        <is>
          <t>6009677013645</t>
        </is>
      </c>
      <c r="E1065" s="3" t="inlineStr">
        <is>
          <t>MUG 15OZ  ASSORTED DECAL</t>
        </is>
      </c>
      <c r="F1065" s="4" t="inlineStr"/>
      <c r="G1065" s="4" t="inlineStr"/>
      <c r="H1065" s="4" t="inlineStr"/>
      <c r="I1065" s="5" t="n">
        <v>8.5</v>
      </c>
      <c r="J1065" s="6" t="n">
        <v>15</v>
      </c>
      <c r="K1065" s="7">
        <f>IF(I1065="","",I1065*(1+J1065/100))</f>
        <v/>
      </c>
      <c r="L1065" s="12" t="inlineStr"/>
      <c r="M1065" s="8">
        <f>IF(OR(L1065="",K1065="",L1065=0),"",
  (L1065-K1065)/L1065*100)</f>
        <v/>
      </c>
      <c r="N1065" s="14" t="n">
        <v>45</v>
      </c>
      <c r="O1065" s="4" t="inlineStr"/>
      <c r="P1065" s="4" t="inlineStr"/>
      <c r="Q1065" s="4" t="inlineStr"/>
      <c r="R1065" s="4" t="inlineStr">
        <is>
          <t>2026-03-12</t>
        </is>
      </c>
      <c r="S1065" s="4" t="inlineStr"/>
    </row>
    <row r="1066">
      <c r="A1066" s="10" t="inlineStr">
        <is>
          <t>F01504</t>
        </is>
      </c>
      <c r="B1066" s="10" t="inlineStr">
        <is>
          <t>F01504</t>
        </is>
      </c>
      <c r="C1066" s="10" t="inlineStr"/>
      <c r="D1066" s="10" t="inlineStr"/>
      <c r="E1066" s="10" t="inlineStr">
        <is>
          <t>PEEL &amp; STICK TILES</t>
        </is>
      </c>
      <c r="F1066" s="10" t="inlineStr"/>
      <c r="G1066" s="10" t="inlineStr"/>
      <c r="H1066" s="10" t="inlineStr"/>
      <c r="I1066" s="11" t="n">
        <v>149.95</v>
      </c>
      <c r="J1066" s="6" t="n">
        <v>15</v>
      </c>
      <c r="K1066" s="7">
        <f>IF(I1066="","",I1066*(1+J1066/100))</f>
        <v/>
      </c>
      <c r="L1066" s="12" t="inlineStr"/>
      <c r="M1066" s="8">
        <f>IF(OR(L1066="",K1066="",L1066=0),"",
  (L1066-K1066)/L1066*100)</f>
        <v/>
      </c>
      <c r="N1066" s="9" t="inlineStr"/>
      <c r="O1066" s="10" t="inlineStr"/>
      <c r="P1066" s="10" t="inlineStr"/>
      <c r="Q1066" s="10" t="inlineStr"/>
      <c r="R1066" s="10" t="inlineStr">
        <is>
          <t>2026-03-12</t>
        </is>
      </c>
      <c r="S1066" s="10" t="inlineStr"/>
    </row>
    <row r="1067">
      <c r="A1067" s="3" t="inlineStr">
        <is>
          <t>F01505</t>
        </is>
      </c>
      <c r="B1067" s="4" t="inlineStr">
        <is>
          <t>F01505</t>
        </is>
      </c>
      <c r="C1067" s="4" t="inlineStr"/>
      <c r="D1067" s="4" t="inlineStr">
        <is>
          <t>6009677012822</t>
        </is>
      </c>
      <c r="E1067" s="3" t="inlineStr">
        <is>
          <t>LM010 - PVC WALL &amp; CEILING LAMINATION PA</t>
        </is>
      </c>
      <c r="F1067" s="4" t="inlineStr"/>
      <c r="G1067" s="4" t="inlineStr"/>
      <c r="H1067" s="4" t="inlineStr"/>
      <c r="I1067" s="5" t="n">
        <v>749</v>
      </c>
      <c r="J1067" s="6" t="n">
        <v>15</v>
      </c>
      <c r="K1067" s="7">
        <f>IF(I1067="","",I1067*(1+J1067/100))</f>
        <v/>
      </c>
      <c r="L1067" s="12" t="inlineStr"/>
      <c r="M1067" s="8">
        <f>IF(OR(L1067="",K1067="",L1067=0),"",
  (L1067-K1067)/L1067*100)</f>
        <v/>
      </c>
      <c r="N1067" s="14" t="n">
        <v>8</v>
      </c>
      <c r="O1067" s="4" t="inlineStr"/>
      <c r="P1067" s="4" t="inlineStr"/>
      <c r="Q1067" s="4" t="inlineStr"/>
      <c r="R1067" s="4" t="inlineStr">
        <is>
          <t>2026-03-12</t>
        </is>
      </c>
      <c r="S1067" s="4" t="inlineStr"/>
    </row>
    <row r="1068">
      <c r="A1068" s="10" t="inlineStr">
        <is>
          <t>F01506</t>
        </is>
      </c>
      <c r="B1068" s="10" t="inlineStr">
        <is>
          <t>F01506</t>
        </is>
      </c>
      <c r="C1068" s="10" t="inlineStr"/>
      <c r="D1068" s="10" t="inlineStr">
        <is>
          <t>6009677011839</t>
        </is>
      </c>
      <c r="E1068" s="10" t="inlineStr">
        <is>
          <t>LM011 - PVC WALL &amp; CEILING LAMINATION PA</t>
        </is>
      </c>
      <c r="F1068" s="10" t="inlineStr"/>
      <c r="G1068" s="10" t="inlineStr"/>
      <c r="H1068" s="10" t="inlineStr"/>
      <c r="I1068" s="11" t="n">
        <v>895</v>
      </c>
      <c r="J1068" s="6" t="n">
        <v>15</v>
      </c>
      <c r="K1068" s="7">
        <f>IF(I1068="","",I1068*(1+J1068/100))</f>
        <v/>
      </c>
      <c r="L1068" s="12" t="inlineStr"/>
      <c r="M1068" s="8">
        <f>IF(OR(L1068="",K1068="",L1068=0),"",
  (L1068-K1068)/L1068*100)</f>
        <v/>
      </c>
      <c r="N1068" s="9" t="inlineStr"/>
      <c r="O1068" s="10" t="inlineStr"/>
      <c r="P1068" s="10" t="inlineStr"/>
      <c r="Q1068" s="10" t="inlineStr"/>
      <c r="R1068" s="10" t="inlineStr">
        <is>
          <t>2026-03-12</t>
        </is>
      </c>
      <c r="S1068" s="10" t="inlineStr"/>
    </row>
    <row r="1069">
      <c r="A1069" s="3" t="inlineStr">
        <is>
          <t>F01507</t>
        </is>
      </c>
      <c r="B1069" s="4" t="inlineStr">
        <is>
          <t>F01507</t>
        </is>
      </c>
      <c r="C1069" s="4" t="inlineStr"/>
      <c r="D1069" s="4" t="inlineStr">
        <is>
          <t>6009677012846</t>
        </is>
      </c>
      <c r="E1069" s="3" t="inlineStr">
        <is>
          <t>LM012 - PVC WALL &amp; CEILING LAMINATION PA</t>
        </is>
      </c>
      <c r="F1069" s="4" t="inlineStr"/>
      <c r="G1069" s="4" t="inlineStr"/>
      <c r="H1069" s="4" t="inlineStr"/>
      <c r="I1069" s="5" t="n">
        <v>424.86</v>
      </c>
      <c r="J1069" s="6" t="n">
        <v>15</v>
      </c>
      <c r="K1069" s="7">
        <f>IF(I1069="","",I1069*(1+J1069/100))</f>
        <v/>
      </c>
      <c r="L1069" s="12" t="inlineStr"/>
      <c r="M1069" s="8">
        <f>IF(OR(L1069="",K1069="",L1069=0),"",
  (L1069-K1069)/L1069*100)</f>
        <v/>
      </c>
      <c r="N1069" s="9" t="inlineStr"/>
      <c r="O1069" s="4" t="inlineStr"/>
      <c r="P1069" s="4" t="inlineStr"/>
      <c r="Q1069" s="4" t="inlineStr"/>
      <c r="R1069" s="4" t="inlineStr">
        <is>
          <t>2026-03-12</t>
        </is>
      </c>
      <c r="S1069" s="4" t="inlineStr"/>
    </row>
    <row r="1070">
      <c r="A1070" s="10" t="inlineStr">
        <is>
          <t>F01508</t>
        </is>
      </c>
      <c r="B1070" s="10" t="inlineStr">
        <is>
          <t>F01508</t>
        </is>
      </c>
      <c r="C1070" s="10" t="inlineStr"/>
      <c r="D1070" s="10" t="inlineStr">
        <is>
          <t>6009677012617</t>
        </is>
      </c>
      <c r="E1070" s="10" t="inlineStr">
        <is>
          <t>TUMBLER SET 6 PIECE FANCY GIFT SET 72008</t>
        </is>
      </c>
      <c r="F1070" s="10" t="inlineStr"/>
      <c r="G1070" s="10" t="inlineStr"/>
      <c r="H1070" s="10" t="inlineStr"/>
      <c r="I1070" s="11" t="n">
        <v>17</v>
      </c>
      <c r="J1070" s="6" t="n">
        <v>15</v>
      </c>
      <c r="K1070" s="7">
        <f>IF(I1070="","",I1070*(1+J1070/100))</f>
        <v/>
      </c>
      <c r="L1070" s="12" t="inlineStr"/>
      <c r="M1070" s="8">
        <f>IF(OR(L1070="",K1070="",L1070=0),"",
  (L1070-K1070)/L1070*100)</f>
        <v/>
      </c>
      <c r="N1070" s="9" t="inlineStr"/>
      <c r="O1070" s="10" t="inlineStr"/>
      <c r="P1070" s="10" t="inlineStr"/>
      <c r="Q1070" s="10" t="inlineStr"/>
      <c r="R1070" s="10" t="inlineStr">
        <is>
          <t>2026-03-12</t>
        </is>
      </c>
      <c r="S1070" s="10" t="inlineStr"/>
    </row>
    <row r="1071">
      <c r="A1071" s="3" t="inlineStr">
        <is>
          <t>F01509</t>
        </is>
      </c>
      <c r="B1071" s="4" t="inlineStr">
        <is>
          <t>F01509</t>
        </is>
      </c>
      <c r="C1071" s="4" t="inlineStr"/>
      <c r="D1071" s="4" t="inlineStr">
        <is>
          <t>6009677012600</t>
        </is>
      </c>
      <c r="E1071" s="3" t="inlineStr">
        <is>
          <t>TUMBLER SET 6 PIECE G/SET 72011JP RGWK08</t>
        </is>
      </c>
      <c r="F1071" s="4" t="inlineStr"/>
      <c r="G1071" s="4" t="inlineStr"/>
      <c r="H1071" s="4" t="inlineStr"/>
      <c r="I1071" s="5" t="n">
        <v>47.95</v>
      </c>
      <c r="J1071" s="6" t="n">
        <v>15</v>
      </c>
      <c r="K1071" s="7">
        <f>IF(I1071="","",I1071*(1+J1071/100))</f>
        <v/>
      </c>
      <c r="L1071" s="12" t="inlineStr"/>
      <c r="M1071" s="8">
        <f>IF(OR(L1071="",K1071="",L1071=0),"",
  (L1071-K1071)/L1071*100)</f>
        <v/>
      </c>
      <c r="N1071" s="14" t="n">
        <v>1215</v>
      </c>
      <c r="O1071" s="4" t="inlineStr"/>
      <c r="P1071" s="4" t="inlineStr"/>
      <c r="Q1071" s="4" t="inlineStr"/>
      <c r="R1071" s="4" t="inlineStr">
        <is>
          <t>2026-03-12</t>
        </is>
      </c>
      <c r="S1071" s="4" t="inlineStr"/>
    </row>
    <row r="1072">
      <c r="A1072" s="10" t="inlineStr">
        <is>
          <t>F01510</t>
        </is>
      </c>
      <c r="B1072" s="10" t="inlineStr">
        <is>
          <t>F01510</t>
        </is>
      </c>
      <c r="C1072" s="10" t="inlineStr"/>
      <c r="D1072" s="10" t="inlineStr">
        <is>
          <t>6009677012594</t>
        </is>
      </c>
      <c r="E1072" s="10" t="inlineStr">
        <is>
          <t>TUMBLER SET 6 PIECE G/SET 72008DBL RGJC1</t>
        </is>
      </c>
      <c r="F1072" s="10" t="inlineStr"/>
      <c r="G1072" s="10" t="inlineStr"/>
      <c r="H1072" s="10" t="inlineStr"/>
      <c r="I1072" s="11" t="n">
        <v>36.95</v>
      </c>
      <c r="J1072" s="6" t="n">
        <v>15</v>
      </c>
      <c r="K1072" s="7">
        <f>IF(I1072="","",I1072*(1+J1072/100))</f>
        <v/>
      </c>
      <c r="L1072" s="12" t="inlineStr"/>
      <c r="M1072" s="8">
        <f>IF(OR(L1072="",K1072="",L1072=0),"",
  (L1072-K1072)/L1072*100)</f>
        <v/>
      </c>
      <c r="N1072" s="13" t="n">
        <v>1584</v>
      </c>
      <c r="O1072" s="10" t="inlineStr"/>
      <c r="P1072" s="10" t="inlineStr"/>
      <c r="Q1072" s="10" t="inlineStr"/>
      <c r="R1072" s="10" t="inlineStr">
        <is>
          <t>2026-03-12</t>
        </is>
      </c>
      <c r="S1072" s="10" t="inlineStr"/>
    </row>
    <row r="1073">
      <c r="A1073" s="3" t="inlineStr">
        <is>
          <t>F01511</t>
        </is>
      </c>
      <c r="B1073" s="4" t="inlineStr">
        <is>
          <t>F01511</t>
        </is>
      </c>
      <c r="C1073" s="4" t="inlineStr"/>
      <c r="D1073" s="4" t="inlineStr">
        <is>
          <t>6009677012587</t>
        </is>
      </c>
      <c r="E1073" s="3" t="inlineStr">
        <is>
          <t>TUMBLER SET 6 PIECE FANCY GIFT SET 72008</t>
        </is>
      </c>
      <c r="F1073" s="4" t="inlineStr"/>
      <c r="G1073" s="4" t="inlineStr"/>
      <c r="H1073" s="4" t="inlineStr"/>
      <c r="I1073" s="5" t="n">
        <v>47.95</v>
      </c>
      <c r="J1073" s="6" t="n">
        <v>15</v>
      </c>
      <c r="K1073" s="7">
        <f>IF(I1073="","",I1073*(1+J1073/100))</f>
        <v/>
      </c>
      <c r="L1073" s="12" t="inlineStr"/>
      <c r="M1073" s="8">
        <f>IF(OR(L1073="",K1073="",L1073=0),"",
  (L1073-K1073)/L1073*100)</f>
        <v/>
      </c>
      <c r="N1073" s="14" t="n">
        <v>1741</v>
      </c>
      <c r="O1073" s="4" t="inlineStr"/>
      <c r="P1073" s="4" t="inlineStr"/>
      <c r="Q1073" s="4" t="inlineStr"/>
      <c r="R1073" s="4" t="inlineStr">
        <is>
          <t>2026-03-12</t>
        </is>
      </c>
      <c r="S1073" s="4" t="inlineStr"/>
    </row>
    <row r="1074">
      <c r="A1074" s="10" t="inlineStr">
        <is>
          <t>F01512</t>
        </is>
      </c>
      <c r="B1074" s="10" t="inlineStr">
        <is>
          <t>F01512</t>
        </is>
      </c>
      <c r="C1074" s="10" t="inlineStr"/>
      <c r="D1074" s="10" t="inlineStr">
        <is>
          <t>6009677012648</t>
        </is>
      </c>
      <c r="E1074" s="10" t="inlineStr">
        <is>
          <t>TUMBLER SET 6 PIECE G/BOX 72008DV-CRY564</t>
        </is>
      </c>
      <c r="F1074" s="10" t="inlineStr"/>
      <c r="G1074" s="10" t="inlineStr"/>
      <c r="H1074" s="10" t="inlineStr"/>
      <c r="I1074" s="11" t="n">
        <v>36.95</v>
      </c>
      <c r="J1074" s="6" t="n">
        <v>15</v>
      </c>
      <c r="K1074" s="7">
        <f>IF(I1074="","",I1074*(1+J1074/100))</f>
        <v/>
      </c>
      <c r="L1074" s="12" t="inlineStr"/>
      <c r="M1074" s="8">
        <f>IF(OR(L1074="",K1074="",L1074=0),"",
  (L1074-K1074)/L1074*100)</f>
        <v/>
      </c>
      <c r="N1074" s="13" t="n">
        <v>478</v>
      </c>
      <c r="O1074" s="10" t="inlineStr"/>
      <c r="P1074" s="10" t="inlineStr"/>
      <c r="Q1074" s="10" t="inlineStr"/>
      <c r="R1074" s="10" t="inlineStr">
        <is>
          <t>2026-03-12</t>
        </is>
      </c>
      <c r="S1074" s="10" t="inlineStr"/>
    </row>
    <row r="1075">
      <c r="A1075" s="3" t="inlineStr">
        <is>
          <t>F01513</t>
        </is>
      </c>
      <c r="B1075" s="4" t="inlineStr">
        <is>
          <t>F01513</t>
        </is>
      </c>
      <c r="C1075" s="4" t="inlineStr"/>
      <c r="D1075" s="4" t="inlineStr">
        <is>
          <t>6009677012631</t>
        </is>
      </c>
      <c r="E1075" s="3" t="inlineStr">
        <is>
          <t>TUMBLER SET 6 PIECE G/BOX 720080F CRY564</t>
        </is>
      </c>
      <c r="F1075" s="4" t="inlineStr"/>
      <c r="G1075" s="4" t="inlineStr"/>
      <c r="H1075" s="4" t="inlineStr"/>
      <c r="I1075" s="5" t="n">
        <v>36.95</v>
      </c>
      <c r="J1075" s="6" t="n">
        <v>15</v>
      </c>
      <c r="K1075" s="7">
        <f>IF(I1075="","",I1075*(1+J1075/100))</f>
        <v/>
      </c>
      <c r="L1075" s="12" t="inlineStr"/>
      <c r="M1075" s="8">
        <f>IF(OR(L1075="",K1075="",L1075=0),"",
  (L1075-K1075)/L1075*100)</f>
        <v/>
      </c>
      <c r="N1075" s="14" t="n">
        <v>236</v>
      </c>
      <c r="O1075" s="4" t="inlineStr"/>
      <c r="P1075" s="4" t="inlineStr"/>
      <c r="Q1075" s="4" t="inlineStr"/>
      <c r="R1075" s="4" t="inlineStr">
        <is>
          <t>2026-03-12</t>
        </is>
      </c>
      <c r="S1075" s="4" t="inlineStr"/>
    </row>
    <row r="1076">
      <c r="A1076" s="10" t="inlineStr">
        <is>
          <t>F01514</t>
        </is>
      </c>
      <c r="B1076" s="10" t="inlineStr">
        <is>
          <t>F01514</t>
        </is>
      </c>
      <c r="C1076" s="10" t="inlineStr"/>
      <c r="D1076" s="10" t="inlineStr">
        <is>
          <t>6009677012624</t>
        </is>
      </c>
      <c r="E1076" s="10" t="inlineStr">
        <is>
          <t>TUMBLER SET 6 PIECE G/BOX 72008DM CRY565</t>
        </is>
      </c>
      <c r="F1076" s="10" t="inlineStr"/>
      <c r="G1076" s="10" t="inlineStr"/>
      <c r="H1076" s="10" t="inlineStr"/>
      <c r="I1076" s="11" t="n">
        <v>36.95</v>
      </c>
      <c r="J1076" s="6" t="n">
        <v>15</v>
      </c>
      <c r="K1076" s="7">
        <f>IF(I1076="","",I1076*(1+J1076/100))</f>
        <v/>
      </c>
      <c r="L1076" s="12" t="inlineStr"/>
      <c r="M1076" s="8">
        <f>IF(OR(L1076="",K1076="",L1076=0),"",
  (L1076-K1076)/L1076*100)</f>
        <v/>
      </c>
      <c r="N1076" s="13" t="n">
        <v>494</v>
      </c>
      <c r="O1076" s="10" t="inlineStr"/>
      <c r="P1076" s="10" t="inlineStr"/>
      <c r="Q1076" s="10" t="inlineStr"/>
      <c r="R1076" s="10" t="inlineStr">
        <is>
          <t>2026-03-12</t>
        </is>
      </c>
      <c r="S1076" s="10" t="inlineStr"/>
    </row>
    <row r="1077">
      <c r="A1077" s="3" t="inlineStr">
        <is>
          <t>F01515</t>
        </is>
      </c>
      <c r="B1077" s="4" t="inlineStr">
        <is>
          <t>F01515</t>
        </is>
      </c>
      <c r="C1077" s="4" t="inlineStr"/>
      <c r="D1077" s="4" t="inlineStr">
        <is>
          <t>6009677012679</t>
        </is>
      </c>
      <c r="E1077" s="3" t="inlineStr">
        <is>
          <t>TUMBLER SET 6 PIECE G/BOX 72008WA CRY564</t>
        </is>
      </c>
      <c r="F1077" s="4" t="inlineStr"/>
      <c r="G1077" s="4" t="inlineStr"/>
      <c r="H1077" s="4" t="inlineStr"/>
      <c r="I1077" s="5" t="n">
        <v>36.95</v>
      </c>
      <c r="J1077" s="6" t="n">
        <v>15</v>
      </c>
      <c r="K1077" s="7">
        <f>IF(I1077="","",I1077*(1+J1077/100))</f>
        <v/>
      </c>
      <c r="L1077" s="12" t="inlineStr"/>
      <c r="M1077" s="8">
        <f>IF(OR(L1077="",K1077="",L1077=0),"",
  (L1077-K1077)/L1077*100)</f>
        <v/>
      </c>
      <c r="N1077" s="14" t="n">
        <v>159</v>
      </c>
      <c r="O1077" s="4" t="inlineStr"/>
      <c r="P1077" s="4" t="inlineStr"/>
      <c r="Q1077" s="4" t="inlineStr"/>
      <c r="R1077" s="4" t="inlineStr">
        <is>
          <t>2026-03-12</t>
        </is>
      </c>
      <c r="S1077" s="4" t="inlineStr"/>
    </row>
    <row r="1078">
      <c r="A1078" s="10" t="inlineStr">
        <is>
          <t>F01516</t>
        </is>
      </c>
      <c r="B1078" s="10" t="inlineStr">
        <is>
          <t>F01516</t>
        </is>
      </c>
      <c r="C1078" s="10" t="inlineStr"/>
      <c r="D1078" s="10" t="inlineStr">
        <is>
          <t>6009677012686</t>
        </is>
      </c>
      <c r="E1078" s="10" t="inlineStr">
        <is>
          <t>TUMBLER SET 6 PIECE G/BOX 720080F RGJC11</t>
        </is>
      </c>
      <c r="F1078" s="10" t="inlineStr"/>
      <c r="G1078" s="10" t="inlineStr"/>
      <c r="H1078" s="10" t="inlineStr"/>
      <c r="I1078" s="11" t="n">
        <v>36.95</v>
      </c>
      <c r="J1078" s="6" t="n">
        <v>15</v>
      </c>
      <c r="K1078" s="7">
        <f>IF(I1078="","",I1078*(1+J1078/100))</f>
        <v/>
      </c>
      <c r="L1078" s="12" t="inlineStr"/>
      <c r="M1078" s="8">
        <f>IF(OR(L1078="",K1078="",L1078=0),"",
  (L1078-K1078)/L1078*100)</f>
        <v/>
      </c>
      <c r="N1078" s="13" t="n">
        <v>1974</v>
      </c>
      <c r="O1078" s="10" t="inlineStr"/>
      <c r="P1078" s="10" t="inlineStr"/>
      <c r="Q1078" s="10" t="inlineStr"/>
      <c r="R1078" s="10" t="inlineStr">
        <is>
          <t>2026-03-12</t>
        </is>
      </c>
      <c r="S1078" s="10" t="inlineStr"/>
    </row>
    <row r="1079">
      <c r="A1079" s="3" t="inlineStr">
        <is>
          <t>F01517</t>
        </is>
      </c>
      <c r="B1079" s="4" t="inlineStr">
        <is>
          <t>F01517</t>
        </is>
      </c>
      <c r="C1079" s="4" t="inlineStr"/>
      <c r="D1079" s="4" t="inlineStr">
        <is>
          <t>6009677012693</t>
        </is>
      </c>
      <c r="E1079" s="3" t="inlineStr">
        <is>
          <t>TUMBLER SET 6 PIECE G/BOX 72008W RGJC17</t>
        </is>
      </c>
      <c r="F1079" s="4" t="inlineStr"/>
      <c r="G1079" s="4" t="inlineStr"/>
      <c r="H1079" s="4" t="inlineStr"/>
      <c r="I1079" s="5" t="n">
        <v>36.95</v>
      </c>
      <c r="J1079" s="6" t="n">
        <v>15</v>
      </c>
      <c r="K1079" s="7">
        <f>IF(I1079="","",I1079*(1+J1079/100))</f>
        <v/>
      </c>
      <c r="L1079" s="12" t="inlineStr"/>
      <c r="M1079" s="8">
        <f>IF(OR(L1079="",K1079="",L1079=0),"",
  (L1079-K1079)/L1079*100)</f>
        <v/>
      </c>
      <c r="N1079" s="14" t="n">
        <v>1488</v>
      </c>
      <c r="O1079" s="4" t="inlineStr"/>
      <c r="P1079" s="4" t="inlineStr"/>
      <c r="Q1079" s="4" t="inlineStr"/>
      <c r="R1079" s="4" t="inlineStr">
        <is>
          <t>2026-03-12</t>
        </is>
      </c>
      <c r="S1079" s="4" t="inlineStr"/>
    </row>
    <row r="1080">
      <c r="A1080" s="10" t="inlineStr">
        <is>
          <t>F01518</t>
        </is>
      </c>
      <c r="B1080" s="10" t="inlineStr">
        <is>
          <t>F01518</t>
        </is>
      </c>
      <c r="C1080" s="10" t="inlineStr"/>
      <c r="D1080" s="10" t="inlineStr">
        <is>
          <t>6009677012662</t>
        </is>
      </c>
      <c r="E1080" s="10" t="inlineStr">
        <is>
          <t>TUMBLER SET 6 PIECE G/SET 72008JP RGJC14</t>
        </is>
      </c>
      <c r="F1080" s="10" t="inlineStr"/>
      <c r="G1080" s="10" t="inlineStr"/>
      <c r="H1080" s="10" t="inlineStr"/>
      <c r="I1080" s="11" t="n">
        <v>36.95</v>
      </c>
      <c r="J1080" s="6" t="n">
        <v>15</v>
      </c>
      <c r="K1080" s="7">
        <f>IF(I1080="","",I1080*(1+J1080/100))</f>
        <v/>
      </c>
      <c r="L1080" s="12" t="inlineStr"/>
      <c r="M1080" s="8">
        <f>IF(OR(L1080="",K1080="",L1080=0),"",
  (L1080-K1080)/L1080*100)</f>
        <v/>
      </c>
      <c r="N1080" s="13" t="n">
        <v>2146</v>
      </c>
      <c r="O1080" s="10" t="inlineStr"/>
      <c r="P1080" s="10" t="inlineStr"/>
      <c r="Q1080" s="10" t="inlineStr"/>
      <c r="R1080" s="10" t="inlineStr">
        <is>
          <t>2026-03-12</t>
        </is>
      </c>
      <c r="S1080" s="10" t="inlineStr"/>
    </row>
    <row r="1081">
      <c r="A1081" s="3" t="inlineStr">
        <is>
          <t>F01519</t>
        </is>
      </c>
      <c r="B1081" s="4" t="inlineStr">
        <is>
          <t>F01519</t>
        </is>
      </c>
      <c r="C1081" s="4" t="inlineStr"/>
      <c r="D1081" s="4" t="inlineStr"/>
      <c r="E1081" s="3" t="inlineStr">
        <is>
          <t>BY-112 PVC CEILING DAMAGE LOOSE</t>
        </is>
      </c>
      <c r="F1081" s="4" t="inlineStr"/>
      <c r="G1081" s="4" t="inlineStr"/>
      <c r="H1081" s="4" t="inlineStr"/>
      <c r="I1081" s="5" t="n">
        <v>27.95</v>
      </c>
      <c r="J1081" s="6" t="n">
        <v>15</v>
      </c>
      <c r="K1081" s="7">
        <f>IF(I1081="","",I1081*(1+J1081/100))</f>
        <v/>
      </c>
      <c r="L1081" s="12" t="inlineStr"/>
      <c r="M1081" s="8">
        <f>IF(OR(L1081="",K1081="",L1081=0),"",
  (L1081-K1081)/L1081*100)</f>
        <v/>
      </c>
      <c r="N1081" s="9" t="inlineStr"/>
      <c r="O1081" s="4" t="inlineStr"/>
      <c r="P1081" s="4" t="inlineStr"/>
      <c r="Q1081" s="4" t="inlineStr"/>
      <c r="R1081" s="4" t="inlineStr">
        <is>
          <t>2026-03-12</t>
        </is>
      </c>
      <c r="S1081" s="4" t="inlineStr"/>
    </row>
    <row r="1082">
      <c r="A1082" s="10" t="inlineStr">
        <is>
          <t>F01520</t>
        </is>
      </c>
      <c r="B1082" s="10" t="inlineStr">
        <is>
          <t>F01520</t>
        </is>
      </c>
      <c r="C1082" s="10" t="inlineStr"/>
      <c r="D1082" s="10" t="inlineStr"/>
      <c r="E1082" s="10" t="inlineStr">
        <is>
          <t>BY-113 PVC CEILING DAMAGE LOOSE</t>
        </is>
      </c>
      <c r="F1082" s="10" t="inlineStr"/>
      <c r="G1082" s="10" t="inlineStr"/>
      <c r="H1082" s="10" t="inlineStr"/>
      <c r="I1082" s="11" t="n">
        <v>27.95</v>
      </c>
      <c r="J1082" s="6" t="n">
        <v>15</v>
      </c>
      <c r="K1082" s="7">
        <f>IF(I1082="","",I1082*(1+J1082/100))</f>
        <v/>
      </c>
      <c r="L1082" s="12" t="inlineStr"/>
      <c r="M1082" s="8">
        <f>IF(OR(L1082="",K1082="",L1082=0),"",
  (L1082-K1082)/L1082*100)</f>
        <v/>
      </c>
      <c r="N1082" s="9" t="inlineStr"/>
      <c r="O1082" s="10" t="inlineStr"/>
      <c r="P1082" s="10" t="inlineStr"/>
      <c r="Q1082" s="10" t="inlineStr"/>
      <c r="R1082" s="10" t="inlineStr">
        <is>
          <t>2026-03-12</t>
        </is>
      </c>
      <c r="S1082" s="10" t="inlineStr"/>
    </row>
    <row r="1083">
      <c r="A1083" s="3" t="inlineStr">
        <is>
          <t>F01521</t>
        </is>
      </c>
      <c r="B1083" s="4" t="inlineStr">
        <is>
          <t>F01521</t>
        </is>
      </c>
      <c r="C1083" s="4" t="inlineStr"/>
      <c r="D1083" s="4" t="inlineStr"/>
      <c r="E1083" s="3" t="inlineStr">
        <is>
          <t>BY-116 PVC CEILING DAMAGE LOOSE</t>
        </is>
      </c>
      <c r="F1083" s="4" t="inlineStr"/>
      <c r="G1083" s="4" t="inlineStr"/>
      <c r="H1083" s="4" t="inlineStr"/>
      <c r="I1083" s="5" t="n">
        <v>35.52</v>
      </c>
      <c r="J1083" s="6" t="n">
        <v>15</v>
      </c>
      <c r="K1083" s="7">
        <f>IF(I1083="","",I1083*(1+J1083/100))</f>
        <v/>
      </c>
      <c r="L1083" s="12" t="inlineStr"/>
      <c r="M1083" s="8">
        <f>IF(OR(L1083="",K1083="",L1083=0),"",
  (L1083-K1083)/L1083*100)</f>
        <v/>
      </c>
      <c r="N1083" s="9" t="inlineStr"/>
      <c r="O1083" s="4" t="inlineStr"/>
      <c r="P1083" s="4" t="inlineStr"/>
      <c r="Q1083" s="4" t="inlineStr"/>
      <c r="R1083" s="4" t="inlineStr">
        <is>
          <t>2026-03-12</t>
        </is>
      </c>
      <c r="S1083" s="4" t="inlineStr"/>
    </row>
    <row r="1084">
      <c r="A1084" s="10" t="inlineStr">
        <is>
          <t>F01522</t>
        </is>
      </c>
      <c r="B1084" s="10" t="inlineStr">
        <is>
          <t>F01522</t>
        </is>
      </c>
      <c r="C1084" s="10" t="inlineStr"/>
      <c r="D1084" s="10" t="inlineStr"/>
      <c r="E1084" s="10" t="inlineStr">
        <is>
          <t>BY-117 PVC CEILING DAMAGE LOOSE</t>
        </is>
      </c>
      <c r="F1084" s="10" t="inlineStr"/>
      <c r="G1084" s="10" t="inlineStr"/>
      <c r="H1084" s="10" t="inlineStr"/>
      <c r="I1084" s="11" t="n">
        <v>27.95</v>
      </c>
      <c r="J1084" s="6" t="n">
        <v>15</v>
      </c>
      <c r="K1084" s="7">
        <f>IF(I1084="","",I1084*(1+J1084/100))</f>
        <v/>
      </c>
      <c r="L1084" s="12" t="inlineStr"/>
      <c r="M1084" s="8">
        <f>IF(OR(L1084="",K1084="",L1084=0),"",
  (L1084-K1084)/L1084*100)</f>
        <v/>
      </c>
      <c r="N1084" s="9" t="inlineStr"/>
      <c r="O1084" s="10" t="inlineStr"/>
      <c r="P1084" s="10" t="inlineStr"/>
      <c r="Q1084" s="10" t="inlineStr"/>
      <c r="R1084" s="10" t="inlineStr">
        <is>
          <t>2026-03-12</t>
        </is>
      </c>
      <c r="S1084" s="10" t="inlineStr"/>
    </row>
    <row r="1085">
      <c r="A1085" s="3" t="inlineStr">
        <is>
          <t>F01523</t>
        </is>
      </c>
      <c r="B1085" s="4" t="inlineStr">
        <is>
          <t>F01523</t>
        </is>
      </c>
      <c r="C1085" s="4" t="inlineStr"/>
      <c r="D1085" s="4" t="inlineStr"/>
      <c r="E1085" s="3" t="inlineStr">
        <is>
          <t>BY-119 PVC CEILING DAMAGE LOOSE</t>
        </is>
      </c>
      <c r="F1085" s="4" t="inlineStr"/>
      <c r="G1085" s="4" t="inlineStr"/>
      <c r="H1085" s="4" t="inlineStr"/>
      <c r="I1085" s="5" t="n">
        <v>35.53</v>
      </c>
      <c r="J1085" s="6" t="n">
        <v>15</v>
      </c>
      <c r="K1085" s="7">
        <f>IF(I1085="","",I1085*(1+J1085/100))</f>
        <v/>
      </c>
      <c r="L1085" s="12" t="inlineStr"/>
      <c r="M1085" s="8">
        <f>IF(OR(L1085="",K1085="",L1085=0),"",
  (L1085-K1085)/L1085*100)</f>
        <v/>
      </c>
      <c r="N1085" s="9" t="inlineStr"/>
      <c r="O1085" s="4" t="inlineStr"/>
      <c r="P1085" s="4" t="inlineStr"/>
      <c r="Q1085" s="4" t="inlineStr"/>
      <c r="R1085" s="4" t="inlineStr">
        <is>
          <t>2026-03-12</t>
        </is>
      </c>
      <c r="S1085" s="4" t="inlineStr"/>
    </row>
    <row r="1086">
      <c r="A1086" s="10" t="inlineStr">
        <is>
          <t>F01524</t>
        </is>
      </c>
      <c r="B1086" s="10" t="inlineStr">
        <is>
          <t>F01524</t>
        </is>
      </c>
      <c r="C1086" s="10" t="inlineStr"/>
      <c r="D1086" s="10" t="inlineStr"/>
      <c r="E1086" s="10" t="inlineStr">
        <is>
          <t>BY-120 PVC CEILING DAMAGE LOOSE</t>
        </is>
      </c>
      <c r="F1086" s="10" t="inlineStr"/>
      <c r="G1086" s="10" t="inlineStr"/>
      <c r="H1086" s="10" t="inlineStr"/>
      <c r="I1086" s="11" t="n">
        <v>35.61</v>
      </c>
      <c r="J1086" s="6" t="n">
        <v>15</v>
      </c>
      <c r="K1086" s="7">
        <f>IF(I1086="","",I1086*(1+J1086/100))</f>
        <v/>
      </c>
      <c r="L1086" s="12" t="inlineStr"/>
      <c r="M1086" s="8">
        <f>IF(OR(L1086="",K1086="",L1086=0),"",
  (L1086-K1086)/L1086*100)</f>
        <v/>
      </c>
      <c r="N1086" s="9" t="inlineStr"/>
      <c r="O1086" s="10" t="inlineStr"/>
      <c r="P1086" s="10" t="inlineStr"/>
      <c r="Q1086" s="10" t="inlineStr"/>
      <c r="R1086" s="10" t="inlineStr">
        <is>
          <t>2026-03-12</t>
        </is>
      </c>
      <c r="S1086" s="10" t="inlineStr"/>
    </row>
    <row r="1087">
      <c r="A1087" s="3" t="inlineStr">
        <is>
          <t>F01525</t>
        </is>
      </c>
      <c r="B1087" s="4" t="inlineStr">
        <is>
          <t>F01525</t>
        </is>
      </c>
      <c r="C1087" s="4" t="inlineStr"/>
      <c r="D1087" s="4" t="inlineStr"/>
      <c r="E1087" s="3" t="inlineStr">
        <is>
          <t>BY-121 PVC CEILING DAMAGE LOOSE</t>
        </is>
      </c>
      <c r="F1087" s="4" t="inlineStr"/>
      <c r="G1087" s="4" t="inlineStr"/>
      <c r="H1087" s="4" t="inlineStr"/>
      <c r="I1087" s="5" t="n">
        <v>35.63</v>
      </c>
      <c r="J1087" s="6" t="n">
        <v>15</v>
      </c>
      <c r="K1087" s="7">
        <f>IF(I1087="","",I1087*(1+J1087/100))</f>
        <v/>
      </c>
      <c r="L1087" s="12" t="inlineStr"/>
      <c r="M1087" s="8">
        <f>IF(OR(L1087="",K1087="",L1087=0),"",
  (L1087-K1087)/L1087*100)</f>
        <v/>
      </c>
      <c r="N1087" s="9" t="inlineStr"/>
      <c r="O1087" s="4" t="inlineStr"/>
      <c r="P1087" s="4" t="inlineStr"/>
      <c r="Q1087" s="4" t="inlineStr"/>
      <c r="R1087" s="4" t="inlineStr">
        <is>
          <t>2026-03-12</t>
        </is>
      </c>
      <c r="S1087" s="4" t="inlineStr"/>
    </row>
    <row r="1088">
      <c r="A1088" s="10" t="inlineStr">
        <is>
          <t>F01526</t>
        </is>
      </c>
      <c r="B1088" s="10" t="inlineStr">
        <is>
          <t>F01526</t>
        </is>
      </c>
      <c r="C1088" s="10" t="inlineStr"/>
      <c r="D1088" s="10" t="inlineStr"/>
      <c r="E1088" s="10" t="inlineStr">
        <is>
          <t>BY-122 PVC CEILING DAMAGE LOOSE</t>
        </is>
      </c>
      <c r="F1088" s="10" t="inlineStr"/>
      <c r="G1088" s="10" t="inlineStr"/>
      <c r="H1088" s="10" t="inlineStr"/>
      <c r="I1088" s="11" t="n">
        <v>1</v>
      </c>
      <c r="J1088" s="6" t="n">
        <v>15</v>
      </c>
      <c r="K1088" s="7">
        <f>IF(I1088="","",I1088*(1+J1088/100))</f>
        <v/>
      </c>
      <c r="L1088" s="12" t="inlineStr"/>
      <c r="M1088" s="8">
        <f>IF(OR(L1088="",K1088="",L1088=0),"",
  (L1088-K1088)/L1088*100)</f>
        <v/>
      </c>
      <c r="N1088" s="9" t="inlineStr"/>
      <c r="O1088" s="10" t="inlineStr"/>
      <c r="P1088" s="10" t="inlineStr"/>
      <c r="Q1088" s="10" t="inlineStr"/>
      <c r="R1088" s="10" t="inlineStr">
        <is>
          <t>2026-03-12</t>
        </is>
      </c>
      <c r="S1088" s="10" t="inlineStr"/>
    </row>
    <row r="1089">
      <c r="A1089" s="3" t="inlineStr">
        <is>
          <t>F01527</t>
        </is>
      </c>
      <c r="B1089" s="4" t="inlineStr">
        <is>
          <t>F01527</t>
        </is>
      </c>
      <c r="C1089" s="4" t="inlineStr"/>
      <c r="D1089" s="4" t="inlineStr"/>
      <c r="E1089" s="3" t="inlineStr">
        <is>
          <t>BY-125 PVC CEILING DAMAGE LOOSE</t>
        </is>
      </c>
      <c r="F1089" s="4" t="inlineStr"/>
      <c r="G1089" s="4" t="inlineStr"/>
      <c r="H1089" s="4" t="inlineStr"/>
      <c r="I1089" s="5" t="n">
        <v>35.76</v>
      </c>
      <c r="J1089" s="6" t="n">
        <v>15</v>
      </c>
      <c r="K1089" s="7">
        <f>IF(I1089="","",I1089*(1+J1089/100))</f>
        <v/>
      </c>
      <c r="L1089" s="12" t="inlineStr"/>
      <c r="M1089" s="8">
        <f>IF(OR(L1089="",K1089="",L1089=0),"",
  (L1089-K1089)/L1089*100)</f>
        <v/>
      </c>
      <c r="N1089" s="9" t="inlineStr"/>
      <c r="O1089" s="4" t="inlineStr"/>
      <c r="P1089" s="4" t="inlineStr"/>
      <c r="Q1089" s="4" t="inlineStr"/>
      <c r="R1089" s="4" t="inlineStr">
        <is>
          <t>2026-03-12</t>
        </is>
      </c>
      <c r="S1089" s="4" t="inlineStr"/>
    </row>
    <row r="1090">
      <c r="A1090" s="10" t="inlineStr">
        <is>
          <t>F01528</t>
        </is>
      </c>
      <c r="B1090" s="10" t="inlineStr">
        <is>
          <t>F01528</t>
        </is>
      </c>
      <c r="C1090" s="10" t="inlineStr"/>
      <c r="D1090" s="10" t="inlineStr"/>
      <c r="E1090" s="10" t="inlineStr">
        <is>
          <t>BY-126 PVC CEILING DAMAGE LOOSE</t>
        </is>
      </c>
      <c r="F1090" s="10" t="inlineStr"/>
      <c r="G1090" s="10" t="inlineStr"/>
      <c r="H1090" s="10" t="inlineStr"/>
      <c r="I1090" s="11" t="n">
        <v>1</v>
      </c>
      <c r="J1090" s="6" t="n">
        <v>15</v>
      </c>
      <c r="K1090" s="7">
        <f>IF(I1090="","",I1090*(1+J1090/100))</f>
        <v/>
      </c>
      <c r="L1090" s="12" t="inlineStr"/>
      <c r="M1090" s="8">
        <f>IF(OR(L1090="",K1090="",L1090=0),"",
  (L1090-K1090)/L1090*100)</f>
        <v/>
      </c>
      <c r="N1090" s="9" t="inlineStr"/>
      <c r="O1090" s="10" t="inlineStr"/>
      <c r="P1090" s="10" t="inlineStr"/>
      <c r="Q1090" s="10" t="inlineStr"/>
      <c r="R1090" s="10" t="inlineStr">
        <is>
          <t>2026-03-12</t>
        </is>
      </c>
      <c r="S1090" s="10" t="inlineStr"/>
    </row>
    <row r="1091">
      <c r="A1091" s="3" t="inlineStr">
        <is>
          <t>F01529</t>
        </is>
      </c>
      <c r="B1091" s="4" t="inlineStr">
        <is>
          <t>F01529</t>
        </is>
      </c>
      <c r="C1091" s="4" t="inlineStr"/>
      <c r="D1091" s="4" t="inlineStr"/>
      <c r="E1091" s="3" t="inlineStr">
        <is>
          <t>BY-127 PVC CEILING DAMAGE LOOSE</t>
        </is>
      </c>
      <c r="F1091" s="4" t="inlineStr"/>
      <c r="G1091" s="4" t="inlineStr"/>
      <c r="H1091" s="4" t="inlineStr"/>
      <c r="I1091" s="5" t="n">
        <v>35.54</v>
      </c>
      <c r="J1091" s="6" t="n">
        <v>15</v>
      </c>
      <c r="K1091" s="7">
        <f>IF(I1091="","",I1091*(1+J1091/100))</f>
        <v/>
      </c>
      <c r="L1091" s="12" t="inlineStr"/>
      <c r="M1091" s="8">
        <f>IF(OR(L1091="",K1091="",L1091=0),"",
  (L1091-K1091)/L1091*100)</f>
        <v/>
      </c>
      <c r="N1091" s="9" t="inlineStr"/>
      <c r="O1091" s="4" t="inlineStr"/>
      <c r="P1091" s="4" t="inlineStr"/>
      <c r="Q1091" s="4" t="inlineStr"/>
      <c r="R1091" s="4" t="inlineStr">
        <is>
          <t>2026-03-12</t>
        </is>
      </c>
      <c r="S1091" s="4" t="inlineStr"/>
    </row>
    <row r="1092">
      <c r="A1092" s="10" t="inlineStr">
        <is>
          <t>F01530</t>
        </is>
      </c>
      <c r="B1092" s="10" t="inlineStr">
        <is>
          <t>F01530</t>
        </is>
      </c>
      <c r="C1092" s="10" t="inlineStr"/>
      <c r="D1092" s="10" t="inlineStr"/>
      <c r="E1092" s="10" t="inlineStr">
        <is>
          <t>CY-002 PVC CEILING DAMAGE LOOSE</t>
        </is>
      </c>
      <c r="F1092" s="10" t="inlineStr"/>
      <c r="G1092" s="10" t="inlineStr"/>
      <c r="H1092" s="10" t="inlineStr"/>
      <c r="I1092" s="11" t="n">
        <v>1</v>
      </c>
      <c r="J1092" s="6" t="n">
        <v>15</v>
      </c>
      <c r="K1092" s="7">
        <f>IF(I1092="","",I1092*(1+J1092/100))</f>
        <v/>
      </c>
      <c r="L1092" s="12" t="inlineStr"/>
      <c r="M1092" s="8">
        <f>IF(OR(L1092="",K1092="",L1092=0),"",
  (L1092-K1092)/L1092*100)</f>
        <v/>
      </c>
      <c r="N1092" s="9" t="inlineStr"/>
      <c r="O1092" s="10" t="inlineStr"/>
      <c r="P1092" s="10" t="inlineStr"/>
      <c r="Q1092" s="10" t="inlineStr"/>
      <c r="R1092" s="10" t="inlineStr">
        <is>
          <t>2026-03-12</t>
        </is>
      </c>
      <c r="S1092" s="10" t="inlineStr"/>
    </row>
    <row r="1093">
      <c r="A1093" s="3" t="inlineStr">
        <is>
          <t>F01531</t>
        </is>
      </c>
      <c r="B1093" s="4" t="inlineStr">
        <is>
          <t>F01531</t>
        </is>
      </c>
      <c r="C1093" s="4" t="inlineStr"/>
      <c r="D1093" s="4" t="inlineStr"/>
      <c r="E1093" s="3" t="inlineStr">
        <is>
          <t>CY-003 PVC CEILING DAMAGE LOOSE</t>
        </is>
      </c>
      <c r="F1093" s="4" t="inlineStr"/>
      <c r="G1093" s="4" t="inlineStr"/>
      <c r="H1093" s="4" t="inlineStr"/>
      <c r="I1093" s="5" t="n">
        <v>1</v>
      </c>
      <c r="J1093" s="6" t="n">
        <v>15</v>
      </c>
      <c r="K1093" s="7">
        <f>IF(I1093="","",I1093*(1+J1093/100))</f>
        <v/>
      </c>
      <c r="L1093" s="12" t="inlineStr"/>
      <c r="M1093" s="8">
        <f>IF(OR(L1093="",K1093="",L1093=0),"",
  (L1093-K1093)/L1093*100)</f>
        <v/>
      </c>
      <c r="N1093" s="9" t="inlineStr"/>
      <c r="O1093" s="4" t="inlineStr"/>
      <c r="P1093" s="4" t="inlineStr"/>
      <c r="Q1093" s="4" t="inlineStr"/>
      <c r="R1093" s="4" t="inlineStr">
        <is>
          <t>2026-03-12</t>
        </is>
      </c>
      <c r="S1093" s="4" t="inlineStr"/>
    </row>
    <row r="1094">
      <c r="A1094" s="10" t="inlineStr">
        <is>
          <t>F01532</t>
        </is>
      </c>
      <c r="B1094" s="10" t="inlineStr">
        <is>
          <t>F01532</t>
        </is>
      </c>
      <c r="C1094" s="10" t="inlineStr"/>
      <c r="D1094" s="10" t="inlineStr"/>
      <c r="E1094" s="10" t="inlineStr">
        <is>
          <t>CY-005 PVC CEILING DAMAGE LOOSE</t>
        </is>
      </c>
      <c r="F1094" s="10" t="inlineStr"/>
      <c r="G1094" s="10" t="inlineStr"/>
      <c r="H1094" s="10" t="inlineStr"/>
      <c r="I1094" s="11" t="n">
        <v>1</v>
      </c>
      <c r="J1094" s="6" t="n">
        <v>15</v>
      </c>
      <c r="K1094" s="7">
        <f>IF(I1094="","",I1094*(1+J1094/100))</f>
        <v/>
      </c>
      <c r="L1094" s="12" t="inlineStr"/>
      <c r="M1094" s="8">
        <f>IF(OR(L1094="",K1094="",L1094=0),"",
  (L1094-K1094)/L1094*100)</f>
        <v/>
      </c>
      <c r="N1094" s="9" t="inlineStr"/>
      <c r="O1094" s="10" t="inlineStr"/>
      <c r="P1094" s="10" t="inlineStr"/>
      <c r="Q1094" s="10" t="inlineStr"/>
      <c r="R1094" s="10" t="inlineStr">
        <is>
          <t>2026-03-12</t>
        </is>
      </c>
      <c r="S1094" s="10" t="inlineStr"/>
    </row>
    <row r="1095">
      <c r="A1095" s="3" t="inlineStr">
        <is>
          <t>F01533</t>
        </is>
      </c>
      <c r="B1095" s="4" t="inlineStr">
        <is>
          <t>F01533</t>
        </is>
      </c>
      <c r="C1095" s="4" t="inlineStr"/>
      <c r="D1095" s="4" t="inlineStr"/>
      <c r="E1095" s="3" t="inlineStr">
        <is>
          <t>LM007 - PVC WALL &amp; CEILING DAMAGE LOOSE</t>
        </is>
      </c>
      <c r="F1095" s="4" t="inlineStr"/>
      <c r="G1095" s="4" t="inlineStr"/>
      <c r="H1095" s="4" t="inlineStr"/>
      <c r="I1095" s="5" t="n">
        <v>1</v>
      </c>
      <c r="J1095" s="6" t="n">
        <v>15</v>
      </c>
      <c r="K1095" s="7">
        <f>IF(I1095="","",I1095*(1+J1095/100))</f>
        <v/>
      </c>
      <c r="L1095" s="12" t="inlineStr"/>
      <c r="M1095" s="8">
        <f>IF(OR(L1095="",K1095="",L1095=0),"",
  (L1095-K1095)/L1095*100)</f>
        <v/>
      </c>
      <c r="N1095" s="9" t="inlineStr"/>
      <c r="O1095" s="4" t="inlineStr"/>
      <c r="P1095" s="4" t="inlineStr"/>
      <c r="Q1095" s="4" t="inlineStr"/>
      <c r="R1095" s="4" t="inlineStr">
        <is>
          <t>2026-03-12</t>
        </is>
      </c>
      <c r="S1095" s="4" t="inlineStr"/>
    </row>
    <row r="1096">
      <c r="A1096" s="10" t="inlineStr">
        <is>
          <t>F01534</t>
        </is>
      </c>
      <c r="B1096" s="10" t="inlineStr">
        <is>
          <t>F01534</t>
        </is>
      </c>
      <c r="C1096" s="10" t="inlineStr"/>
      <c r="D1096" s="10" t="inlineStr">
        <is>
          <t>6009677012556</t>
        </is>
      </c>
      <c r="E1096" s="10" t="inlineStr">
        <is>
          <t>TUMBLER 3PCE 72009X/WH3 9 OZ</t>
        </is>
      </c>
      <c r="F1096" s="10" t="inlineStr"/>
      <c r="G1096" s="10" t="inlineStr"/>
      <c r="H1096" s="10" t="inlineStr"/>
      <c r="I1096" s="11" t="n">
        <v>16.95</v>
      </c>
      <c r="J1096" s="6" t="n">
        <v>15</v>
      </c>
      <c r="K1096" s="7">
        <f>IF(I1096="","",I1096*(1+J1096/100))</f>
        <v/>
      </c>
      <c r="L1096" s="12" t="inlineStr"/>
      <c r="M1096" s="8">
        <f>IF(OR(L1096="",K1096="",L1096=0),"",
  (L1096-K1096)/L1096*100)</f>
        <v/>
      </c>
      <c r="N1096" s="9" t="inlineStr"/>
      <c r="O1096" s="10" t="inlineStr"/>
      <c r="P1096" s="10" t="inlineStr"/>
      <c r="Q1096" s="10" t="inlineStr"/>
      <c r="R1096" s="10" t="inlineStr">
        <is>
          <t>2026-03-12</t>
        </is>
      </c>
      <c r="S1096" s="10" t="inlineStr"/>
    </row>
    <row r="1097">
      <c r="A1097" s="3" t="inlineStr">
        <is>
          <t>F01535</t>
        </is>
      </c>
      <c r="B1097" s="4" t="inlineStr">
        <is>
          <t>F01535</t>
        </is>
      </c>
      <c r="C1097" s="4" t="inlineStr"/>
      <c r="D1097" s="4" t="inlineStr">
        <is>
          <t>6009677012549</t>
        </is>
      </c>
      <c r="E1097" s="3" t="inlineStr">
        <is>
          <t>TUMBLER 3PCE 809-3/WH3 9 OZ</t>
        </is>
      </c>
      <c r="F1097" s="4" t="inlineStr"/>
      <c r="G1097" s="4" t="inlineStr"/>
      <c r="H1097" s="4" t="inlineStr"/>
      <c r="I1097" s="5" t="n">
        <v>16.95</v>
      </c>
      <c r="J1097" s="6" t="n">
        <v>15</v>
      </c>
      <c r="K1097" s="7">
        <f>IF(I1097="","",I1097*(1+J1097/100))</f>
        <v/>
      </c>
      <c r="L1097" s="12" t="inlineStr"/>
      <c r="M1097" s="8">
        <f>IF(OR(L1097="",K1097="",L1097=0),"",
  (L1097-K1097)/L1097*100)</f>
        <v/>
      </c>
      <c r="N1097" s="9" t="inlineStr"/>
      <c r="O1097" s="4" t="inlineStr"/>
      <c r="P1097" s="4" t="inlineStr"/>
      <c r="Q1097" s="4" t="inlineStr"/>
      <c r="R1097" s="4" t="inlineStr">
        <is>
          <t>2026-03-12</t>
        </is>
      </c>
      <c r="S1097" s="4" t="inlineStr"/>
    </row>
    <row r="1098">
      <c r="A1098" s="10" t="inlineStr">
        <is>
          <t>F01536</t>
        </is>
      </c>
      <c r="B1098" s="10" t="inlineStr">
        <is>
          <t>F01536</t>
        </is>
      </c>
      <c r="C1098" s="10" t="inlineStr"/>
      <c r="D1098" s="10" t="inlineStr">
        <is>
          <t>6009677012525</t>
        </is>
      </c>
      <c r="E1098" s="10" t="inlineStr">
        <is>
          <t>TUMBLER 3PCE 809-1/WH3 9 OZ</t>
        </is>
      </c>
      <c r="F1098" s="10" t="inlineStr"/>
      <c r="G1098" s="10" t="inlineStr"/>
      <c r="H1098" s="10" t="inlineStr"/>
      <c r="I1098" s="11" t="n">
        <v>16.95</v>
      </c>
      <c r="J1098" s="6" t="n">
        <v>15</v>
      </c>
      <c r="K1098" s="7">
        <f>IF(I1098="","",I1098*(1+J1098/100))</f>
        <v/>
      </c>
      <c r="L1098" s="12" t="inlineStr"/>
      <c r="M1098" s="8">
        <f>IF(OR(L1098="",K1098="",L1098=0),"",
  (L1098-K1098)/L1098*100)</f>
        <v/>
      </c>
      <c r="N1098" s="9" t="inlineStr"/>
      <c r="O1098" s="10" t="inlineStr"/>
      <c r="P1098" s="10" t="inlineStr"/>
      <c r="Q1098" s="10" t="inlineStr"/>
      <c r="R1098" s="10" t="inlineStr">
        <is>
          <t>2026-03-12</t>
        </is>
      </c>
      <c r="S1098" s="10" t="inlineStr"/>
    </row>
    <row r="1099">
      <c r="A1099" s="3" t="inlineStr">
        <is>
          <t>F01537</t>
        </is>
      </c>
      <c r="B1099" s="4" t="inlineStr">
        <is>
          <t>F01537</t>
        </is>
      </c>
      <c r="C1099" s="4" t="inlineStr"/>
      <c r="D1099" s="4" t="inlineStr">
        <is>
          <t>6009677012563</t>
        </is>
      </c>
      <c r="E1099" s="3" t="inlineStr">
        <is>
          <t>TUMBLER 3PCE 72009AQU/WH3 9 OZ</t>
        </is>
      </c>
      <c r="F1099" s="4" t="inlineStr"/>
      <c r="G1099" s="4" t="inlineStr"/>
      <c r="H1099" s="4" t="inlineStr"/>
      <c r="I1099" s="5" t="n">
        <v>16.95</v>
      </c>
      <c r="J1099" s="6" t="n">
        <v>15</v>
      </c>
      <c r="K1099" s="7">
        <f>IF(I1099="","",I1099*(1+J1099/100))</f>
        <v/>
      </c>
      <c r="L1099" s="12" t="inlineStr"/>
      <c r="M1099" s="8">
        <f>IF(OR(L1099="",K1099="",L1099=0),"",
  (L1099-K1099)/L1099*100)</f>
        <v/>
      </c>
      <c r="N1099" s="9" t="inlineStr"/>
      <c r="O1099" s="4" t="inlineStr"/>
      <c r="P1099" s="4" t="inlineStr"/>
      <c r="Q1099" s="4" t="inlineStr"/>
      <c r="R1099" s="4" t="inlineStr">
        <is>
          <t>2026-03-12</t>
        </is>
      </c>
      <c r="S1099" s="4" t="inlineStr"/>
    </row>
    <row r="1100">
      <c r="A1100" s="10" t="inlineStr">
        <is>
          <t>F01538</t>
        </is>
      </c>
      <c r="B1100" s="10" t="inlineStr">
        <is>
          <t>F01538</t>
        </is>
      </c>
      <c r="C1100" s="10" t="inlineStr"/>
      <c r="D1100" s="10" t="inlineStr">
        <is>
          <t>6009677012570</t>
        </is>
      </c>
      <c r="E1100" s="10" t="inlineStr">
        <is>
          <t>TUMBLER 3PCE 87009RS/WH3 9 OZ</t>
        </is>
      </c>
      <c r="F1100" s="10" t="inlineStr"/>
      <c r="G1100" s="10" t="inlineStr"/>
      <c r="H1100" s="10" t="inlineStr"/>
      <c r="I1100" s="11" t="n">
        <v>10.6</v>
      </c>
      <c r="J1100" s="6" t="n">
        <v>15</v>
      </c>
      <c r="K1100" s="7">
        <f>IF(I1100="","",I1100*(1+J1100/100))</f>
        <v/>
      </c>
      <c r="L1100" s="12" t="inlineStr"/>
      <c r="M1100" s="8">
        <f>IF(OR(L1100="",K1100="",L1100=0),"",
  (L1100-K1100)/L1100*100)</f>
        <v/>
      </c>
      <c r="N1100" s="9" t="inlineStr"/>
      <c r="O1100" s="10" t="inlineStr"/>
      <c r="P1100" s="10" t="inlineStr"/>
      <c r="Q1100" s="10" t="inlineStr"/>
      <c r="R1100" s="10" t="inlineStr">
        <is>
          <t>2026-03-12</t>
        </is>
      </c>
      <c r="S1100" s="10" t="inlineStr"/>
    </row>
    <row r="1101">
      <c r="A1101" s="3" t="inlineStr">
        <is>
          <t>F01539</t>
        </is>
      </c>
      <c r="B1101" s="4" t="inlineStr">
        <is>
          <t>F01539</t>
        </is>
      </c>
      <c r="C1101" s="4" t="inlineStr"/>
      <c r="D1101" s="4" t="inlineStr">
        <is>
          <t>6009677012532</t>
        </is>
      </c>
      <c r="E1101" s="3" t="inlineStr">
        <is>
          <t>TUMBLER 3PCE 809-2/WH3 9 OZ</t>
        </is>
      </c>
      <c r="F1101" s="4" t="inlineStr"/>
      <c r="G1101" s="4" t="inlineStr"/>
      <c r="H1101" s="4" t="inlineStr"/>
      <c r="I1101" s="5" t="n">
        <v>10.6</v>
      </c>
      <c r="J1101" s="6" t="n">
        <v>15</v>
      </c>
      <c r="K1101" s="7">
        <f>IF(I1101="","",I1101*(1+J1101/100))</f>
        <v/>
      </c>
      <c r="L1101" s="12" t="inlineStr"/>
      <c r="M1101" s="8">
        <f>IF(OR(L1101="",K1101="",L1101=0),"",
  (L1101-K1101)/L1101*100)</f>
        <v/>
      </c>
      <c r="N1101" s="9" t="inlineStr"/>
      <c r="O1101" s="4" t="inlineStr"/>
      <c r="P1101" s="4" t="inlineStr"/>
      <c r="Q1101" s="4" t="inlineStr"/>
      <c r="R1101" s="4" t="inlineStr">
        <is>
          <t>2026-03-12</t>
        </is>
      </c>
      <c r="S1101" s="4" t="inlineStr"/>
    </row>
    <row r="1102">
      <c r="A1102" s="10" t="inlineStr">
        <is>
          <t>F01540</t>
        </is>
      </c>
      <c r="B1102" s="10" t="inlineStr">
        <is>
          <t>F01540</t>
        </is>
      </c>
      <c r="C1102" s="10" t="inlineStr"/>
      <c r="D1102" s="10" t="inlineStr">
        <is>
          <t>6046391100031</t>
        </is>
      </c>
      <c r="E1102" s="10" t="inlineStr">
        <is>
          <t>TUMBLER HIBALL 6'S EMBOSSED - 109A/TH6+</t>
        </is>
      </c>
      <c r="F1102" s="10" t="inlineStr"/>
      <c r="G1102" s="10" t="inlineStr"/>
      <c r="H1102" s="10" t="inlineStr"/>
      <c r="I1102" s="11" t="n">
        <v>24.39</v>
      </c>
      <c r="J1102" s="6" t="n">
        <v>15</v>
      </c>
      <c r="K1102" s="7">
        <f>IF(I1102="","",I1102*(1+J1102/100))</f>
        <v/>
      </c>
      <c r="L1102" s="12" t="inlineStr"/>
      <c r="M1102" s="8">
        <f>IF(OR(L1102="",K1102="",L1102=0),"",
  (L1102-K1102)/L1102*100)</f>
        <v/>
      </c>
      <c r="N1102" s="9" t="inlineStr"/>
      <c r="O1102" s="10" t="inlineStr"/>
      <c r="P1102" s="10" t="inlineStr"/>
      <c r="Q1102" s="10" t="inlineStr"/>
      <c r="R1102" s="10" t="inlineStr">
        <is>
          <t>2026-03-12</t>
        </is>
      </c>
      <c r="S1102" s="10" t="inlineStr"/>
    </row>
    <row r="1103">
      <c r="A1103" s="3" t="inlineStr">
        <is>
          <t>F01541</t>
        </is>
      </c>
      <c r="B1103" s="4" t="inlineStr">
        <is>
          <t>F01541</t>
        </is>
      </c>
      <c r="C1103" s="4" t="inlineStr"/>
      <c r="D1103" s="4" t="inlineStr">
        <is>
          <t>60096993900547</t>
        </is>
      </c>
      <c r="E1103" s="3" t="inlineStr">
        <is>
          <t>TUMBLER PARK AVENUE</t>
        </is>
      </c>
      <c r="F1103" s="4" t="inlineStr"/>
      <c r="G1103" s="4" t="inlineStr"/>
      <c r="H1103" s="4" t="inlineStr"/>
      <c r="I1103" s="5" t="n">
        <v>2.95</v>
      </c>
      <c r="J1103" s="6" t="n">
        <v>15</v>
      </c>
      <c r="K1103" s="7">
        <f>IF(I1103="","",I1103*(1+J1103/100))</f>
        <v/>
      </c>
      <c r="L1103" s="12" t="inlineStr"/>
      <c r="M1103" s="8">
        <f>IF(OR(L1103="",K1103="",L1103=0),"",
  (L1103-K1103)/L1103*100)</f>
        <v/>
      </c>
      <c r="N1103" s="9" t="inlineStr"/>
      <c r="O1103" s="4" t="inlineStr"/>
      <c r="P1103" s="4" t="inlineStr"/>
      <c r="Q1103" s="4" t="inlineStr"/>
      <c r="R1103" s="4" t="inlineStr">
        <is>
          <t>2026-03-12</t>
        </is>
      </c>
      <c r="S1103" s="4" t="inlineStr"/>
    </row>
    <row r="1104">
      <c r="A1104" s="10" t="inlineStr">
        <is>
          <t>F01542</t>
        </is>
      </c>
      <c r="B1104" s="10" t="inlineStr">
        <is>
          <t>F01542</t>
        </is>
      </c>
      <c r="C1104" s="10" t="inlineStr"/>
      <c r="D1104" s="10" t="inlineStr">
        <is>
          <t>6009677011627</t>
        </is>
      </c>
      <c r="E1104" s="10" t="inlineStr">
        <is>
          <t>MUG GLASS ROSE DESIGN</t>
        </is>
      </c>
      <c r="F1104" s="10" t="inlineStr"/>
      <c r="G1104" s="10" t="inlineStr"/>
      <c r="H1104" s="10" t="inlineStr"/>
      <c r="I1104" s="11" t="n">
        <v>5.99</v>
      </c>
      <c r="J1104" s="6" t="n">
        <v>15</v>
      </c>
      <c r="K1104" s="7">
        <f>IF(I1104="","",I1104*(1+J1104/100))</f>
        <v/>
      </c>
      <c r="L1104" s="12" t="inlineStr"/>
      <c r="M1104" s="8">
        <f>IF(OR(L1104="",K1104="",L1104=0),"",
  (L1104-K1104)/L1104*100)</f>
        <v/>
      </c>
      <c r="N1104" s="9" t="inlineStr"/>
      <c r="O1104" s="10" t="inlineStr"/>
      <c r="P1104" s="10" t="inlineStr"/>
      <c r="Q1104" s="10" t="inlineStr"/>
      <c r="R1104" s="10" t="inlineStr">
        <is>
          <t>2026-03-12</t>
        </is>
      </c>
      <c r="S1104" s="10" t="inlineStr"/>
    </row>
    <row r="1105">
      <c r="A1105" s="3" t="inlineStr">
        <is>
          <t>F01543</t>
        </is>
      </c>
      <c r="B1105" s="4" t="inlineStr">
        <is>
          <t>F01543</t>
        </is>
      </c>
      <c r="C1105" s="4" t="inlineStr"/>
      <c r="D1105" s="4" t="inlineStr">
        <is>
          <t>6009693899766</t>
        </is>
      </c>
      <c r="E1105" s="3" t="inlineStr">
        <is>
          <t>BOWL 14CM DIAMOND GLASS BOTTOM</t>
        </is>
      </c>
      <c r="F1105" s="4" t="inlineStr"/>
      <c r="G1105" s="4" t="inlineStr"/>
      <c r="H1105" s="4" t="inlineStr"/>
      <c r="I1105" s="5" t="n">
        <v>5.29</v>
      </c>
      <c r="J1105" s="6" t="n">
        <v>15</v>
      </c>
      <c r="K1105" s="7">
        <f>IF(I1105="","",I1105*(1+J1105/100))</f>
        <v/>
      </c>
      <c r="L1105" s="12" t="inlineStr"/>
      <c r="M1105" s="8">
        <f>IF(OR(L1105="",K1105="",L1105=0),"",
  (L1105-K1105)/L1105*100)</f>
        <v/>
      </c>
      <c r="N1105" s="9" t="inlineStr"/>
      <c r="O1105" s="4" t="inlineStr"/>
      <c r="P1105" s="4" t="inlineStr"/>
      <c r="Q1105" s="4" t="inlineStr"/>
      <c r="R1105" s="4" t="inlineStr">
        <is>
          <t>2026-03-12</t>
        </is>
      </c>
      <c r="S1105" s="4" t="inlineStr"/>
    </row>
    <row r="1106">
      <c r="A1106" s="10" t="inlineStr">
        <is>
          <t>F01544</t>
        </is>
      </c>
      <c r="B1106" s="10" t="inlineStr">
        <is>
          <t>F01544</t>
        </is>
      </c>
      <c r="C1106" s="10" t="inlineStr"/>
      <c r="D1106" s="10" t="inlineStr"/>
      <c r="E1106" s="10" t="inlineStr">
        <is>
          <t>PEEL &amp; STICK TILES</t>
        </is>
      </c>
      <c r="F1106" s="10" t="inlineStr"/>
      <c r="G1106" s="10" t="inlineStr"/>
      <c r="H1106" s="10" t="inlineStr"/>
      <c r="I1106" s="11" t="n">
        <v>149.95</v>
      </c>
      <c r="J1106" s="6" t="n">
        <v>15</v>
      </c>
      <c r="K1106" s="7">
        <f>IF(I1106="","",I1106*(1+J1106/100))</f>
        <v/>
      </c>
      <c r="L1106" s="12" t="inlineStr"/>
      <c r="M1106" s="8">
        <f>IF(OR(L1106="",K1106="",L1106=0),"",
  (L1106-K1106)/L1106*100)</f>
        <v/>
      </c>
      <c r="N1106" s="9" t="inlineStr"/>
      <c r="O1106" s="10" t="inlineStr"/>
      <c r="P1106" s="10" t="inlineStr"/>
      <c r="Q1106" s="10" t="inlineStr"/>
      <c r="R1106" s="10" t="inlineStr">
        <is>
          <t>2026-03-12</t>
        </is>
      </c>
      <c r="S1106" s="10" t="inlineStr"/>
    </row>
    <row r="1107">
      <c r="A1107" s="3" t="inlineStr">
        <is>
          <t>F01545</t>
        </is>
      </c>
      <c r="B1107" s="4" t="inlineStr">
        <is>
          <t>F01545</t>
        </is>
      </c>
      <c r="C1107" s="4" t="inlineStr"/>
      <c r="D1107" s="4" t="inlineStr">
        <is>
          <t>6009677011542</t>
        </is>
      </c>
      <c r="E1107" s="3" t="inlineStr">
        <is>
          <t>JUG GLASS J7</t>
        </is>
      </c>
      <c r="F1107" s="4" t="inlineStr"/>
      <c r="G1107" s="4" t="inlineStr"/>
      <c r="H1107" s="4" t="inlineStr"/>
      <c r="I1107" s="5" t="n">
        <v>12.18</v>
      </c>
      <c r="J1107" s="6" t="n">
        <v>15</v>
      </c>
      <c r="K1107" s="7">
        <f>IF(I1107="","",I1107*(1+J1107/100))</f>
        <v/>
      </c>
      <c r="L1107" s="12" t="inlineStr"/>
      <c r="M1107" s="8">
        <f>IF(OR(L1107="",K1107="",L1107=0),"",
  (L1107-K1107)/L1107*100)</f>
        <v/>
      </c>
      <c r="N1107" s="9" t="inlineStr"/>
      <c r="O1107" s="4" t="inlineStr"/>
      <c r="P1107" s="4" t="inlineStr"/>
      <c r="Q1107" s="4" t="inlineStr"/>
      <c r="R1107" s="4" t="inlineStr">
        <is>
          <t>2026-03-12</t>
        </is>
      </c>
      <c r="S1107" s="4" t="inlineStr"/>
    </row>
    <row r="1108">
      <c r="A1108" s="10" t="inlineStr">
        <is>
          <t>F01546</t>
        </is>
      </c>
      <c r="B1108" s="10" t="inlineStr">
        <is>
          <t>F01546</t>
        </is>
      </c>
      <c r="C1108" s="10" t="inlineStr"/>
      <c r="D1108" s="10" t="inlineStr">
        <is>
          <t>6009677011535</t>
        </is>
      </c>
      <c r="E1108" s="10" t="inlineStr">
        <is>
          <t>JUG GLASS J8</t>
        </is>
      </c>
      <c r="F1108" s="10" t="inlineStr"/>
      <c r="G1108" s="10" t="inlineStr"/>
      <c r="H1108" s="10" t="inlineStr"/>
      <c r="I1108" s="11" t="n">
        <v>12.18</v>
      </c>
      <c r="J1108" s="6" t="n">
        <v>15</v>
      </c>
      <c r="K1108" s="7">
        <f>IF(I1108="","",I1108*(1+J1108/100))</f>
        <v/>
      </c>
      <c r="L1108" s="12" t="inlineStr"/>
      <c r="M1108" s="8">
        <f>IF(OR(L1108="",K1108="",L1108=0),"",
  (L1108-K1108)/L1108*100)</f>
        <v/>
      </c>
      <c r="N1108" s="9" t="inlineStr"/>
      <c r="O1108" s="10" t="inlineStr"/>
      <c r="P1108" s="10" t="inlineStr"/>
      <c r="Q1108" s="10" t="inlineStr"/>
      <c r="R1108" s="10" t="inlineStr">
        <is>
          <t>2026-03-12</t>
        </is>
      </c>
      <c r="S1108" s="10" t="inlineStr"/>
    </row>
    <row r="1109">
      <c r="A1109" s="3" t="inlineStr">
        <is>
          <t>F01547</t>
        </is>
      </c>
      <c r="B1109" s="4" t="inlineStr">
        <is>
          <t>F01547</t>
        </is>
      </c>
      <c r="C1109" s="4" t="inlineStr"/>
      <c r="D1109" s="4" t="inlineStr">
        <is>
          <t>6009677011559</t>
        </is>
      </c>
      <c r="E1109" s="3" t="inlineStr">
        <is>
          <t>MUG BEER GLASS 500ML</t>
        </is>
      </c>
      <c r="F1109" s="4" t="inlineStr"/>
      <c r="G1109" s="4" t="inlineStr"/>
      <c r="H1109" s="4" t="inlineStr"/>
      <c r="I1109" s="5" t="n">
        <v>14.5</v>
      </c>
      <c r="J1109" s="6" t="n">
        <v>15</v>
      </c>
      <c r="K1109" s="7">
        <f>IF(I1109="","",I1109*(1+J1109/100))</f>
        <v/>
      </c>
      <c r="L1109" s="12" t="inlineStr"/>
      <c r="M1109" s="8">
        <f>IF(OR(L1109="",K1109="",L1109=0),"",
  (L1109-K1109)/L1109*100)</f>
        <v/>
      </c>
      <c r="N1109" s="9" t="inlineStr"/>
      <c r="O1109" s="4" t="inlineStr"/>
      <c r="P1109" s="4" t="inlineStr"/>
      <c r="Q1109" s="4" t="inlineStr"/>
      <c r="R1109" s="4" t="inlineStr">
        <is>
          <t>2026-03-12</t>
        </is>
      </c>
      <c r="S1109" s="4" t="inlineStr"/>
    </row>
    <row r="1110">
      <c r="A1110" s="10" t="inlineStr">
        <is>
          <t>F01548</t>
        </is>
      </c>
      <c r="B1110" s="10" t="inlineStr">
        <is>
          <t>F01548</t>
        </is>
      </c>
      <c r="C1110" s="10" t="inlineStr"/>
      <c r="D1110" s="10" t="inlineStr"/>
      <c r="E1110" s="10" t="inlineStr">
        <is>
          <t>LF B20 PVC CEILING 3900*300*6MM</t>
        </is>
      </c>
      <c r="F1110" s="10" t="inlineStr"/>
      <c r="G1110" s="10" t="inlineStr"/>
      <c r="H1110" s="10" t="inlineStr"/>
      <c r="I1110" s="11" t="n">
        <v>745.6799999999999</v>
      </c>
      <c r="J1110" s="6" t="n">
        <v>15</v>
      </c>
      <c r="K1110" s="7">
        <f>IF(I1110="","",I1110*(1+J1110/100))</f>
        <v/>
      </c>
      <c r="L1110" s="12" t="inlineStr"/>
      <c r="M1110" s="8">
        <f>IF(OR(L1110="",K1110="",L1110=0),"",
  (L1110-K1110)/L1110*100)</f>
        <v/>
      </c>
      <c r="N1110" s="9" t="inlineStr"/>
      <c r="O1110" s="10" t="inlineStr"/>
      <c r="P1110" s="10" t="inlineStr"/>
      <c r="Q1110" s="10" t="inlineStr"/>
      <c r="R1110" s="10" t="inlineStr">
        <is>
          <t>2026-03-12</t>
        </is>
      </c>
      <c r="S1110" s="10" t="inlineStr"/>
    </row>
    <row r="1111">
      <c r="A1111" s="3" t="inlineStr">
        <is>
          <t>F01549</t>
        </is>
      </c>
      <c r="B1111" s="4" t="inlineStr">
        <is>
          <t>F01549</t>
        </is>
      </c>
      <c r="C1111" s="4" t="inlineStr"/>
      <c r="D1111" s="4" t="inlineStr">
        <is>
          <t>6009677012655</t>
        </is>
      </c>
      <c r="E1111" s="3" t="inlineStr">
        <is>
          <t>TUMBLER 3PCE 8711/WH3 11 OZ</t>
        </is>
      </c>
      <c r="F1111" s="4" t="inlineStr"/>
      <c r="G1111" s="4" t="inlineStr"/>
      <c r="H1111" s="4" t="inlineStr"/>
      <c r="I1111" s="5" t="n">
        <v>18.95</v>
      </c>
      <c r="J1111" s="6" t="n">
        <v>15</v>
      </c>
      <c r="K1111" s="7">
        <f>IF(I1111="","",I1111*(1+J1111/100))</f>
        <v/>
      </c>
      <c r="L1111" s="12" t="inlineStr"/>
      <c r="M1111" s="8">
        <f>IF(OR(L1111="",K1111="",L1111=0),"",
  (L1111-K1111)/L1111*100)</f>
        <v/>
      </c>
      <c r="N1111" s="9" t="inlineStr"/>
      <c r="O1111" s="4" t="inlineStr"/>
      <c r="P1111" s="4" t="inlineStr"/>
      <c r="Q1111" s="4" t="inlineStr"/>
      <c r="R1111" s="4" t="inlineStr">
        <is>
          <t>2026-03-12</t>
        </is>
      </c>
      <c r="S1111" s="4" t="inlineStr"/>
    </row>
    <row r="1112">
      <c r="A1112" s="10" t="inlineStr">
        <is>
          <t>F01550</t>
        </is>
      </c>
      <c r="B1112" s="10" t="inlineStr">
        <is>
          <t>F01550</t>
        </is>
      </c>
      <c r="C1112" s="10" t="inlineStr"/>
      <c r="D1112" s="10" t="inlineStr">
        <is>
          <t>6009677013003</t>
        </is>
      </c>
      <c r="E1112" s="10" t="inlineStr">
        <is>
          <t>PEEL &amp; STICK TILES  CL1006</t>
        </is>
      </c>
      <c r="F1112" s="10" t="inlineStr"/>
      <c r="G1112" s="10" t="inlineStr"/>
      <c r="H1112" s="10" t="inlineStr"/>
      <c r="I1112" s="11" t="n">
        <v>169</v>
      </c>
      <c r="J1112" s="6" t="n">
        <v>15</v>
      </c>
      <c r="K1112" s="7">
        <f>IF(I1112="","",I1112*(1+J1112/100))</f>
        <v/>
      </c>
      <c r="L1112" s="12" t="inlineStr"/>
      <c r="M1112" s="8">
        <f>IF(OR(L1112="",K1112="",L1112=0),"",
  (L1112-K1112)/L1112*100)</f>
        <v/>
      </c>
      <c r="N1112" s="9" t="inlineStr"/>
      <c r="O1112" s="10" t="inlineStr"/>
      <c r="P1112" s="10" t="inlineStr"/>
      <c r="Q1112" s="10" t="inlineStr"/>
      <c r="R1112" s="10" t="inlineStr">
        <is>
          <t>2026-03-12</t>
        </is>
      </c>
      <c r="S1112" s="10" t="inlineStr"/>
    </row>
    <row r="1113">
      <c r="A1113" s="3" t="inlineStr">
        <is>
          <t>F01551</t>
        </is>
      </c>
      <c r="B1113" s="4" t="inlineStr">
        <is>
          <t>F01551</t>
        </is>
      </c>
      <c r="C1113" s="4" t="inlineStr"/>
      <c r="D1113" s="4" t="inlineStr">
        <is>
          <t>6009677013027</t>
        </is>
      </c>
      <c r="E1113" s="3" t="inlineStr">
        <is>
          <t>PEEL &amp; STICK TILES  CL2014</t>
        </is>
      </c>
      <c r="F1113" s="4" t="inlineStr"/>
      <c r="G1113" s="4" t="inlineStr"/>
      <c r="H1113" s="4" t="inlineStr"/>
      <c r="I1113" s="5" t="n">
        <v>131.83</v>
      </c>
      <c r="J1113" s="6" t="n">
        <v>15</v>
      </c>
      <c r="K1113" s="7">
        <f>IF(I1113="","",I1113*(1+J1113/100))</f>
        <v/>
      </c>
      <c r="L1113" s="12" t="inlineStr"/>
      <c r="M1113" s="8">
        <f>IF(OR(L1113="",K1113="",L1113=0),"",
  (L1113-K1113)/L1113*100)</f>
        <v/>
      </c>
      <c r="N1113" s="9" t="inlineStr"/>
      <c r="O1113" s="4" t="inlineStr"/>
      <c r="P1113" s="4" t="inlineStr"/>
      <c r="Q1113" s="4" t="inlineStr"/>
      <c r="R1113" s="4" t="inlineStr">
        <is>
          <t>2026-03-12</t>
        </is>
      </c>
      <c r="S1113" s="4" t="inlineStr"/>
    </row>
    <row r="1114">
      <c r="A1114" s="10" t="inlineStr">
        <is>
          <t>F01552</t>
        </is>
      </c>
      <c r="B1114" s="10" t="inlineStr">
        <is>
          <t>F01552</t>
        </is>
      </c>
      <c r="C1114" s="10" t="inlineStr"/>
      <c r="D1114" s="10" t="inlineStr">
        <is>
          <t>6009677013041</t>
        </is>
      </c>
      <c r="E1114" s="10" t="inlineStr">
        <is>
          <t>PEEL &amp; STICK TILES  CL2041</t>
        </is>
      </c>
      <c r="F1114" s="10" t="inlineStr"/>
      <c r="G1114" s="10" t="inlineStr"/>
      <c r="H1114" s="10" t="inlineStr"/>
      <c r="I1114" s="11" t="n">
        <v>169</v>
      </c>
      <c r="J1114" s="6" t="n">
        <v>15</v>
      </c>
      <c r="K1114" s="7">
        <f>IF(I1114="","",I1114*(1+J1114/100))</f>
        <v/>
      </c>
      <c r="L1114" s="12" t="inlineStr"/>
      <c r="M1114" s="8">
        <f>IF(OR(L1114="",K1114="",L1114=0),"",
  (L1114-K1114)/L1114*100)</f>
        <v/>
      </c>
      <c r="N1114" s="9" t="inlineStr"/>
      <c r="O1114" s="10" t="inlineStr"/>
      <c r="P1114" s="10" t="inlineStr"/>
      <c r="Q1114" s="10" t="inlineStr"/>
      <c r="R1114" s="10" t="inlineStr">
        <is>
          <t>2026-03-12</t>
        </is>
      </c>
      <c r="S1114" s="10" t="inlineStr"/>
    </row>
    <row r="1115">
      <c r="A1115" s="3" t="inlineStr">
        <is>
          <t>F01553</t>
        </is>
      </c>
      <c r="B1115" s="4" t="inlineStr">
        <is>
          <t>F01553</t>
        </is>
      </c>
      <c r="C1115" s="4" t="inlineStr"/>
      <c r="D1115" s="4" t="inlineStr"/>
      <c r="E1115" s="3" t="inlineStr">
        <is>
          <t>PEEL &amp; STICK TILES  CL2082</t>
        </is>
      </c>
      <c r="F1115" s="4" t="inlineStr"/>
      <c r="G1115" s="4" t="inlineStr"/>
      <c r="H1115" s="4" t="inlineStr"/>
      <c r="I1115" s="5" t="n">
        <v>225</v>
      </c>
      <c r="J1115" s="6" t="n">
        <v>15</v>
      </c>
      <c r="K1115" s="7">
        <f>IF(I1115="","",I1115*(1+J1115/100))</f>
        <v/>
      </c>
      <c r="L1115" s="12" t="inlineStr"/>
      <c r="M1115" s="8">
        <f>IF(OR(L1115="",K1115="",L1115=0),"",
  (L1115-K1115)/L1115*100)</f>
        <v/>
      </c>
      <c r="N1115" s="9" t="inlineStr"/>
      <c r="O1115" s="4" t="inlineStr"/>
      <c r="P1115" s="4" t="inlineStr"/>
      <c r="Q1115" s="4" t="inlineStr"/>
      <c r="R1115" s="4" t="inlineStr">
        <is>
          <t>2026-03-12</t>
        </is>
      </c>
      <c r="S1115" s="4" t="inlineStr"/>
    </row>
    <row r="1116">
      <c r="A1116" s="10" t="inlineStr">
        <is>
          <t>F01554</t>
        </is>
      </c>
      <c r="B1116" s="10" t="inlineStr">
        <is>
          <t>F01554</t>
        </is>
      </c>
      <c r="C1116" s="10" t="inlineStr">
        <is>
          <t>16659</t>
        </is>
      </c>
      <c r="D1116" s="10" t="inlineStr">
        <is>
          <t>6009677013089</t>
        </is>
      </c>
      <c r="E1116" s="10" t="inlineStr">
        <is>
          <t>PEEL &amp; STICK TILES (8PC / 5PK) CL2044</t>
        </is>
      </c>
      <c r="F1116" s="10" t="inlineStr"/>
      <c r="G1116" s="10" t="inlineStr"/>
      <c r="H1116" s="10" t="inlineStr"/>
      <c r="I1116" s="11" t="n">
        <v>214.95</v>
      </c>
      <c r="J1116" s="6" t="n">
        <v>15</v>
      </c>
      <c r="K1116" s="7">
        <f>IF(I1116="","",I1116*(1+J1116/100))</f>
        <v/>
      </c>
      <c r="L1116" s="11" t="n">
        <v>580</v>
      </c>
      <c r="M1116" s="8">
        <f>IF(OR(L1116="",K1116="",L1116=0),"",
  (L1116-K1116)/L1116*100)</f>
        <v/>
      </c>
      <c r="N1116" s="9" t="inlineStr"/>
      <c r="O1116" s="10" t="inlineStr"/>
      <c r="P1116" s="10" t="inlineStr"/>
      <c r="Q1116" s="10" t="inlineStr"/>
      <c r="R1116" s="10" t="inlineStr">
        <is>
          <t>2026-03-12</t>
        </is>
      </c>
      <c r="S1116" s="10" t="inlineStr"/>
    </row>
    <row r="1117">
      <c r="A1117" s="3" t="inlineStr">
        <is>
          <t>F01555</t>
        </is>
      </c>
      <c r="B1117" s="4" t="inlineStr">
        <is>
          <t>F01555</t>
        </is>
      </c>
      <c r="C1117" s="4" t="inlineStr">
        <is>
          <t>18983</t>
        </is>
      </c>
      <c r="D1117" s="4" t="inlineStr">
        <is>
          <t>6009677012709</t>
        </is>
      </c>
      <c r="E1117" s="3" t="inlineStr">
        <is>
          <t>BOWL SET 7PC FISH SCALE DESIGN TP7001YL</t>
        </is>
      </c>
      <c r="F1117" s="4" t="inlineStr"/>
      <c r="G1117" s="4" t="inlineStr"/>
      <c r="H1117" s="4" t="inlineStr"/>
      <c r="I1117" s="5" t="n">
        <v>77.5</v>
      </c>
      <c r="J1117" s="6" t="n">
        <v>15</v>
      </c>
      <c r="K1117" s="7">
        <f>IF(I1117="","",I1117*(1+J1117/100))</f>
        <v/>
      </c>
      <c r="L1117" s="5" t="n">
        <v>350</v>
      </c>
      <c r="M1117" s="8">
        <f>IF(OR(L1117="",K1117="",L1117=0),"",
  (L1117-K1117)/L1117*100)</f>
        <v/>
      </c>
      <c r="N1117" s="14" t="n">
        <v>1133</v>
      </c>
      <c r="O1117" s="4" t="inlineStr"/>
      <c r="P1117" s="4" t="inlineStr"/>
      <c r="Q1117" s="4" t="inlineStr"/>
      <c r="R1117" s="4" t="inlineStr">
        <is>
          <t>2026-03-12</t>
        </is>
      </c>
      <c r="S1117" s="4" t="inlineStr"/>
    </row>
    <row r="1118">
      <c r="A1118" s="10" t="inlineStr">
        <is>
          <t>F01556</t>
        </is>
      </c>
      <c r="B1118" s="10" t="inlineStr">
        <is>
          <t>F01556</t>
        </is>
      </c>
      <c r="C1118" s="10" t="inlineStr">
        <is>
          <t>19045</t>
        </is>
      </c>
      <c r="D1118" s="10" t="inlineStr">
        <is>
          <t>6009677012716</t>
        </is>
      </c>
      <c r="E1118" s="10" t="inlineStr">
        <is>
          <t>DRINK SET 7PC FISH SCALE DESIGN SJ-7001Y</t>
        </is>
      </c>
      <c r="F1118" s="10" t="inlineStr"/>
      <c r="G1118" s="10" t="inlineStr"/>
      <c r="H1118" s="10" t="inlineStr"/>
      <c r="I1118" s="11" t="n">
        <v>87.95</v>
      </c>
      <c r="J1118" s="6" t="n">
        <v>15</v>
      </c>
      <c r="K1118" s="7">
        <f>IF(I1118="","",I1118*(1+J1118/100))</f>
        <v/>
      </c>
      <c r="L1118" s="11" t="n">
        <v>350</v>
      </c>
      <c r="M1118" s="8">
        <f>IF(OR(L1118="",K1118="",L1118=0),"",
  (L1118-K1118)/L1118*100)</f>
        <v/>
      </c>
      <c r="N1118" s="13" t="n">
        <v>255</v>
      </c>
      <c r="O1118" s="10" t="inlineStr"/>
      <c r="P1118" s="10" t="inlineStr"/>
      <c r="Q1118" s="10" t="inlineStr"/>
      <c r="R1118" s="10" t="inlineStr">
        <is>
          <t>2026-03-12</t>
        </is>
      </c>
      <c r="S1118" s="10" t="inlineStr"/>
    </row>
    <row r="1119">
      <c r="A1119" s="3" t="inlineStr">
        <is>
          <t>F01557</t>
        </is>
      </c>
      <c r="B1119" s="4" t="inlineStr">
        <is>
          <t>F01557</t>
        </is>
      </c>
      <c r="C1119" s="4" t="inlineStr"/>
      <c r="D1119" s="4" t="inlineStr">
        <is>
          <t>6009708400215</t>
        </is>
      </c>
      <c r="E1119" s="3" t="inlineStr">
        <is>
          <t>DOOR MERANTI 6 PNL STAIN FLAT P</t>
        </is>
      </c>
      <c r="F1119" s="4" t="inlineStr"/>
      <c r="G1119" s="4" t="inlineStr"/>
      <c r="H1119" s="4" t="inlineStr"/>
      <c r="I1119" s="5" t="n">
        <v>719</v>
      </c>
      <c r="J1119" s="6" t="n">
        <v>15</v>
      </c>
      <c r="K1119" s="7">
        <f>IF(I1119="","",I1119*(1+J1119/100))</f>
        <v/>
      </c>
      <c r="L1119" s="12" t="inlineStr"/>
      <c r="M1119" s="8">
        <f>IF(OR(L1119="",K1119="",L1119=0),"",
  (L1119-K1119)/L1119*100)</f>
        <v/>
      </c>
      <c r="N1119" s="9" t="inlineStr"/>
      <c r="O1119" s="4" t="inlineStr"/>
      <c r="P1119" s="4" t="inlineStr"/>
      <c r="Q1119" s="4" t="inlineStr"/>
      <c r="R1119" s="4" t="inlineStr">
        <is>
          <t>2026-03-12</t>
        </is>
      </c>
      <c r="S1119" s="4" t="inlineStr"/>
    </row>
    <row r="1120">
      <c r="A1120" s="10" t="inlineStr">
        <is>
          <t>F01558</t>
        </is>
      </c>
      <c r="B1120" s="10" t="inlineStr">
        <is>
          <t>F01558</t>
        </is>
      </c>
      <c r="C1120" s="10" t="inlineStr"/>
      <c r="D1120" s="10" t="inlineStr">
        <is>
          <t>6009708400222</t>
        </is>
      </c>
      <c r="E1120" s="10" t="inlineStr">
        <is>
          <t>DOOR MERANTI 8 PNL STAIN FLAT P</t>
        </is>
      </c>
      <c r="F1120" s="10" t="inlineStr"/>
      <c r="G1120" s="10" t="inlineStr"/>
      <c r="H1120" s="10" t="inlineStr"/>
      <c r="I1120" s="11" t="n">
        <v>725</v>
      </c>
      <c r="J1120" s="6" t="n">
        <v>15</v>
      </c>
      <c r="K1120" s="7">
        <f>IF(I1120="","",I1120*(1+J1120/100))</f>
        <v/>
      </c>
      <c r="L1120" s="12" t="inlineStr"/>
      <c r="M1120" s="8">
        <f>IF(OR(L1120="",K1120="",L1120=0),"",
  (L1120-K1120)/L1120*100)</f>
        <v/>
      </c>
      <c r="N1120" s="13" t="n">
        <v>2</v>
      </c>
      <c r="O1120" s="10" t="inlineStr"/>
      <c r="P1120" s="10" t="inlineStr"/>
      <c r="Q1120" s="10" t="inlineStr"/>
      <c r="R1120" s="10" t="inlineStr">
        <is>
          <t>2026-03-12</t>
        </is>
      </c>
      <c r="S1120" s="10" t="inlineStr"/>
    </row>
    <row r="1121">
      <c r="A1121" s="3" t="inlineStr">
        <is>
          <t>F01559</t>
        </is>
      </c>
      <c r="B1121" s="4" t="inlineStr">
        <is>
          <t>F01559</t>
        </is>
      </c>
      <c r="C1121" s="4" t="inlineStr"/>
      <c r="D1121" s="4" t="inlineStr">
        <is>
          <t>6009708400239</t>
        </is>
      </c>
      <c r="E1121" s="3" t="inlineStr">
        <is>
          <t>DOOR MERANTI 10 PNL STAIN FLAT P</t>
        </is>
      </c>
      <c r="F1121" s="4" t="inlineStr"/>
      <c r="G1121" s="4" t="inlineStr"/>
      <c r="H1121" s="4" t="inlineStr"/>
      <c r="I1121" s="5" t="n">
        <v>719</v>
      </c>
      <c r="J1121" s="6" t="n">
        <v>15</v>
      </c>
      <c r="K1121" s="7">
        <f>IF(I1121="","",I1121*(1+J1121/100))</f>
        <v/>
      </c>
      <c r="L1121" s="12" t="inlineStr"/>
      <c r="M1121" s="8">
        <f>IF(OR(L1121="",K1121="",L1121=0),"",
  (L1121-K1121)/L1121*100)</f>
        <v/>
      </c>
      <c r="N1121" s="9" t="inlineStr"/>
      <c r="O1121" s="4" t="inlineStr"/>
      <c r="P1121" s="4" t="inlineStr"/>
      <c r="Q1121" s="4" t="inlineStr"/>
      <c r="R1121" s="4" t="inlineStr">
        <is>
          <t>2026-03-12</t>
        </is>
      </c>
      <c r="S1121" s="4" t="inlineStr"/>
    </row>
    <row r="1122">
      <c r="A1122" s="10" t="inlineStr">
        <is>
          <t>F01560</t>
        </is>
      </c>
      <c r="B1122" s="10" t="inlineStr">
        <is>
          <t>F01560</t>
        </is>
      </c>
      <c r="C1122" s="10" t="inlineStr">
        <is>
          <t>21187</t>
        </is>
      </c>
      <c r="D1122" s="10" t="inlineStr">
        <is>
          <t>6009708400246</t>
        </is>
      </c>
      <c r="E1122" s="10" t="inlineStr">
        <is>
          <t>DOOR MERANTI 8 STABLE (NO STAIN)</t>
        </is>
      </c>
      <c r="F1122" s="10" t="inlineStr"/>
      <c r="G1122" s="10" t="inlineStr"/>
      <c r="H1122" s="10" t="inlineStr"/>
      <c r="I1122" s="11" t="n">
        <v>765</v>
      </c>
      <c r="J1122" s="6" t="n">
        <v>15</v>
      </c>
      <c r="K1122" s="7">
        <f>IF(I1122="","",I1122*(1+J1122/100))</f>
        <v/>
      </c>
      <c r="L1122" s="11" t="n">
        <v>1750</v>
      </c>
      <c r="M1122" s="8">
        <f>IF(OR(L1122="",K1122="",L1122=0),"",
  (L1122-K1122)/L1122*100)</f>
        <v/>
      </c>
      <c r="N1122" s="13" t="n">
        <v>17</v>
      </c>
      <c r="O1122" s="10" t="inlineStr"/>
      <c r="P1122" s="10" t="inlineStr"/>
      <c r="Q1122" s="10" t="inlineStr"/>
      <c r="R1122" s="10" t="inlineStr">
        <is>
          <t>2026-03-12</t>
        </is>
      </c>
      <c r="S1122" s="10" t="inlineStr"/>
    </row>
    <row r="1123">
      <c r="A1123" s="3" t="inlineStr">
        <is>
          <t>F01561</t>
        </is>
      </c>
      <c r="B1123" s="4" t="inlineStr">
        <is>
          <t>F01561</t>
        </is>
      </c>
      <c r="C1123" s="4" t="inlineStr"/>
      <c r="D1123" s="4" t="inlineStr"/>
      <c r="E1123" s="3" t="inlineStr">
        <is>
          <t>LM005 - PVC WALL &amp; CEILING DAMAGE LOOSE</t>
        </is>
      </c>
      <c r="F1123" s="4" t="inlineStr"/>
      <c r="G1123" s="4" t="inlineStr"/>
      <c r="H1123" s="4" t="inlineStr"/>
      <c r="I1123" s="5" t="n">
        <v>40.81</v>
      </c>
      <c r="J1123" s="6" t="n">
        <v>15</v>
      </c>
      <c r="K1123" s="7">
        <f>IF(I1123="","",I1123*(1+J1123/100))</f>
        <v/>
      </c>
      <c r="L1123" s="12" t="inlineStr"/>
      <c r="M1123" s="8">
        <f>IF(OR(L1123="",K1123="",L1123=0),"",
  (L1123-K1123)/L1123*100)</f>
        <v/>
      </c>
      <c r="N1123" s="9" t="inlineStr"/>
      <c r="O1123" s="4" t="inlineStr"/>
      <c r="P1123" s="4" t="inlineStr"/>
      <c r="Q1123" s="4" t="inlineStr"/>
      <c r="R1123" s="4" t="inlineStr">
        <is>
          <t>2026-03-12</t>
        </is>
      </c>
      <c r="S1123" s="4" t="inlineStr"/>
    </row>
    <row r="1124">
      <c r="A1124" s="10" t="inlineStr">
        <is>
          <t>F01563</t>
        </is>
      </c>
      <c r="B1124" s="10" t="inlineStr">
        <is>
          <t>F01563</t>
        </is>
      </c>
      <c r="C1124" s="10" t="inlineStr"/>
      <c r="D1124" s="10" t="inlineStr"/>
      <c r="E1124" s="10" t="inlineStr">
        <is>
          <t>FOLDING DOOR (damaged)</t>
        </is>
      </c>
      <c r="F1124" s="10" t="inlineStr"/>
      <c r="G1124" s="10" t="inlineStr"/>
      <c r="H1124" s="10" t="inlineStr"/>
      <c r="I1124" s="11" t="n">
        <v>158.37</v>
      </c>
      <c r="J1124" s="6" t="n">
        <v>15</v>
      </c>
      <c r="K1124" s="7">
        <f>IF(I1124="","",I1124*(1+J1124/100))</f>
        <v/>
      </c>
      <c r="L1124" s="12" t="inlineStr"/>
      <c r="M1124" s="8">
        <f>IF(OR(L1124="",K1124="",L1124=0),"",
  (L1124-K1124)/L1124*100)</f>
        <v/>
      </c>
      <c r="N1124" s="9" t="inlineStr"/>
      <c r="O1124" s="10" t="inlineStr"/>
      <c r="P1124" s="10" t="inlineStr"/>
      <c r="Q1124" s="10" t="inlineStr"/>
      <c r="R1124" s="10" t="inlineStr">
        <is>
          <t>2026-03-12</t>
        </is>
      </c>
      <c r="S1124" s="10" t="inlineStr"/>
    </row>
    <row r="1125">
      <c r="A1125" s="3" t="inlineStr">
        <is>
          <t>F01564</t>
        </is>
      </c>
      <c r="B1125" s="4" t="inlineStr">
        <is>
          <t>F01564</t>
        </is>
      </c>
      <c r="C1125" s="4" t="inlineStr"/>
      <c r="D1125" s="4" t="inlineStr"/>
      <c r="E1125" s="3" t="inlineStr">
        <is>
          <t>SOLAR PANEL 10W DAMAGED MONO C LARGE 750</t>
        </is>
      </c>
      <c r="F1125" s="4" t="inlineStr"/>
      <c r="G1125" s="4" t="inlineStr"/>
      <c r="H1125" s="4" t="inlineStr"/>
      <c r="I1125" s="5" t="n">
        <v>159.89</v>
      </c>
      <c r="J1125" s="6" t="n">
        <v>15</v>
      </c>
      <c r="K1125" s="7">
        <f>IF(I1125="","",I1125*(1+J1125/100))</f>
        <v/>
      </c>
      <c r="L1125" s="12" t="inlineStr"/>
      <c r="M1125" s="8">
        <f>IF(OR(L1125="",K1125="",L1125=0),"",
  (L1125-K1125)/L1125*100)</f>
        <v/>
      </c>
      <c r="N1125" s="9" t="inlineStr"/>
      <c r="O1125" s="4" t="inlineStr"/>
      <c r="P1125" s="4" t="inlineStr"/>
      <c r="Q1125" s="4" t="inlineStr"/>
      <c r="R1125" s="4" t="inlineStr">
        <is>
          <t>2026-03-12</t>
        </is>
      </c>
      <c r="S1125" s="4" t="inlineStr"/>
    </row>
    <row r="1126">
      <c r="A1126" s="10" t="inlineStr">
        <is>
          <t>F01565</t>
        </is>
      </c>
      <c r="B1126" s="10" t="inlineStr">
        <is>
          <t>F01565</t>
        </is>
      </c>
      <c r="C1126" s="10" t="inlineStr"/>
      <c r="D1126" s="10" t="inlineStr"/>
      <c r="E1126" s="10" t="inlineStr">
        <is>
          <t>SOLAR PANEL 5W MONO C LARGE 490X415X20MM</t>
        </is>
      </c>
      <c r="F1126" s="10" t="inlineStr"/>
      <c r="G1126" s="10" t="inlineStr"/>
      <c r="H1126" s="10" t="inlineStr"/>
      <c r="I1126" s="11" t="n">
        <v>79.45</v>
      </c>
      <c r="J1126" s="6" t="n">
        <v>15</v>
      </c>
      <c r="K1126" s="7">
        <f>IF(I1126="","",I1126*(1+J1126/100))</f>
        <v/>
      </c>
      <c r="L1126" s="12" t="inlineStr"/>
      <c r="M1126" s="8">
        <f>IF(OR(L1126="",K1126="",L1126=0),"",
  (L1126-K1126)/L1126*100)</f>
        <v/>
      </c>
      <c r="N1126" s="9" t="inlineStr"/>
      <c r="O1126" s="10" t="inlineStr"/>
      <c r="P1126" s="10" t="inlineStr"/>
      <c r="Q1126" s="10" t="inlineStr"/>
      <c r="R1126" s="10" t="inlineStr">
        <is>
          <t>2026-03-12</t>
        </is>
      </c>
      <c r="S1126" s="10" t="inlineStr"/>
    </row>
    <row r="1127">
      <c r="A1127" s="3" t="inlineStr">
        <is>
          <t>F01566</t>
        </is>
      </c>
      <c r="B1127" s="4" t="inlineStr">
        <is>
          <t>F01566</t>
        </is>
      </c>
      <c r="C1127" s="4" t="inlineStr"/>
      <c r="D1127" s="4" t="inlineStr"/>
      <c r="E1127" s="3" t="inlineStr">
        <is>
          <t>SOLAR PANEL 15W MONO C LARGE 850X500X20M</t>
        </is>
      </c>
      <c r="F1127" s="4" t="inlineStr"/>
      <c r="G1127" s="4" t="inlineStr"/>
      <c r="H1127" s="4" t="inlineStr"/>
      <c r="I1127" s="5" t="n">
        <v>238.34</v>
      </c>
      <c r="J1127" s="6" t="n">
        <v>15</v>
      </c>
      <c r="K1127" s="7">
        <f>IF(I1127="","",I1127*(1+J1127/100))</f>
        <v/>
      </c>
      <c r="L1127" s="12" t="inlineStr"/>
      <c r="M1127" s="8">
        <f>IF(OR(L1127="",K1127="",L1127=0),"",
  (L1127-K1127)/L1127*100)</f>
        <v/>
      </c>
      <c r="N1127" s="9" t="inlineStr"/>
      <c r="O1127" s="4" t="inlineStr"/>
      <c r="P1127" s="4" t="inlineStr"/>
      <c r="Q1127" s="4" t="inlineStr"/>
      <c r="R1127" s="4" t="inlineStr">
        <is>
          <t>2026-03-12</t>
        </is>
      </c>
      <c r="S1127" s="4" t="inlineStr"/>
    </row>
    <row r="1128">
      <c r="A1128" s="10" t="inlineStr">
        <is>
          <t>F01567</t>
        </is>
      </c>
      <c r="B1128" s="10" t="inlineStr">
        <is>
          <t>F01567</t>
        </is>
      </c>
      <c r="C1128" s="10" t="inlineStr"/>
      <c r="D1128" s="10" t="inlineStr"/>
      <c r="E1128" s="10" t="inlineStr">
        <is>
          <t>TABLE-FOLDING 4FT RECT (Z122) (DAMAGED)</t>
        </is>
      </c>
      <c r="F1128" s="10" t="inlineStr"/>
      <c r="G1128" s="10" t="inlineStr"/>
      <c r="H1128" s="10" t="inlineStr"/>
      <c r="I1128" s="11" t="n">
        <v>216.92</v>
      </c>
      <c r="J1128" s="6" t="n">
        <v>15</v>
      </c>
      <c r="K1128" s="7">
        <f>IF(I1128="","",I1128*(1+J1128/100))</f>
        <v/>
      </c>
      <c r="L1128" s="12" t="inlineStr"/>
      <c r="M1128" s="8">
        <f>IF(OR(L1128="",K1128="",L1128=0),"",
  (L1128-K1128)/L1128*100)</f>
        <v/>
      </c>
      <c r="N1128" s="9" t="inlineStr"/>
      <c r="O1128" s="10" t="inlineStr"/>
      <c r="P1128" s="10" t="inlineStr"/>
      <c r="Q1128" s="10" t="inlineStr"/>
      <c r="R1128" s="10" t="inlineStr">
        <is>
          <t>2026-03-12</t>
        </is>
      </c>
      <c r="S1128" s="10" t="inlineStr"/>
    </row>
    <row r="1129">
      <c r="A1129" s="3" t="inlineStr">
        <is>
          <t>F01568</t>
        </is>
      </c>
      <c r="B1129" s="4" t="inlineStr">
        <is>
          <t>F01568</t>
        </is>
      </c>
      <c r="C1129" s="4" t="inlineStr"/>
      <c r="D1129" s="4" t="inlineStr"/>
      <c r="E1129" s="3" t="inlineStr">
        <is>
          <t>DOOR MERANTI 8 PANEL (NO STAIN)  DAMAGED</t>
        </is>
      </c>
      <c r="F1129" s="4" t="inlineStr"/>
      <c r="G1129" s="4" t="inlineStr"/>
      <c r="H1129" s="4" t="inlineStr"/>
      <c r="I1129" s="5" t="n">
        <v>545.99</v>
      </c>
      <c r="J1129" s="6" t="n">
        <v>15</v>
      </c>
      <c r="K1129" s="7">
        <f>IF(I1129="","",I1129*(1+J1129/100))</f>
        <v/>
      </c>
      <c r="L1129" s="12" t="inlineStr"/>
      <c r="M1129" s="8">
        <f>IF(OR(L1129="",K1129="",L1129=0),"",
  (L1129-K1129)/L1129*100)</f>
        <v/>
      </c>
      <c r="N1129" s="9" t="inlineStr"/>
      <c r="O1129" s="4" t="inlineStr"/>
      <c r="P1129" s="4" t="inlineStr"/>
      <c r="Q1129" s="4" t="inlineStr"/>
      <c r="R1129" s="4" t="inlineStr">
        <is>
          <t>2026-03-12</t>
        </is>
      </c>
      <c r="S1129" s="4" t="inlineStr"/>
    </row>
    <row r="1130">
      <c r="A1130" s="10" t="inlineStr">
        <is>
          <t>F01569</t>
        </is>
      </c>
      <c r="B1130" s="10" t="inlineStr">
        <is>
          <t>F01569</t>
        </is>
      </c>
      <c r="C1130" s="10" t="inlineStr"/>
      <c r="D1130" s="10" t="inlineStr"/>
      <c r="E1130" s="10" t="inlineStr">
        <is>
          <t>DOOR PINE 8 PANEL HONEYGOLD</t>
        </is>
      </c>
      <c r="F1130" s="10" t="inlineStr"/>
      <c r="G1130" s="10" t="inlineStr"/>
      <c r="H1130" s="10" t="inlineStr"/>
      <c r="I1130" s="11" t="n">
        <v>275</v>
      </c>
      <c r="J1130" s="6" t="n">
        <v>15</v>
      </c>
      <c r="K1130" s="7">
        <f>IF(I1130="","",I1130*(1+J1130/100))</f>
        <v/>
      </c>
      <c r="L1130" s="12" t="inlineStr"/>
      <c r="M1130" s="8">
        <f>IF(OR(L1130="",K1130="",L1130=0),"",
  (L1130-K1130)/L1130*100)</f>
        <v/>
      </c>
      <c r="N1130" s="9" t="inlineStr"/>
      <c r="O1130" s="10" t="inlineStr"/>
      <c r="P1130" s="10" t="inlineStr"/>
      <c r="Q1130" s="10" t="inlineStr"/>
      <c r="R1130" s="10" t="inlineStr">
        <is>
          <t>2026-03-12</t>
        </is>
      </c>
      <c r="S1130" s="10" t="inlineStr"/>
    </row>
    <row r="1131">
      <c r="A1131" s="3" t="inlineStr">
        <is>
          <t>F01570</t>
        </is>
      </c>
      <c r="B1131" s="4" t="inlineStr">
        <is>
          <t>F01570</t>
        </is>
      </c>
      <c r="C1131" s="4" t="inlineStr"/>
      <c r="D1131" s="4" t="inlineStr"/>
      <c r="E1131" s="3" t="inlineStr">
        <is>
          <t>LM009 - PVC WALL &amp; CEILING LAMINATION PA</t>
        </is>
      </c>
      <c r="F1131" s="4" t="inlineStr"/>
      <c r="G1131" s="4" t="inlineStr"/>
      <c r="H1131" s="4" t="inlineStr"/>
      <c r="I1131" s="5" t="n">
        <v>1</v>
      </c>
      <c r="J1131" s="6" t="n">
        <v>15</v>
      </c>
      <c r="K1131" s="7">
        <f>IF(I1131="","",I1131*(1+J1131/100))</f>
        <v/>
      </c>
      <c r="L1131" s="12" t="inlineStr"/>
      <c r="M1131" s="8">
        <f>IF(OR(L1131="",K1131="",L1131=0),"",
  (L1131-K1131)/L1131*100)</f>
        <v/>
      </c>
      <c r="N1131" s="9" t="inlineStr"/>
      <c r="O1131" s="4" t="inlineStr"/>
      <c r="P1131" s="4" t="inlineStr"/>
      <c r="Q1131" s="4" t="inlineStr"/>
      <c r="R1131" s="4" t="inlineStr">
        <is>
          <t>2026-03-12</t>
        </is>
      </c>
      <c r="S1131" s="4" t="inlineStr"/>
    </row>
    <row r="1132">
      <c r="A1132" s="10" t="inlineStr">
        <is>
          <t>F01571</t>
        </is>
      </c>
      <c r="B1132" s="10" t="inlineStr">
        <is>
          <t>F01571</t>
        </is>
      </c>
      <c r="C1132" s="10" t="inlineStr"/>
      <c r="D1132" s="10" t="inlineStr"/>
      <c r="E1132" s="10" t="inlineStr">
        <is>
          <t>BY-112 PVC CEILING 3900*300*6MM LOOSE</t>
        </is>
      </c>
      <c r="F1132" s="10" t="inlineStr"/>
      <c r="G1132" s="10" t="inlineStr"/>
      <c r="H1132" s="10" t="inlineStr"/>
      <c r="I1132" s="11" t="n">
        <v>35.52</v>
      </c>
      <c r="J1132" s="6" t="n">
        <v>15</v>
      </c>
      <c r="K1132" s="7">
        <f>IF(I1132="","",I1132*(1+J1132/100))</f>
        <v/>
      </c>
      <c r="L1132" s="12" t="inlineStr"/>
      <c r="M1132" s="8">
        <f>IF(OR(L1132="",K1132="",L1132=0),"",
  (L1132-K1132)/L1132*100)</f>
        <v/>
      </c>
      <c r="N1132" s="9" t="inlineStr"/>
      <c r="O1132" s="10" t="inlineStr"/>
      <c r="P1132" s="10" t="inlineStr"/>
      <c r="Q1132" s="10" t="inlineStr"/>
      <c r="R1132" s="10" t="inlineStr">
        <is>
          <t>2026-03-12</t>
        </is>
      </c>
      <c r="S1132" s="10" t="inlineStr"/>
    </row>
    <row r="1133">
      <c r="A1133" s="3" t="inlineStr">
        <is>
          <t>F01572</t>
        </is>
      </c>
      <c r="B1133" s="4" t="inlineStr">
        <is>
          <t>F01572</t>
        </is>
      </c>
      <c r="C1133" s="4" t="inlineStr"/>
      <c r="D1133" s="4" t="inlineStr"/>
      <c r="E1133" s="3" t="inlineStr">
        <is>
          <t>LM006 - PVC WALL &amp; CEILING LAMINATION PA</t>
        </is>
      </c>
      <c r="F1133" s="4" t="inlineStr"/>
      <c r="G1133" s="4" t="inlineStr"/>
      <c r="H1133" s="4" t="inlineStr"/>
      <c r="I1133" s="5" t="n">
        <v>895</v>
      </c>
      <c r="J1133" s="6" t="n">
        <v>15</v>
      </c>
      <c r="K1133" s="7">
        <f>IF(I1133="","",I1133*(1+J1133/100))</f>
        <v/>
      </c>
      <c r="L1133" s="12" t="inlineStr"/>
      <c r="M1133" s="8">
        <f>IF(OR(L1133="",K1133="",L1133=0),"",
  (L1133-K1133)/L1133*100)</f>
        <v/>
      </c>
      <c r="N1133" s="9" t="inlineStr"/>
      <c r="O1133" s="4" t="inlineStr"/>
      <c r="P1133" s="4" t="inlineStr"/>
      <c r="Q1133" s="4" t="inlineStr"/>
      <c r="R1133" s="4" t="inlineStr">
        <is>
          <t>2026-03-12</t>
        </is>
      </c>
      <c r="S1133" s="4" t="inlineStr"/>
    </row>
    <row r="1134">
      <c r="A1134" s="10" t="inlineStr">
        <is>
          <t>F01573</t>
        </is>
      </c>
      <c r="B1134" s="10" t="inlineStr">
        <is>
          <t>F01573</t>
        </is>
      </c>
      <c r="C1134" s="10" t="inlineStr"/>
      <c r="D1134" s="10" t="inlineStr"/>
      <c r="E1134" s="10" t="inlineStr">
        <is>
          <t>BY-119 PVC CEILING 3900*300*6MM LOOSE</t>
        </is>
      </c>
      <c r="F1134" s="10" t="inlineStr"/>
      <c r="G1134" s="10" t="inlineStr"/>
      <c r="H1134" s="10" t="inlineStr"/>
      <c r="I1134" s="11" t="n">
        <v>1</v>
      </c>
      <c r="J1134" s="6" t="n">
        <v>15</v>
      </c>
      <c r="K1134" s="7">
        <f>IF(I1134="","",I1134*(1+J1134/100))</f>
        <v/>
      </c>
      <c r="L1134" s="12" t="inlineStr"/>
      <c r="M1134" s="8">
        <f>IF(OR(L1134="",K1134="",L1134=0),"",
  (L1134-K1134)/L1134*100)</f>
        <v/>
      </c>
      <c r="N1134" s="9" t="inlineStr"/>
      <c r="O1134" s="10" t="inlineStr"/>
      <c r="P1134" s="10" t="inlineStr"/>
      <c r="Q1134" s="10" t="inlineStr"/>
      <c r="R1134" s="10" t="inlineStr">
        <is>
          <t>2026-03-12</t>
        </is>
      </c>
      <c r="S1134" s="10" t="inlineStr"/>
    </row>
    <row r="1135">
      <c r="A1135" s="3" t="inlineStr">
        <is>
          <t>F01574</t>
        </is>
      </c>
      <c r="B1135" s="4" t="inlineStr">
        <is>
          <t>F01574</t>
        </is>
      </c>
      <c r="C1135" s="4" t="inlineStr"/>
      <c r="D1135" s="4" t="inlineStr"/>
      <c r="E1135" s="3" t="inlineStr">
        <is>
          <t>BY-125 PVC CEILING 3900*300*6MM LOOSE</t>
        </is>
      </c>
      <c r="F1135" s="4" t="inlineStr"/>
      <c r="G1135" s="4" t="inlineStr"/>
      <c r="H1135" s="4" t="inlineStr"/>
      <c r="I1135" s="5" t="n">
        <v>1</v>
      </c>
      <c r="J1135" s="6" t="n">
        <v>15</v>
      </c>
      <c r="K1135" s="7">
        <f>IF(I1135="","",I1135*(1+J1135/100))</f>
        <v/>
      </c>
      <c r="L1135" s="12" t="inlineStr"/>
      <c r="M1135" s="8">
        <f>IF(OR(L1135="",K1135="",L1135=0),"",
  (L1135-K1135)/L1135*100)</f>
        <v/>
      </c>
      <c r="N1135" s="9" t="inlineStr"/>
      <c r="O1135" s="4" t="inlineStr"/>
      <c r="P1135" s="4" t="inlineStr"/>
      <c r="Q1135" s="4" t="inlineStr"/>
      <c r="R1135" s="4" t="inlineStr">
        <is>
          <t>2026-03-12</t>
        </is>
      </c>
      <c r="S1135" s="4" t="inlineStr"/>
    </row>
    <row r="1136">
      <c r="A1136" s="10" t="inlineStr">
        <is>
          <t>F01575</t>
        </is>
      </c>
      <c r="B1136" s="10" t="inlineStr">
        <is>
          <t>F01575</t>
        </is>
      </c>
      <c r="C1136" s="10" t="inlineStr"/>
      <c r="D1136" s="10" t="inlineStr"/>
      <c r="E1136" s="10" t="inlineStr">
        <is>
          <t>LM008 - PVC WALL &amp; CEILING DAMAGED LOOSE</t>
        </is>
      </c>
      <c r="F1136" s="10" t="inlineStr"/>
      <c r="G1136" s="10" t="inlineStr"/>
      <c r="H1136" s="10" t="inlineStr"/>
      <c r="I1136" s="11" t="n">
        <v>1</v>
      </c>
      <c r="J1136" s="6" t="n">
        <v>15</v>
      </c>
      <c r="K1136" s="7">
        <f>IF(I1136="","",I1136*(1+J1136/100))</f>
        <v/>
      </c>
      <c r="L1136" s="12" t="inlineStr"/>
      <c r="M1136" s="8">
        <f>IF(OR(L1136="",K1136="",L1136=0),"",
  (L1136-K1136)/L1136*100)</f>
        <v/>
      </c>
      <c r="N1136" s="9" t="inlineStr"/>
      <c r="O1136" s="10" t="inlineStr"/>
      <c r="P1136" s="10" t="inlineStr"/>
      <c r="Q1136" s="10" t="inlineStr"/>
      <c r="R1136" s="10" t="inlineStr">
        <is>
          <t>2026-03-12</t>
        </is>
      </c>
      <c r="S1136" s="10" t="inlineStr"/>
    </row>
    <row r="1137">
      <c r="A1137" s="3" t="inlineStr">
        <is>
          <t>F01576</t>
        </is>
      </c>
      <c r="B1137" s="4" t="inlineStr">
        <is>
          <t>F01576</t>
        </is>
      </c>
      <c r="C1137" s="4" t="inlineStr"/>
      <c r="D1137" s="4" t="inlineStr"/>
      <c r="E1137" s="3" t="inlineStr">
        <is>
          <t>LM003 - PVC WALL &amp; CEILING DAMAGED LOOSE</t>
        </is>
      </c>
      <c r="F1137" s="4" t="inlineStr"/>
      <c r="G1137" s="4" t="inlineStr"/>
      <c r="H1137" s="4" t="inlineStr"/>
      <c r="I1137" s="5" t="n">
        <v>125.8</v>
      </c>
      <c r="J1137" s="6" t="n">
        <v>15</v>
      </c>
      <c r="K1137" s="7">
        <f>IF(I1137="","",I1137*(1+J1137/100))</f>
        <v/>
      </c>
      <c r="L1137" s="12" t="inlineStr"/>
      <c r="M1137" s="8">
        <f>IF(OR(L1137="",K1137="",L1137=0),"",
  (L1137-K1137)/L1137*100)</f>
        <v/>
      </c>
      <c r="N1137" s="9" t="inlineStr"/>
      <c r="O1137" s="4" t="inlineStr"/>
      <c r="P1137" s="4" t="inlineStr"/>
      <c r="Q1137" s="4" t="inlineStr"/>
      <c r="R1137" s="4" t="inlineStr">
        <is>
          <t>2026-03-12</t>
        </is>
      </c>
      <c r="S1137" s="4" t="inlineStr"/>
    </row>
    <row r="1138">
      <c r="A1138" s="10" t="inlineStr">
        <is>
          <t>F01577</t>
        </is>
      </c>
      <c r="B1138" s="10" t="inlineStr">
        <is>
          <t>F01577</t>
        </is>
      </c>
      <c r="C1138" s="10" t="inlineStr"/>
      <c r="D1138" s="10" t="inlineStr"/>
      <c r="E1138" s="10" t="inlineStr">
        <is>
          <t>LM002 - PVC WALL &amp; CEILING DAMAGED LOOSE</t>
        </is>
      </c>
      <c r="F1138" s="10" t="inlineStr"/>
      <c r="G1138" s="10" t="inlineStr"/>
      <c r="H1138" s="10" t="inlineStr"/>
      <c r="I1138" s="11" t="n">
        <v>42.84</v>
      </c>
      <c r="J1138" s="6" t="n">
        <v>15</v>
      </c>
      <c r="K1138" s="7">
        <f>IF(I1138="","",I1138*(1+J1138/100))</f>
        <v/>
      </c>
      <c r="L1138" s="12" t="inlineStr"/>
      <c r="M1138" s="8">
        <f>IF(OR(L1138="",K1138="",L1138=0),"",
  (L1138-K1138)/L1138*100)</f>
        <v/>
      </c>
      <c r="N1138" s="9" t="inlineStr"/>
      <c r="O1138" s="10" t="inlineStr"/>
      <c r="P1138" s="10" t="inlineStr"/>
      <c r="Q1138" s="10" t="inlineStr"/>
      <c r="R1138" s="10" t="inlineStr">
        <is>
          <t>2026-03-12</t>
        </is>
      </c>
      <c r="S1138" s="10" t="inlineStr"/>
    </row>
    <row r="1139">
      <c r="A1139" s="3" t="inlineStr">
        <is>
          <t>F01578</t>
        </is>
      </c>
      <c r="B1139" s="4" t="inlineStr">
        <is>
          <t>F01578</t>
        </is>
      </c>
      <c r="C1139" s="4" t="inlineStr"/>
      <c r="D1139" s="4" t="inlineStr"/>
      <c r="E1139" s="3" t="inlineStr">
        <is>
          <t>LM009 - PVC WALL &amp; CEILING DAMAGED LOOSE</t>
        </is>
      </c>
      <c r="F1139" s="4" t="inlineStr"/>
      <c r="G1139" s="4" t="inlineStr"/>
      <c r="H1139" s="4" t="inlineStr"/>
      <c r="I1139" s="5" t="n">
        <v>42.23</v>
      </c>
      <c r="J1139" s="6" t="n">
        <v>15</v>
      </c>
      <c r="K1139" s="7">
        <f>IF(I1139="","",I1139*(1+J1139/100))</f>
        <v/>
      </c>
      <c r="L1139" s="12" t="inlineStr"/>
      <c r="M1139" s="8">
        <f>IF(OR(L1139="",K1139="",L1139=0),"",
  (L1139-K1139)/L1139*100)</f>
        <v/>
      </c>
      <c r="N1139" s="9" t="inlineStr"/>
      <c r="O1139" s="4" t="inlineStr"/>
      <c r="P1139" s="4" t="inlineStr"/>
      <c r="Q1139" s="4" t="inlineStr"/>
      <c r="R1139" s="4" t="inlineStr">
        <is>
          <t>2026-03-12</t>
        </is>
      </c>
      <c r="S1139" s="4" t="inlineStr"/>
    </row>
    <row r="1140">
      <c r="A1140" s="10" t="inlineStr">
        <is>
          <t>F01579</t>
        </is>
      </c>
      <c r="B1140" s="10" t="inlineStr">
        <is>
          <t>F01579</t>
        </is>
      </c>
      <c r="C1140" s="10" t="inlineStr"/>
      <c r="D1140" s="10" t="inlineStr"/>
      <c r="E1140" s="10" t="inlineStr">
        <is>
          <t>LM011 - PVC WALL &amp; CEILING DAMAGED LOOSE</t>
        </is>
      </c>
      <c r="F1140" s="10" t="inlineStr"/>
      <c r="G1140" s="10" t="inlineStr"/>
      <c r="H1140" s="10" t="inlineStr"/>
      <c r="I1140" s="11" t="n">
        <v>40.57</v>
      </c>
      <c r="J1140" s="6" t="n">
        <v>15</v>
      </c>
      <c r="K1140" s="7">
        <f>IF(I1140="","",I1140*(1+J1140/100))</f>
        <v/>
      </c>
      <c r="L1140" s="12" t="inlineStr"/>
      <c r="M1140" s="8">
        <f>IF(OR(L1140="",K1140="",L1140=0),"",
  (L1140-K1140)/L1140*100)</f>
        <v/>
      </c>
      <c r="N1140" s="9" t="inlineStr"/>
      <c r="O1140" s="10" t="inlineStr"/>
      <c r="P1140" s="10" t="inlineStr"/>
      <c r="Q1140" s="10" t="inlineStr"/>
      <c r="R1140" s="10" t="inlineStr">
        <is>
          <t>2026-03-12</t>
        </is>
      </c>
      <c r="S1140" s="10" t="inlineStr"/>
    </row>
    <row r="1141">
      <c r="A1141" s="3" t="inlineStr">
        <is>
          <t>F01580</t>
        </is>
      </c>
      <c r="B1141" s="4" t="inlineStr">
        <is>
          <t>F01580</t>
        </is>
      </c>
      <c r="C1141" s="4" t="inlineStr"/>
      <c r="D1141" s="4" t="inlineStr"/>
      <c r="E1141" s="3" t="inlineStr">
        <is>
          <t>LM004 - PVC WALL &amp; CEILING DAMAGED LOOSE</t>
        </is>
      </c>
      <c r="F1141" s="4" t="inlineStr"/>
      <c r="G1141" s="4" t="inlineStr"/>
      <c r="H1141" s="4" t="inlineStr"/>
      <c r="I1141" s="5" t="n">
        <v>42.98</v>
      </c>
      <c r="J1141" s="6" t="n">
        <v>15</v>
      </c>
      <c r="K1141" s="7">
        <f>IF(I1141="","",I1141*(1+J1141/100))</f>
        <v/>
      </c>
      <c r="L1141" s="12" t="inlineStr"/>
      <c r="M1141" s="8">
        <f>IF(OR(L1141="",K1141="",L1141=0),"",
  (L1141-K1141)/L1141*100)</f>
        <v/>
      </c>
      <c r="N1141" s="9" t="inlineStr"/>
      <c r="O1141" s="4" t="inlineStr"/>
      <c r="P1141" s="4" t="inlineStr"/>
      <c r="Q1141" s="4" t="inlineStr"/>
      <c r="R1141" s="4" t="inlineStr">
        <is>
          <t>2026-03-12</t>
        </is>
      </c>
      <c r="S1141" s="4" t="inlineStr"/>
    </row>
    <row r="1142">
      <c r="A1142" s="10" t="inlineStr">
        <is>
          <t>F01581</t>
        </is>
      </c>
      <c r="B1142" s="10" t="inlineStr">
        <is>
          <t>F01581</t>
        </is>
      </c>
      <c r="C1142" s="10" t="inlineStr"/>
      <c r="D1142" s="10" t="inlineStr"/>
      <c r="E1142" s="10" t="inlineStr">
        <is>
          <t>SECURITY STEEL DOOR + HANDLES &amp; LOCKS K5</t>
        </is>
      </c>
      <c r="F1142" s="10" t="inlineStr"/>
      <c r="G1142" s="10" t="inlineStr"/>
      <c r="H1142" s="10" t="inlineStr"/>
      <c r="I1142" s="11" t="n">
        <v>745.6799999999999</v>
      </c>
      <c r="J1142" s="6" t="n">
        <v>15</v>
      </c>
      <c r="K1142" s="7">
        <f>IF(I1142="","",I1142*(1+J1142/100))</f>
        <v/>
      </c>
      <c r="L1142" s="12" t="inlineStr"/>
      <c r="M1142" s="8">
        <f>IF(OR(L1142="",K1142="",L1142=0),"",
  (L1142-K1142)/L1142*100)</f>
        <v/>
      </c>
      <c r="N1142" s="9" t="inlineStr"/>
      <c r="O1142" s="10" t="inlineStr"/>
      <c r="P1142" s="10" t="inlineStr"/>
      <c r="Q1142" s="10" t="inlineStr"/>
      <c r="R1142" s="10" t="inlineStr">
        <is>
          <t>2026-03-12</t>
        </is>
      </c>
      <c r="S1142" s="10" t="inlineStr"/>
    </row>
    <row r="1143">
      <c r="A1143" s="3" t="inlineStr">
        <is>
          <t>F01582</t>
        </is>
      </c>
      <c r="B1143" s="4" t="inlineStr">
        <is>
          <t>F01582</t>
        </is>
      </c>
      <c r="C1143" s="4" t="inlineStr"/>
      <c r="D1143" s="4" t="inlineStr"/>
      <c r="E1143" s="3" t="inlineStr">
        <is>
          <t>SECURITY STEEL DOOR + HANDLES &amp; LOCK K51</t>
        </is>
      </c>
      <c r="F1143" s="4" t="inlineStr"/>
      <c r="G1143" s="4" t="inlineStr"/>
      <c r="H1143" s="4" t="inlineStr"/>
      <c r="I1143" s="5" t="n">
        <v>745.6799999999999</v>
      </c>
      <c r="J1143" s="6" t="n">
        <v>15</v>
      </c>
      <c r="K1143" s="7">
        <f>IF(I1143="","",I1143*(1+J1143/100))</f>
        <v/>
      </c>
      <c r="L1143" s="12" t="inlineStr"/>
      <c r="M1143" s="8">
        <f>IF(OR(L1143="",K1143="",L1143=0),"",
  (L1143-K1143)/L1143*100)</f>
        <v/>
      </c>
      <c r="N1143" s="9" t="inlineStr"/>
      <c r="O1143" s="4" t="inlineStr"/>
      <c r="P1143" s="4" t="inlineStr"/>
      <c r="Q1143" s="4" t="inlineStr"/>
      <c r="R1143" s="4" t="inlineStr">
        <is>
          <t>2026-03-12</t>
        </is>
      </c>
      <c r="S1143" s="4" t="inlineStr"/>
    </row>
    <row r="1144">
      <c r="A1144" s="10" t="inlineStr">
        <is>
          <t>F01583</t>
        </is>
      </c>
      <c r="B1144" s="10" t="inlineStr">
        <is>
          <t>F01583</t>
        </is>
      </c>
      <c r="C1144" s="10" t="inlineStr"/>
      <c r="D1144" s="10" t="inlineStr"/>
      <c r="E1144" s="10" t="inlineStr">
        <is>
          <t>SECURITY STEEL DOOR + HANDLES &amp; LOCKS K5</t>
        </is>
      </c>
      <c r="F1144" s="10" t="inlineStr"/>
      <c r="G1144" s="10" t="inlineStr"/>
      <c r="H1144" s="10" t="inlineStr"/>
      <c r="I1144" s="11" t="n">
        <v>745.6799999999999</v>
      </c>
      <c r="J1144" s="6" t="n">
        <v>15</v>
      </c>
      <c r="K1144" s="7">
        <f>IF(I1144="","",I1144*(1+J1144/100))</f>
        <v/>
      </c>
      <c r="L1144" s="12" t="inlineStr"/>
      <c r="M1144" s="8">
        <f>IF(OR(L1144="",K1144="",L1144=0),"",
  (L1144-K1144)/L1144*100)</f>
        <v/>
      </c>
      <c r="N1144" s="9" t="inlineStr"/>
      <c r="O1144" s="10" t="inlineStr"/>
      <c r="P1144" s="10" t="inlineStr"/>
      <c r="Q1144" s="10" t="inlineStr"/>
      <c r="R1144" s="10" t="inlineStr">
        <is>
          <t>2026-03-12</t>
        </is>
      </c>
      <c r="S1144" s="10" t="inlineStr"/>
    </row>
    <row r="1145">
      <c r="A1145" s="3" t="inlineStr">
        <is>
          <t>F01584</t>
        </is>
      </c>
      <c r="B1145" s="4" t="inlineStr">
        <is>
          <t>F01584</t>
        </is>
      </c>
      <c r="C1145" s="4" t="inlineStr"/>
      <c r="D1145" s="4" t="inlineStr"/>
      <c r="E1145" s="3" t="inlineStr">
        <is>
          <t>SECURITY STEEL DOOR + HANDLES &amp; LOCK K51</t>
        </is>
      </c>
      <c r="F1145" s="4" t="inlineStr"/>
      <c r="G1145" s="4" t="inlineStr"/>
      <c r="H1145" s="4" t="inlineStr"/>
      <c r="I1145" s="5" t="n">
        <v>745.6799999999999</v>
      </c>
      <c r="J1145" s="6" t="n">
        <v>15</v>
      </c>
      <c r="K1145" s="7">
        <f>IF(I1145="","",I1145*(1+J1145/100))</f>
        <v/>
      </c>
      <c r="L1145" s="12" t="inlineStr"/>
      <c r="M1145" s="8">
        <f>IF(OR(L1145="",K1145="",L1145=0),"",
  (L1145-K1145)/L1145*100)</f>
        <v/>
      </c>
      <c r="N1145" s="9" t="inlineStr"/>
      <c r="O1145" s="4" t="inlineStr"/>
      <c r="P1145" s="4" t="inlineStr"/>
      <c r="Q1145" s="4" t="inlineStr"/>
      <c r="R1145" s="4" t="inlineStr">
        <is>
          <t>2026-03-12</t>
        </is>
      </c>
      <c r="S1145" s="4" t="inlineStr"/>
    </row>
    <row r="1146">
      <c r="A1146" s="10" t="inlineStr">
        <is>
          <t>F01585</t>
        </is>
      </c>
      <c r="B1146" s="10" t="inlineStr">
        <is>
          <t>F01585</t>
        </is>
      </c>
      <c r="C1146" s="10" t="inlineStr"/>
      <c r="D1146" s="10" t="inlineStr"/>
      <c r="E1146" s="10" t="inlineStr">
        <is>
          <t>SECURITY STEEL DOOR + HANDLES &amp; LOCK K77</t>
        </is>
      </c>
      <c r="F1146" s="10" t="inlineStr"/>
      <c r="G1146" s="10" t="inlineStr"/>
      <c r="H1146" s="10" t="inlineStr"/>
      <c r="I1146" s="11" t="n">
        <v>1515.41</v>
      </c>
      <c r="J1146" s="6" t="n">
        <v>15</v>
      </c>
      <c r="K1146" s="7">
        <f>IF(I1146="","",I1146*(1+J1146/100))</f>
        <v/>
      </c>
      <c r="L1146" s="12" t="inlineStr"/>
      <c r="M1146" s="8">
        <f>IF(OR(L1146="",K1146="",L1146=0),"",
  (L1146-K1146)/L1146*100)</f>
        <v/>
      </c>
      <c r="N1146" s="9" t="inlineStr"/>
      <c r="O1146" s="10" t="inlineStr"/>
      <c r="P1146" s="10" t="inlineStr"/>
      <c r="Q1146" s="10" t="inlineStr"/>
      <c r="R1146" s="10" t="inlineStr">
        <is>
          <t>2026-03-12</t>
        </is>
      </c>
      <c r="S1146" s="10" t="inlineStr"/>
    </row>
    <row r="1147">
      <c r="A1147" s="3" t="inlineStr">
        <is>
          <t>F01586</t>
        </is>
      </c>
      <c r="B1147" s="4" t="inlineStr">
        <is>
          <t>F01586</t>
        </is>
      </c>
      <c r="C1147" s="4" t="inlineStr"/>
      <c r="D1147" s="4" t="inlineStr"/>
      <c r="E1147" s="3" t="inlineStr">
        <is>
          <t>SECURITY STEEL DOOR + HANDLES &amp; LOCK K77</t>
        </is>
      </c>
      <c r="F1147" s="4" t="inlineStr"/>
      <c r="G1147" s="4" t="inlineStr"/>
      <c r="H1147" s="4" t="inlineStr"/>
      <c r="I1147" s="5" t="n">
        <v>1515.41</v>
      </c>
      <c r="J1147" s="6" t="n">
        <v>15</v>
      </c>
      <c r="K1147" s="7">
        <f>IF(I1147="","",I1147*(1+J1147/100))</f>
        <v/>
      </c>
      <c r="L1147" s="12" t="inlineStr"/>
      <c r="M1147" s="8">
        <f>IF(OR(L1147="",K1147="",L1147=0),"",
  (L1147-K1147)/L1147*100)</f>
        <v/>
      </c>
      <c r="N1147" s="9" t="inlineStr"/>
      <c r="O1147" s="4" t="inlineStr"/>
      <c r="P1147" s="4" t="inlineStr"/>
      <c r="Q1147" s="4" t="inlineStr"/>
      <c r="R1147" s="4" t="inlineStr">
        <is>
          <t>2026-03-12</t>
        </is>
      </c>
      <c r="S1147" s="4" t="inlineStr"/>
    </row>
    <row r="1148">
      <c r="A1148" s="10" t="inlineStr">
        <is>
          <t>F01587</t>
        </is>
      </c>
      <c r="B1148" s="10" t="inlineStr">
        <is>
          <t>F01587</t>
        </is>
      </c>
      <c r="C1148" s="10" t="inlineStr"/>
      <c r="D1148" s="10" t="inlineStr"/>
      <c r="E1148" s="10" t="inlineStr">
        <is>
          <t>SECURITY STEEL DOOR + HANDLES &amp; LOCK K77</t>
        </is>
      </c>
      <c r="F1148" s="10" t="inlineStr"/>
      <c r="G1148" s="10" t="inlineStr"/>
      <c r="H1148" s="10" t="inlineStr"/>
      <c r="I1148" s="11" t="n">
        <v>1515.41</v>
      </c>
      <c r="J1148" s="6" t="n">
        <v>15</v>
      </c>
      <c r="K1148" s="7">
        <f>IF(I1148="","",I1148*(1+J1148/100))</f>
        <v/>
      </c>
      <c r="L1148" s="12" t="inlineStr"/>
      <c r="M1148" s="8">
        <f>IF(OR(L1148="",K1148="",L1148=0),"",
  (L1148-K1148)/L1148*100)</f>
        <v/>
      </c>
      <c r="N1148" s="9" t="inlineStr"/>
      <c r="O1148" s="10" t="inlineStr"/>
      <c r="P1148" s="10" t="inlineStr"/>
      <c r="Q1148" s="10" t="inlineStr"/>
      <c r="R1148" s="10" t="inlineStr">
        <is>
          <t>2026-03-12</t>
        </is>
      </c>
      <c r="S1148" s="10" t="inlineStr"/>
    </row>
    <row r="1149">
      <c r="A1149" s="3" t="inlineStr">
        <is>
          <t>F01588</t>
        </is>
      </c>
      <c r="B1149" s="4" t="inlineStr">
        <is>
          <t>F01588</t>
        </is>
      </c>
      <c r="C1149" s="4" t="inlineStr"/>
      <c r="D1149" s="4" t="inlineStr"/>
      <c r="E1149" s="3" t="inlineStr">
        <is>
          <t>SECURITY STEEL DOOR + HANDLES &amp; LOCK K77</t>
        </is>
      </c>
      <c r="F1149" s="4" t="inlineStr"/>
      <c r="G1149" s="4" t="inlineStr"/>
      <c r="H1149" s="4" t="inlineStr"/>
      <c r="I1149" s="5" t="n">
        <v>1515.46</v>
      </c>
      <c r="J1149" s="6" t="n">
        <v>15</v>
      </c>
      <c r="K1149" s="7">
        <f>IF(I1149="","",I1149*(1+J1149/100))</f>
        <v/>
      </c>
      <c r="L1149" s="12" t="inlineStr"/>
      <c r="M1149" s="8">
        <f>IF(OR(L1149="",K1149="",L1149=0),"",
  (L1149-K1149)/L1149*100)</f>
        <v/>
      </c>
      <c r="N1149" s="9" t="inlineStr"/>
      <c r="O1149" s="4" t="inlineStr"/>
      <c r="P1149" s="4" t="inlineStr"/>
      <c r="Q1149" s="4" t="inlineStr"/>
      <c r="R1149" s="4" t="inlineStr">
        <is>
          <t>2026-03-12</t>
        </is>
      </c>
      <c r="S1149" s="4" t="inlineStr"/>
    </row>
    <row r="1150">
      <c r="A1150" s="10" t="inlineStr">
        <is>
          <t>F01589</t>
        </is>
      </c>
      <c r="B1150" s="10" t="inlineStr">
        <is>
          <t>F01589</t>
        </is>
      </c>
      <c r="C1150" s="10" t="inlineStr"/>
      <c r="D1150" s="10" t="inlineStr"/>
      <c r="E1150" s="10" t="inlineStr">
        <is>
          <t>DOOR -SECURITY STEEL MOTHER N SON  2050X</t>
        </is>
      </c>
      <c r="F1150" s="10" t="inlineStr"/>
      <c r="G1150" s="10" t="inlineStr"/>
      <c r="H1150" s="10" t="inlineStr"/>
      <c r="I1150" s="11" t="n">
        <v>1999.37</v>
      </c>
      <c r="J1150" s="6" t="n">
        <v>15</v>
      </c>
      <c r="K1150" s="7">
        <f>IF(I1150="","",I1150*(1+J1150/100))</f>
        <v/>
      </c>
      <c r="L1150" s="12" t="inlineStr"/>
      <c r="M1150" s="8">
        <f>IF(OR(L1150="",K1150="",L1150=0),"",
  (L1150-K1150)/L1150*100)</f>
        <v/>
      </c>
      <c r="N1150" s="9" t="inlineStr"/>
      <c r="O1150" s="10" t="inlineStr"/>
      <c r="P1150" s="10" t="inlineStr"/>
      <c r="Q1150" s="10" t="inlineStr"/>
      <c r="R1150" s="10" t="inlineStr">
        <is>
          <t>2026-03-12</t>
        </is>
      </c>
      <c r="S1150" s="10" t="inlineStr"/>
    </row>
    <row r="1151">
      <c r="A1151" s="3" t="inlineStr">
        <is>
          <t>F01590</t>
        </is>
      </c>
      <c r="B1151" s="4" t="inlineStr">
        <is>
          <t>F01590</t>
        </is>
      </c>
      <c r="C1151" s="4" t="inlineStr"/>
      <c r="D1151" s="4" t="inlineStr"/>
      <c r="E1151" s="3" t="inlineStr">
        <is>
          <t>DOOR-SECURITY STEEL MOTHER N SON - 2050X</t>
        </is>
      </c>
      <c r="F1151" s="4" t="inlineStr"/>
      <c r="G1151" s="4" t="inlineStr"/>
      <c r="H1151" s="4" t="inlineStr"/>
      <c r="I1151" s="5" t="n">
        <v>1999.37</v>
      </c>
      <c r="J1151" s="6" t="n">
        <v>15</v>
      </c>
      <c r="K1151" s="7">
        <f>IF(I1151="","",I1151*(1+J1151/100))</f>
        <v/>
      </c>
      <c r="L1151" s="12" t="inlineStr"/>
      <c r="M1151" s="8">
        <f>IF(OR(L1151="",K1151="",L1151=0),"",
  (L1151-K1151)/L1151*100)</f>
        <v/>
      </c>
      <c r="N1151" s="9" t="inlineStr"/>
      <c r="O1151" s="4" t="inlineStr"/>
      <c r="P1151" s="4" t="inlineStr"/>
      <c r="Q1151" s="4" t="inlineStr"/>
      <c r="R1151" s="4" t="inlineStr">
        <is>
          <t>2026-03-12</t>
        </is>
      </c>
      <c r="S1151" s="4" t="inlineStr"/>
    </row>
    <row r="1152">
      <c r="A1152" s="10" t="inlineStr">
        <is>
          <t>F01591</t>
        </is>
      </c>
      <c r="B1152" s="10" t="inlineStr">
        <is>
          <t>F01591</t>
        </is>
      </c>
      <c r="C1152" s="10" t="inlineStr"/>
      <c r="D1152" s="10" t="inlineStr"/>
      <c r="E1152" s="10" t="inlineStr">
        <is>
          <t>STEEL SECURITY DOOR -  2050X960X70MM BD5</t>
        </is>
      </c>
      <c r="F1152" s="10" t="inlineStr"/>
      <c r="G1152" s="10" t="inlineStr"/>
      <c r="H1152" s="10" t="inlineStr"/>
      <c r="I1152" s="11" t="n">
        <v>1</v>
      </c>
      <c r="J1152" s="6" t="n">
        <v>15</v>
      </c>
      <c r="K1152" s="7">
        <f>IF(I1152="","",I1152*(1+J1152/100))</f>
        <v/>
      </c>
      <c r="L1152" s="12" t="inlineStr"/>
      <c r="M1152" s="8">
        <f>IF(OR(L1152="",K1152="",L1152=0),"",
  (L1152-K1152)/L1152*100)</f>
        <v/>
      </c>
      <c r="N1152" s="9" t="inlineStr"/>
      <c r="O1152" s="10" t="inlineStr"/>
      <c r="P1152" s="10" t="inlineStr"/>
      <c r="Q1152" s="10" t="inlineStr"/>
      <c r="R1152" s="10" t="inlineStr">
        <is>
          <t>2026-03-12</t>
        </is>
      </c>
      <c r="S1152" s="10" t="inlineStr"/>
    </row>
    <row r="1153">
      <c r="A1153" s="3" t="inlineStr">
        <is>
          <t>F01592</t>
        </is>
      </c>
      <c r="B1153" s="4" t="inlineStr">
        <is>
          <t>F01592</t>
        </is>
      </c>
      <c r="C1153" s="4" t="inlineStr"/>
      <c r="D1153" s="4" t="inlineStr"/>
      <c r="E1153" s="3" t="inlineStr">
        <is>
          <t>DOOR -FANCY ST/STEEL SECURITY  2050X810X</t>
        </is>
      </c>
      <c r="F1153" s="4" t="inlineStr"/>
      <c r="G1153" s="4" t="inlineStr"/>
      <c r="H1153" s="4" t="inlineStr"/>
      <c r="I1153" s="5" t="n">
        <v>3695</v>
      </c>
      <c r="J1153" s="6" t="n">
        <v>15</v>
      </c>
      <c r="K1153" s="7">
        <f>IF(I1153="","",I1153*(1+J1153/100))</f>
        <v/>
      </c>
      <c r="L1153" s="12" t="inlineStr"/>
      <c r="M1153" s="8">
        <f>IF(OR(L1153="",K1153="",L1153=0),"",
  (L1153-K1153)/L1153*100)</f>
        <v/>
      </c>
      <c r="N1153" s="9" t="inlineStr"/>
      <c r="O1153" s="4" t="inlineStr"/>
      <c r="P1153" s="4" t="inlineStr"/>
      <c r="Q1153" s="4" t="inlineStr"/>
      <c r="R1153" s="4" t="inlineStr">
        <is>
          <t>2026-03-12</t>
        </is>
      </c>
      <c r="S1153" s="4" t="inlineStr"/>
    </row>
    <row r="1154">
      <c r="A1154" s="10" t="inlineStr">
        <is>
          <t>F01593</t>
        </is>
      </c>
      <c r="B1154" s="10" t="inlineStr">
        <is>
          <t>F01593</t>
        </is>
      </c>
      <c r="C1154" s="10" t="inlineStr"/>
      <c r="D1154" s="10" t="inlineStr"/>
      <c r="E1154" s="10" t="inlineStr">
        <is>
          <t>DOOR -FANCY ST/STEEL SECURITY-  2050X810</t>
        </is>
      </c>
      <c r="F1154" s="10" t="inlineStr"/>
      <c r="G1154" s="10" t="inlineStr"/>
      <c r="H1154" s="10" t="inlineStr"/>
      <c r="I1154" s="11" t="n">
        <v>2212.46</v>
      </c>
      <c r="J1154" s="6" t="n">
        <v>15</v>
      </c>
      <c r="K1154" s="7">
        <f>IF(I1154="","",I1154*(1+J1154/100))</f>
        <v/>
      </c>
      <c r="L1154" s="12" t="inlineStr"/>
      <c r="M1154" s="8">
        <f>IF(OR(L1154="",K1154="",L1154=0),"",
  (L1154-K1154)/L1154*100)</f>
        <v/>
      </c>
      <c r="N1154" s="9" t="inlineStr"/>
      <c r="O1154" s="10" t="inlineStr"/>
      <c r="P1154" s="10" t="inlineStr"/>
      <c r="Q1154" s="10" t="inlineStr"/>
      <c r="R1154" s="10" t="inlineStr">
        <is>
          <t>2026-03-12</t>
        </is>
      </c>
      <c r="S1154" s="10" t="inlineStr"/>
    </row>
    <row r="1155">
      <c r="A1155" s="3" t="inlineStr">
        <is>
          <t>F01594</t>
        </is>
      </c>
      <c r="B1155" s="4" t="inlineStr">
        <is>
          <t>F01594</t>
        </is>
      </c>
      <c r="C1155" s="4" t="inlineStr"/>
      <c r="D1155" s="4" t="inlineStr"/>
      <c r="E1155" s="3" t="inlineStr">
        <is>
          <t>DOOR -FANCY ST/STEEL SECURITY -  2050X81</t>
        </is>
      </c>
      <c r="F1155" s="4" t="inlineStr"/>
      <c r="G1155" s="4" t="inlineStr"/>
      <c r="H1155" s="4" t="inlineStr"/>
      <c r="I1155" s="5" t="n">
        <v>2212.46</v>
      </c>
      <c r="J1155" s="6" t="n">
        <v>15</v>
      </c>
      <c r="K1155" s="7">
        <f>IF(I1155="","",I1155*(1+J1155/100))</f>
        <v/>
      </c>
      <c r="L1155" s="12" t="inlineStr"/>
      <c r="M1155" s="8">
        <f>IF(OR(L1155="",K1155="",L1155=0),"",
  (L1155-K1155)/L1155*100)</f>
        <v/>
      </c>
      <c r="N1155" s="14" t="n">
        <v>4</v>
      </c>
      <c r="O1155" s="4" t="inlineStr"/>
      <c r="P1155" s="4" t="inlineStr"/>
      <c r="Q1155" s="4" t="inlineStr"/>
      <c r="R1155" s="4" t="inlineStr">
        <is>
          <t>2026-03-12</t>
        </is>
      </c>
      <c r="S1155" s="4" t="inlineStr"/>
    </row>
    <row r="1156">
      <c r="A1156" s="10" t="inlineStr">
        <is>
          <t>F01595</t>
        </is>
      </c>
      <c r="B1156" s="10" t="inlineStr">
        <is>
          <t>F01595</t>
        </is>
      </c>
      <c r="C1156" s="10" t="inlineStr"/>
      <c r="D1156" s="10" t="inlineStr"/>
      <c r="E1156" s="10" t="inlineStr">
        <is>
          <t>DOOR - SECURITY STEEL -  2050X960X70MM B</t>
        </is>
      </c>
      <c r="F1156" s="10" t="inlineStr"/>
      <c r="G1156" s="10" t="inlineStr"/>
      <c r="H1156" s="10" t="inlineStr"/>
      <c r="I1156" s="11" t="n">
        <v>1345.77</v>
      </c>
      <c r="J1156" s="6" t="n">
        <v>15</v>
      </c>
      <c r="K1156" s="7">
        <f>IF(I1156="","",I1156*(1+J1156/100))</f>
        <v/>
      </c>
      <c r="L1156" s="12" t="inlineStr"/>
      <c r="M1156" s="8">
        <f>IF(OR(L1156="",K1156="",L1156=0),"",
  (L1156-K1156)/L1156*100)</f>
        <v/>
      </c>
      <c r="N1156" s="9" t="inlineStr"/>
      <c r="O1156" s="10" t="inlineStr"/>
      <c r="P1156" s="10" t="inlineStr"/>
      <c r="Q1156" s="10" t="inlineStr"/>
      <c r="R1156" s="10" t="inlineStr">
        <is>
          <t>2026-03-12</t>
        </is>
      </c>
      <c r="S1156" s="10" t="inlineStr"/>
    </row>
    <row r="1157">
      <c r="A1157" s="3" t="inlineStr">
        <is>
          <t>F01596</t>
        </is>
      </c>
      <c r="B1157" s="4" t="inlineStr">
        <is>
          <t>F01596</t>
        </is>
      </c>
      <c r="C1157" s="4" t="inlineStr"/>
      <c r="D1157" s="4" t="inlineStr"/>
      <c r="E1157" s="3" t="inlineStr">
        <is>
          <t>DOOR - SECURITY STEEL - 2050X960X70MM BD</t>
        </is>
      </c>
      <c r="F1157" s="4" t="inlineStr"/>
      <c r="G1157" s="4" t="inlineStr"/>
      <c r="H1157" s="4" t="inlineStr"/>
      <c r="I1157" s="5" t="n">
        <v>1342.35</v>
      </c>
      <c r="J1157" s="6" t="n">
        <v>15</v>
      </c>
      <c r="K1157" s="7">
        <f>IF(I1157="","",I1157*(1+J1157/100))</f>
        <v/>
      </c>
      <c r="L1157" s="12" t="inlineStr"/>
      <c r="M1157" s="8">
        <f>IF(OR(L1157="",K1157="",L1157=0),"",
  (L1157-K1157)/L1157*100)</f>
        <v/>
      </c>
      <c r="N1157" s="9" t="inlineStr"/>
      <c r="O1157" s="4" t="inlineStr"/>
      <c r="P1157" s="4" t="inlineStr"/>
      <c r="Q1157" s="4" t="inlineStr"/>
      <c r="R1157" s="4" t="inlineStr">
        <is>
          <t>2026-03-12</t>
        </is>
      </c>
      <c r="S1157" s="4" t="inlineStr"/>
    </row>
    <row r="1158">
      <c r="A1158" s="10" t="inlineStr">
        <is>
          <t>F01597</t>
        </is>
      </c>
      <c r="B1158" s="10" t="inlineStr">
        <is>
          <t>F01597</t>
        </is>
      </c>
      <c r="C1158" s="10" t="inlineStr"/>
      <c r="D1158" s="10" t="inlineStr"/>
      <c r="E1158" s="10" t="inlineStr">
        <is>
          <t>LM001 - PVC WALL &amp; CEILING DAMAGED LOOSE</t>
        </is>
      </c>
      <c r="F1158" s="10" t="inlineStr"/>
      <c r="G1158" s="10" t="inlineStr"/>
      <c r="H1158" s="10" t="inlineStr"/>
      <c r="I1158" s="11" t="n">
        <v>40.57</v>
      </c>
      <c r="J1158" s="6" t="n">
        <v>15</v>
      </c>
      <c r="K1158" s="7">
        <f>IF(I1158="","",I1158*(1+J1158/100))</f>
        <v/>
      </c>
      <c r="L1158" s="12" t="inlineStr"/>
      <c r="M1158" s="8">
        <f>IF(OR(L1158="",K1158="",L1158=0),"",
  (L1158-K1158)/L1158*100)</f>
        <v/>
      </c>
      <c r="N1158" s="9" t="inlineStr"/>
      <c r="O1158" s="10" t="inlineStr"/>
      <c r="P1158" s="10" t="inlineStr"/>
      <c r="Q1158" s="10" t="inlineStr"/>
      <c r="R1158" s="10" t="inlineStr">
        <is>
          <t>2026-03-12</t>
        </is>
      </c>
      <c r="S1158" s="10" t="inlineStr"/>
    </row>
    <row r="1159">
      <c r="A1159" s="3" t="inlineStr">
        <is>
          <t>F01599</t>
        </is>
      </c>
      <c r="B1159" s="4" t="inlineStr">
        <is>
          <t>F01599</t>
        </is>
      </c>
      <c r="C1159" s="4" t="inlineStr"/>
      <c r="D1159" s="4" t="inlineStr"/>
      <c r="E1159" s="3" t="inlineStr">
        <is>
          <t>LM001 - PVC WALL &amp; CEILING LAMINATION PA</t>
        </is>
      </c>
      <c r="F1159" s="4" t="inlineStr"/>
      <c r="G1159" s="4" t="inlineStr"/>
      <c r="H1159" s="4" t="inlineStr"/>
      <c r="I1159" s="5" t="n">
        <v>43.8</v>
      </c>
      <c r="J1159" s="6" t="n">
        <v>15</v>
      </c>
      <c r="K1159" s="7">
        <f>IF(I1159="","",I1159*(1+J1159/100))</f>
        <v/>
      </c>
      <c r="L1159" s="12" t="inlineStr"/>
      <c r="M1159" s="8">
        <f>IF(OR(L1159="",K1159="",L1159=0),"",
  (L1159-K1159)/L1159*100)</f>
        <v/>
      </c>
      <c r="N1159" s="9" t="inlineStr"/>
      <c r="O1159" s="4" t="inlineStr"/>
      <c r="P1159" s="4" t="inlineStr"/>
      <c r="Q1159" s="4" t="inlineStr"/>
      <c r="R1159" s="4" t="inlineStr">
        <is>
          <t>2026-03-12</t>
        </is>
      </c>
      <c r="S1159" s="4" t="inlineStr"/>
    </row>
    <row r="1160">
      <c r="A1160" s="10" t="inlineStr">
        <is>
          <t>F01600</t>
        </is>
      </c>
      <c r="B1160" s="10" t="inlineStr">
        <is>
          <t>F01600</t>
        </is>
      </c>
      <c r="C1160" s="10" t="inlineStr"/>
      <c r="D1160" s="10" t="inlineStr"/>
      <c r="E1160" s="10" t="inlineStr">
        <is>
          <t>LM010 - PVC WALL &amp; CEILING LAMINATION PA</t>
        </is>
      </c>
      <c r="F1160" s="10" t="inlineStr"/>
      <c r="G1160" s="10" t="inlineStr"/>
      <c r="H1160" s="10" t="inlineStr"/>
      <c r="I1160" s="11" t="n">
        <v>1</v>
      </c>
      <c r="J1160" s="6" t="n">
        <v>15</v>
      </c>
      <c r="K1160" s="7">
        <f>IF(I1160="","",I1160*(1+J1160/100))</f>
        <v/>
      </c>
      <c r="L1160" s="12" t="inlineStr"/>
      <c r="M1160" s="8">
        <f>IF(OR(L1160="",K1160="",L1160=0),"",
  (L1160-K1160)/L1160*100)</f>
        <v/>
      </c>
      <c r="N1160" s="9" t="inlineStr"/>
      <c r="O1160" s="10" t="inlineStr"/>
      <c r="P1160" s="10" t="inlineStr"/>
      <c r="Q1160" s="10" t="inlineStr"/>
      <c r="R1160" s="10" t="inlineStr">
        <is>
          <t>2026-03-12</t>
        </is>
      </c>
      <c r="S1160" s="10" t="inlineStr"/>
    </row>
    <row r="1161">
      <c r="A1161" s="3" t="inlineStr">
        <is>
          <t>F01601</t>
        </is>
      </c>
      <c r="B1161" s="4" t="inlineStr">
        <is>
          <t>F01601</t>
        </is>
      </c>
      <c r="C1161" s="4" t="inlineStr"/>
      <c r="D1161" s="4" t="inlineStr"/>
      <c r="E1161" s="3" t="inlineStr">
        <is>
          <t>DISPLAY STAND - PVC PANEL</t>
        </is>
      </c>
      <c r="F1161" s="4" t="inlineStr"/>
      <c r="G1161" s="4" t="inlineStr"/>
      <c r="H1161" s="4" t="inlineStr"/>
      <c r="I1161" s="5" t="n">
        <v>1206.51</v>
      </c>
      <c r="J1161" s="6" t="n">
        <v>15</v>
      </c>
      <c r="K1161" s="7">
        <f>IF(I1161="","",I1161*(1+J1161/100))</f>
        <v/>
      </c>
      <c r="L1161" s="12" t="inlineStr"/>
      <c r="M1161" s="8">
        <f>IF(OR(L1161="",K1161="",L1161=0),"",
  (L1161-K1161)/L1161*100)</f>
        <v/>
      </c>
      <c r="N1161" s="9" t="inlineStr"/>
      <c r="O1161" s="4" t="inlineStr"/>
      <c r="P1161" s="4" t="inlineStr"/>
      <c r="Q1161" s="4" t="inlineStr"/>
      <c r="R1161" s="4" t="inlineStr">
        <is>
          <t>2026-03-12</t>
        </is>
      </c>
      <c r="S1161" s="4" t="inlineStr"/>
    </row>
    <row r="1162">
      <c r="A1162" s="10" t="inlineStr">
        <is>
          <t>F01602</t>
        </is>
      </c>
      <c r="B1162" s="10" t="inlineStr">
        <is>
          <t>F01602</t>
        </is>
      </c>
      <c r="C1162" s="10" t="inlineStr"/>
      <c r="D1162" s="10" t="inlineStr"/>
      <c r="E1162" s="10" t="inlineStr">
        <is>
          <t>VINYL  SPNG BAK 1.83MX3MT(SHRINK)</t>
        </is>
      </c>
      <c r="F1162" s="10" t="inlineStr"/>
      <c r="G1162" s="10" t="inlineStr"/>
      <c r="H1162" s="10" t="inlineStr"/>
      <c r="I1162" s="11" t="n">
        <v>1</v>
      </c>
      <c r="J1162" s="6" t="n">
        <v>15</v>
      </c>
      <c r="K1162" s="7">
        <f>IF(I1162="","",I1162*(1+J1162/100))</f>
        <v/>
      </c>
      <c r="L1162" s="12" t="inlineStr"/>
      <c r="M1162" s="8">
        <f>IF(OR(L1162="",K1162="",L1162=0),"",
  (L1162-K1162)/L1162*100)</f>
        <v/>
      </c>
      <c r="N1162" s="9" t="inlineStr"/>
      <c r="O1162" s="10" t="inlineStr"/>
      <c r="P1162" s="10" t="inlineStr"/>
      <c r="Q1162" s="10" t="inlineStr"/>
      <c r="R1162" s="10" t="inlineStr">
        <is>
          <t>2026-03-12</t>
        </is>
      </c>
      <c r="S1162" s="10" t="inlineStr"/>
    </row>
    <row r="1163">
      <c r="A1163" s="3" t="inlineStr">
        <is>
          <t>F01603</t>
        </is>
      </c>
      <c r="B1163" s="4" t="inlineStr">
        <is>
          <t>F01603</t>
        </is>
      </c>
      <c r="C1163" s="4" t="inlineStr">
        <is>
          <t>9584</t>
        </is>
      </c>
      <c r="D1163" s="4" t="inlineStr">
        <is>
          <t>6009693153950</t>
        </is>
      </c>
      <c r="E1163" s="3" t="inlineStr">
        <is>
          <t>CHAIR ADULT PARTY BLACK</t>
        </is>
      </c>
      <c r="F1163" s="4" t="inlineStr"/>
      <c r="G1163" s="4" t="inlineStr"/>
      <c r="H1163" s="4" t="inlineStr"/>
      <c r="I1163" s="5" t="n">
        <v>41.95</v>
      </c>
      <c r="J1163" s="6" t="n">
        <v>15</v>
      </c>
      <c r="K1163" s="7">
        <f>IF(I1163="","",I1163*(1+J1163/100))</f>
        <v/>
      </c>
      <c r="L1163" s="5" t="n">
        <v>100</v>
      </c>
      <c r="M1163" s="8">
        <f>IF(OR(L1163="",K1163="",L1163=0),"",
  (L1163-K1163)/L1163*100)</f>
        <v/>
      </c>
      <c r="N1163" s="14" t="n">
        <v>28</v>
      </c>
      <c r="O1163" s="4" t="inlineStr"/>
      <c r="P1163" s="4" t="inlineStr"/>
      <c r="Q1163" s="4" t="inlineStr"/>
      <c r="R1163" s="4" t="inlineStr">
        <is>
          <t>2026-03-12</t>
        </is>
      </c>
      <c r="S1163" s="4" t="inlineStr"/>
    </row>
    <row r="1164">
      <c r="A1164" s="10" t="inlineStr">
        <is>
          <t>F01604</t>
        </is>
      </c>
      <c r="B1164" s="10" t="inlineStr">
        <is>
          <t>F01604</t>
        </is>
      </c>
      <c r="C1164" s="10" t="inlineStr"/>
      <c r="D1164" s="10" t="inlineStr">
        <is>
          <t>6009677013195</t>
        </is>
      </c>
      <c r="E1164" s="10" t="inlineStr">
        <is>
          <t>LADDER FIBREGLASS ELECT 10 STEP BROADER</t>
        </is>
      </c>
      <c r="F1164" s="10" t="inlineStr"/>
      <c r="G1164" s="10" t="inlineStr"/>
      <c r="H1164" s="10" t="inlineStr"/>
      <c r="I1164" s="11" t="n">
        <v>2895</v>
      </c>
      <c r="J1164" s="6" t="n">
        <v>15</v>
      </c>
      <c r="K1164" s="7">
        <f>IF(I1164="","",I1164*(1+J1164/100))</f>
        <v/>
      </c>
      <c r="L1164" s="12" t="inlineStr"/>
      <c r="M1164" s="8">
        <f>IF(OR(L1164="",K1164="",L1164=0),"",
  (L1164-K1164)/L1164*100)</f>
        <v/>
      </c>
      <c r="N1164" s="9" t="inlineStr"/>
      <c r="O1164" s="10" t="inlineStr"/>
      <c r="P1164" s="10" t="inlineStr"/>
      <c r="Q1164" s="10" t="inlineStr"/>
      <c r="R1164" s="10" t="inlineStr">
        <is>
          <t>2026-03-12</t>
        </is>
      </c>
      <c r="S1164" s="10" t="inlineStr"/>
    </row>
    <row r="1165">
      <c r="A1165" s="3" t="inlineStr">
        <is>
          <t>F01605</t>
        </is>
      </c>
      <c r="B1165" s="4" t="inlineStr">
        <is>
          <t>F01605</t>
        </is>
      </c>
      <c r="C1165" s="4" t="inlineStr"/>
      <c r="D1165" s="4" t="inlineStr">
        <is>
          <t>6009677013881</t>
        </is>
      </c>
      <c r="E1165" s="3" t="inlineStr">
        <is>
          <t>LED TV WALL MOUNTED ADJUSTABLE 14-42" 90</t>
        </is>
      </c>
      <c r="F1165" s="4" t="inlineStr"/>
      <c r="G1165" s="4" t="inlineStr"/>
      <c r="H1165" s="4" t="inlineStr"/>
      <c r="I1165" s="5" t="n">
        <v>69.95</v>
      </c>
      <c r="J1165" s="6" t="n">
        <v>15</v>
      </c>
      <c r="K1165" s="7">
        <f>IF(I1165="","",I1165*(1+J1165/100))</f>
        <v/>
      </c>
      <c r="L1165" s="12" t="inlineStr"/>
      <c r="M1165" s="8">
        <f>IF(OR(L1165="",K1165="",L1165=0),"",
  (L1165-K1165)/L1165*100)</f>
        <v/>
      </c>
      <c r="N1165" s="9" t="inlineStr"/>
      <c r="O1165" s="4" t="inlineStr"/>
      <c r="P1165" s="4" t="inlineStr"/>
      <c r="Q1165" s="4" t="inlineStr"/>
      <c r="R1165" s="4" t="inlineStr">
        <is>
          <t>2026-03-12</t>
        </is>
      </c>
      <c r="S1165" s="4" t="inlineStr"/>
    </row>
    <row r="1166">
      <c r="A1166" s="10" t="inlineStr">
        <is>
          <t>F01606</t>
        </is>
      </c>
      <c r="B1166" s="10" t="inlineStr">
        <is>
          <t>F01606</t>
        </is>
      </c>
      <c r="C1166" s="10" t="inlineStr"/>
      <c r="D1166" s="10" t="inlineStr">
        <is>
          <t>6009677013898</t>
        </is>
      </c>
      <c r="E1166" s="10" t="inlineStr">
        <is>
          <t>LED TV WALL MOUNTED BRACKET 14-42" 906-3</t>
        </is>
      </c>
      <c r="F1166" s="10" t="inlineStr"/>
      <c r="G1166" s="10" t="inlineStr"/>
      <c r="H1166" s="10" t="inlineStr"/>
      <c r="I1166" s="11" t="n">
        <v>29.95</v>
      </c>
      <c r="J1166" s="6" t="n">
        <v>15</v>
      </c>
      <c r="K1166" s="7">
        <f>IF(I1166="","",I1166*(1+J1166/100))</f>
        <v/>
      </c>
      <c r="L1166" s="12" t="inlineStr"/>
      <c r="M1166" s="8">
        <f>IF(OR(L1166="",K1166="",L1166=0),"",
  (L1166-K1166)/L1166*100)</f>
        <v/>
      </c>
      <c r="N1166" s="9" t="inlineStr"/>
      <c r="O1166" s="10" t="inlineStr"/>
      <c r="P1166" s="10" t="inlineStr"/>
      <c r="Q1166" s="10" t="inlineStr"/>
      <c r="R1166" s="10" t="inlineStr">
        <is>
          <t>2026-03-12</t>
        </is>
      </c>
      <c r="S1166" s="10" t="inlineStr"/>
    </row>
    <row r="1167">
      <c r="A1167" s="3" t="inlineStr">
        <is>
          <t>F01607</t>
        </is>
      </c>
      <c r="B1167" s="4" t="inlineStr">
        <is>
          <t>F01607</t>
        </is>
      </c>
      <c r="C1167" s="4" t="inlineStr"/>
      <c r="D1167" s="4" t="inlineStr">
        <is>
          <t>6009705655967</t>
        </is>
      </c>
      <c r="E1167" s="3" t="inlineStr">
        <is>
          <t>BOWL 8" WHT EMBOSD DEAP / BLACK RIM</t>
        </is>
      </c>
      <c r="F1167" s="4" t="inlineStr"/>
      <c r="G1167" s="4" t="inlineStr"/>
      <c r="H1167" s="4" t="inlineStr"/>
      <c r="I1167" s="5" t="n">
        <v>9.789999999999999</v>
      </c>
      <c r="J1167" s="6" t="n">
        <v>15</v>
      </c>
      <c r="K1167" s="7">
        <f>IF(I1167="","",I1167*(1+J1167/100))</f>
        <v/>
      </c>
      <c r="L1167" s="12" t="inlineStr"/>
      <c r="M1167" s="8">
        <f>IF(OR(L1167="",K1167="",L1167=0),"",
  (L1167-K1167)/L1167*100)</f>
        <v/>
      </c>
      <c r="N1167" s="14" t="n">
        <v>6199</v>
      </c>
      <c r="O1167" s="4" t="inlineStr"/>
      <c r="P1167" s="4" t="inlineStr"/>
      <c r="Q1167" s="4" t="inlineStr"/>
      <c r="R1167" s="4" t="inlineStr">
        <is>
          <t>2026-03-12</t>
        </is>
      </c>
      <c r="S1167" s="4" t="inlineStr"/>
    </row>
    <row r="1168">
      <c r="A1168" s="10" t="inlineStr">
        <is>
          <t>F01608</t>
        </is>
      </c>
      <c r="B1168" s="10" t="inlineStr">
        <is>
          <t>F01608</t>
        </is>
      </c>
      <c r="C1168" s="10" t="inlineStr"/>
      <c r="D1168" s="10" t="inlineStr"/>
      <c r="E1168" s="10" t="inlineStr">
        <is>
          <t>GAZEBO 2mX2m</t>
        </is>
      </c>
      <c r="F1168" s="10" t="inlineStr"/>
      <c r="G1168" s="10" t="inlineStr"/>
      <c r="H1168" s="10" t="inlineStr"/>
      <c r="I1168" s="11" t="n">
        <v>699</v>
      </c>
      <c r="J1168" s="6" t="n">
        <v>15</v>
      </c>
      <c r="K1168" s="7">
        <f>IF(I1168="","",I1168*(1+J1168/100))</f>
        <v/>
      </c>
      <c r="L1168" s="12" t="inlineStr"/>
      <c r="M1168" s="8">
        <f>IF(OR(L1168="",K1168="",L1168=0),"",
  (L1168-K1168)/L1168*100)</f>
        <v/>
      </c>
      <c r="N1168" s="9" t="inlineStr"/>
      <c r="O1168" s="10" t="inlineStr"/>
      <c r="P1168" s="10" t="inlineStr"/>
      <c r="Q1168" s="10" t="inlineStr"/>
      <c r="R1168" s="10" t="inlineStr">
        <is>
          <t>2026-03-12</t>
        </is>
      </c>
      <c r="S1168" s="10" t="inlineStr"/>
    </row>
    <row r="1169">
      <c r="A1169" s="3" t="inlineStr">
        <is>
          <t>F01609</t>
        </is>
      </c>
      <c r="B1169" s="4" t="inlineStr">
        <is>
          <t>F01609</t>
        </is>
      </c>
      <c r="C1169" s="4" t="inlineStr"/>
      <c r="D1169" s="4" t="inlineStr">
        <is>
          <t>6009677013140</t>
        </is>
      </c>
      <c r="E1169" s="3" t="inlineStr">
        <is>
          <t>LADDER FIBREGLASS ELECT 6 STEP 903-1)  3</t>
        </is>
      </c>
      <c r="F1169" s="4" t="inlineStr"/>
      <c r="G1169" s="4" t="inlineStr"/>
      <c r="H1169" s="4" t="inlineStr"/>
      <c r="I1169" s="5" t="n">
        <v>969</v>
      </c>
      <c r="J1169" s="6" t="n">
        <v>15</v>
      </c>
      <c r="K1169" s="7">
        <f>IF(I1169="","",I1169*(1+J1169/100))</f>
        <v/>
      </c>
      <c r="L1169" s="12" t="inlineStr"/>
      <c r="M1169" s="8">
        <f>IF(OR(L1169="",K1169="",L1169=0),"",
  (L1169-K1169)/L1169*100)</f>
        <v/>
      </c>
      <c r="N1169" s="9" t="inlineStr"/>
      <c r="O1169" s="4" t="inlineStr"/>
      <c r="P1169" s="4" t="inlineStr"/>
      <c r="Q1169" s="4" t="inlineStr"/>
      <c r="R1169" s="4" t="inlineStr">
        <is>
          <t>2026-03-12</t>
        </is>
      </c>
      <c r="S1169" s="4" t="inlineStr"/>
    </row>
    <row r="1170">
      <c r="A1170" s="10" t="inlineStr">
        <is>
          <t>F01610</t>
        </is>
      </c>
      <c r="B1170" s="10" t="inlineStr">
        <is>
          <t>F01610</t>
        </is>
      </c>
      <c r="C1170" s="10" t="inlineStr"/>
      <c r="D1170" s="10" t="inlineStr"/>
      <c r="E1170" s="10" t="inlineStr">
        <is>
          <t>LADDER FIBREGLASS ELECT 10 STEP903-3) 35</t>
        </is>
      </c>
      <c r="F1170" s="10" t="inlineStr"/>
      <c r="G1170" s="10" t="inlineStr"/>
      <c r="H1170" s="10" t="inlineStr"/>
      <c r="I1170" s="11" t="n">
        <v>1395</v>
      </c>
      <c r="J1170" s="6" t="n">
        <v>15</v>
      </c>
      <c r="K1170" s="7">
        <f>IF(I1170="","",I1170*(1+J1170/100))</f>
        <v/>
      </c>
      <c r="L1170" s="12" t="inlineStr"/>
      <c r="M1170" s="8">
        <f>IF(OR(L1170="",K1170="",L1170=0),"",
  (L1170-K1170)/L1170*100)</f>
        <v/>
      </c>
      <c r="N1170" s="9" t="inlineStr"/>
      <c r="O1170" s="10" t="inlineStr"/>
      <c r="P1170" s="10" t="inlineStr"/>
      <c r="Q1170" s="10" t="inlineStr"/>
      <c r="R1170" s="10" t="inlineStr">
        <is>
          <t>2026-03-12</t>
        </is>
      </c>
      <c r="S1170" s="10" t="inlineStr"/>
    </row>
    <row r="1171">
      <c r="A1171" s="3" t="inlineStr">
        <is>
          <t>F01611</t>
        </is>
      </c>
      <c r="B1171" s="4" t="inlineStr">
        <is>
          <t>F01611</t>
        </is>
      </c>
      <c r="C1171" s="4" t="inlineStr"/>
      <c r="D1171" s="4" t="inlineStr">
        <is>
          <t>6009677013171</t>
        </is>
      </c>
      <c r="E1171" s="3" t="inlineStr">
        <is>
          <t>LADDER FIBREGLASS ELECT 6 STEP BROADER 9</t>
        </is>
      </c>
      <c r="F1171" s="4" t="inlineStr"/>
      <c r="G1171" s="4" t="inlineStr"/>
      <c r="H1171" s="4" t="inlineStr"/>
      <c r="I1171" s="5" t="n">
        <v>1895</v>
      </c>
      <c r="J1171" s="6" t="n">
        <v>15</v>
      </c>
      <c r="K1171" s="7">
        <f>IF(I1171="","",I1171*(1+J1171/100))</f>
        <v/>
      </c>
      <c r="L1171" s="12" t="inlineStr"/>
      <c r="M1171" s="8">
        <f>IF(OR(L1171="",K1171="",L1171=0),"",
  (L1171-K1171)/L1171*100)</f>
        <v/>
      </c>
      <c r="N1171" s="9" t="inlineStr"/>
      <c r="O1171" s="4" t="inlineStr"/>
      <c r="P1171" s="4" t="inlineStr"/>
      <c r="Q1171" s="4" t="inlineStr"/>
      <c r="R1171" s="4" t="inlineStr">
        <is>
          <t>2026-03-12</t>
        </is>
      </c>
      <c r="S1171" s="4" t="inlineStr"/>
    </row>
    <row r="1172">
      <c r="A1172" s="10" t="inlineStr">
        <is>
          <t>F01612</t>
        </is>
      </c>
      <c r="B1172" s="10" t="inlineStr">
        <is>
          <t>F01612</t>
        </is>
      </c>
      <c r="C1172" s="10" t="inlineStr"/>
      <c r="D1172" s="10" t="inlineStr">
        <is>
          <t>6009677013188</t>
        </is>
      </c>
      <c r="E1172" s="10" t="inlineStr">
        <is>
          <t>LADDER FIBREGLASS ELECT 8 STEP BROADER 9</t>
        </is>
      </c>
      <c r="F1172" s="10" t="inlineStr"/>
      <c r="G1172" s="10" t="inlineStr"/>
      <c r="H1172" s="10" t="inlineStr"/>
      <c r="I1172" s="11" t="n">
        <v>2295</v>
      </c>
      <c r="J1172" s="6" t="n">
        <v>15</v>
      </c>
      <c r="K1172" s="7">
        <f>IF(I1172="","",I1172*(1+J1172/100))</f>
        <v/>
      </c>
      <c r="L1172" s="12" t="inlineStr"/>
      <c r="M1172" s="8">
        <f>IF(OR(L1172="",K1172="",L1172=0),"",
  (L1172-K1172)/L1172*100)</f>
        <v/>
      </c>
      <c r="N1172" s="9" t="inlineStr"/>
      <c r="O1172" s="10" t="inlineStr"/>
      <c r="P1172" s="10" t="inlineStr"/>
      <c r="Q1172" s="10" t="inlineStr"/>
      <c r="R1172" s="10" t="inlineStr">
        <is>
          <t>2026-03-12</t>
        </is>
      </c>
      <c r="S1172" s="10" t="inlineStr"/>
    </row>
    <row r="1173">
      <c r="A1173" s="3" t="inlineStr">
        <is>
          <t>F01613</t>
        </is>
      </c>
      <c r="B1173" s="4" t="inlineStr">
        <is>
          <t>F01613</t>
        </is>
      </c>
      <c r="C1173" s="4" t="inlineStr"/>
      <c r="D1173" s="4" t="inlineStr">
        <is>
          <t>6009677013201</t>
        </is>
      </c>
      <c r="E1173" s="3" t="inlineStr">
        <is>
          <t>LADDER FIBREGLASS EXTNDBLE H/DUTY 18 STE</t>
        </is>
      </c>
      <c r="F1173" s="4" t="inlineStr"/>
      <c r="G1173" s="4" t="inlineStr"/>
      <c r="H1173" s="4" t="inlineStr"/>
      <c r="I1173" s="5" t="n">
        <v>1850</v>
      </c>
      <c r="J1173" s="6" t="n">
        <v>15</v>
      </c>
      <c r="K1173" s="7">
        <f>IF(I1173="","",I1173*(1+J1173/100))</f>
        <v/>
      </c>
      <c r="L1173" s="12" t="inlineStr"/>
      <c r="M1173" s="8">
        <f>IF(OR(L1173="",K1173="",L1173=0),"",
  (L1173-K1173)/L1173*100)</f>
        <v/>
      </c>
      <c r="N1173" s="9" t="inlineStr"/>
      <c r="O1173" s="4" t="inlineStr"/>
      <c r="P1173" s="4" t="inlineStr"/>
      <c r="Q1173" s="4" t="inlineStr"/>
      <c r="R1173" s="4" t="inlineStr">
        <is>
          <t>2026-03-12</t>
        </is>
      </c>
      <c r="S1173" s="4" t="inlineStr"/>
    </row>
    <row r="1174">
      <c r="A1174" s="10" t="inlineStr">
        <is>
          <t>F01614</t>
        </is>
      </c>
      <c r="B1174" s="10" t="inlineStr">
        <is>
          <t>F01614</t>
        </is>
      </c>
      <c r="C1174" s="10" t="inlineStr"/>
      <c r="D1174" s="10" t="inlineStr"/>
      <c r="E1174" s="10" t="inlineStr">
        <is>
          <t>BABY WET WIPES 40g</t>
        </is>
      </c>
      <c r="F1174" s="10" t="inlineStr"/>
      <c r="G1174" s="10" t="inlineStr"/>
      <c r="H1174" s="10" t="inlineStr"/>
      <c r="I1174" s="11" t="n">
        <v>8.949999999999999</v>
      </c>
      <c r="J1174" s="6" t="n">
        <v>15</v>
      </c>
      <c r="K1174" s="7">
        <f>IF(I1174="","",I1174*(1+J1174/100))</f>
        <v/>
      </c>
      <c r="L1174" s="12" t="inlineStr"/>
      <c r="M1174" s="8">
        <f>IF(OR(L1174="",K1174="",L1174=0),"",
  (L1174-K1174)/L1174*100)</f>
        <v/>
      </c>
      <c r="N1174" s="9" t="inlineStr"/>
      <c r="O1174" s="10" t="inlineStr"/>
      <c r="P1174" s="10" t="inlineStr"/>
      <c r="Q1174" s="10" t="inlineStr"/>
      <c r="R1174" s="10" t="inlineStr">
        <is>
          <t>2026-03-12</t>
        </is>
      </c>
      <c r="S1174" s="10" t="inlineStr"/>
    </row>
    <row r="1175">
      <c r="A1175" s="3" t="inlineStr">
        <is>
          <t>F01616</t>
        </is>
      </c>
      <c r="B1175" s="4" t="inlineStr">
        <is>
          <t>F01616</t>
        </is>
      </c>
      <c r="C1175" s="4" t="inlineStr"/>
      <c r="D1175" s="4" t="inlineStr">
        <is>
          <t>600977013157</t>
        </is>
      </c>
      <c r="E1175" s="3" t="inlineStr">
        <is>
          <t>LADDER FIBREGLASS ELECTRICIAN LADDER 903</t>
        </is>
      </c>
      <c r="F1175" s="4" t="inlineStr"/>
      <c r="G1175" s="4" t="inlineStr"/>
      <c r="H1175" s="4" t="inlineStr"/>
      <c r="I1175" s="5" t="n">
        <v>1195</v>
      </c>
      <c r="J1175" s="6" t="n">
        <v>15</v>
      </c>
      <c r="K1175" s="7">
        <f>IF(I1175="","",I1175*(1+J1175/100))</f>
        <v/>
      </c>
      <c r="L1175" s="12" t="inlineStr"/>
      <c r="M1175" s="8">
        <f>IF(OR(L1175="",K1175="",L1175=0),"",
  (L1175-K1175)/L1175*100)</f>
        <v/>
      </c>
      <c r="N1175" s="9" t="inlineStr"/>
      <c r="O1175" s="4" t="inlineStr"/>
      <c r="P1175" s="4" t="inlineStr"/>
      <c r="Q1175" s="4" t="inlineStr"/>
      <c r="R1175" s="4" t="inlineStr">
        <is>
          <t>2026-03-12</t>
        </is>
      </c>
      <c r="S1175" s="4" t="inlineStr"/>
    </row>
    <row r="1176">
      <c r="A1176" s="10" t="inlineStr">
        <is>
          <t>F01617</t>
        </is>
      </c>
      <c r="B1176" s="10" t="inlineStr">
        <is>
          <t>F01617</t>
        </is>
      </c>
      <c r="C1176" s="10" t="inlineStr">
        <is>
          <t>19175</t>
        </is>
      </c>
      <c r="D1176" s="10" t="inlineStr">
        <is>
          <t>6009677014642</t>
        </is>
      </c>
      <c r="E1176" s="10" t="inlineStr">
        <is>
          <t>CHISEL WOOD WORKING 4PC 921-3 BETT</t>
        </is>
      </c>
      <c r="F1176" s="10" t="inlineStr"/>
      <c r="G1176" s="10" t="inlineStr"/>
      <c r="H1176" s="10" t="inlineStr"/>
      <c r="I1176" s="11" t="n">
        <v>149</v>
      </c>
      <c r="J1176" s="6" t="n">
        <v>15</v>
      </c>
      <c r="K1176" s="7">
        <f>IF(I1176="","",I1176*(1+J1176/100))</f>
        <v/>
      </c>
      <c r="L1176" s="11" t="n">
        <v>350</v>
      </c>
      <c r="M1176" s="8">
        <f>IF(OR(L1176="",K1176="",L1176=0),"",
  (L1176-K1176)/L1176*100)</f>
        <v/>
      </c>
      <c r="N1176" s="9" t="inlineStr"/>
      <c r="O1176" s="10" t="inlineStr"/>
      <c r="P1176" s="10" t="inlineStr"/>
      <c r="Q1176" s="10" t="inlineStr"/>
      <c r="R1176" s="10" t="inlineStr">
        <is>
          <t>2026-03-12</t>
        </is>
      </c>
      <c r="S1176" s="10" t="inlineStr"/>
    </row>
    <row r="1177">
      <c r="A1177" s="3" t="inlineStr">
        <is>
          <t>F01618</t>
        </is>
      </c>
      <c r="B1177" s="4" t="inlineStr">
        <is>
          <t>F01618</t>
        </is>
      </c>
      <c r="C1177" s="4" t="inlineStr"/>
      <c r="D1177" s="4" t="inlineStr">
        <is>
          <t>6009677014659</t>
        </is>
      </c>
      <c r="E1177" s="3" t="inlineStr">
        <is>
          <t>SPANNER COMBINATION921-4</t>
        </is>
      </c>
      <c r="F1177" s="4" t="inlineStr"/>
      <c r="G1177" s="4" t="inlineStr"/>
      <c r="H1177" s="4" t="inlineStr"/>
      <c r="I1177" s="5" t="n">
        <v>30.89</v>
      </c>
      <c r="J1177" s="6" t="n">
        <v>15</v>
      </c>
      <c r="K1177" s="7">
        <f>IF(I1177="","",I1177*(1+J1177/100))</f>
        <v/>
      </c>
      <c r="L1177" s="12" t="inlineStr"/>
      <c r="M1177" s="8">
        <f>IF(OR(L1177="",K1177="",L1177=0),"",
  (L1177-K1177)/L1177*100)</f>
        <v/>
      </c>
      <c r="N1177" s="9" t="inlineStr"/>
      <c r="O1177" s="4" t="inlineStr"/>
      <c r="P1177" s="4" t="inlineStr"/>
      <c r="Q1177" s="4" t="inlineStr"/>
      <c r="R1177" s="4" t="inlineStr">
        <is>
          <t>2026-03-12</t>
        </is>
      </c>
      <c r="S1177" s="4" t="inlineStr"/>
    </row>
    <row r="1178">
      <c r="A1178" s="10" t="inlineStr">
        <is>
          <t>F01619</t>
        </is>
      </c>
      <c r="B1178" s="10" t="inlineStr">
        <is>
          <t>F01619</t>
        </is>
      </c>
      <c r="C1178" s="10" t="inlineStr">
        <is>
          <t>9993</t>
        </is>
      </c>
      <c r="D1178" s="10" t="inlineStr">
        <is>
          <t>6009677014703</t>
        </is>
      </c>
      <c r="E1178" s="10" t="inlineStr">
        <is>
          <t>MALLET  WHITE MALLET 921-9</t>
        </is>
      </c>
      <c r="F1178" s="10" t="inlineStr"/>
      <c r="G1178" s="10" t="inlineStr"/>
      <c r="H1178" s="10" t="inlineStr"/>
      <c r="I1178" s="11" t="n">
        <v>28.95</v>
      </c>
      <c r="J1178" s="6" t="n">
        <v>15</v>
      </c>
      <c r="K1178" s="7">
        <f>IF(I1178="","",I1178*(1+J1178/100))</f>
        <v/>
      </c>
      <c r="L1178" s="11" t="n">
        <v>190</v>
      </c>
      <c r="M1178" s="8">
        <f>IF(OR(L1178="",K1178="",L1178=0),"",
  (L1178-K1178)/L1178*100)</f>
        <v/>
      </c>
      <c r="N1178" s="13" t="n">
        <v>21</v>
      </c>
      <c r="O1178" s="10" t="inlineStr"/>
      <c r="P1178" s="10" t="inlineStr"/>
      <c r="Q1178" s="10" t="inlineStr"/>
      <c r="R1178" s="10" t="inlineStr">
        <is>
          <t>2026-03-12</t>
        </is>
      </c>
      <c r="S1178" s="10" t="inlineStr"/>
    </row>
    <row r="1179">
      <c r="A1179" s="3" t="inlineStr">
        <is>
          <t>F01620</t>
        </is>
      </c>
      <c r="B1179" s="4" t="inlineStr">
        <is>
          <t>F01620</t>
        </is>
      </c>
      <c r="C1179" s="4" t="inlineStr">
        <is>
          <t>9994</t>
        </is>
      </c>
      <c r="D1179" s="4" t="inlineStr">
        <is>
          <t>6009677014727</t>
        </is>
      </c>
      <c r="E1179" s="3" t="inlineStr">
        <is>
          <t>MALLET RUBBER BLACK  921-11</t>
        </is>
      </c>
      <c r="F1179" s="4" t="inlineStr"/>
      <c r="G1179" s="4" t="inlineStr"/>
      <c r="H1179" s="4" t="inlineStr"/>
      <c r="I1179" s="5" t="n">
        <v>27.95</v>
      </c>
      <c r="J1179" s="6" t="n">
        <v>15</v>
      </c>
      <c r="K1179" s="7">
        <f>IF(I1179="","",I1179*(1+J1179/100))</f>
        <v/>
      </c>
      <c r="L1179" s="5" t="n">
        <v>150</v>
      </c>
      <c r="M1179" s="8">
        <f>IF(OR(L1179="",K1179="",L1179=0),"",
  (L1179-K1179)/L1179*100)</f>
        <v/>
      </c>
      <c r="N1179" s="14" t="n">
        <v>219</v>
      </c>
      <c r="O1179" s="4" t="inlineStr"/>
      <c r="P1179" s="4" t="inlineStr"/>
      <c r="Q1179" s="4" t="inlineStr"/>
      <c r="R1179" s="4" t="inlineStr">
        <is>
          <t>2026-03-12</t>
        </is>
      </c>
      <c r="S1179" s="4" t="inlineStr"/>
    </row>
    <row r="1180">
      <c r="A1180" s="10" t="inlineStr">
        <is>
          <t>F01621</t>
        </is>
      </c>
      <c r="B1180" s="10" t="inlineStr">
        <is>
          <t>F01621</t>
        </is>
      </c>
      <c r="C1180" s="10" t="inlineStr">
        <is>
          <t>18471</t>
        </is>
      </c>
      <c r="D1180" s="10" t="inlineStr">
        <is>
          <t>6009677014741</t>
        </is>
      </c>
      <c r="E1180" s="10" t="inlineStr">
        <is>
          <t>CAULKING GUN BETTER QLTY ORANGE 921-13</t>
        </is>
      </c>
      <c r="F1180" s="10" t="inlineStr"/>
      <c r="G1180" s="10" t="inlineStr"/>
      <c r="H1180" s="10" t="inlineStr"/>
      <c r="I1180" s="11" t="n">
        <v>28.95</v>
      </c>
      <c r="J1180" s="6" t="n">
        <v>15</v>
      </c>
      <c r="K1180" s="7">
        <f>IF(I1180="","",I1180*(1+J1180/100))</f>
        <v/>
      </c>
      <c r="L1180" s="11" t="n">
        <v>240</v>
      </c>
      <c r="M1180" s="8">
        <f>IF(OR(L1180="",K1180="",L1180=0),"",
  (L1180-K1180)/L1180*100)</f>
        <v/>
      </c>
      <c r="N1180" s="13" t="n">
        <v>20</v>
      </c>
      <c r="O1180" s="10" t="inlineStr"/>
      <c r="P1180" s="10" t="inlineStr"/>
      <c r="Q1180" s="10" t="inlineStr"/>
      <c r="R1180" s="10" t="inlineStr">
        <is>
          <t>2026-03-12</t>
        </is>
      </c>
      <c r="S1180" s="10" t="inlineStr"/>
    </row>
    <row r="1181">
      <c r="A1181" s="3" t="inlineStr">
        <is>
          <t>F01622</t>
        </is>
      </c>
      <c r="B1181" s="4" t="inlineStr">
        <is>
          <t>F01622</t>
        </is>
      </c>
      <c r="C1181" s="4" t="inlineStr">
        <is>
          <t>9941</t>
        </is>
      </c>
      <c r="D1181" s="4" t="inlineStr">
        <is>
          <t>6009677014758</t>
        </is>
      </c>
      <c r="E1181" s="3" t="inlineStr">
        <is>
          <t>CHISEL  STONE  250X18  921-14</t>
        </is>
      </c>
      <c r="F1181" s="4" t="inlineStr"/>
      <c r="G1181" s="4" t="inlineStr"/>
      <c r="H1181" s="4" t="inlineStr"/>
      <c r="I1181" s="5" t="n">
        <v>26.95</v>
      </c>
      <c r="J1181" s="6" t="n">
        <v>15</v>
      </c>
      <c r="K1181" s="7">
        <f>IF(I1181="","",I1181*(1+J1181/100))</f>
        <v/>
      </c>
      <c r="L1181" s="5" t="n">
        <v>150</v>
      </c>
      <c r="M1181" s="8">
        <f>IF(OR(L1181="",K1181="",L1181=0),"",
  (L1181-K1181)/L1181*100)</f>
        <v/>
      </c>
      <c r="N1181" s="14" t="n">
        <v>222</v>
      </c>
      <c r="O1181" s="4" t="inlineStr"/>
      <c r="P1181" s="4" t="inlineStr"/>
      <c r="Q1181" s="4" t="inlineStr"/>
      <c r="R1181" s="4" t="inlineStr">
        <is>
          <t>2026-03-12</t>
        </is>
      </c>
      <c r="S1181" s="4" t="inlineStr"/>
    </row>
    <row r="1182">
      <c r="A1182" s="10" t="inlineStr">
        <is>
          <t>F01623</t>
        </is>
      </c>
      <c r="B1182" s="10" t="inlineStr">
        <is>
          <t>F01623</t>
        </is>
      </c>
      <c r="C1182" s="10" t="inlineStr">
        <is>
          <t>9942</t>
        </is>
      </c>
      <c r="D1182" s="10" t="inlineStr">
        <is>
          <t>6009677014765</t>
        </is>
      </c>
      <c r="E1182" s="10" t="inlineStr">
        <is>
          <t>CHISEL  STONE 300X18 921-15</t>
        </is>
      </c>
      <c r="F1182" s="10" t="inlineStr"/>
      <c r="G1182" s="10" t="inlineStr"/>
      <c r="H1182" s="10" t="inlineStr"/>
      <c r="I1182" s="11" t="n">
        <v>28.95</v>
      </c>
      <c r="J1182" s="6" t="n">
        <v>15</v>
      </c>
      <c r="K1182" s="7">
        <f>IF(I1182="","",I1182*(1+J1182/100))</f>
        <v/>
      </c>
      <c r="L1182" s="11" t="n">
        <v>160</v>
      </c>
      <c r="M1182" s="8">
        <f>IF(OR(L1182="",K1182="",L1182=0),"",
  (L1182-K1182)/L1182*100)</f>
        <v/>
      </c>
      <c r="N1182" s="13" t="n">
        <v>153</v>
      </c>
      <c r="O1182" s="10" t="inlineStr"/>
      <c r="P1182" s="10" t="inlineStr"/>
      <c r="Q1182" s="10" t="inlineStr"/>
      <c r="R1182" s="10" t="inlineStr">
        <is>
          <t>2026-03-12</t>
        </is>
      </c>
      <c r="S1182" s="10" t="inlineStr"/>
    </row>
    <row r="1183">
      <c r="A1183" s="3" t="inlineStr">
        <is>
          <t>F01624</t>
        </is>
      </c>
      <c r="B1183" s="4" t="inlineStr">
        <is>
          <t>F01624</t>
        </is>
      </c>
      <c r="C1183" s="4" t="inlineStr">
        <is>
          <t>9943</t>
        </is>
      </c>
      <c r="D1183" s="4" t="inlineStr">
        <is>
          <t>6009677014772</t>
        </is>
      </c>
      <c r="E1183" s="3" t="inlineStr">
        <is>
          <t>CHISEL  STONE 350X18 921-16</t>
        </is>
      </c>
      <c r="F1183" s="4" t="inlineStr"/>
      <c r="G1183" s="4" t="inlineStr"/>
      <c r="H1183" s="4" t="inlineStr"/>
      <c r="I1183" s="5" t="n">
        <v>28.95</v>
      </c>
      <c r="J1183" s="6" t="n">
        <v>15</v>
      </c>
      <c r="K1183" s="7">
        <f>IF(I1183="","",I1183*(1+J1183/100))</f>
        <v/>
      </c>
      <c r="L1183" s="5" t="n">
        <v>170</v>
      </c>
      <c r="M1183" s="8">
        <f>IF(OR(L1183="",K1183="",L1183=0),"",
  (L1183-K1183)/L1183*100)</f>
        <v/>
      </c>
      <c r="N1183" s="14" t="n">
        <v>156</v>
      </c>
      <c r="O1183" s="4" t="inlineStr"/>
      <c r="P1183" s="4" t="inlineStr"/>
      <c r="Q1183" s="4" t="inlineStr"/>
      <c r="R1183" s="4" t="inlineStr">
        <is>
          <t>2026-03-12</t>
        </is>
      </c>
      <c r="S1183" s="4" t="inlineStr"/>
    </row>
    <row r="1184">
      <c r="A1184" s="10" t="inlineStr">
        <is>
          <t>F01625</t>
        </is>
      </c>
      <c r="B1184" s="10" t="inlineStr">
        <is>
          <t>F01625</t>
        </is>
      </c>
      <c r="C1184" s="10" t="inlineStr">
        <is>
          <t>9944</t>
        </is>
      </c>
      <c r="D1184" s="10" t="inlineStr">
        <is>
          <t>6009677014789</t>
        </is>
      </c>
      <c r="E1184" s="10" t="inlineStr">
        <is>
          <t>CHISEL WORKING 18MM 921-17</t>
        </is>
      </c>
      <c r="F1184" s="10" t="inlineStr"/>
      <c r="G1184" s="10" t="inlineStr"/>
      <c r="H1184" s="10" t="inlineStr"/>
      <c r="I1184" s="11" t="n">
        <v>27.95</v>
      </c>
      <c r="J1184" s="6" t="n">
        <v>15</v>
      </c>
      <c r="K1184" s="7">
        <f>IF(I1184="","",I1184*(1+J1184/100))</f>
        <v/>
      </c>
      <c r="L1184" s="11" t="n">
        <v>150</v>
      </c>
      <c r="M1184" s="8">
        <f>IF(OR(L1184="",K1184="",L1184=0),"",
  (L1184-K1184)/L1184*100)</f>
        <v/>
      </c>
      <c r="N1184" s="13" t="n">
        <v>87</v>
      </c>
      <c r="O1184" s="10" t="inlineStr"/>
      <c r="P1184" s="10" t="inlineStr"/>
      <c r="Q1184" s="10" t="inlineStr"/>
      <c r="R1184" s="10" t="inlineStr">
        <is>
          <t>2026-03-12</t>
        </is>
      </c>
      <c r="S1184" s="10" t="inlineStr"/>
    </row>
    <row r="1185">
      <c r="A1185" s="3" t="inlineStr">
        <is>
          <t>F01626</t>
        </is>
      </c>
      <c r="B1185" s="4" t="inlineStr">
        <is>
          <t>F01626</t>
        </is>
      </c>
      <c r="C1185" s="4" t="inlineStr">
        <is>
          <t>9967</t>
        </is>
      </c>
      <c r="D1185" s="4" t="inlineStr">
        <is>
          <t>6009677014826</t>
        </is>
      </c>
      <c r="E1185" s="3" t="inlineStr">
        <is>
          <t>HACKSAW BETTER QUALITY 921-21</t>
        </is>
      </c>
      <c r="F1185" s="4" t="inlineStr"/>
      <c r="G1185" s="4" t="inlineStr"/>
      <c r="H1185" s="4" t="inlineStr"/>
      <c r="I1185" s="5" t="n">
        <v>36.95</v>
      </c>
      <c r="J1185" s="6" t="n">
        <v>15</v>
      </c>
      <c r="K1185" s="7">
        <f>IF(I1185="","",I1185*(1+J1185/100))</f>
        <v/>
      </c>
      <c r="L1185" s="5" t="n">
        <v>200</v>
      </c>
      <c r="M1185" s="8">
        <f>IF(OR(L1185="",K1185="",L1185=0),"",
  (L1185-K1185)/L1185*100)</f>
        <v/>
      </c>
      <c r="N1185" s="14" t="n">
        <v>144</v>
      </c>
      <c r="O1185" s="4" t="inlineStr"/>
      <c r="P1185" s="4" t="inlineStr"/>
      <c r="Q1185" s="4" t="inlineStr"/>
      <c r="R1185" s="4" t="inlineStr">
        <is>
          <t>2026-03-12</t>
        </is>
      </c>
      <c r="S1185" s="4" t="inlineStr"/>
    </row>
    <row r="1186">
      <c r="A1186" s="10" t="inlineStr">
        <is>
          <t>F01627</t>
        </is>
      </c>
      <c r="B1186" s="10" t="inlineStr">
        <is>
          <t>F01627</t>
        </is>
      </c>
      <c r="C1186" s="10" t="inlineStr">
        <is>
          <t>18553</t>
        </is>
      </c>
      <c r="D1186" s="10" t="inlineStr">
        <is>
          <t>6009677014857</t>
        </is>
      </c>
      <c r="E1186" s="10" t="inlineStr">
        <is>
          <t>WRECKING BAR 450X18 921-24</t>
        </is>
      </c>
      <c r="F1186" s="10" t="inlineStr"/>
      <c r="G1186" s="10" t="inlineStr"/>
      <c r="H1186" s="10" t="inlineStr"/>
      <c r="I1186" s="11" t="n">
        <v>36.5</v>
      </c>
      <c r="J1186" s="6" t="n">
        <v>15</v>
      </c>
      <c r="K1186" s="7">
        <f>IF(I1186="","",I1186*(1+J1186/100))</f>
        <v/>
      </c>
      <c r="L1186" s="11" t="n">
        <v>270</v>
      </c>
      <c r="M1186" s="8">
        <f>IF(OR(L1186="",K1186="",L1186=0),"",
  (L1186-K1186)/L1186*100)</f>
        <v/>
      </c>
      <c r="N1186" s="13" t="n">
        <v>128</v>
      </c>
      <c r="O1186" s="10" t="inlineStr"/>
      <c r="P1186" s="10" t="inlineStr"/>
      <c r="Q1186" s="10" t="inlineStr"/>
      <c r="R1186" s="10" t="inlineStr">
        <is>
          <t>2026-03-12</t>
        </is>
      </c>
      <c r="S1186" s="10" t="inlineStr"/>
    </row>
    <row r="1187">
      <c r="A1187" s="3" t="inlineStr">
        <is>
          <t>F01628</t>
        </is>
      </c>
      <c r="B1187" s="4" t="inlineStr">
        <is>
          <t>F01628</t>
        </is>
      </c>
      <c r="C1187" s="4" t="inlineStr">
        <is>
          <t>18554</t>
        </is>
      </c>
      <c r="D1187" s="4" t="inlineStr">
        <is>
          <t>6009677014864</t>
        </is>
      </c>
      <c r="E1187" s="3" t="inlineStr">
        <is>
          <t>WRECKING BAR 600X18 921-25</t>
        </is>
      </c>
      <c r="F1187" s="4" t="inlineStr"/>
      <c r="G1187" s="4" t="inlineStr"/>
      <c r="H1187" s="4" t="inlineStr"/>
      <c r="I1187" s="5" t="n">
        <v>40.5</v>
      </c>
      <c r="J1187" s="6" t="n">
        <v>15</v>
      </c>
      <c r="K1187" s="7">
        <f>IF(I1187="","",I1187*(1+J1187/100))</f>
        <v/>
      </c>
      <c r="L1187" s="5" t="n">
        <v>280</v>
      </c>
      <c r="M1187" s="8">
        <f>IF(OR(L1187="",K1187="",L1187=0),"",
  (L1187-K1187)/L1187*100)</f>
        <v/>
      </c>
      <c r="N1187" s="14" t="n">
        <v>37</v>
      </c>
      <c r="O1187" s="4" t="inlineStr"/>
      <c r="P1187" s="4" t="inlineStr"/>
      <c r="Q1187" s="4" t="inlineStr"/>
      <c r="R1187" s="4" t="inlineStr">
        <is>
          <t>2026-03-12</t>
        </is>
      </c>
      <c r="S1187" s="4" t="inlineStr"/>
    </row>
    <row r="1188">
      <c r="A1188" s="10" t="inlineStr">
        <is>
          <t>F01629</t>
        </is>
      </c>
      <c r="B1188" s="10" t="inlineStr">
        <is>
          <t>F01629</t>
        </is>
      </c>
      <c r="C1188" s="10" t="inlineStr">
        <is>
          <t>18555</t>
        </is>
      </c>
      <c r="D1188" s="10" t="inlineStr">
        <is>
          <t>6009677014871</t>
        </is>
      </c>
      <c r="E1188" s="10" t="inlineStr">
        <is>
          <t>WRECKING BAR 750X18 921-26</t>
        </is>
      </c>
      <c r="F1188" s="10" t="inlineStr"/>
      <c r="G1188" s="10" t="inlineStr"/>
      <c r="H1188" s="10" t="inlineStr"/>
      <c r="I1188" s="11" t="n">
        <v>46.95</v>
      </c>
      <c r="J1188" s="6" t="n">
        <v>15</v>
      </c>
      <c r="K1188" s="7">
        <f>IF(I1188="","",I1188*(1+J1188/100))</f>
        <v/>
      </c>
      <c r="L1188" s="11" t="n">
        <v>290</v>
      </c>
      <c r="M1188" s="8">
        <f>IF(OR(L1188="",K1188="",L1188=0),"",
  (L1188-K1188)/L1188*100)</f>
        <v/>
      </c>
      <c r="N1188" s="13" t="n">
        <v>115</v>
      </c>
      <c r="O1188" s="10" t="inlineStr"/>
      <c r="P1188" s="10" t="inlineStr"/>
      <c r="Q1188" s="10" t="inlineStr"/>
      <c r="R1188" s="10" t="inlineStr">
        <is>
          <t>2026-03-12</t>
        </is>
      </c>
      <c r="S1188" s="10" t="inlineStr"/>
    </row>
    <row r="1189">
      <c r="A1189" s="3" t="inlineStr">
        <is>
          <t>F01630</t>
        </is>
      </c>
      <c r="B1189" s="4" t="inlineStr">
        <is>
          <t>F01630</t>
        </is>
      </c>
      <c r="C1189" s="4" t="inlineStr">
        <is>
          <t>18556</t>
        </is>
      </c>
      <c r="D1189" s="4" t="inlineStr">
        <is>
          <t>6009677014888</t>
        </is>
      </c>
      <c r="E1189" s="3" t="inlineStr">
        <is>
          <t>WRECKING BAR 900X18 921-27</t>
        </is>
      </c>
      <c r="F1189" s="4" t="inlineStr"/>
      <c r="G1189" s="4" t="inlineStr"/>
      <c r="H1189" s="4" t="inlineStr"/>
      <c r="I1189" s="5" t="n">
        <v>53.95</v>
      </c>
      <c r="J1189" s="6" t="n">
        <v>15</v>
      </c>
      <c r="K1189" s="7">
        <f>IF(I1189="","",I1189*(1+J1189/100))</f>
        <v/>
      </c>
      <c r="L1189" s="5" t="n">
        <v>290</v>
      </c>
      <c r="M1189" s="8">
        <f>IF(OR(L1189="",K1189="",L1189=0),"",
  (L1189-K1189)/L1189*100)</f>
        <v/>
      </c>
      <c r="N1189" s="14" t="n">
        <v>131</v>
      </c>
      <c r="O1189" s="4" t="inlineStr"/>
      <c r="P1189" s="4" t="inlineStr"/>
      <c r="Q1189" s="4" t="inlineStr"/>
      <c r="R1189" s="4" t="inlineStr">
        <is>
          <t>2026-03-12</t>
        </is>
      </c>
      <c r="S1189" s="4" t="inlineStr"/>
    </row>
    <row r="1190">
      <c r="A1190" s="10" t="inlineStr">
        <is>
          <t>F01631</t>
        </is>
      </c>
      <c r="B1190" s="10" t="inlineStr">
        <is>
          <t>F01631</t>
        </is>
      </c>
      <c r="C1190" s="10" t="inlineStr"/>
      <c r="D1190" s="10" t="inlineStr"/>
      <c r="E1190" s="10" t="inlineStr">
        <is>
          <t>SAD IRON CHRCL SPARES(HANDLES,BASES,SCRE</t>
        </is>
      </c>
      <c r="F1190" s="10" t="inlineStr"/>
      <c r="G1190" s="10" t="inlineStr"/>
      <c r="H1190" s="10" t="inlineStr"/>
      <c r="I1190" s="11" t="n">
        <v>1</v>
      </c>
      <c r="J1190" s="6" t="n">
        <v>15</v>
      </c>
      <c r="K1190" s="7">
        <f>IF(I1190="","",I1190*(1+J1190/100))</f>
        <v/>
      </c>
      <c r="L1190" s="12" t="inlineStr"/>
      <c r="M1190" s="8">
        <f>IF(OR(L1190="",K1190="",L1190=0),"",
  (L1190-K1190)/L1190*100)</f>
        <v/>
      </c>
      <c r="N1190" s="9" t="inlineStr"/>
      <c r="O1190" s="10" t="inlineStr"/>
      <c r="P1190" s="10" t="inlineStr"/>
      <c r="Q1190" s="10" t="inlineStr"/>
      <c r="R1190" s="10" t="inlineStr">
        <is>
          <t>2026-03-12</t>
        </is>
      </c>
      <c r="S1190" s="10" t="inlineStr"/>
    </row>
    <row r="1191">
      <c r="A1191" s="3" t="inlineStr">
        <is>
          <t>F01632</t>
        </is>
      </c>
      <c r="B1191" s="4" t="inlineStr">
        <is>
          <t>F01632</t>
        </is>
      </c>
      <c r="C1191" s="4" t="inlineStr"/>
      <c r="D1191" s="4" t="inlineStr">
        <is>
          <t>6009677014895</t>
        </is>
      </c>
      <c r="E1191" s="3" t="inlineStr">
        <is>
          <t>SHADE NET BEIGE 3.0MX50M</t>
        </is>
      </c>
      <c r="F1191" s="4" t="inlineStr"/>
      <c r="G1191" s="4" t="inlineStr"/>
      <c r="H1191" s="4" t="inlineStr"/>
      <c r="I1191" s="5" t="n">
        <v>2600</v>
      </c>
      <c r="J1191" s="6" t="n">
        <v>15</v>
      </c>
      <c r="K1191" s="7">
        <f>IF(I1191="","",I1191*(1+J1191/100))</f>
        <v/>
      </c>
      <c r="L1191" s="12" t="inlineStr"/>
      <c r="M1191" s="8">
        <f>IF(OR(L1191="",K1191="",L1191=0),"",
  (L1191-K1191)/L1191*100)</f>
        <v/>
      </c>
      <c r="N1191" s="9" t="inlineStr"/>
      <c r="O1191" s="4" t="inlineStr"/>
      <c r="P1191" s="4" t="inlineStr"/>
      <c r="Q1191" s="4" t="inlineStr"/>
      <c r="R1191" s="4" t="inlineStr">
        <is>
          <t>2026-03-12</t>
        </is>
      </c>
      <c r="S1191" s="4" t="inlineStr"/>
    </row>
    <row r="1192">
      <c r="A1192" s="10" t="inlineStr">
        <is>
          <t>F01633</t>
        </is>
      </c>
      <c r="B1192" s="10" t="inlineStr">
        <is>
          <t>F01633</t>
        </is>
      </c>
      <c r="C1192" s="10" t="inlineStr"/>
      <c r="D1192" s="10" t="inlineStr"/>
      <c r="E1192" s="10" t="inlineStr">
        <is>
          <t>HAND PALLET JACK 2.5TONS</t>
        </is>
      </c>
      <c r="F1192" s="10" t="inlineStr"/>
      <c r="G1192" s="10" t="inlineStr"/>
      <c r="H1192" s="10" t="inlineStr"/>
      <c r="I1192" s="11" t="n">
        <v>3097.74</v>
      </c>
      <c r="J1192" s="6" t="n">
        <v>15</v>
      </c>
      <c r="K1192" s="7">
        <f>IF(I1192="","",I1192*(1+J1192/100))</f>
        <v/>
      </c>
      <c r="L1192" s="12" t="inlineStr"/>
      <c r="M1192" s="8">
        <f>IF(OR(L1192="",K1192="",L1192=0),"",
  (L1192-K1192)/L1192*100)</f>
        <v/>
      </c>
      <c r="N1192" s="9" t="inlineStr"/>
      <c r="O1192" s="10" t="inlineStr"/>
      <c r="P1192" s="10" t="inlineStr"/>
      <c r="Q1192" s="10" t="inlineStr"/>
      <c r="R1192" s="10" t="inlineStr">
        <is>
          <t>2026-03-12</t>
        </is>
      </c>
      <c r="S1192" s="10" t="inlineStr"/>
    </row>
    <row r="1193">
      <c r="A1193" s="3" t="inlineStr">
        <is>
          <t>F01634</t>
        </is>
      </c>
      <c r="B1193" s="4" t="inlineStr">
        <is>
          <t>F01634</t>
        </is>
      </c>
      <c r="C1193" s="4" t="inlineStr"/>
      <c r="D1193" s="4" t="inlineStr"/>
      <c r="E1193" s="3" t="inlineStr">
        <is>
          <t>HAND PALLET JACK 3TONS</t>
        </is>
      </c>
      <c r="F1193" s="4" t="inlineStr"/>
      <c r="G1193" s="4" t="inlineStr"/>
      <c r="H1193" s="4" t="inlineStr"/>
      <c r="I1193" s="5" t="n">
        <v>3387.36</v>
      </c>
      <c r="J1193" s="6" t="n">
        <v>15</v>
      </c>
      <c r="K1193" s="7">
        <f>IF(I1193="","",I1193*(1+J1193/100))</f>
        <v/>
      </c>
      <c r="L1193" s="12" t="inlineStr"/>
      <c r="M1193" s="8">
        <f>IF(OR(L1193="",K1193="",L1193=0),"",
  (L1193-K1193)/L1193*100)</f>
        <v/>
      </c>
      <c r="N1193" s="9" t="inlineStr"/>
      <c r="O1193" s="4" t="inlineStr"/>
      <c r="P1193" s="4" t="inlineStr"/>
      <c r="Q1193" s="4" t="inlineStr"/>
      <c r="R1193" s="4" t="inlineStr">
        <is>
          <t>2026-03-12</t>
        </is>
      </c>
      <c r="S1193" s="4" t="inlineStr"/>
    </row>
    <row r="1194">
      <c r="A1194" s="10" t="inlineStr">
        <is>
          <t>F01635</t>
        </is>
      </c>
      <c r="B1194" s="10" t="inlineStr">
        <is>
          <t>F01635</t>
        </is>
      </c>
      <c r="C1194" s="10" t="inlineStr"/>
      <c r="D1194" s="10" t="inlineStr"/>
      <c r="E1194" s="10" t="inlineStr">
        <is>
          <t>6.00-9 TYRE</t>
        </is>
      </c>
      <c r="F1194" s="10" t="inlineStr"/>
      <c r="G1194" s="10" t="inlineStr"/>
      <c r="H1194" s="10" t="inlineStr"/>
      <c r="I1194" s="11" t="n">
        <v>951.09</v>
      </c>
      <c r="J1194" s="6" t="n">
        <v>15</v>
      </c>
      <c r="K1194" s="7">
        <f>IF(I1194="","",I1194*(1+J1194/100))</f>
        <v/>
      </c>
      <c r="L1194" s="12" t="inlineStr"/>
      <c r="M1194" s="8">
        <f>IF(OR(L1194="",K1194="",L1194=0),"",
  (L1194-K1194)/L1194*100)</f>
        <v/>
      </c>
      <c r="N1194" s="9" t="inlineStr"/>
      <c r="O1194" s="10" t="inlineStr"/>
      <c r="P1194" s="10" t="inlineStr"/>
      <c r="Q1194" s="10" t="inlineStr"/>
      <c r="R1194" s="10" t="inlineStr">
        <is>
          <t>2026-03-12</t>
        </is>
      </c>
      <c r="S1194" s="10" t="inlineStr"/>
    </row>
    <row r="1195">
      <c r="A1195" s="3" t="inlineStr">
        <is>
          <t>F01636</t>
        </is>
      </c>
      <c r="B1195" s="4" t="inlineStr">
        <is>
          <t>F01636</t>
        </is>
      </c>
      <c r="C1195" s="4" t="inlineStr"/>
      <c r="D1195" s="4" t="inlineStr"/>
      <c r="E1195" s="3" t="inlineStr">
        <is>
          <t>6.50-10 TYRE</t>
        </is>
      </c>
      <c r="F1195" s="4" t="inlineStr"/>
      <c r="G1195" s="4" t="inlineStr"/>
      <c r="H1195" s="4" t="inlineStr"/>
      <c r="I1195" s="5" t="n">
        <v>1252.66</v>
      </c>
      <c r="J1195" s="6" t="n">
        <v>15</v>
      </c>
      <c r="K1195" s="7">
        <f>IF(I1195="","",I1195*(1+J1195/100))</f>
        <v/>
      </c>
      <c r="L1195" s="12" t="inlineStr"/>
      <c r="M1195" s="8">
        <f>IF(OR(L1195="",K1195="",L1195=0),"",
  (L1195-K1195)/L1195*100)</f>
        <v/>
      </c>
      <c r="N1195" s="9" t="inlineStr"/>
      <c r="O1195" s="4" t="inlineStr"/>
      <c r="P1195" s="4" t="inlineStr"/>
      <c r="Q1195" s="4" t="inlineStr"/>
      <c r="R1195" s="4" t="inlineStr">
        <is>
          <t>2026-03-12</t>
        </is>
      </c>
      <c r="S1195" s="4" t="inlineStr"/>
    </row>
    <row r="1196">
      <c r="A1196" s="10" t="inlineStr">
        <is>
          <t>F01638</t>
        </is>
      </c>
      <c r="B1196" s="10" t="inlineStr">
        <is>
          <t>F01638</t>
        </is>
      </c>
      <c r="C1196" s="10" t="inlineStr"/>
      <c r="D1196" s="10" t="inlineStr"/>
      <c r="E1196" s="10" t="inlineStr">
        <is>
          <t>28X9-15 TYRE</t>
        </is>
      </c>
      <c r="F1196" s="10" t="inlineStr"/>
      <c r="G1196" s="10" t="inlineStr"/>
      <c r="H1196" s="10" t="inlineStr"/>
      <c r="I1196" s="11" t="n">
        <v>2366.14</v>
      </c>
      <c r="J1196" s="6" t="n">
        <v>15</v>
      </c>
      <c r="K1196" s="7">
        <f>IF(I1196="","",I1196*(1+J1196/100))</f>
        <v/>
      </c>
      <c r="L1196" s="12" t="inlineStr"/>
      <c r="M1196" s="8">
        <f>IF(OR(L1196="",K1196="",L1196=0),"",
  (L1196-K1196)/L1196*100)</f>
        <v/>
      </c>
      <c r="N1196" s="9" t="inlineStr"/>
      <c r="O1196" s="10" t="inlineStr"/>
      <c r="P1196" s="10" t="inlineStr"/>
      <c r="Q1196" s="10" t="inlineStr"/>
      <c r="R1196" s="10" t="inlineStr">
        <is>
          <t>2026-03-12</t>
        </is>
      </c>
      <c r="S1196" s="10" t="inlineStr"/>
    </row>
    <row r="1197">
      <c r="A1197" s="3" t="inlineStr">
        <is>
          <t>F01639</t>
        </is>
      </c>
      <c r="B1197" s="4" t="inlineStr">
        <is>
          <t>F01639</t>
        </is>
      </c>
      <c r="C1197" s="4" t="inlineStr"/>
      <c r="D1197" s="4" t="inlineStr">
        <is>
          <t>6009677013904</t>
        </is>
      </c>
      <c r="E1197" s="3" t="inlineStr">
        <is>
          <t>LOCK CABINET 16MM (904-1)</t>
        </is>
      </c>
      <c r="F1197" s="4" t="inlineStr"/>
      <c r="G1197" s="4" t="inlineStr"/>
      <c r="H1197" s="4" t="inlineStr"/>
      <c r="I1197" s="5" t="n">
        <v>6.08</v>
      </c>
      <c r="J1197" s="6" t="n">
        <v>15</v>
      </c>
      <c r="K1197" s="7">
        <f>IF(I1197="","",I1197*(1+J1197/100))</f>
        <v/>
      </c>
      <c r="L1197" s="12" t="inlineStr"/>
      <c r="M1197" s="8">
        <f>IF(OR(L1197="",K1197="",L1197=0),"",
  (L1197-K1197)/L1197*100)</f>
        <v/>
      </c>
      <c r="N1197" s="9" t="inlineStr"/>
      <c r="O1197" s="4" t="inlineStr"/>
      <c r="P1197" s="4" t="inlineStr"/>
      <c r="Q1197" s="4" t="inlineStr"/>
      <c r="R1197" s="4" t="inlineStr">
        <is>
          <t>2026-03-12</t>
        </is>
      </c>
      <c r="S1197" s="4" t="inlineStr"/>
    </row>
    <row r="1198">
      <c r="A1198" s="10" t="inlineStr">
        <is>
          <t>F01640</t>
        </is>
      </c>
      <c r="B1198" s="10" t="inlineStr">
        <is>
          <t>F01640</t>
        </is>
      </c>
      <c r="C1198" s="10" t="inlineStr"/>
      <c r="D1198" s="10" t="inlineStr">
        <is>
          <t>6009677013911</t>
        </is>
      </c>
      <c r="E1198" s="10" t="inlineStr">
        <is>
          <t>LOCK CABINET 20MM (904-2)</t>
        </is>
      </c>
      <c r="F1198" s="10" t="inlineStr"/>
      <c r="G1198" s="10" t="inlineStr"/>
      <c r="H1198" s="10" t="inlineStr"/>
      <c r="I1198" s="11" t="n">
        <v>6.5</v>
      </c>
      <c r="J1198" s="6" t="n">
        <v>15</v>
      </c>
      <c r="K1198" s="7">
        <f>IF(I1198="","",I1198*(1+J1198/100))</f>
        <v/>
      </c>
      <c r="L1198" s="12" t="inlineStr"/>
      <c r="M1198" s="8">
        <f>IF(OR(L1198="",K1198="",L1198=0),"",
  (L1198-K1198)/L1198*100)</f>
        <v/>
      </c>
      <c r="N1198" s="9" t="inlineStr"/>
      <c r="O1198" s="10" t="inlineStr"/>
      <c r="P1198" s="10" t="inlineStr"/>
      <c r="Q1198" s="10" t="inlineStr"/>
      <c r="R1198" s="10" t="inlineStr">
        <is>
          <t>2026-03-12</t>
        </is>
      </c>
      <c r="S1198" s="10" t="inlineStr"/>
    </row>
    <row r="1199">
      <c r="A1199" s="3" t="inlineStr">
        <is>
          <t>F01641</t>
        </is>
      </c>
      <c r="B1199" s="4" t="inlineStr">
        <is>
          <t>F01641</t>
        </is>
      </c>
      <c r="C1199" s="4" t="inlineStr"/>
      <c r="D1199" s="4" t="inlineStr">
        <is>
          <t>6009677013928</t>
        </is>
      </c>
      <c r="E1199" s="3" t="inlineStr">
        <is>
          <t>LOCK CUPBOARD IRON 2.5" (904-3)</t>
        </is>
      </c>
      <c r="F1199" s="4" t="inlineStr"/>
      <c r="G1199" s="4" t="inlineStr"/>
      <c r="H1199" s="4" t="inlineStr"/>
      <c r="I1199" s="5" t="n">
        <v>11.36</v>
      </c>
      <c r="J1199" s="6" t="n">
        <v>15</v>
      </c>
      <c r="K1199" s="7">
        <f>IF(I1199="","",I1199*(1+J1199/100))</f>
        <v/>
      </c>
      <c r="L1199" s="12" t="inlineStr"/>
      <c r="M1199" s="8">
        <f>IF(OR(L1199="",K1199="",L1199=0),"",
  (L1199-K1199)/L1199*100)</f>
        <v/>
      </c>
      <c r="N1199" s="9" t="inlineStr"/>
      <c r="O1199" s="4" t="inlineStr"/>
      <c r="P1199" s="4" t="inlineStr"/>
      <c r="Q1199" s="4" t="inlineStr"/>
      <c r="R1199" s="4" t="inlineStr">
        <is>
          <t>2026-03-12</t>
        </is>
      </c>
      <c r="S1199" s="4" t="inlineStr"/>
    </row>
    <row r="1200">
      <c r="A1200" s="10" t="inlineStr">
        <is>
          <t>F01642</t>
        </is>
      </c>
      <c r="B1200" s="10" t="inlineStr">
        <is>
          <t>F01642</t>
        </is>
      </c>
      <c r="C1200" s="10" t="inlineStr"/>
      <c r="D1200" s="10" t="inlineStr">
        <is>
          <t>6009677013935</t>
        </is>
      </c>
      <c r="E1200" s="10" t="inlineStr">
        <is>
          <t>LOCK CUPBOARD IRON 3" (904-4)</t>
        </is>
      </c>
      <c r="F1200" s="10" t="inlineStr"/>
      <c r="G1200" s="10" t="inlineStr"/>
      <c r="H1200" s="10" t="inlineStr"/>
      <c r="I1200" s="11" t="n">
        <v>12.58</v>
      </c>
      <c r="J1200" s="6" t="n">
        <v>15</v>
      </c>
      <c r="K1200" s="7">
        <f>IF(I1200="","",I1200*(1+J1200/100))</f>
        <v/>
      </c>
      <c r="L1200" s="12" t="inlineStr"/>
      <c r="M1200" s="8">
        <f>IF(OR(L1200="",K1200="",L1200=0),"",
  (L1200-K1200)/L1200*100)</f>
        <v/>
      </c>
      <c r="N1200" s="9" t="inlineStr"/>
      <c r="O1200" s="10" t="inlineStr"/>
      <c r="P1200" s="10" t="inlineStr"/>
      <c r="Q1200" s="10" t="inlineStr"/>
      <c r="R1200" s="10" t="inlineStr">
        <is>
          <t>2026-03-12</t>
        </is>
      </c>
      <c r="S1200" s="10" t="inlineStr"/>
    </row>
    <row r="1201">
      <c r="A1201" s="3" t="inlineStr">
        <is>
          <t>F01643</t>
        </is>
      </c>
      <c r="B1201" s="4" t="inlineStr">
        <is>
          <t>F01643</t>
        </is>
      </c>
      <c r="C1201" s="4" t="inlineStr"/>
      <c r="D1201" s="4" t="inlineStr">
        <is>
          <t>6009677013942</t>
        </is>
      </c>
      <c r="E1201" s="3" t="inlineStr">
        <is>
          <t>LOCK DRAWER IRON 22MM (904-5) (138-22C)</t>
        </is>
      </c>
      <c r="F1201" s="4" t="inlineStr"/>
      <c r="G1201" s="4" t="inlineStr"/>
      <c r="H1201" s="4" t="inlineStr"/>
      <c r="I1201" s="5" t="n">
        <v>5.68</v>
      </c>
      <c r="J1201" s="6" t="n">
        <v>15</v>
      </c>
      <c r="K1201" s="7">
        <f>IF(I1201="","",I1201*(1+J1201/100))</f>
        <v/>
      </c>
      <c r="L1201" s="12" t="inlineStr"/>
      <c r="M1201" s="8">
        <f>IF(OR(L1201="",K1201="",L1201=0),"",
  (L1201-K1201)/L1201*100)</f>
        <v/>
      </c>
      <c r="N1201" s="9" t="inlineStr"/>
      <c r="O1201" s="4" t="inlineStr"/>
      <c r="P1201" s="4" t="inlineStr"/>
      <c r="Q1201" s="4" t="inlineStr"/>
      <c r="R1201" s="4" t="inlineStr">
        <is>
          <t>2026-03-12</t>
        </is>
      </c>
      <c r="S1201" s="4" t="inlineStr"/>
    </row>
    <row r="1202">
      <c r="A1202" s="10" t="inlineStr">
        <is>
          <t>F01644</t>
        </is>
      </c>
      <c r="B1202" s="10" t="inlineStr">
        <is>
          <t>F01644</t>
        </is>
      </c>
      <c r="C1202" s="10" t="inlineStr"/>
      <c r="D1202" s="10" t="inlineStr">
        <is>
          <t>6009677013959</t>
        </is>
      </c>
      <c r="E1202" s="10" t="inlineStr">
        <is>
          <t>LOCK DRAWER IRON 32MM (904-6) (138-32C)</t>
        </is>
      </c>
      <c r="F1202" s="10" t="inlineStr"/>
      <c r="G1202" s="10" t="inlineStr"/>
      <c r="H1202" s="10" t="inlineStr"/>
      <c r="I1202" s="11" t="n">
        <v>6.08</v>
      </c>
      <c r="J1202" s="6" t="n">
        <v>15</v>
      </c>
      <c r="K1202" s="7">
        <f>IF(I1202="","",I1202*(1+J1202/100))</f>
        <v/>
      </c>
      <c r="L1202" s="12" t="inlineStr"/>
      <c r="M1202" s="8">
        <f>IF(OR(L1202="",K1202="",L1202=0),"",
  (L1202-K1202)/L1202*100)</f>
        <v/>
      </c>
      <c r="N1202" s="9" t="inlineStr"/>
      <c r="O1202" s="10" t="inlineStr"/>
      <c r="P1202" s="10" t="inlineStr"/>
      <c r="Q1202" s="10" t="inlineStr"/>
      <c r="R1202" s="10" t="inlineStr">
        <is>
          <t>2026-03-12</t>
        </is>
      </c>
      <c r="S1202" s="10" t="inlineStr"/>
    </row>
    <row r="1203">
      <c r="A1203" s="3" t="inlineStr">
        <is>
          <t>F01645</t>
        </is>
      </c>
      <c r="B1203" s="4" t="inlineStr">
        <is>
          <t>F01645</t>
        </is>
      </c>
      <c r="C1203" s="4" t="inlineStr"/>
      <c r="D1203" s="4" t="inlineStr">
        <is>
          <t>6009677013966</t>
        </is>
      </c>
      <c r="E1203" s="3" t="inlineStr">
        <is>
          <t>LOCK CABINET PUSH (904-7)</t>
        </is>
      </c>
      <c r="F1203" s="4" t="inlineStr"/>
      <c r="G1203" s="4" t="inlineStr"/>
      <c r="H1203" s="4" t="inlineStr"/>
      <c r="I1203" s="5" t="n">
        <v>8.92</v>
      </c>
      <c r="J1203" s="6" t="n">
        <v>15</v>
      </c>
      <c r="K1203" s="7">
        <f>IF(I1203="","",I1203*(1+J1203/100))</f>
        <v/>
      </c>
      <c r="L1203" s="12" t="inlineStr"/>
      <c r="M1203" s="8">
        <f>IF(OR(L1203="",K1203="",L1203=0),"",
  (L1203-K1203)/L1203*100)</f>
        <v/>
      </c>
      <c r="N1203" s="9" t="inlineStr"/>
      <c r="O1203" s="4" t="inlineStr"/>
      <c r="P1203" s="4" t="inlineStr"/>
      <c r="Q1203" s="4" t="inlineStr"/>
      <c r="R1203" s="4" t="inlineStr">
        <is>
          <t>2026-03-12</t>
        </is>
      </c>
      <c r="S1203" s="4" t="inlineStr"/>
    </row>
    <row r="1204">
      <c r="A1204" s="10" t="inlineStr">
        <is>
          <t>F01646</t>
        </is>
      </c>
      <c r="B1204" s="10" t="inlineStr">
        <is>
          <t>F01646</t>
        </is>
      </c>
      <c r="C1204" s="10" t="inlineStr"/>
      <c r="D1204" s="10" t="inlineStr">
        <is>
          <t>6009677013980</t>
        </is>
      </c>
      <c r="E1204" s="10" t="inlineStr">
        <is>
          <t>HINGE IRON GOLD CARDED 3 INCHES (904-9)</t>
        </is>
      </c>
      <c r="F1204" s="10" t="inlineStr"/>
      <c r="G1204" s="10" t="inlineStr"/>
      <c r="H1204" s="10" t="inlineStr"/>
      <c r="I1204" s="11" t="n">
        <v>17.95</v>
      </c>
      <c r="J1204" s="6" t="n">
        <v>15</v>
      </c>
      <c r="K1204" s="7">
        <f>IF(I1204="","",I1204*(1+J1204/100))</f>
        <v/>
      </c>
      <c r="L1204" s="12" t="inlineStr"/>
      <c r="M1204" s="8">
        <f>IF(OR(L1204="",K1204="",L1204=0),"",
  (L1204-K1204)/L1204*100)</f>
        <v/>
      </c>
      <c r="N1204" s="9" t="inlineStr"/>
      <c r="O1204" s="10" t="inlineStr"/>
      <c r="P1204" s="10" t="inlineStr"/>
      <c r="Q1204" s="10" t="inlineStr"/>
      <c r="R1204" s="10" t="inlineStr">
        <is>
          <t>2026-03-12</t>
        </is>
      </c>
      <c r="S1204" s="10" t="inlineStr"/>
    </row>
    <row r="1205">
      <c r="A1205" s="3" t="inlineStr">
        <is>
          <t>F01647</t>
        </is>
      </c>
      <c r="B1205" s="4" t="inlineStr">
        <is>
          <t>F01647</t>
        </is>
      </c>
      <c r="C1205" s="4" t="inlineStr"/>
      <c r="D1205" s="4" t="inlineStr">
        <is>
          <t>6009677013997</t>
        </is>
      </c>
      <c r="E1205" s="3" t="inlineStr">
        <is>
          <t>HINGE IRON CHROME P 3.7"H DUTY CARDED</t>
        </is>
      </c>
      <c r="F1205" s="4" t="inlineStr"/>
      <c r="G1205" s="4" t="inlineStr"/>
      <c r="H1205" s="4" t="inlineStr"/>
      <c r="I1205" s="5" t="n">
        <v>12.79</v>
      </c>
      <c r="J1205" s="6" t="n">
        <v>15</v>
      </c>
      <c r="K1205" s="7">
        <f>IF(I1205="","",I1205*(1+J1205/100))</f>
        <v/>
      </c>
      <c r="L1205" s="12" t="inlineStr"/>
      <c r="M1205" s="8">
        <f>IF(OR(L1205="",K1205="",L1205=0),"",
  (L1205-K1205)/L1205*100)</f>
        <v/>
      </c>
      <c r="N1205" s="9" t="inlineStr"/>
      <c r="O1205" s="4" t="inlineStr"/>
      <c r="P1205" s="4" t="inlineStr"/>
      <c r="Q1205" s="4" t="inlineStr"/>
      <c r="R1205" s="4" t="inlineStr">
        <is>
          <t>2026-03-12</t>
        </is>
      </c>
      <c r="S1205" s="4" t="inlineStr"/>
    </row>
    <row r="1206">
      <c r="A1206" s="10" t="inlineStr">
        <is>
          <t>F01648</t>
        </is>
      </c>
      <c r="B1206" s="10" t="inlineStr">
        <is>
          <t>F01648</t>
        </is>
      </c>
      <c r="C1206" s="10" t="inlineStr"/>
      <c r="D1206" s="10" t="inlineStr">
        <is>
          <t>6009677014482</t>
        </is>
      </c>
      <c r="E1206" s="10" t="inlineStr">
        <is>
          <t>HINGE SELF CLOSING KNUCKLE (904-11) (GP</t>
        </is>
      </c>
      <c r="F1206" s="10" t="inlineStr"/>
      <c r="G1206" s="10" t="inlineStr"/>
      <c r="H1206" s="10" t="inlineStr"/>
      <c r="I1206" s="11" t="n">
        <v>5.28</v>
      </c>
      <c r="J1206" s="6" t="n">
        <v>15</v>
      </c>
      <c r="K1206" s="7">
        <f>IF(I1206="","",I1206*(1+J1206/100))</f>
        <v/>
      </c>
      <c r="L1206" s="12" t="inlineStr"/>
      <c r="M1206" s="8">
        <f>IF(OR(L1206="",K1206="",L1206=0),"",
  (L1206-K1206)/L1206*100)</f>
        <v/>
      </c>
      <c r="N1206" s="9" t="inlineStr"/>
      <c r="O1206" s="10" t="inlineStr"/>
      <c r="P1206" s="10" t="inlineStr"/>
      <c r="Q1206" s="10" t="inlineStr"/>
      <c r="R1206" s="10" t="inlineStr">
        <is>
          <t>2026-03-12</t>
        </is>
      </c>
      <c r="S1206" s="10" t="inlineStr"/>
    </row>
    <row r="1207">
      <c r="A1207" s="3" t="inlineStr">
        <is>
          <t>F01649</t>
        </is>
      </c>
      <c r="B1207" s="4" t="inlineStr">
        <is>
          <t>F01649</t>
        </is>
      </c>
      <c r="C1207" s="4" t="inlineStr"/>
      <c r="D1207" s="4" t="inlineStr">
        <is>
          <t>6009677014499</t>
        </is>
      </c>
      <c r="E1207" s="3" t="inlineStr">
        <is>
          <t>HINGE SELF CLOSING KNUCKLE (904-12) (CP</t>
        </is>
      </c>
      <c r="F1207" s="4" t="inlineStr"/>
      <c r="G1207" s="4" t="inlineStr"/>
      <c r="H1207" s="4" t="inlineStr"/>
      <c r="I1207" s="5" t="n">
        <v>10.95</v>
      </c>
      <c r="J1207" s="6" t="n">
        <v>15</v>
      </c>
      <c r="K1207" s="7">
        <f>IF(I1207="","",I1207*(1+J1207/100))</f>
        <v/>
      </c>
      <c r="L1207" s="12" t="inlineStr"/>
      <c r="M1207" s="8">
        <f>IF(OR(L1207="",K1207="",L1207=0),"",
  (L1207-K1207)/L1207*100)</f>
        <v/>
      </c>
      <c r="N1207" s="9" t="inlineStr"/>
      <c r="O1207" s="4" t="inlineStr"/>
      <c r="P1207" s="4" t="inlineStr"/>
      <c r="Q1207" s="4" t="inlineStr"/>
      <c r="R1207" s="4" t="inlineStr">
        <is>
          <t>2026-03-12</t>
        </is>
      </c>
      <c r="S1207" s="4" t="inlineStr"/>
    </row>
    <row r="1208">
      <c r="A1208" s="10" t="inlineStr">
        <is>
          <t>F01650</t>
        </is>
      </c>
      <c r="B1208" s="10" t="inlineStr">
        <is>
          <t>F01650</t>
        </is>
      </c>
      <c r="C1208" s="10" t="inlineStr"/>
      <c r="D1208" s="10" t="inlineStr">
        <is>
          <t>6009677014505</t>
        </is>
      </c>
      <c r="E1208" s="10" t="inlineStr">
        <is>
          <t>HINGES CONCEALED CUPBOARD PAIR 54 (904-1</t>
        </is>
      </c>
      <c r="F1208" s="10" t="inlineStr"/>
      <c r="G1208" s="10" t="inlineStr"/>
      <c r="H1208" s="10" t="inlineStr"/>
      <c r="I1208" s="11" t="n">
        <v>9.949999999999999</v>
      </c>
      <c r="J1208" s="6" t="n">
        <v>15</v>
      </c>
      <c r="K1208" s="7">
        <f>IF(I1208="","",I1208*(1+J1208/100))</f>
        <v/>
      </c>
      <c r="L1208" s="12" t="inlineStr"/>
      <c r="M1208" s="8">
        <f>IF(OR(L1208="",K1208="",L1208=0),"",
  (L1208-K1208)/L1208*100)</f>
        <v/>
      </c>
      <c r="N1208" s="9" t="inlineStr"/>
      <c r="O1208" s="10" t="inlineStr"/>
      <c r="P1208" s="10" t="inlineStr"/>
      <c r="Q1208" s="10" t="inlineStr"/>
      <c r="R1208" s="10" t="inlineStr">
        <is>
          <t>2026-03-12</t>
        </is>
      </c>
      <c r="S1208" s="10" t="inlineStr"/>
    </row>
    <row r="1209">
      <c r="A1209" s="3" t="inlineStr">
        <is>
          <t>F01651</t>
        </is>
      </c>
      <c r="B1209" s="4" t="inlineStr">
        <is>
          <t>F01651</t>
        </is>
      </c>
      <c r="C1209" s="4" t="inlineStr"/>
      <c r="D1209" s="4" t="inlineStr">
        <is>
          <t>6009677014512</t>
        </is>
      </c>
      <c r="E1209" s="3" t="inlineStr">
        <is>
          <t>LOCK DOOR CHAIN IRON (904-14) (GP)GOLD P</t>
        </is>
      </c>
      <c r="F1209" s="4" t="inlineStr"/>
      <c r="G1209" s="4" t="inlineStr"/>
      <c r="H1209" s="4" t="inlineStr"/>
      <c r="I1209" s="5" t="n">
        <v>3.45</v>
      </c>
      <c r="J1209" s="6" t="n">
        <v>15</v>
      </c>
      <c r="K1209" s="7">
        <f>IF(I1209="","",I1209*(1+J1209/100))</f>
        <v/>
      </c>
      <c r="L1209" s="12" t="inlineStr"/>
      <c r="M1209" s="8">
        <f>IF(OR(L1209="",K1209="",L1209=0),"",
  (L1209-K1209)/L1209*100)</f>
        <v/>
      </c>
      <c r="N1209" s="9" t="inlineStr"/>
      <c r="O1209" s="4" t="inlineStr"/>
      <c r="P1209" s="4" t="inlineStr"/>
      <c r="Q1209" s="4" t="inlineStr"/>
      <c r="R1209" s="4" t="inlineStr">
        <is>
          <t>2026-03-12</t>
        </is>
      </c>
      <c r="S1209" s="4" t="inlineStr"/>
    </row>
    <row r="1210">
      <c r="A1210" s="10" t="inlineStr">
        <is>
          <t>F01652</t>
        </is>
      </c>
      <c r="B1210" s="10" t="inlineStr">
        <is>
          <t>F01652</t>
        </is>
      </c>
      <c r="C1210" s="10" t="inlineStr"/>
      <c r="D1210" s="10" t="inlineStr">
        <is>
          <t>6009677014529</t>
        </is>
      </c>
      <c r="E1210" s="10" t="inlineStr">
        <is>
          <t>LOCK DOOR CHAIN IRON (904-15) (SN)SILVER</t>
        </is>
      </c>
      <c r="F1210" s="10" t="inlineStr"/>
      <c r="G1210" s="10" t="inlineStr"/>
      <c r="H1210" s="10" t="inlineStr"/>
      <c r="I1210" s="11" t="n">
        <v>3.45</v>
      </c>
      <c r="J1210" s="6" t="n">
        <v>15</v>
      </c>
      <c r="K1210" s="7">
        <f>IF(I1210="","",I1210*(1+J1210/100))</f>
        <v/>
      </c>
      <c r="L1210" s="12" t="inlineStr"/>
      <c r="M1210" s="8">
        <f>IF(OR(L1210="",K1210="",L1210=0),"",
  (L1210-K1210)/L1210*100)</f>
        <v/>
      </c>
      <c r="N1210" s="9" t="inlineStr"/>
      <c r="O1210" s="10" t="inlineStr"/>
      <c r="P1210" s="10" t="inlineStr"/>
      <c r="Q1210" s="10" t="inlineStr"/>
      <c r="R1210" s="10" t="inlineStr">
        <is>
          <t>2026-03-12</t>
        </is>
      </c>
      <c r="S1210" s="10" t="inlineStr"/>
    </row>
    <row r="1211">
      <c r="A1211" s="3" t="inlineStr">
        <is>
          <t>F01653</t>
        </is>
      </c>
      <c r="B1211" s="4" t="inlineStr">
        <is>
          <t>F01653</t>
        </is>
      </c>
      <c r="C1211" s="4" t="inlineStr"/>
      <c r="D1211" s="4" t="inlineStr">
        <is>
          <t>6009677014536</t>
        </is>
      </c>
      <c r="E1211" s="3" t="inlineStr">
        <is>
          <t>LOCK CYLINDER DOUBLE BLISTER SILVER 60MM</t>
        </is>
      </c>
      <c r="F1211" s="4" t="inlineStr"/>
      <c r="G1211" s="4" t="inlineStr"/>
      <c r="H1211" s="4" t="inlineStr"/>
      <c r="I1211" s="5" t="n">
        <v>14.84</v>
      </c>
      <c r="J1211" s="6" t="n">
        <v>15</v>
      </c>
      <c r="K1211" s="7">
        <f>IF(I1211="","",I1211*(1+J1211/100))</f>
        <v/>
      </c>
      <c r="L1211" s="12" t="inlineStr"/>
      <c r="M1211" s="8">
        <f>IF(OR(L1211="",K1211="",L1211=0),"",
  (L1211-K1211)/L1211*100)</f>
        <v/>
      </c>
      <c r="N1211" s="9" t="inlineStr"/>
      <c r="O1211" s="4" t="inlineStr"/>
      <c r="P1211" s="4" t="inlineStr"/>
      <c r="Q1211" s="4" t="inlineStr"/>
      <c r="R1211" s="4" t="inlineStr">
        <is>
          <t>2026-03-12</t>
        </is>
      </c>
      <c r="S1211" s="4" t="inlineStr"/>
    </row>
    <row r="1212">
      <c r="A1212" s="10" t="inlineStr">
        <is>
          <t>F01654</t>
        </is>
      </c>
      <c r="B1212" s="10" t="inlineStr">
        <is>
          <t>F01654</t>
        </is>
      </c>
      <c r="C1212" s="10" t="inlineStr"/>
      <c r="D1212" s="10" t="inlineStr">
        <is>
          <t>6009677014543</t>
        </is>
      </c>
      <c r="E1212" s="10" t="inlineStr">
        <is>
          <t>LOCK CYLINDER DOUBLE BLISTER BRASS 60MM</t>
        </is>
      </c>
      <c r="F1212" s="10" t="inlineStr"/>
      <c r="G1212" s="10" t="inlineStr"/>
      <c r="H1212" s="10" t="inlineStr"/>
      <c r="I1212" s="11" t="n">
        <v>14.83</v>
      </c>
      <c r="J1212" s="6" t="n">
        <v>15</v>
      </c>
      <c r="K1212" s="7">
        <f>IF(I1212="","",I1212*(1+J1212/100))</f>
        <v/>
      </c>
      <c r="L1212" s="12" t="inlineStr"/>
      <c r="M1212" s="8">
        <f>IF(OR(L1212="",K1212="",L1212=0),"",
  (L1212-K1212)/L1212*100)</f>
        <v/>
      </c>
      <c r="N1212" s="9" t="inlineStr"/>
      <c r="O1212" s="10" t="inlineStr"/>
      <c r="P1212" s="10" t="inlineStr"/>
      <c r="Q1212" s="10" t="inlineStr"/>
      <c r="R1212" s="10" t="inlineStr">
        <is>
          <t>2026-03-12</t>
        </is>
      </c>
      <c r="S1212" s="10" t="inlineStr"/>
    </row>
    <row r="1213">
      <c r="A1213" s="3" t="inlineStr">
        <is>
          <t>F01655</t>
        </is>
      </c>
      <c r="B1213" s="4" t="inlineStr">
        <is>
          <t>F01655</t>
        </is>
      </c>
      <c r="C1213" s="4" t="inlineStr"/>
      <c r="D1213" s="4" t="inlineStr">
        <is>
          <t>6009677014550</t>
        </is>
      </c>
      <c r="E1213" s="3" t="inlineStr">
        <is>
          <t>LOCK CYLINDER DOUBLE BLISTER SILVER 80MM</t>
        </is>
      </c>
      <c r="F1213" s="4" t="inlineStr"/>
      <c r="G1213" s="4" t="inlineStr"/>
      <c r="H1213" s="4" t="inlineStr"/>
      <c r="I1213" s="5" t="n">
        <v>17.94</v>
      </c>
      <c r="J1213" s="6" t="n">
        <v>15</v>
      </c>
      <c r="K1213" s="7">
        <f>IF(I1213="","",I1213*(1+J1213/100))</f>
        <v/>
      </c>
      <c r="L1213" s="12" t="inlineStr"/>
      <c r="M1213" s="8">
        <f>IF(OR(L1213="",K1213="",L1213=0),"",
  (L1213-K1213)/L1213*100)</f>
        <v/>
      </c>
      <c r="N1213" s="9" t="inlineStr"/>
      <c r="O1213" s="4" t="inlineStr"/>
      <c r="P1213" s="4" t="inlineStr"/>
      <c r="Q1213" s="4" t="inlineStr"/>
      <c r="R1213" s="4" t="inlineStr">
        <is>
          <t>2026-03-12</t>
        </is>
      </c>
      <c r="S1213" s="4" t="inlineStr"/>
    </row>
    <row r="1214">
      <c r="A1214" s="10" t="inlineStr">
        <is>
          <t>F01656</t>
        </is>
      </c>
      <c r="B1214" s="10" t="inlineStr">
        <is>
          <t>F01656</t>
        </is>
      </c>
      <c r="C1214" s="10" t="inlineStr"/>
      <c r="D1214" s="10" t="inlineStr">
        <is>
          <t>6009677014567</t>
        </is>
      </c>
      <c r="E1214" s="10" t="inlineStr">
        <is>
          <t>LOCK CYLINDER DOUBLE BLISTER BRASS 80MM</t>
        </is>
      </c>
      <c r="F1214" s="10" t="inlineStr"/>
      <c r="G1214" s="10" t="inlineStr"/>
      <c r="H1214" s="10" t="inlineStr"/>
      <c r="I1214" s="11" t="n">
        <v>17.9</v>
      </c>
      <c r="J1214" s="6" t="n">
        <v>15</v>
      </c>
      <c r="K1214" s="7">
        <f>IF(I1214="","",I1214*(1+J1214/100))</f>
        <v/>
      </c>
      <c r="L1214" s="12" t="inlineStr"/>
      <c r="M1214" s="8">
        <f>IF(OR(L1214="",K1214="",L1214=0),"",
  (L1214-K1214)/L1214*100)</f>
        <v/>
      </c>
      <c r="N1214" s="9" t="inlineStr"/>
      <c r="O1214" s="10" t="inlineStr"/>
      <c r="P1214" s="10" t="inlineStr"/>
      <c r="Q1214" s="10" t="inlineStr"/>
      <c r="R1214" s="10" t="inlineStr">
        <is>
          <t>2026-03-12</t>
        </is>
      </c>
      <c r="S1214" s="10" t="inlineStr"/>
    </row>
    <row r="1215">
      <c r="A1215" s="3" t="inlineStr">
        <is>
          <t>F01657</t>
        </is>
      </c>
      <c r="B1215" s="4" t="inlineStr">
        <is>
          <t>F01657</t>
        </is>
      </c>
      <c r="C1215" s="4" t="inlineStr"/>
      <c r="D1215" s="4" t="inlineStr">
        <is>
          <t>6009677014574</t>
        </is>
      </c>
      <c r="E1215" s="3" t="inlineStr">
        <is>
          <t>TOWER BOLT FLAT STEEL 2" (904-20) PAIR</t>
        </is>
      </c>
      <c r="F1215" s="4" t="inlineStr"/>
      <c r="G1215" s="4" t="inlineStr"/>
      <c r="H1215" s="4" t="inlineStr"/>
      <c r="I1215" s="5" t="n">
        <v>8.199999999999999</v>
      </c>
      <c r="J1215" s="6" t="n">
        <v>15</v>
      </c>
      <c r="K1215" s="7">
        <f>IF(I1215="","",I1215*(1+J1215/100))</f>
        <v/>
      </c>
      <c r="L1215" s="12" t="inlineStr"/>
      <c r="M1215" s="8">
        <f>IF(OR(L1215="",K1215="",L1215=0),"",
  (L1215-K1215)/L1215*100)</f>
        <v/>
      </c>
      <c r="N1215" s="9" t="inlineStr"/>
      <c r="O1215" s="4" t="inlineStr"/>
      <c r="P1215" s="4" t="inlineStr"/>
      <c r="Q1215" s="4" t="inlineStr"/>
      <c r="R1215" s="4" t="inlineStr">
        <is>
          <t>2026-03-12</t>
        </is>
      </c>
      <c r="S1215" s="4" t="inlineStr"/>
    </row>
    <row r="1216">
      <c r="A1216" s="10" t="inlineStr">
        <is>
          <t>F01658</t>
        </is>
      </c>
      <c r="B1216" s="10" t="inlineStr">
        <is>
          <t>F01658</t>
        </is>
      </c>
      <c r="C1216" s="10" t="inlineStr"/>
      <c r="D1216" s="10" t="inlineStr">
        <is>
          <t>6009677014581</t>
        </is>
      </c>
      <c r="E1216" s="10" t="inlineStr">
        <is>
          <t>TOWER BOLT FLAT STEEL 3" (904-21)</t>
        </is>
      </c>
      <c r="F1216" s="10" t="inlineStr"/>
      <c r="G1216" s="10" t="inlineStr"/>
      <c r="H1216" s="10" t="inlineStr"/>
      <c r="I1216" s="11" t="n">
        <v>6.08</v>
      </c>
      <c r="J1216" s="6" t="n">
        <v>15</v>
      </c>
      <c r="K1216" s="7">
        <f>IF(I1216="","",I1216*(1+J1216/100))</f>
        <v/>
      </c>
      <c r="L1216" s="12" t="inlineStr"/>
      <c r="M1216" s="8">
        <f>IF(OR(L1216="",K1216="",L1216=0),"",
  (L1216-K1216)/L1216*100)</f>
        <v/>
      </c>
      <c r="N1216" s="9" t="inlineStr"/>
      <c r="O1216" s="10" t="inlineStr"/>
      <c r="P1216" s="10" t="inlineStr"/>
      <c r="Q1216" s="10" t="inlineStr"/>
      <c r="R1216" s="10" t="inlineStr">
        <is>
          <t>2026-03-12</t>
        </is>
      </c>
      <c r="S1216" s="10" t="inlineStr"/>
    </row>
    <row r="1217">
      <c r="A1217" s="3" t="inlineStr">
        <is>
          <t>F01659</t>
        </is>
      </c>
      <c r="B1217" s="4" t="inlineStr">
        <is>
          <t>F01659</t>
        </is>
      </c>
      <c r="C1217" s="4" t="inlineStr"/>
      <c r="D1217" s="4" t="inlineStr">
        <is>
          <t>6009677014598</t>
        </is>
      </c>
      <c r="E1217" s="3" t="inlineStr">
        <is>
          <t>TOWER BOLT FLAT STEEL 4" (904-22)</t>
        </is>
      </c>
      <c r="F1217" s="4" t="inlineStr"/>
      <c r="G1217" s="4" t="inlineStr"/>
      <c r="H1217" s="4" t="inlineStr"/>
      <c r="I1217" s="5" t="n">
        <v>6.9</v>
      </c>
      <c r="J1217" s="6" t="n">
        <v>15</v>
      </c>
      <c r="K1217" s="7">
        <f>IF(I1217="","",I1217*(1+J1217/100))</f>
        <v/>
      </c>
      <c r="L1217" s="12" t="inlineStr"/>
      <c r="M1217" s="8">
        <f>IF(OR(L1217="",K1217="",L1217=0),"",
  (L1217-K1217)/L1217*100)</f>
        <v/>
      </c>
      <c r="N1217" s="9" t="inlineStr"/>
      <c r="O1217" s="4" t="inlineStr"/>
      <c r="P1217" s="4" t="inlineStr"/>
      <c r="Q1217" s="4" t="inlineStr"/>
      <c r="R1217" s="4" t="inlineStr">
        <is>
          <t>2026-03-12</t>
        </is>
      </c>
      <c r="S1217" s="4" t="inlineStr"/>
    </row>
    <row r="1218">
      <c r="A1218" s="10" t="inlineStr">
        <is>
          <t>F01660</t>
        </is>
      </c>
      <c r="B1218" s="10" t="inlineStr">
        <is>
          <t>F01660</t>
        </is>
      </c>
      <c r="C1218" s="10" t="inlineStr"/>
      <c r="D1218" s="10" t="inlineStr">
        <is>
          <t>6009677014604</t>
        </is>
      </c>
      <c r="E1218" s="10" t="inlineStr">
        <is>
          <t>LATCH DOOR GUARD (904-23) GP (GOLD)</t>
        </is>
      </c>
      <c r="F1218" s="10" t="inlineStr"/>
      <c r="G1218" s="10" t="inlineStr"/>
      <c r="H1218" s="10" t="inlineStr"/>
      <c r="I1218" s="11" t="n">
        <v>17.95</v>
      </c>
      <c r="J1218" s="6" t="n">
        <v>15</v>
      </c>
      <c r="K1218" s="7">
        <f>IF(I1218="","",I1218*(1+J1218/100))</f>
        <v/>
      </c>
      <c r="L1218" s="12" t="inlineStr"/>
      <c r="M1218" s="8">
        <f>IF(OR(L1218="",K1218="",L1218=0),"",
  (L1218-K1218)/L1218*100)</f>
        <v/>
      </c>
      <c r="N1218" s="9" t="inlineStr"/>
      <c r="O1218" s="10" t="inlineStr"/>
      <c r="P1218" s="10" t="inlineStr"/>
      <c r="Q1218" s="10" t="inlineStr"/>
      <c r="R1218" s="10" t="inlineStr">
        <is>
          <t>2026-03-12</t>
        </is>
      </c>
      <c r="S1218" s="10" t="inlineStr"/>
    </row>
    <row r="1219">
      <c r="A1219" s="3" t="inlineStr">
        <is>
          <t>F01661</t>
        </is>
      </c>
      <c r="B1219" s="4" t="inlineStr">
        <is>
          <t>F01661</t>
        </is>
      </c>
      <c r="C1219" s="4" t="inlineStr"/>
      <c r="D1219" s="4" t="inlineStr">
        <is>
          <t>6009677014611</t>
        </is>
      </c>
      <c r="E1219" s="3" t="inlineStr">
        <is>
          <t>LATCH DOOR GUARD (904-24) SN (CHROME)</t>
        </is>
      </c>
      <c r="F1219" s="4" t="inlineStr"/>
      <c r="G1219" s="4" t="inlineStr"/>
      <c r="H1219" s="4" t="inlineStr"/>
      <c r="I1219" s="5" t="n">
        <v>17.95</v>
      </c>
      <c r="J1219" s="6" t="n">
        <v>15</v>
      </c>
      <c r="K1219" s="7">
        <f>IF(I1219="","",I1219*(1+J1219/100))</f>
        <v/>
      </c>
      <c r="L1219" s="12" t="inlineStr"/>
      <c r="M1219" s="8">
        <f>IF(OR(L1219="",K1219="",L1219=0),"",
  (L1219-K1219)/L1219*100)</f>
        <v/>
      </c>
      <c r="N1219" s="9" t="inlineStr"/>
      <c r="O1219" s="4" t="inlineStr"/>
      <c r="P1219" s="4" t="inlineStr"/>
      <c r="Q1219" s="4" t="inlineStr"/>
      <c r="R1219" s="4" t="inlineStr">
        <is>
          <t>2026-03-12</t>
        </is>
      </c>
      <c r="S1219" s="4" t="inlineStr"/>
    </row>
    <row r="1220">
      <c r="A1220" s="10" t="inlineStr">
        <is>
          <t>F01662</t>
        </is>
      </c>
      <c r="B1220" s="10" t="inlineStr">
        <is>
          <t>F01662</t>
        </is>
      </c>
      <c r="C1220" s="10" t="inlineStr"/>
      <c r="D1220" s="10" t="inlineStr">
        <is>
          <t>6009677014628</t>
        </is>
      </c>
      <c r="E1220" s="10" t="inlineStr">
        <is>
          <t>HINGE HEAVY DUTY BUTTERFLY PAIR STEEL 4</t>
        </is>
      </c>
      <c r="F1220" s="10" t="inlineStr"/>
      <c r="G1220" s="10" t="inlineStr"/>
      <c r="H1220" s="10" t="inlineStr"/>
      <c r="I1220" s="11" t="n">
        <v>8.529999999999999</v>
      </c>
      <c r="J1220" s="6" t="n">
        <v>15</v>
      </c>
      <c r="K1220" s="7">
        <f>IF(I1220="","",I1220*(1+J1220/100))</f>
        <v/>
      </c>
      <c r="L1220" s="12" t="inlineStr"/>
      <c r="M1220" s="8">
        <f>IF(OR(L1220="",K1220="",L1220=0),"",
  (L1220-K1220)/L1220*100)</f>
        <v/>
      </c>
      <c r="N1220" s="9" t="inlineStr"/>
      <c r="O1220" s="10" t="inlineStr"/>
      <c r="P1220" s="10" t="inlineStr"/>
      <c r="Q1220" s="10" t="inlineStr"/>
      <c r="R1220" s="10" t="inlineStr">
        <is>
          <t>2026-03-12</t>
        </is>
      </c>
      <c r="S1220" s="10" t="inlineStr"/>
    </row>
    <row r="1221">
      <c r="A1221" s="3" t="inlineStr">
        <is>
          <t>F01663</t>
        </is>
      </c>
      <c r="B1221" s="4" t="inlineStr">
        <is>
          <t>F01663</t>
        </is>
      </c>
      <c r="C1221" s="4" t="inlineStr"/>
      <c r="D1221" s="4" t="inlineStr">
        <is>
          <t>6009677014635</t>
        </is>
      </c>
      <c r="E1221" s="3" t="inlineStr">
        <is>
          <t>HINGE HEAVY DUTY DOUBLE BLISTER PAIR STE</t>
        </is>
      </c>
      <c r="F1221" s="4" t="inlineStr"/>
      <c r="G1221" s="4" t="inlineStr"/>
      <c r="H1221" s="4" t="inlineStr"/>
      <c r="I1221" s="5" t="n">
        <v>28.95</v>
      </c>
      <c r="J1221" s="6" t="n">
        <v>15</v>
      </c>
      <c r="K1221" s="7">
        <f>IF(I1221="","",I1221*(1+J1221/100))</f>
        <v/>
      </c>
      <c r="L1221" s="12" t="inlineStr"/>
      <c r="M1221" s="8">
        <f>IF(OR(L1221="",K1221="",L1221=0),"",
  (L1221-K1221)/L1221*100)</f>
        <v/>
      </c>
      <c r="N1221" s="9" t="inlineStr"/>
      <c r="O1221" s="4" t="inlineStr"/>
      <c r="P1221" s="4" t="inlineStr"/>
      <c r="Q1221" s="4" t="inlineStr"/>
      <c r="R1221" s="4" t="inlineStr">
        <is>
          <t>2026-03-12</t>
        </is>
      </c>
      <c r="S1221" s="4" t="inlineStr"/>
    </row>
    <row r="1222">
      <c r="A1222" s="10" t="inlineStr">
        <is>
          <t>F01664</t>
        </is>
      </c>
      <c r="B1222" s="10" t="inlineStr">
        <is>
          <t>F01664</t>
        </is>
      </c>
      <c r="C1222" s="10" t="inlineStr"/>
      <c r="D1222" s="10" t="inlineStr">
        <is>
          <t>6009677013232</t>
        </is>
      </c>
      <c r="E1222" s="10" t="inlineStr">
        <is>
          <t>LOCKSET VAULT FANCY CYLINDER (801-3)</t>
        </is>
      </c>
      <c r="F1222" s="10" t="inlineStr"/>
      <c r="G1222" s="10" t="inlineStr"/>
      <c r="H1222" s="10" t="inlineStr"/>
      <c r="I1222" s="11" t="n">
        <v>59.52</v>
      </c>
      <c r="J1222" s="6" t="n">
        <v>15</v>
      </c>
      <c r="K1222" s="7">
        <f>IF(I1222="","",I1222*(1+J1222/100))</f>
        <v/>
      </c>
      <c r="L1222" s="12" t="inlineStr"/>
      <c r="M1222" s="8">
        <f>IF(OR(L1222="",K1222="",L1222=0),"",
  (L1222-K1222)/L1222*100)</f>
        <v/>
      </c>
      <c r="N1222" s="9" t="inlineStr"/>
      <c r="O1222" s="10" t="inlineStr"/>
      <c r="P1222" s="10" t="inlineStr"/>
      <c r="Q1222" s="10" t="inlineStr"/>
      <c r="R1222" s="10" t="inlineStr">
        <is>
          <t>2026-03-12</t>
        </is>
      </c>
      <c r="S1222" s="10" t="inlineStr"/>
    </row>
    <row r="1223">
      <c r="A1223" s="3" t="inlineStr">
        <is>
          <t>F01665</t>
        </is>
      </c>
      <c r="B1223" s="4" t="inlineStr">
        <is>
          <t>F01665</t>
        </is>
      </c>
      <c r="C1223" s="4" t="inlineStr"/>
      <c r="D1223" s="4" t="inlineStr">
        <is>
          <t>6009677014901</t>
        </is>
      </c>
      <c r="E1223" s="3" t="inlineStr">
        <is>
          <t>LOCKSET VAULT FANCY CYLINDER (801-4)</t>
        </is>
      </c>
      <c r="F1223" s="4" t="inlineStr"/>
      <c r="G1223" s="4" t="inlineStr"/>
      <c r="H1223" s="4" t="inlineStr"/>
      <c r="I1223" s="5" t="n">
        <v>59.52</v>
      </c>
      <c r="J1223" s="6" t="n">
        <v>15</v>
      </c>
      <c r="K1223" s="7">
        <f>IF(I1223="","",I1223*(1+J1223/100))</f>
        <v/>
      </c>
      <c r="L1223" s="12" t="inlineStr"/>
      <c r="M1223" s="8">
        <f>IF(OR(L1223="",K1223="",L1223=0),"",
  (L1223-K1223)/L1223*100)</f>
        <v/>
      </c>
      <c r="N1223" s="9" t="inlineStr"/>
      <c r="O1223" s="4" t="inlineStr"/>
      <c r="P1223" s="4" t="inlineStr"/>
      <c r="Q1223" s="4" t="inlineStr"/>
      <c r="R1223" s="4" t="inlineStr">
        <is>
          <t>2026-03-12</t>
        </is>
      </c>
      <c r="S1223" s="4" t="inlineStr"/>
    </row>
    <row r="1224">
      <c r="A1224" s="10" t="inlineStr">
        <is>
          <t>F01666</t>
        </is>
      </c>
      <c r="B1224" s="10" t="inlineStr">
        <is>
          <t>F01666</t>
        </is>
      </c>
      <c r="C1224" s="10" t="inlineStr"/>
      <c r="D1224" s="10" t="inlineStr">
        <is>
          <t>6009677013256</t>
        </is>
      </c>
      <c r="E1224" s="10" t="inlineStr">
        <is>
          <t>LOCKSET VAULT FANCY CYLINDER (801-5)</t>
        </is>
      </c>
      <c r="F1224" s="10" t="inlineStr"/>
      <c r="G1224" s="10" t="inlineStr"/>
      <c r="H1224" s="10" t="inlineStr"/>
      <c r="I1224" s="11" t="n">
        <v>59.52</v>
      </c>
      <c r="J1224" s="6" t="n">
        <v>15</v>
      </c>
      <c r="K1224" s="7">
        <f>IF(I1224="","",I1224*(1+J1224/100))</f>
        <v/>
      </c>
      <c r="L1224" s="12" t="inlineStr"/>
      <c r="M1224" s="8">
        <f>IF(OR(L1224="",K1224="",L1224=0),"",
  (L1224-K1224)/L1224*100)</f>
        <v/>
      </c>
      <c r="N1224" s="9" t="inlineStr"/>
      <c r="O1224" s="10" t="inlineStr"/>
      <c r="P1224" s="10" t="inlineStr"/>
      <c r="Q1224" s="10" t="inlineStr"/>
      <c r="R1224" s="10" t="inlineStr">
        <is>
          <t>2026-03-12</t>
        </is>
      </c>
      <c r="S1224" s="10" t="inlineStr"/>
    </row>
    <row r="1225">
      <c r="A1225" s="3" t="inlineStr">
        <is>
          <t>F01667</t>
        </is>
      </c>
      <c r="B1225" s="4" t="inlineStr">
        <is>
          <t>F01667</t>
        </is>
      </c>
      <c r="C1225" s="4" t="inlineStr"/>
      <c r="D1225" s="4" t="inlineStr">
        <is>
          <t>6009677013102</t>
        </is>
      </c>
      <c r="E1225" s="3" t="inlineStr">
        <is>
          <t>PAINT SCRAPER 1" (910-1)</t>
        </is>
      </c>
      <c r="F1225" s="4" t="inlineStr"/>
      <c r="G1225" s="4" t="inlineStr"/>
      <c r="H1225" s="4" t="inlineStr"/>
      <c r="I1225" s="5" t="n">
        <v>4.21</v>
      </c>
      <c r="J1225" s="6" t="n">
        <v>15</v>
      </c>
      <c r="K1225" s="7">
        <f>IF(I1225="","",I1225*(1+J1225/100))</f>
        <v/>
      </c>
      <c r="L1225" s="12" t="inlineStr"/>
      <c r="M1225" s="8">
        <f>IF(OR(L1225="",K1225="",L1225=0),"",
  (L1225-K1225)/L1225*100)</f>
        <v/>
      </c>
      <c r="N1225" s="9" t="inlineStr"/>
      <c r="O1225" s="4" t="inlineStr"/>
      <c r="P1225" s="4" t="inlineStr"/>
      <c r="Q1225" s="4" t="inlineStr"/>
      <c r="R1225" s="4" t="inlineStr">
        <is>
          <t>2026-03-12</t>
        </is>
      </c>
      <c r="S1225" s="4" t="inlineStr"/>
    </row>
    <row r="1226">
      <c r="A1226" s="10" t="inlineStr">
        <is>
          <t>F01668</t>
        </is>
      </c>
      <c r="B1226" s="10" t="inlineStr">
        <is>
          <t>F01668</t>
        </is>
      </c>
      <c r="C1226" s="10" t="inlineStr"/>
      <c r="D1226" s="10" t="inlineStr">
        <is>
          <t>6008677013119</t>
        </is>
      </c>
      <c r="E1226" s="10" t="inlineStr">
        <is>
          <t>PAINT SCRAPER 2" (910-2)</t>
        </is>
      </c>
      <c r="F1226" s="10" t="inlineStr"/>
      <c r="G1226" s="10" t="inlineStr"/>
      <c r="H1226" s="10" t="inlineStr"/>
      <c r="I1226" s="11" t="n">
        <v>4.87</v>
      </c>
      <c r="J1226" s="6" t="n">
        <v>15</v>
      </c>
      <c r="K1226" s="7">
        <f>IF(I1226="","",I1226*(1+J1226/100))</f>
        <v/>
      </c>
      <c r="L1226" s="12" t="inlineStr"/>
      <c r="M1226" s="8">
        <f>IF(OR(L1226="",K1226="",L1226=0),"",
  (L1226-K1226)/L1226*100)</f>
        <v/>
      </c>
      <c r="N1226" s="9" t="inlineStr"/>
      <c r="O1226" s="10" t="inlineStr"/>
      <c r="P1226" s="10" t="inlineStr"/>
      <c r="Q1226" s="10" t="inlineStr"/>
      <c r="R1226" s="10" t="inlineStr">
        <is>
          <t>2026-03-12</t>
        </is>
      </c>
      <c r="S1226" s="10" t="inlineStr"/>
    </row>
    <row r="1227">
      <c r="A1227" s="3" t="inlineStr">
        <is>
          <t>F01669</t>
        </is>
      </c>
      <c r="B1227" s="4" t="inlineStr">
        <is>
          <t>F01669</t>
        </is>
      </c>
      <c r="C1227" s="4" t="inlineStr"/>
      <c r="D1227" s="4" t="inlineStr">
        <is>
          <t>6009677013126</t>
        </is>
      </c>
      <c r="E1227" s="3" t="inlineStr">
        <is>
          <t>PAINT SCRAPER 4" (910-3)</t>
        </is>
      </c>
      <c r="F1227" s="4" t="inlineStr"/>
      <c r="G1227" s="4" t="inlineStr"/>
      <c r="H1227" s="4" t="inlineStr"/>
      <c r="I1227" s="5" t="n">
        <v>6.2</v>
      </c>
      <c r="J1227" s="6" t="n">
        <v>15</v>
      </c>
      <c r="K1227" s="7">
        <f>IF(I1227="","",I1227*(1+J1227/100))</f>
        <v/>
      </c>
      <c r="L1227" s="12" t="inlineStr"/>
      <c r="M1227" s="8">
        <f>IF(OR(L1227="",K1227="",L1227=0),"",
  (L1227-K1227)/L1227*100)</f>
        <v/>
      </c>
      <c r="N1227" s="9" t="inlineStr"/>
      <c r="O1227" s="4" t="inlineStr"/>
      <c r="P1227" s="4" t="inlineStr"/>
      <c r="Q1227" s="4" t="inlineStr"/>
      <c r="R1227" s="4" t="inlineStr">
        <is>
          <t>2026-03-12</t>
        </is>
      </c>
      <c r="S1227" s="4" t="inlineStr"/>
    </row>
    <row r="1228">
      <c r="A1228" s="10" t="inlineStr">
        <is>
          <t>F01670</t>
        </is>
      </c>
      <c r="B1228" s="10" t="inlineStr">
        <is>
          <t>F01670</t>
        </is>
      </c>
      <c r="C1228" s="10" t="inlineStr"/>
      <c r="D1228" s="10" t="inlineStr">
        <is>
          <t>6009677013133</t>
        </is>
      </c>
      <c r="E1228" s="10" t="inlineStr">
        <is>
          <t>PAINT SCRAPER 6" (910-4)</t>
        </is>
      </c>
      <c r="F1228" s="10" t="inlineStr"/>
      <c r="G1228" s="10" t="inlineStr"/>
      <c r="H1228" s="10" t="inlineStr"/>
      <c r="I1228" s="11" t="n">
        <v>7.12</v>
      </c>
      <c r="J1228" s="6" t="n">
        <v>15</v>
      </c>
      <c r="K1228" s="7">
        <f>IF(I1228="","",I1228*(1+J1228/100))</f>
        <v/>
      </c>
      <c r="L1228" s="12" t="inlineStr"/>
      <c r="M1228" s="8">
        <f>IF(OR(L1228="",K1228="",L1228=0),"",
  (L1228-K1228)/L1228*100)</f>
        <v/>
      </c>
      <c r="N1228" s="9" t="inlineStr"/>
      <c r="O1228" s="10" t="inlineStr"/>
      <c r="P1228" s="10" t="inlineStr"/>
      <c r="Q1228" s="10" t="inlineStr"/>
      <c r="R1228" s="10" t="inlineStr">
        <is>
          <t>2026-03-12</t>
        </is>
      </c>
      <c r="S1228" s="10" t="inlineStr"/>
    </row>
    <row r="1229">
      <c r="A1229" s="3" t="inlineStr">
        <is>
          <t>F01671</t>
        </is>
      </c>
      <c r="B1229" s="4" t="inlineStr">
        <is>
          <t>F01671</t>
        </is>
      </c>
      <c r="C1229" s="4" t="inlineStr"/>
      <c r="D1229" s="4" t="inlineStr"/>
      <c r="E1229" s="3" t="inlineStr">
        <is>
          <t>PAINT BRUSH SET 3PC SNG BLIST (1"1.5"2"</t>
        </is>
      </c>
      <c r="F1229" s="4" t="inlineStr"/>
      <c r="G1229" s="4" t="inlineStr"/>
      <c r="H1229" s="4" t="inlineStr"/>
      <c r="I1229" s="5" t="n">
        <v>16.95</v>
      </c>
      <c r="J1229" s="6" t="n">
        <v>15</v>
      </c>
      <c r="K1229" s="7">
        <f>IF(I1229="","",I1229*(1+J1229/100))</f>
        <v/>
      </c>
      <c r="L1229" s="12" t="inlineStr"/>
      <c r="M1229" s="8">
        <f>IF(OR(L1229="",K1229="",L1229=0),"",
  (L1229-K1229)/L1229*100)</f>
        <v/>
      </c>
      <c r="N1229" s="14" t="n">
        <v>1679</v>
      </c>
      <c r="O1229" s="4" t="inlineStr"/>
      <c r="P1229" s="4" t="inlineStr"/>
      <c r="Q1229" s="4" t="inlineStr"/>
      <c r="R1229" s="4" t="inlineStr">
        <is>
          <t>2026-03-12</t>
        </is>
      </c>
      <c r="S1229" s="4" t="inlineStr"/>
    </row>
    <row r="1230">
      <c r="A1230" s="10" t="inlineStr">
        <is>
          <t>F01672</t>
        </is>
      </c>
      <c r="B1230" s="10" t="inlineStr">
        <is>
          <t>F01672</t>
        </is>
      </c>
      <c r="C1230" s="10" t="inlineStr"/>
      <c r="D1230" s="10" t="inlineStr"/>
      <c r="E1230" s="10" t="inlineStr">
        <is>
          <t>PAINT BRUSH SET 5PC SNG BLISTER</t>
        </is>
      </c>
      <c r="F1230" s="10" t="inlineStr"/>
      <c r="G1230" s="10" t="inlineStr"/>
      <c r="H1230" s="10" t="inlineStr"/>
      <c r="I1230" s="11" t="n">
        <v>26.95</v>
      </c>
      <c r="J1230" s="6" t="n">
        <v>15</v>
      </c>
      <c r="K1230" s="7">
        <f>IF(I1230="","",I1230*(1+J1230/100))</f>
        <v/>
      </c>
      <c r="L1230" s="12" t="inlineStr"/>
      <c r="M1230" s="8">
        <f>IF(OR(L1230="",K1230="",L1230=0),"",
  (L1230-K1230)/L1230*100)</f>
        <v/>
      </c>
      <c r="N1230" s="13" t="n">
        <v>2009</v>
      </c>
      <c r="O1230" s="10" t="inlineStr"/>
      <c r="P1230" s="10" t="inlineStr"/>
      <c r="Q1230" s="10" t="inlineStr"/>
      <c r="R1230" s="10" t="inlineStr">
        <is>
          <t>2026-03-12</t>
        </is>
      </c>
      <c r="S1230" s="10" t="inlineStr"/>
    </row>
    <row r="1231">
      <c r="A1231" s="3" t="inlineStr">
        <is>
          <t>F01673</t>
        </is>
      </c>
      <c r="B1231" s="4" t="inlineStr">
        <is>
          <t>F01673</t>
        </is>
      </c>
      <c r="C1231" s="4" t="inlineStr"/>
      <c r="D1231" s="4" t="inlineStr">
        <is>
          <t>6009677012921</t>
        </is>
      </c>
      <c r="E1231" s="3" t="inlineStr">
        <is>
          <t>PAINT BRUSH 1" (910-7) (633)</t>
        </is>
      </c>
      <c r="F1231" s="4" t="inlineStr"/>
      <c r="G1231" s="4" t="inlineStr"/>
      <c r="H1231" s="4" t="inlineStr"/>
      <c r="I1231" s="5" t="n">
        <v>2.43</v>
      </c>
      <c r="J1231" s="6" t="n">
        <v>15</v>
      </c>
      <c r="K1231" s="7">
        <f>IF(I1231="","",I1231*(1+J1231/100))</f>
        <v/>
      </c>
      <c r="L1231" s="12" t="inlineStr"/>
      <c r="M1231" s="8">
        <f>IF(OR(L1231="",K1231="",L1231=0),"",
  (L1231-K1231)/L1231*100)</f>
        <v/>
      </c>
      <c r="N1231" s="9" t="inlineStr"/>
      <c r="O1231" s="4" t="inlineStr"/>
      <c r="P1231" s="4" t="inlineStr"/>
      <c r="Q1231" s="4" t="inlineStr"/>
      <c r="R1231" s="4" t="inlineStr">
        <is>
          <t>2026-03-12</t>
        </is>
      </c>
      <c r="S1231" s="4" t="inlineStr"/>
    </row>
    <row r="1232">
      <c r="A1232" s="10" t="inlineStr">
        <is>
          <t>F01674</t>
        </is>
      </c>
      <c r="B1232" s="10" t="inlineStr">
        <is>
          <t>F01674</t>
        </is>
      </c>
      <c r="C1232" s="10" t="inlineStr"/>
      <c r="D1232" s="10" t="inlineStr">
        <is>
          <t>6009677012938</t>
        </is>
      </c>
      <c r="E1232" s="10" t="inlineStr">
        <is>
          <t>PAINT BRUSH 1.5" (910-8) (634)</t>
        </is>
      </c>
      <c r="F1232" s="10" t="inlineStr"/>
      <c r="G1232" s="10" t="inlineStr"/>
      <c r="H1232" s="10" t="inlineStr"/>
      <c r="I1232" s="11" t="n">
        <v>4.18</v>
      </c>
      <c r="J1232" s="6" t="n">
        <v>15</v>
      </c>
      <c r="K1232" s="7">
        <f>IF(I1232="","",I1232*(1+J1232/100))</f>
        <v/>
      </c>
      <c r="L1232" s="12" t="inlineStr"/>
      <c r="M1232" s="8">
        <f>IF(OR(L1232="",K1232="",L1232=0),"",
  (L1232-K1232)/L1232*100)</f>
        <v/>
      </c>
      <c r="N1232" s="9" t="inlineStr"/>
      <c r="O1232" s="10" t="inlineStr"/>
      <c r="P1232" s="10" t="inlineStr"/>
      <c r="Q1232" s="10" t="inlineStr"/>
      <c r="R1232" s="10" t="inlineStr">
        <is>
          <t>2026-03-12</t>
        </is>
      </c>
      <c r="S1232" s="10" t="inlineStr"/>
    </row>
    <row r="1233">
      <c r="A1233" s="3" t="inlineStr">
        <is>
          <t>F01675</t>
        </is>
      </c>
      <c r="B1233" s="4" t="inlineStr">
        <is>
          <t>F01675</t>
        </is>
      </c>
      <c r="C1233" s="4" t="inlineStr"/>
      <c r="D1233" s="4" t="inlineStr">
        <is>
          <t>6009677012945</t>
        </is>
      </c>
      <c r="E1233" s="3" t="inlineStr">
        <is>
          <t>PAINT BRUSH 2" (910-9) (635)</t>
        </is>
      </c>
      <c r="F1233" s="4" t="inlineStr"/>
      <c r="G1233" s="4" t="inlineStr"/>
      <c r="H1233" s="4" t="inlineStr"/>
      <c r="I1233" s="5" t="n">
        <v>5.54</v>
      </c>
      <c r="J1233" s="6" t="n">
        <v>15</v>
      </c>
      <c r="K1233" s="7">
        <f>IF(I1233="","",I1233*(1+J1233/100))</f>
        <v/>
      </c>
      <c r="L1233" s="12" t="inlineStr"/>
      <c r="M1233" s="8">
        <f>IF(OR(L1233="",K1233="",L1233=0),"",
  (L1233-K1233)/L1233*100)</f>
        <v/>
      </c>
      <c r="N1233" s="9" t="inlineStr"/>
      <c r="O1233" s="4" t="inlineStr"/>
      <c r="P1233" s="4" t="inlineStr"/>
      <c r="Q1233" s="4" t="inlineStr"/>
      <c r="R1233" s="4" t="inlineStr">
        <is>
          <t>2026-03-12</t>
        </is>
      </c>
      <c r="S1233" s="4" t="inlineStr"/>
    </row>
    <row r="1234">
      <c r="A1234" s="10" t="inlineStr">
        <is>
          <t>F01676</t>
        </is>
      </c>
      <c r="B1234" s="10" t="inlineStr">
        <is>
          <t>F01676</t>
        </is>
      </c>
      <c r="C1234" s="10" t="inlineStr"/>
      <c r="D1234" s="10" t="inlineStr">
        <is>
          <t>6009677012952</t>
        </is>
      </c>
      <c r="E1234" s="10" t="inlineStr">
        <is>
          <t>PAINT BRUSH 2.5" (910-10) (636)</t>
        </is>
      </c>
      <c r="F1234" s="10" t="inlineStr"/>
      <c r="G1234" s="10" t="inlineStr"/>
      <c r="H1234" s="10" t="inlineStr"/>
      <c r="I1234" s="11" t="n">
        <v>7.08</v>
      </c>
      <c r="J1234" s="6" t="n">
        <v>15</v>
      </c>
      <c r="K1234" s="7">
        <f>IF(I1234="","",I1234*(1+J1234/100))</f>
        <v/>
      </c>
      <c r="L1234" s="12" t="inlineStr"/>
      <c r="M1234" s="8">
        <f>IF(OR(L1234="",K1234="",L1234=0),"",
  (L1234-K1234)/L1234*100)</f>
        <v/>
      </c>
      <c r="N1234" s="9" t="inlineStr"/>
      <c r="O1234" s="10" t="inlineStr"/>
      <c r="P1234" s="10" t="inlineStr"/>
      <c r="Q1234" s="10" t="inlineStr"/>
      <c r="R1234" s="10" t="inlineStr">
        <is>
          <t>2026-03-12</t>
        </is>
      </c>
      <c r="S1234" s="10" t="inlineStr"/>
    </row>
    <row r="1235">
      <c r="A1235" s="3" t="inlineStr">
        <is>
          <t>F01677</t>
        </is>
      </c>
      <c r="B1235" s="4" t="inlineStr">
        <is>
          <t>F01677</t>
        </is>
      </c>
      <c r="C1235" s="4" t="inlineStr"/>
      <c r="D1235" s="4" t="inlineStr">
        <is>
          <t>6009677012969</t>
        </is>
      </c>
      <c r="E1235" s="3" t="inlineStr">
        <is>
          <t>PAINT BRUSH 3" (910-11) (637)</t>
        </is>
      </c>
      <c r="F1235" s="4" t="inlineStr"/>
      <c r="G1235" s="4" t="inlineStr"/>
      <c r="H1235" s="4" t="inlineStr"/>
      <c r="I1235" s="5" t="n">
        <v>8.85</v>
      </c>
      <c r="J1235" s="6" t="n">
        <v>15</v>
      </c>
      <c r="K1235" s="7">
        <f>IF(I1235="","",I1235*(1+J1235/100))</f>
        <v/>
      </c>
      <c r="L1235" s="12" t="inlineStr"/>
      <c r="M1235" s="8">
        <f>IF(OR(L1235="",K1235="",L1235=0),"",
  (L1235-K1235)/L1235*100)</f>
        <v/>
      </c>
      <c r="N1235" s="9" t="inlineStr"/>
      <c r="O1235" s="4" t="inlineStr"/>
      <c r="P1235" s="4" t="inlineStr"/>
      <c r="Q1235" s="4" t="inlineStr"/>
      <c r="R1235" s="4" t="inlineStr">
        <is>
          <t>2026-03-12</t>
        </is>
      </c>
      <c r="S1235" s="4" t="inlineStr"/>
    </row>
    <row r="1236">
      <c r="A1236" s="10" t="inlineStr">
        <is>
          <t>F01678</t>
        </is>
      </c>
      <c r="B1236" s="10" t="inlineStr">
        <is>
          <t>F01678</t>
        </is>
      </c>
      <c r="C1236" s="10" t="inlineStr"/>
      <c r="D1236" s="10" t="inlineStr">
        <is>
          <t>6009677012976</t>
        </is>
      </c>
      <c r="E1236" s="10" t="inlineStr">
        <is>
          <t>PAINT BRUSH 4" (910-12) (638)</t>
        </is>
      </c>
      <c r="F1236" s="10" t="inlineStr"/>
      <c r="G1236" s="10" t="inlineStr"/>
      <c r="H1236" s="10" t="inlineStr"/>
      <c r="I1236" s="11" t="n">
        <v>11.96</v>
      </c>
      <c r="J1236" s="6" t="n">
        <v>15</v>
      </c>
      <c r="K1236" s="7">
        <f>IF(I1236="","",I1236*(1+J1236/100))</f>
        <v/>
      </c>
      <c r="L1236" s="12" t="inlineStr"/>
      <c r="M1236" s="8">
        <f>IF(OR(L1236="",K1236="",L1236=0),"",
  (L1236-K1236)/L1236*100)</f>
        <v/>
      </c>
      <c r="N1236" s="9" t="inlineStr"/>
      <c r="O1236" s="10" t="inlineStr"/>
      <c r="P1236" s="10" t="inlineStr"/>
      <c r="Q1236" s="10" t="inlineStr"/>
      <c r="R1236" s="10" t="inlineStr">
        <is>
          <t>2026-03-12</t>
        </is>
      </c>
      <c r="S1236" s="10" t="inlineStr"/>
    </row>
    <row r="1237">
      <c r="A1237" s="3" t="inlineStr">
        <is>
          <t>F01679</t>
        </is>
      </c>
      <c r="B1237" s="4" t="inlineStr">
        <is>
          <t>F01679</t>
        </is>
      </c>
      <c r="C1237" s="4" t="inlineStr"/>
      <c r="D1237" s="4" t="inlineStr">
        <is>
          <t>6009677013218</t>
        </is>
      </c>
      <c r="E1237" s="3" t="inlineStr">
        <is>
          <t>LOCKSET VAULT FANCY CYLINDER (NP) (801-1</t>
        </is>
      </c>
      <c r="F1237" s="4" t="inlineStr"/>
      <c r="G1237" s="4" t="inlineStr"/>
      <c r="H1237" s="4" t="inlineStr"/>
      <c r="I1237" s="5" t="n">
        <v>59.52</v>
      </c>
      <c r="J1237" s="6" t="n">
        <v>15</v>
      </c>
      <c r="K1237" s="7">
        <f>IF(I1237="","",I1237*(1+J1237/100))</f>
        <v/>
      </c>
      <c r="L1237" s="12" t="inlineStr"/>
      <c r="M1237" s="8">
        <f>IF(OR(L1237="",K1237="",L1237=0),"",
  (L1237-K1237)/L1237*100)</f>
        <v/>
      </c>
      <c r="N1237" s="9" t="inlineStr"/>
      <c r="O1237" s="4" t="inlineStr"/>
      <c r="P1237" s="4" t="inlineStr"/>
      <c r="Q1237" s="4" t="inlineStr"/>
      <c r="R1237" s="4" t="inlineStr">
        <is>
          <t>2026-03-12</t>
        </is>
      </c>
      <c r="S1237" s="4" t="inlineStr"/>
    </row>
    <row r="1238">
      <c r="A1238" s="10" t="inlineStr">
        <is>
          <t>F01680</t>
        </is>
      </c>
      <c r="B1238" s="10" t="inlineStr">
        <is>
          <t>F01680</t>
        </is>
      </c>
      <c r="C1238" s="10" t="inlineStr"/>
      <c r="D1238" s="10" t="inlineStr">
        <is>
          <t>6009677013225</t>
        </is>
      </c>
      <c r="E1238" s="10" t="inlineStr">
        <is>
          <t>LOCKSET VAULT FANCY CYLINDER (801-2)</t>
        </is>
      </c>
      <c r="F1238" s="10" t="inlineStr"/>
      <c r="G1238" s="10" t="inlineStr"/>
      <c r="H1238" s="10" t="inlineStr"/>
      <c r="I1238" s="11" t="n">
        <v>59.52</v>
      </c>
      <c r="J1238" s="6" t="n">
        <v>15</v>
      </c>
      <c r="K1238" s="7">
        <f>IF(I1238="","",I1238*(1+J1238/100))</f>
        <v/>
      </c>
      <c r="L1238" s="12" t="inlineStr"/>
      <c r="M1238" s="8">
        <f>IF(OR(L1238="",K1238="",L1238=0),"",
  (L1238-K1238)/L1238*100)</f>
        <v/>
      </c>
      <c r="N1238" s="9" t="inlineStr"/>
      <c r="O1238" s="10" t="inlineStr"/>
      <c r="P1238" s="10" t="inlineStr"/>
      <c r="Q1238" s="10" t="inlineStr"/>
      <c r="R1238" s="10" t="inlineStr">
        <is>
          <t>2026-03-12</t>
        </is>
      </c>
      <c r="S1238" s="10" t="inlineStr"/>
    </row>
    <row r="1239">
      <c r="A1239" s="3" t="inlineStr">
        <is>
          <t>F01681</t>
        </is>
      </c>
      <c r="B1239" s="4" t="inlineStr">
        <is>
          <t>F01681</t>
        </is>
      </c>
      <c r="C1239" s="4" t="inlineStr"/>
      <c r="D1239" s="4" t="inlineStr"/>
      <c r="E1239" s="3" t="inlineStr">
        <is>
          <t>DOOR MERANTI 8 STABLE (NO STAIN) DAMAGED</t>
        </is>
      </c>
      <c r="F1239" s="4" t="inlineStr"/>
      <c r="G1239" s="4" t="inlineStr"/>
      <c r="H1239" s="4" t="inlineStr"/>
      <c r="I1239" s="5" t="n">
        <v>566.33</v>
      </c>
      <c r="J1239" s="6" t="n">
        <v>15</v>
      </c>
      <c r="K1239" s="7">
        <f>IF(I1239="","",I1239*(1+J1239/100))</f>
        <v/>
      </c>
      <c r="L1239" s="12" t="inlineStr"/>
      <c r="M1239" s="8">
        <f>IF(OR(L1239="",K1239="",L1239=0),"",
  (L1239-K1239)/L1239*100)</f>
        <v/>
      </c>
      <c r="N1239" s="9" t="inlineStr"/>
      <c r="O1239" s="4" t="inlineStr"/>
      <c r="P1239" s="4" t="inlineStr"/>
      <c r="Q1239" s="4" t="inlineStr"/>
      <c r="R1239" s="4" t="inlineStr">
        <is>
          <t>2026-03-12</t>
        </is>
      </c>
      <c r="S1239" s="4" t="inlineStr"/>
    </row>
    <row r="1240">
      <c r="A1240" s="10" t="inlineStr">
        <is>
          <t>F01682</t>
        </is>
      </c>
      <c r="B1240" s="10" t="inlineStr">
        <is>
          <t>F01682</t>
        </is>
      </c>
      <c r="C1240" s="10" t="inlineStr"/>
      <c r="D1240" s="10" t="inlineStr"/>
      <c r="E1240" s="10" t="inlineStr">
        <is>
          <t>DOOR MERANTI STABLE PANEL STAIN- DAMAGED</t>
        </is>
      </c>
      <c r="F1240" s="10" t="inlineStr"/>
      <c r="G1240" s="10" t="inlineStr"/>
      <c r="H1240" s="10" t="inlineStr"/>
      <c r="I1240" s="11" t="n">
        <v>566.33</v>
      </c>
      <c r="J1240" s="6" t="n">
        <v>15</v>
      </c>
      <c r="K1240" s="7">
        <f>IF(I1240="","",I1240*(1+J1240/100))</f>
        <v/>
      </c>
      <c r="L1240" s="12" t="inlineStr"/>
      <c r="M1240" s="8">
        <f>IF(OR(L1240="",K1240="",L1240=0),"",
  (L1240-K1240)/L1240*100)</f>
        <v/>
      </c>
      <c r="N1240" s="9" t="inlineStr"/>
      <c r="O1240" s="10" t="inlineStr"/>
      <c r="P1240" s="10" t="inlineStr"/>
      <c r="Q1240" s="10" t="inlineStr"/>
      <c r="R1240" s="10" t="inlineStr">
        <is>
          <t>2026-03-12</t>
        </is>
      </c>
      <c r="S1240" s="10" t="inlineStr"/>
    </row>
    <row r="1241">
      <c r="A1241" s="3" t="inlineStr">
        <is>
          <t>F01683</t>
        </is>
      </c>
      <c r="B1241" s="4" t="inlineStr">
        <is>
          <t>F01683</t>
        </is>
      </c>
      <c r="C1241" s="4" t="inlineStr"/>
      <c r="D1241" s="4" t="inlineStr"/>
      <c r="E1241" s="3" t="inlineStr">
        <is>
          <t>DOOR MERANTI 10 PANEL (H) STAIN DAMAGED</t>
        </is>
      </c>
      <c r="F1241" s="4" t="inlineStr"/>
      <c r="G1241" s="4" t="inlineStr"/>
      <c r="H1241" s="4" t="inlineStr"/>
      <c r="I1241" s="5" t="n">
        <v>424.21</v>
      </c>
      <c r="J1241" s="6" t="n">
        <v>15</v>
      </c>
      <c r="K1241" s="7">
        <f>IF(I1241="","",I1241*(1+J1241/100))</f>
        <v/>
      </c>
      <c r="L1241" s="12" t="inlineStr"/>
      <c r="M1241" s="8">
        <f>IF(OR(L1241="",K1241="",L1241=0),"",
  (L1241-K1241)/L1241*100)</f>
        <v/>
      </c>
      <c r="N1241" s="9" t="inlineStr"/>
      <c r="O1241" s="4" t="inlineStr"/>
      <c r="P1241" s="4" t="inlineStr"/>
      <c r="Q1241" s="4" t="inlineStr"/>
      <c r="R1241" s="4" t="inlineStr">
        <is>
          <t>2026-03-12</t>
        </is>
      </c>
      <c r="S1241" s="4" t="inlineStr"/>
    </row>
    <row r="1242">
      <c r="A1242" s="10" t="inlineStr">
        <is>
          <t>F01684</t>
        </is>
      </c>
      <c r="B1242" s="10" t="inlineStr">
        <is>
          <t>F01684</t>
        </is>
      </c>
      <c r="C1242" s="10" t="inlineStr"/>
      <c r="D1242" s="10" t="inlineStr"/>
      <c r="E1242" s="10" t="inlineStr">
        <is>
          <t>STEEL SECURITY DOOR - LEFT DOUBL - DAMAG</t>
        </is>
      </c>
      <c r="F1242" s="10" t="inlineStr"/>
      <c r="G1242" s="10" t="inlineStr"/>
      <c r="H1242" s="10" t="inlineStr"/>
      <c r="I1242" s="11" t="n">
        <v>2040.53</v>
      </c>
      <c r="J1242" s="6" t="n">
        <v>15</v>
      </c>
      <c r="K1242" s="7">
        <f>IF(I1242="","",I1242*(1+J1242/100))</f>
        <v/>
      </c>
      <c r="L1242" s="12" t="inlineStr"/>
      <c r="M1242" s="8">
        <f>IF(OR(L1242="",K1242="",L1242=0),"",
  (L1242-K1242)/L1242*100)</f>
        <v/>
      </c>
      <c r="N1242" s="9" t="inlineStr"/>
      <c r="O1242" s="10" t="inlineStr"/>
      <c r="P1242" s="10" t="inlineStr"/>
      <c r="Q1242" s="10" t="inlineStr"/>
      <c r="R1242" s="10" t="inlineStr">
        <is>
          <t>2026-03-12</t>
        </is>
      </c>
      <c r="S1242" s="10" t="inlineStr"/>
    </row>
    <row r="1243">
      <c r="A1243" s="3" t="inlineStr">
        <is>
          <t>F01685</t>
        </is>
      </c>
      <c r="B1243" s="4" t="inlineStr">
        <is>
          <t>F01685</t>
        </is>
      </c>
      <c r="C1243" s="4" t="inlineStr"/>
      <c r="D1243" s="4" t="inlineStr"/>
      <c r="E1243" s="3" t="inlineStr">
        <is>
          <t>STEEL SECURITY DOOR -  LEFT DOUBLE - DAM</t>
        </is>
      </c>
      <c r="F1243" s="4" t="inlineStr"/>
      <c r="G1243" s="4" t="inlineStr"/>
      <c r="H1243" s="4" t="inlineStr"/>
      <c r="I1243" s="5" t="n">
        <v>2042.35</v>
      </c>
      <c r="J1243" s="6" t="n">
        <v>15</v>
      </c>
      <c r="K1243" s="7">
        <f>IF(I1243="","",I1243*(1+J1243/100))</f>
        <v/>
      </c>
      <c r="L1243" s="12" t="inlineStr"/>
      <c r="M1243" s="8">
        <f>IF(OR(L1243="",K1243="",L1243=0),"",
  (L1243-K1243)/L1243*100)</f>
        <v/>
      </c>
      <c r="N1243" s="9" t="inlineStr"/>
      <c r="O1243" s="4" t="inlineStr"/>
      <c r="P1243" s="4" t="inlineStr"/>
      <c r="Q1243" s="4" t="inlineStr"/>
      <c r="R1243" s="4" t="inlineStr">
        <is>
          <t>2026-03-12</t>
        </is>
      </c>
      <c r="S1243" s="4" t="inlineStr"/>
    </row>
    <row r="1244">
      <c r="A1244" s="10" t="inlineStr">
        <is>
          <t>F01686</t>
        </is>
      </c>
      <c r="B1244" s="10" t="inlineStr">
        <is>
          <t>F01686</t>
        </is>
      </c>
      <c r="C1244" s="10" t="inlineStr"/>
      <c r="D1244" s="10" t="inlineStr"/>
      <c r="E1244" s="10" t="inlineStr">
        <is>
          <t>SECURITY STEEL DOOR K777 BLACK  LEFT/DOU</t>
        </is>
      </c>
      <c r="F1244" s="10" t="inlineStr"/>
      <c r="G1244" s="10" t="inlineStr"/>
      <c r="H1244" s="10" t="inlineStr"/>
      <c r="I1244" s="11" t="n">
        <v>1488.56</v>
      </c>
      <c r="J1244" s="6" t="n">
        <v>15</v>
      </c>
      <c r="K1244" s="7">
        <f>IF(I1244="","",I1244*(1+J1244/100))</f>
        <v/>
      </c>
      <c r="L1244" s="12" t="inlineStr"/>
      <c r="M1244" s="8">
        <f>IF(OR(L1244="",K1244="",L1244=0),"",
  (L1244-K1244)/L1244*100)</f>
        <v/>
      </c>
      <c r="N1244" s="9" t="inlineStr"/>
      <c r="O1244" s="10" t="inlineStr"/>
      <c r="P1244" s="10" t="inlineStr"/>
      <c r="Q1244" s="10" t="inlineStr"/>
      <c r="R1244" s="10" t="inlineStr">
        <is>
          <t>2026-03-12</t>
        </is>
      </c>
      <c r="S1244" s="10" t="inlineStr"/>
    </row>
    <row r="1245">
      <c r="A1245" s="3" t="inlineStr">
        <is>
          <t>F01687</t>
        </is>
      </c>
      <c r="B1245" s="4" t="inlineStr">
        <is>
          <t>F01687</t>
        </is>
      </c>
      <c r="C1245" s="4" t="inlineStr"/>
      <c r="D1245" s="4" t="inlineStr"/>
      <c r="E1245" s="3" t="inlineStr">
        <is>
          <t>DOOR - SECURITY STEEL -  LEFT SINGLE - B</t>
        </is>
      </c>
      <c r="F1245" s="4" t="inlineStr"/>
      <c r="G1245" s="4" t="inlineStr"/>
      <c r="H1245" s="4" t="inlineStr"/>
      <c r="I1245" s="5" t="n">
        <v>1321.38</v>
      </c>
      <c r="J1245" s="6" t="n">
        <v>15</v>
      </c>
      <c r="K1245" s="7">
        <f>IF(I1245="","",I1245*(1+J1245/100))</f>
        <v/>
      </c>
      <c r="L1245" s="12" t="inlineStr"/>
      <c r="M1245" s="8">
        <f>IF(OR(L1245="",K1245="",L1245=0),"",
  (L1245-K1245)/L1245*100)</f>
        <v/>
      </c>
      <c r="N1245" s="9" t="inlineStr"/>
      <c r="O1245" s="4" t="inlineStr"/>
      <c r="P1245" s="4" t="inlineStr"/>
      <c r="Q1245" s="4" t="inlineStr"/>
      <c r="R1245" s="4" t="inlineStr">
        <is>
          <t>2026-03-12</t>
        </is>
      </c>
      <c r="S1245" s="4" t="inlineStr"/>
    </row>
    <row r="1246">
      <c r="A1246" s="10" t="inlineStr">
        <is>
          <t>F01688</t>
        </is>
      </c>
      <c r="B1246" s="10" t="inlineStr">
        <is>
          <t>F01688</t>
        </is>
      </c>
      <c r="C1246" s="10" t="inlineStr"/>
      <c r="D1246" s="10" t="inlineStr"/>
      <c r="E1246" s="10" t="inlineStr">
        <is>
          <t>DOOR -FANCY ST/STEEL SECURITY- LEFT - DA</t>
        </is>
      </c>
      <c r="F1246" s="10" t="inlineStr"/>
      <c r="G1246" s="10" t="inlineStr"/>
      <c r="H1246" s="10" t="inlineStr"/>
      <c r="I1246" s="11" t="n">
        <v>2212.46</v>
      </c>
      <c r="J1246" s="6" t="n">
        <v>15</v>
      </c>
      <c r="K1246" s="7">
        <f>IF(I1246="","",I1246*(1+J1246/100))</f>
        <v/>
      </c>
      <c r="L1246" s="12" t="inlineStr"/>
      <c r="M1246" s="8">
        <f>IF(OR(L1246="",K1246="",L1246=0),"",
  (L1246-K1246)/L1246*100)</f>
        <v/>
      </c>
      <c r="N1246" s="9" t="inlineStr"/>
      <c r="O1246" s="10" t="inlineStr"/>
      <c r="P1246" s="10" t="inlineStr"/>
      <c r="Q1246" s="10" t="inlineStr"/>
      <c r="R1246" s="10" t="inlineStr">
        <is>
          <t>2026-03-12</t>
        </is>
      </c>
      <c r="S1246" s="10" t="inlineStr"/>
    </row>
    <row r="1247">
      <c r="A1247" s="3" t="inlineStr">
        <is>
          <t>F01690</t>
        </is>
      </c>
      <c r="B1247" s="4" t="inlineStr">
        <is>
          <t>F01690</t>
        </is>
      </c>
      <c r="C1247" s="4" t="inlineStr"/>
      <c r="D1247" s="4" t="inlineStr"/>
      <c r="E1247" s="3" t="inlineStr">
        <is>
          <t>SECURITY STEEL DOOR K512 BLACK LEFT/SING</t>
        </is>
      </c>
      <c r="F1247" s="4" t="inlineStr"/>
      <c r="G1247" s="4" t="inlineStr"/>
      <c r="H1247" s="4" t="inlineStr"/>
      <c r="I1247" s="5" t="n">
        <v>700.5</v>
      </c>
      <c r="J1247" s="6" t="n">
        <v>15</v>
      </c>
      <c r="K1247" s="7">
        <f>IF(I1247="","",I1247*(1+J1247/100))</f>
        <v/>
      </c>
      <c r="L1247" s="12" t="inlineStr"/>
      <c r="M1247" s="8">
        <f>IF(OR(L1247="",K1247="",L1247=0),"",
  (L1247-K1247)/L1247*100)</f>
        <v/>
      </c>
      <c r="N1247" s="9" t="inlineStr"/>
      <c r="O1247" s="4" t="inlineStr"/>
      <c r="P1247" s="4" t="inlineStr"/>
      <c r="Q1247" s="4" t="inlineStr"/>
      <c r="R1247" s="4" t="inlineStr">
        <is>
          <t>2026-03-12</t>
        </is>
      </c>
      <c r="S1247" s="4" t="inlineStr"/>
    </row>
    <row r="1248">
      <c r="A1248" s="10" t="inlineStr">
        <is>
          <t>F01691</t>
        </is>
      </c>
      <c r="B1248" s="10" t="inlineStr">
        <is>
          <t>F01691</t>
        </is>
      </c>
      <c r="C1248" s="10" t="inlineStr"/>
      <c r="D1248" s="10" t="inlineStr"/>
      <c r="E1248" s="10" t="inlineStr">
        <is>
          <t>SECURITY STEEL DOOR K777 BROWN  LEFT/DOU</t>
        </is>
      </c>
      <c r="F1248" s="10" t="inlineStr"/>
      <c r="G1248" s="10" t="inlineStr"/>
      <c r="H1248" s="10" t="inlineStr"/>
      <c r="I1248" s="11" t="n">
        <v>2350</v>
      </c>
      <c r="J1248" s="6" t="n">
        <v>15</v>
      </c>
      <c r="K1248" s="7">
        <f>IF(I1248="","",I1248*(1+J1248/100))</f>
        <v/>
      </c>
      <c r="L1248" s="12" t="inlineStr"/>
      <c r="M1248" s="8">
        <f>IF(OR(L1248="",K1248="",L1248=0),"",
  (L1248-K1248)/L1248*100)</f>
        <v/>
      </c>
      <c r="N1248" s="9" t="inlineStr"/>
      <c r="O1248" s="10" t="inlineStr"/>
      <c r="P1248" s="10" t="inlineStr"/>
      <c r="Q1248" s="10" t="inlineStr"/>
      <c r="R1248" s="10" t="inlineStr">
        <is>
          <t>2026-03-12</t>
        </is>
      </c>
      <c r="S1248" s="10" t="inlineStr"/>
    </row>
    <row r="1249">
      <c r="A1249" s="3" t="inlineStr">
        <is>
          <t>F01692</t>
        </is>
      </c>
      <c r="B1249" s="4" t="inlineStr">
        <is>
          <t>F01692</t>
        </is>
      </c>
      <c r="C1249" s="4" t="inlineStr"/>
      <c r="D1249" s="4" t="inlineStr">
        <is>
          <t>6009881176389</t>
        </is>
      </c>
      <c r="E1249" s="3" t="inlineStr">
        <is>
          <t>APCOL HAND SANITISER 5LT</t>
        </is>
      </c>
      <c r="F1249" s="4" t="inlineStr"/>
      <c r="G1249" s="4" t="inlineStr"/>
      <c r="H1249" s="4" t="inlineStr"/>
      <c r="I1249" s="5" t="n">
        <v>130.43</v>
      </c>
      <c r="J1249" s="6" t="n">
        <v>15</v>
      </c>
      <c r="K1249" s="7">
        <f>IF(I1249="","",I1249*(1+J1249/100))</f>
        <v/>
      </c>
      <c r="L1249" s="12" t="inlineStr"/>
      <c r="M1249" s="8">
        <f>IF(OR(L1249="",K1249="",L1249=0),"",
  (L1249-K1249)/L1249*100)</f>
        <v/>
      </c>
      <c r="N1249" s="9" t="inlineStr"/>
      <c r="O1249" s="4" t="inlineStr"/>
      <c r="P1249" s="4" t="inlineStr"/>
      <c r="Q1249" s="4" t="inlineStr"/>
      <c r="R1249" s="4" t="inlineStr">
        <is>
          <t>2026-03-12</t>
        </is>
      </c>
      <c r="S1249" s="4" t="inlineStr"/>
    </row>
    <row r="1250">
      <c r="A1250" s="10" t="inlineStr">
        <is>
          <t>F01693</t>
        </is>
      </c>
      <c r="B1250" s="10" t="inlineStr">
        <is>
          <t>F01693</t>
        </is>
      </c>
      <c r="C1250" s="10" t="inlineStr"/>
      <c r="D1250" s="10" t="inlineStr"/>
      <c r="E1250" s="10" t="inlineStr">
        <is>
          <t>DOOR STEEL SECURITY   BD-K1423 - LEFT SI</t>
        </is>
      </c>
      <c r="F1250" s="10" t="inlineStr"/>
      <c r="G1250" s="10" t="inlineStr"/>
      <c r="H1250" s="10" t="inlineStr"/>
      <c r="I1250" s="11" t="n">
        <v>2000</v>
      </c>
      <c r="J1250" s="6" t="n">
        <v>15</v>
      </c>
      <c r="K1250" s="7">
        <f>IF(I1250="","",I1250*(1+J1250/100))</f>
        <v/>
      </c>
      <c r="L1250" s="12" t="inlineStr"/>
      <c r="M1250" s="8">
        <f>IF(OR(L1250="",K1250="",L1250=0),"",
  (L1250-K1250)/L1250*100)</f>
        <v/>
      </c>
      <c r="N1250" s="9" t="inlineStr"/>
      <c r="O1250" s="10" t="inlineStr"/>
      <c r="P1250" s="10" t="inlineStr"/>
      <c r="Q1250" s="10" t="inlineStr"/>
      <c r="R1250" s="10" t="inlineStr">
        <is>
          <t>2026-03-12</t>
        </is>
      </c>
      <c r="S1250" s="10" t="inlineStr"/>
    </row>
    <row r="1251">
      <c r="A1251" s="3" t="inlineStr">
        <is>
          <t>F01694</t>
        </is>
      </c>
      <c r="B1251" s="4" t="inlineStr">
        <is>
          <t>F01694</t>
        </is>
      </c>
      <c r="C1251" s="4" t="inlineStr"/>
      <c r="D1251" s="4" t="inlineStr"/>
      <c r="E1251" s="3" t="inlineStr">
        <is>
          <t>CL2220 PEEL &amp; STICK TILES</t>
        </is>
      </c>
      <c r="F1251" s="4" t="inlineStr"/>
      <c r="G1251" s="4" t="inlineStr"/>
      <c r="H1251" s="4" t="inlineStr"/>
      <c r="I1251" s="5" t="n">
        <v>91.64</v>
      </c>
      <c r="J1251" s="6" t="n">
        <v>15</v>
      </c>
      <c r="K1251" s="7">
        <f>IF(I1251="","",I1251*(1+J1251/100))</f>
        <v/>
      </c>
      <c r="L1251" s="12" t="inlineStr"/>
      <c r="M1251" s="8">
        <f>IF(OR(L1251="",K1251="",L1251=0),"",
  (L1251-K1251)/L1251*100)</f>
        <v/>
      </c>
      <c r="N1251" s="9" t="inlineStr"/>
      <c r="O1251" s="4" t="inlineStr"/>
      <c r="P1251" s="4" t="inlineStr"/>
      <c r="Q1251" s="4" t="inlineStr"/>
      <c r="R1251" s="4" t="inlineStr">
        <is>
          <t>2026-03-12</t>
        </is>
      </c>
      <c r="S1251" s="4" t="inlineStr"/>
    </row>
    <row r="1252">
      <c r="A1252" s="10" t="inlineStr">
        <is>
          <t>F01695</t>
        </is>
      </c>
      <c r="B1252" s="10" t="inlineStr">
        <is>
          <t>F01695</t>
        </is>
      </c>
      <c r="C1252" s="10" t="inlineStr"/>
      <c r="D1252" s="10" t="inlineStr"/>
      <c r="E1252" s="10" t="inlineStr">
        <is>
          <t>MIXED PEEL &amp; STICK TILES</t>
        </is>
      </c>
      <c r="F1252" s="10" t="inlineStr"/>
      <c r="G1252" s="10" t="inlineStr"/>
      <c r="H1252" s="10" t="inlineStr"/>
      <c r="I1252" s="11" t="n">
        <v>91.64</v>
      </c>
      <c r="J1252" s="6" t="n">
        <v>15</v>
      </c>
      <c r="K1252" s="7">
        <f>IF(I1252="","",I1252*(1+J1252/100))</f>
        <v/>
      </c>
      <c r="L1252" s="12" t="inlineStr"/>
      <c r="M1252" s="8">
        <f>IF(OR(L1252="",K1252="",L1252=0),"",
  (L1252-K1252)/L1252*100)</f>
        <v/>
      </c>
      <c r="N1252" s="9" t="inlineStr"/>
      <c r="O1252" s="10" t="inlineStr"/>
      <c r="P1252" s="10" t="inlineStr"/>
      <c r="Q1252" s="10" t="inlineStr"/>
      <c r="R1252" s="10" t="inlineStr">
        <is>
          <t>2026-03-12</t>
        </is>
      </c>
      <c r="S1252" s="10" t="inlineStr"/>
    </row>
    <row r="1253">
      <c r="A1253" s="3" t="inlineStr">
        <is>
          <t>F01696</t>
        </is>
      </c>
      <c r="B1253" s="4" t="inlineStr">
        <is>
          <t>F01696</t>
        </is>
      </c>
      <c r="C1253" s="4" t="inlineStr"/>
      <c r="D1253" s="4" t="inlineStr"/>
      <c r="E1253" s="3" t="inlineStr">
        <is>
          <t>BY-122 PVC CEILING 3900*300*6MM LOOSE</t>
        </is>
      </c>
      <c r="F1253" s="4" t="inlineStr"/>
      <c r="G1253" s="4" t="inlineStr"/>
      <c r="H1253" s="4" t="inlineStr"/>
      <c r="I1253" s="5" t="n">
        <v>1</v>
      </c>
      <c r="J1253" s="6" t="n">
        <v>15</v>
      </c>
      <c r="K1253" s="7">
        <f>IF(I1253="","",I1253*(1+J1253/100))</f>
        <v/>
      </c>
      <c r="L1253" s="12" t="inlineStr"/>
      <c r="M1253" s="8">
        <f>IF(OR(L1253="",K1253="",L1253=0),"",
  (L1253-K1253)/L1253*100)</f>
        <v/>
      </c>
      <c r="N1253" s="9" t="inlineStr"/>
      <c r="O1253" s="4" t="inlineStr"/>
      <c r="P1253" s="4" t="inlineStr"/>
      <c r="Q1253" s="4" t="inlineStr"/>
      <c r="R1253" s="4" t="inlineStr">
        <is>
          <t>2026-03-12</t>
        </is>
      </c>
      <c r="S1253" s="4" t="inlineStr"/>
    </row>
    <row r="1254">
      <c r="A1254" s="10" t="inlineStr">
        <is>
          <t>F01697</t>
        </is>
      </c>
      <c r="B1254" s="10" t="inlineStr">
        <is>
          <t>F01697</t>
        </is>
      </c>
      <c r="C1254" s="10" t="inlineStr"/>
      <c r="D1254" s="10" t="inlineStr"/>
      <c r="E1254" s="10" t="inlineStr">
        <is>
          <t>BY-120 PVC CEILING 3900*300*6MM LOOSE</t>
        </is>
      </c>
      <c r="F1254" s="10" t="inlineStr"/>
      <c r="G1254" s="10" t="inlineStr"/>
      <c r="H1254" s="10" t="inlineStr"/>
      <c r="I1254" s="11" t="n">
        <v>1</v>
      </c>
      <c r="J1254" s="6" t="n">
        <v>15</v>
      </c>
      <c r="K1254" s="7">
        <f>IF(I1254="","",I1254*(1+J1254/100))</f>
        <v/>
      </c>
      <c r="L1254" s="12" t="inlineStr"/>
      <c r="M1254" s="8">
        <f>IF(OR(L1254="",K1254="",L1254=0),"",
  (L1254-K1254)/L1254*100)</f>
        <v/>
      </c>
      <c r="N1254" s="9" t="inlineStr"/>
      <c r="O1254" s="10" t="inlineStr"/>
      <c r="P1254" s="10" t="inlineStr"/>
      <c r="Q1254" s="10" t="inlineStr"/>
      <c r="R1254" s="10" t="inlineStr">
        <is>
          <t>2026-03-12</t>
        </is>
      </c>
      <c r="S1254" s="10" t="inlineStr"/>
    </row>
    <row r="1255">
      <c r="A1255" s="3" t="inlineStr">
        <is>
          <t>F01698</t>
        </is>
      </c>
      <c r="B1255" s="4" t="inlineStr">
        <is>
          <t>F01698</t>
        </is>
      </c>
      <c r="C1255" s="4" t="inlineStr"/>
      <c r="D1255" s="4" t="inlineStr"/>
      <c r="E1255" s="3" t="inlineStr">
        <is>
          <t>BY-126 PVC CEILING 3900*300*6MM LOOSE</t>
        </is>
      </c>
      <c r="F1255" s="4" t="inlineStr"/>
      <c r="G1255" s="4" t="inlineStr"/>
      <c r="H1255" s="4" t="inlineStr"/>
      <c r="I1255" s="5" t="n">
        <v>1</v>
      </c>
      <c r="J1255" s="6" t="n">
        <v>15</v>
      </c>
      <c r="K1255" s="7">
        <f>IF(I1255="","",I1255*(1+J1255/100))</f>
        <v/>
      </c>
      <c r="L1255" s="12" t="inlineStr"/>
      <c r="M1255" s="8">
        <f>IF(OR(L1255="",K1255="",L1255=0),"",
  (L1255-K1255)/L1255*100)</f>
        <v/>
      </c>
      <c r="N1255" s="9" t="inlineStr"/>
      <c r="O1255" s="4" t="inlineStr"/>
      <c r="P1255" s="4" t="inlineStr"/>
      <c r="Q1255" s="4" t="inlineStr"/>
      <c r="R1255" s="4" t="inlineStr">
        <is>
          <t>2026-03-12</t>
        </is>
      </c>
      <c r="S1255" s="4" t="inlineStr"/>
    </row>
    <row r="1256">
      <c r="A1256" s="10" t="inlineStr">
        <is>
          <t>F01699</t>
        </is>
      </c>
      <c r="B1256" s="10" t="inlineStr">
        <is>
          <t>F01699</t>
        </is>
      </c>
      <c r="C1256" s="10" t="inlineStr"/>
      <c r="D1256" s="10" t="inlineStr"/>
      <c r="E1256" s="10" t="inlineStr">
        <is>
          <t>LM007 - PVC WALL &amp; CEILING LAMINATION PA</t>
        </is>
      </c>
      <c r="F1256" s="10" t="inlineStr"/>
      <c r="G1256" s="10" t="inlineStr"/>
      <c r="H1256" s="10" t="inlineStr"/>
      <c r="I1256" s="11" t="n">
        <v>43.79</v>
      </c>
      <c r="J1256" s="6" t="n">
        <v>15</v>
      </c>
      <c r="K1256" s="7">
        <f>IF(I1256="","",I1256*(1+J1256/100))</f>
        <v/>
      </c>
      <c r="L1256" s="12" t="inlineStr"/>
      <c r="M1256" s="8">
        <f>IF(OR(L1256="",K1256="",L1256=0),"",
  (L1256-K1256)/L1256*100)</f>
        <v/>
      </c>
      <c r="N1256" s="9" t="inlineStr"/>
      <c r="O1256" s="10" t="inlineStr"/>
      <c r="P1256" s="10" t="inlineStr"/>
      <c r="Q1256" s="10" t="inlineStr"/>
      <c r="R1256" s="10" t="inlineStr">
        <is>
          <t>2026-03-12</t>
        </is>
      </c>
      <c r="S1256" s="10" t="inlineStr"/>
    </row>
    <row r="1257">
      <c r="A1257" s="3" t="inlineStr">
        <is>
          <t>F01700</t>
        </is>
      </c>
      <c r="B1257" s="4" t="inlineStr">
        <is>
          <t>F01700</t>
        </is>
      </c>
      <c r="C1257" s="4" t="inlineStr"/>
      <c r="D1257" s="4" t="inlineStr"/>
      <c r="E1257" s="3" t="inlineStr">
        <is>
          <t>LM004 - PVC WALL &amp; CEILING LAMINATION PA</t>
        </is>
      </c>
      <c r="F1257" s="4" t="inlineStr"/>
      <c r="G1257" s="4" t="inlineStr"/>
      <c r="H1257" s="4" t="inlineStr"/>
      <c r="I1257" s="5" t="n">
        <v>1</v>
      </c>
      <c r="J1257" s="6" t="n">
        <v>15</v>
      </c>
      <c r="K1257" s="7">
        <f>IF(I1257="","",I1257*(1+J1257/100))</f>
        <v/>
      </c>
      <c r="L1257" s="12" t="inlineStr"/>
      <c r="M1257" s="8">
        <f>IF(OR(L1257="",K1257="",L1257=0),"",
  (L1257-K1257)/L1257*100)</f>
        <v/>
      </c>
      <c r="N1257" s="9" t="inlineStr"/>
      <c r="O1257" s="4" t="inlineStr"/>
      <c r="P1257" s="4" t="inlineStr"/>
      <c r="Q1257" s="4" t="inlineStr"/>
      <c r="R1257" s="4" t="inlineStr">
        <is>
          <t>2026-03-12</t>
        </is>
      </c>
      <c r="S1257" s="4" t="inlineStr"/>
    </row>
    <row r="1258">
      <c r="A1258" s="10" t="inlineStr">
        <is>
          <t>F01701</t>
        </is>
      </c>
      <c r="B1258" s="10" t="inlineStr">
        <is>
          <t>F01701</t>
        </is>
      </c>
      <c r="C1258" s="10" t="inlineStr"/>
      <c r="D1258" s="10" t="inlineStr"/>
      <c r="E1258" s="10" t="inlineStr">
        <is>
          <t>LM003 - PVC WALL &amp; CEILING LAMINATION PA</t>
        </is>
      </c>
      <c r="F1258" s="10" t="inlineStr"/>
      <c r="G1258" s="10" t="inlineStr"/>
      <c r="H1258" s="10" t="inlineStr"/>
      <c r="I1258" s="11" t="n">
        <v>1</v>
      </c>
      <c r="J1258" s="6" t="n">
        <v>15</v>
      </c>
      <c r="K1258" s="7">
        <f>IF(I1258="","",I1258*(1+J1258/100))</f>
        <v/>
      </c>
      <c r="L1258" s="12" t="inlineStr"/>
      <c r="M1258" s="8">
        <f>IF(OR(L1258="",K1258="",L1258=0),"",
  (L1258-K1258)/L1258*100)</f>
        <v/>
      </c>
      <c r="N1258" s="9" t="inlineStr"/>
      <c r="O1258" s="10" t="inlineStr"/>
      <c r="P1258" s="10" t="inlineStr"/>
      <c r="Q1258" s="10" t="inlineStr"/>
      <c r="R1258" s="10" t="inlineStr">
        <is>
          <t>2026-03-12</t>
        </is>
      </c>
      <c r="S1258" s="10" t="inlineStr"/>
    </row>
    <row r="1259">
      <c r="A1259" s="3" t="inlineStr">
        <is>
          <t>F01702</t>
        </is>
      </c>
      <c r="B1259" s="4" t="inlineStr">
        <is>
          <t>F01702</t>
        </is>
      </c>
      <c r="C1259" s="4" t="inlineStr"/>
      <c r="D1259" s="4" t="inlineStr"/>
      <c r="E1259" s="3" t="inlineStr">
        <is>
          <t>LM008 - PVC WALL &amp; CEILING LAMINATION PA</t>
        </is>
      </c>
      <c r="F1259" s="4" t="inlineStr"/>
      <c r="G1259" s="4" t="inlineStr"/>
      <c r="H1259" s="4" t="inlineStr"/>
      <c r="I1259" s="5" t="n">
        <v>1</v>
      </c>
      <c r="J1259" s="6" t="n">
        <v>15</v>
      </c>
      <c r="K1259" s="7">
        <f>IF(I1259="","",I1259*(1+J1259/100))</f>
        <v/>
      </c>
      <c r="L1259" s="12" t="inlineStr"/>
      <c r="M1259" s="8">
        <f>IF(OR(L1259="",K1259="",L1259=0),"",
  (L1259-K1259)/L1259*100)</f>
        <v/>
      </c>
      <c r="N1259" s="9" t="inlineStr"/>
      <c r="O1259" s="4" t="inlineStr"/>
      <c r="P1259" s="4" t="inlineStr"/>
      <c r="Q1259" s="4" t="inlineStr"/>
      <c r="R1259" s="4" t="inlineStr">
        <is>
          <t>2026-03-12</t>
        </is>
      </c>
      <c r="S1259" s="4" t="inlineStr"/>
    </row>
    <row r="1260">
      <c r="A1260" s="10" t="inlineStr">
        <is>
          <t>F01703</t>
        </is>
      </c>
      <c r="B1260" s="10" t="inlineStr">
        <is>
          <t>F01703</t>
        </is>
      </c>
      <c r="C1260" s="10" t="inlineStr"/>
      <c r="D1260" s="10" t="inlineStr"/>
      <c r="E1260" s="10" t="inlineStr">
        <is>
          <t>LM005 - PVC WALL &amp; CEILING LAMINATION PA</t>
        </is>
      </c>
      <c r="F1260" s="10" t="inlineStr"/>
      <c r="G1260" s="10" t="inlineStr"/>
      <c r="H1260" s="10" t="inlineStr"/>
      <c r="I1260" s="11" t="n">
        <v>409.13</v>
      </c>
      <c r="J1260" s="6" t="n">
        <v>15</v>
      </c>
      <c r="K1260" s="7">
        <f>IF(I1260="","",I1260*(1+J1260/100))</f>
        <v/>
      </c>
      <c r="L1260" s="12" t="inlineStr"/>
      <c r="M1260" s="8">
        <f>IF(OR(L1260="",K1260="",L1260=0),"",
  (L1260-K1260)/L1260*100)</f>
        <v/>
      </c>
      <c r="N1260" s="9" t="inlineStr"/>
      <c r="O1260" s="10" t="inlineStr"/>
      <c r="P1260" s="10" t="inlineStr"/>
      <c r="Q1260" s="10" t="inlineStr"/>
      <c r="R1260" s="10" t="inlineStr">
        <is>
          <t>2026-03-12</t>
        </is>
      </c>
      <c r="S1260" s="10" t="inlineStr"/>
    </row>
    <row r="1261">
      <c r="A1261" s="3" t="inlineStr">
        <is>
          <t>F01704</t>
        </is>
      </c>
      <c r="B1261" s="4" t="inlineStr">
        <is>
          <t>F01704</t>
        </is>
      </c>
      <c r="C1261" s="4" t="inlineStr"/>
      <c r="D1261" s="4" t="inlineStr"/>
      <c r="E1261" s="3" t="inlineStr">
        <is>
          <t>LM010 - PVC WALL &amp; CEILING DAMAGE LOOSE</t>
        </is>
      </c>
      <c r="F1261" s="4" t="inlineStr"/>
      <c r="G1261" s="4" t="inlineStr"/>
      <c r="H1261" s="4" t="inlineStr"/>
      <c r="I1261" s="5" t="n">
        <v>42.48</v>
      </c>
      <c r="J1261" s="6" t="n">
        <v>15</v>
      </c>
      <c r="K1261" s="7">
        <f>IF(I1261="","",I1261*(1+J1261/100))</f>
        <v/>
      </c>
      <c r="L1261" s="12" t="inlineStr"/>
      <c r="M1261" s="8">
        <f>IF(OR(L1261="",K1261="",L1261=0),"",
  (L1261-K1261)/L1261*100)</f>
        <v/>
      </c>
      <c r="N1261" s="9" t="inlineStr"/>
      <c r="O1261" s="4" t="inlineStr"/>
      <c r="P1261" s="4" t="inlineStr"/>
      <c r="Q1261" s="4" t="inlineStr"/>
      <c r="R1261" s="4" t="inlineStr">
        <is>
          <t>2026-03-12</t>
        </is>
      </c>
      <c r="S1261" s="4" t="inlineStr"/>
    </row>
    <row r="1262">
      <c r="A1262" s="10" t="inlineStr">
        <is>
          <t>F01705</t>
        </is>
      </c>
      <c r="B1262" s="10" t="inlineStr">
        <is>
          <t>F01705</t>
        </is>
      </c>
      <c r="C1262" s="10" t="inlineStr"/>
      <c r="D1262" s="10" t="inlineStr"/>
      <c r="E1262" s="10" t="inlineStr">
        <is>
          <t>LM006 - PVC WALL &amp; CEILING DAMAGE LOOSE</t>
        </is>
      </c>
      <c r="F1262" s="10" t="inlineStr"/>
      <c r="G1262" s="10" t="inlineStr"/>
      <c r="H1262" s="10" t="inlineStr"/>
      <c r="I1262" s="11" t="n">
        <v>409.13</v>
      </c>
      <c r="J1262" s="6" t="n">
        <v>15</v>
      </c>
      <c r="K1262" s="7">
        <f>IF(I1262="","",I1262*(1+J1262/100))</f>
        <v/>
      </c>
      <c r="L1262" s="12" t="inlineStr"/>
      <c r="M1262" s="8">
        <f>IF(OR(L1262="",K1262="",L1262=0),"",
  (L1262-K1262)/L1262*100)</f>
        <v/>
      </c>
      <c r="N1262" s="9" t="inlineStr"/>
      <c r="O1262" s="10" t="inlineStr"/>
      <c r="P1262" s="10" t="inlineStr"/>
      <c r="Q1262" s="10" t="inlineStr"/>
      <c r="R1262" s="10" t="inlineStr">
        <is>
          <t>2026-03-12</t>
        </is>
      </c>
      <c r="S1262" s="10" t="inlineStr"/>
    </row>
    <row r="1263">
      <c r="A1263" s="3" t="inlineStr">
        <is>
          <t>F01706</t>
        </is>
      </c>
      <c r="B1263" s="4" t="inlineStr">
        <is>
          <t>F01706</t>
        </is>
      </c>
      <c r="C1263" s="4" t="inlineStr"/>
      <c r="D1263" s="4" t="inlineStr"/>
      <c r="E1263" s="3" t="inlineStr">
        <is>
          <t>LM012 - PVC WALL &amp; CEILING DAMAGE LOOSE</t>
        </is>
      </c>
      <c r="F1263" s="4" t="inlineStr"/>
      <c r="G1263" s="4" t="inlineStr"/>
      <c r="H1263" s="4" t="inlineStr"/>
      <c r="I1263" s="5" t="n">
        <v>42.43</v>
      </c>
      <c r="J1263" s="6" t="n">
        <v>15</v>
      </c>
      <c r="K1263" s="7">
        <f>IF(I1263="","",I1263*(1+J1263/100))</f>
        <v/>
      </c>
      <c r="L1263" s="12" t="inlineStr"/>
      <c r="M1263" s="8">
        <f>IF(OR(L1263="",K1263="",L1263=0),"",
  (L1263-K1263)/L1263*100)</f>
        <v/>
      </c>
      <c r="N1263" s="9" t="inlineStr"/>
      <c r="O1263" s="4" t="inlineStr"/>
      <c r="P1263" s="4" t="inlineStr"/>
      <c r="Q1263" s="4" t="inlineStr"/>
      <c r="R1263" s="4" t="inlineStr">
        <is>
          <t>2026-03-12</t>
        </is>
      </c>
      <c r="S1263" s="4" t="inlineStr"/>
    </row>
    <row r="1264">
      <c r="A1264" s="10" t="inlineStr">
        <is>
          <t>F01707</t>
        </is>
      </c>
      <c r="B1264" s="10" t="inlineStr">
        <is>
          <t>F01707</t>
        </is>
      </c>
      <c r="C1264" s="10" t="inlineStr"/>
      <c r="D1264" s="10" t="inlineStr">
        <is>
          <t>6001651122534</t>
        </is>
      </c>
      <c r="E1264" s="10" t="inlineStr">
        <is>
          <t>APCOL  HAND SANITISER 100ML</t>
        </is>
      </c>
      <c r="F1264" s="10" t="inlineStr"/>
      <c r="G1264" s="10" t="inlineStr"/>
      <c r="H1264" s="10" t="inlineStr"/>
      <c r="I1264" s="11" t="n">
        <v>12.95</v>
      </c>
      <c r="J1264" s="6" t="n">
        <v>15</v>
      </c>
      <c r="K1264" s="7">
        <f>IF(I1264="","",I1264*(1+J1264/100))</f>
        <v/>
      </c>
      <c r="L1264" s="12" t="inlineStr"/>
      <c r="M1264" s="8">
        <f>IF(OR(L1264="",K1264="",L1264=0),"",
  (L1264-K1264)/L1264*100)</f>
        <v/>
      </c>
      <c r="N1264" s="9" t="inlineStr"/>
      <c r="O1264" s="10" t="inlineStr"/>
      <c r="P1264" s="10" t="inlineStr"/>
      <c r="Q1264" s="10" t="inlineStr"/>
      <c r="R1264" s="10" t="inlineStr">
        <is>
          <t>2026-03-12</t>
        </is>
      </c>
      <c r="S1264" s="10" t="inlineStr"/>
    </row>
    <row r="1265">
      <c r="A1265" s="3" t="inlineStr">
        <is>
          <t>F01708</t>
        </is>
      </c>
      <c r="B1265" s="4" t="inlineStr">
        <is>
          <t>F01708</t>
        </is>
      </c>
      <c r="C1265" s="4" t="inlineStr"/>
      <c r="D1265" s="4" t="inlineStr">
        <is>
          <t>6009677012853</t>
        </is>
      </c>
      <c r="E1265" s="3" t="inlineStr">
        <is>
          <t>BOTTLE 600ML PLASTIC BLACK TOP BLACK LID</t>
        </is>
      </c>
      <c r="F1265" s="4" t="inlineStr"/>
      <c r="G1265" s="4" t="inlineStr"/>
      <c r="H1265" s="4" t="inlineStr"/>
      <c r="I1265" s="5" t="n">
        <v>8.15</v>
      </c>
      <c r="J1265" s="6" t="n">
        <v>15</v>
      </c>
      <c r="K1265" s="7">
        <f>IF(I1265="","",I1265*(1+J1265/100))</f>
        <v/>
      </c>
      <c r="L1265" s="12" t="inlineStr"/>
      <c r="M1265" s="8">
        <f>IF(OR(L1265="",K1265="",L1265=0),"",
  (L1265-K1265)/L1265*100)</f>
        <v/>
      </c>
      <c r="N1265" s="9" t="inlineStr"/>
      <c r="O1265" s="4" t="inlineStr"/>
      <c r="P1265" s="4" t="inlineStr"/>
      <c r="Q1265" s="4" t="inlineStr"/>
      <c r="R1265" s="4" t="inlineStr">
        <is>
          <t>2026-03-12</t>
        </is>
      </c>
      <c r="S1265" s="4" t="inlineStr"/>
    </row>
    <row r="1266">
      <c r="A1266" s="10" t="inlineStr">
        <is>
          <t>F01709</t>
        </is>
      </c>
      <c r="B1266" s="10" t="inlineStr">
        <is>
          <t>F01709</t>
        </is>
      </c>
      <c r="C1266" s="10" t="inlineStr"/>
      <c r="D1266" s="10" t="inlineStr">
        <is>
          <t>6009677012860</t>
        </is>
      </c>
      <c r="E1266" s="10" t="inlineStr">
        <is>
          <t>BOTTLE 800ML PLASTIC BLACK FLIP LID</t>
        </is>
      </c>
      <c r="F1266" s="10" t="inlineStr"/>
      <c r="G1266" s="10" t="inlineStr"/>
      <c r="H1266" s="10" t="inlineStr"/>
      <c r="I1266" s="11" t="n">
        <v>8.92</v>
      </c>
      <c r="J1266" s="6" t="n">
        <v>15</v>
      </c>
      <c r="K1266" s="7">
        <f>IF(I1266="","",I1266*(1+J1266/100))</f>
        <v/>
      </c>
      <c r="L1266" s="12" t="inlineStr"/>
      <c r="M1266" s="8">
        <f>IF(OR(L1266="",K1266="",L1266=0),"",
  (L1266-K1266)/L1266*100)</f>
        <v/>
      </c>
      <c r="N1266" s="9" t="inlineStr"/>
      <c r="O1266" s="10" t="inlineStr"/>
      <c r="P1266" s="10" t="inlineStr"/>
      <c r="Q1266" s="10" t="inlineStr"/>
      <c r="R1266" s="10" t="inlineStr">
        <is>
          <t>2026-03-12</t>
        </is>
      </c>
      <c r="S1266" s="10" t="inlineStr"/>
    </row>
    <row r="1267">
      <c r="A1267" s="3" t="inlineStr">
        <is>
          <t>F01710</t>
        </is>
      </c>
      <c r="B1267" s="4" t="inlineStr">
        <is>
          <t>F01710</t>
        </is>
      </c>
      <c r="C1267" s="4" t="inlineStr"/>
      <c r="D1267" s="4" t="inlineStr"/>
      <c r="E1267" s="3" t="inlineStr">
        <is>
          <t>100MT X 36MM  CLEAR TAPE  (48'S) - FOR P</t>
        </is>
      </c>
      <c r="F1267" s="4" t="inlineStr"/>
      <c r="G1267" s="4" t="inlineStr"/>
      <c r="H1267" s="4" t="inlineStr"/>
      <c r="I1267" s="5" t="n">
        <v>1</v>
      </c>
      <c r="J1267" s="6" t="n">
        <v>15</v>
      </c>
      <c r="K1267" s="7">
        <f>IF(I1267="","",I1267*(1+J1267/100))</f>
        <v/>
      </c>
      <c r="L1267" s="12" t="inlineStr"/>
      <c r="M1267" s="8">
        <f>IF(OR(L1267="",K1267="",L1267=0),"",
  (L1267-K1267)/L1267*100)</f>
        <v/>
      </c>
      <c r="N1267" s="9" t="inlineStr"/>
      <c r="O1267" s="4" t="inlineStr"/>
      <c r="P1267" s="4" t="inlineStr"/>
      <c r="Q1267" s="4" t="inlineStr"/>
      <c r="R1267" s="4" t="inlineStr">
        <is>
          <t>2026-03-12</t>
        </is>
      </c>
      <c r="S1267" s="4" t="inlineStr"/>
    </row>
    <row r="1268">
      <c r="A1268" s="10" t="inlineStr">
        <is>
          <t>F01711</t>
        </is>
      </c>
      <c r="B1268" s="10" t="inlineStr">
        <is>
          <t>F01711</t>
        </is>
      </c>
      <c r="C1268" s="10" t="inlineStr"/>
      <c r="D1268" s="10" t="inlineStr"/>
      <c r="E1268" s="10" t="inlineStr">
        <is>
          <t>SPONGE BAK 1.83TX30M</t>
        </is>
      </c>
      <c r="F1268" s="10" t="inlineStr"/>
      <c r="G1268" s="10" t="inlineStr"/>
      <c r="H1268" s="10" t="inlineStr"/>
      <c r="I1268" s="11" t="n">
        <v>561.8</v>
      </c>
      <c r="J1268" s="6" t="n">
        <v>15</v>
      </c>
      <c r="K1268" s="7">
        <f>IF(I1268="","",I1268*(1+J1268/100))</f>
        <v/>
      </c>
      <c r="L1268" s="12" t="inlineStr"/>
      <c r="M1268" s="8">
        <f>IF(OR(L1268="",K1268="",L1268=0),"",
  (L1268-K1268)/L1268*100)</f>
        <v/>
      </c>
      <c r="N1268" s="9" t="inlineStr"/>
      <c r="O1268" s="10" t="inlineStr"/>
      <c r="P1268" s="10" t="inlineStr"/>
      <c r="Q1268" s="10" t="inlineStr"/>
      <c r="R1268" s="10" t="inlineStr">
        <is>
          <t>2026-03-12</t>
        </is>
      </c>
      <c r="S1268" s="10" t="inlineStr"/>
    </row>
    <row r="1269">
      <c r="A1269" s="3" t="inlineStr">
        <is>
          <t>F01712</t>
        </is>
      </c>
      <c r="B1269" s="4" t="inlineStr">
        <is>
          <t>F01712</t>
        </is>
      </c>
      <c r="C1269" s="4" t="inlineStr"/>
      <c r="D1269" s="4" t="inlineStr"/>
      <c r="E1269" s="3" t="inlineStr">
        <is>
          <t>SPONGE BAK 1.83TX5M</t>
        </is>
      </c>
      <c r="F1269" s="4" t="inlineStr"/>
      <c r="G1269" s="4" t="inlineStr"/>
      <c r="H1269" s="4" t="inlineStr"/>
      <c r="I1269" s="5" t="n">
        <v>102.59</v>
      </c>
      <c r="J1269" s="6" t="n">
        <v>15</v>
      </c>
      <c r="K1269" s="7">
        <f>IF(I1269="","",I1269*(1+J1269/100))</f>
        <v/>
      </c>
      <c r="L1269" s="12" t="inlineStr"/>
      <c r="M1269" s="8">
        <f>IF(OR(L1269="",K1269="",L1269=0),"",
  (L1269-K1269)/L1269*100)</f>
        <v/>
      </c>
      <c r="N1269" s="9" t="inlineStr"/>
      <c r="O1269" s="4" t="inlineStr"/>
      <c r="P1269" s="4" t="inlineStr"/>
      <c r="Q1269" s="4" t="inlineStr"/>
      <c r="R1269" s="4" t="inlineStr">
        <is>
          <t>2026-03-12</t>
        </is>
      </c>
      <c r="S1269" s="4" t="inlineStr"/>
    </row>
    <row r="1270">
      <c r="A1270" s="10" t="inlineStr">
        <is>
          <t>F01713</t>
        </is>
      </c>
      <c r="B1270" s="10" t="inlineStr">
        <is>
          <t>F01713</t>
        </is>
      </c>
      <c r="C1270" s="10" t="inlineStr"/>
      <c r="D1270" s="10" t="inlineStr"/>
      <c r="E1270" s="10" t="inlineStr">
        <is>
          <t>SPONGE BAK 5MTX2M</t>
        </is>
      </c>
      <c r="F1270" s="10" t="inlineStr"/>
      <c r="G1270" s="10" t="inlineStr"/>
      <c r="H1270" s="10" t="inlineStr"/>
      <c r="I1270" s="11" t="n">
        <v>106</v>
      </c>
      <c r="J1270" s="6" t="n">
        <v>15</v>
      </c>
      <c r="K1270" s="7">
        <f>IF(I1270="","",I1270*(1+J1270/100))</f>
        <v/>
      </c>
      <c r="L1270" s="12" t="inlineStr"/>
      <c r="M1270" s="8">
        <f>IF(OR(L1270="",K1270="",L1270=0),"",
  (L1270-K1270)/L1270*100)</f>
        <v/>
      </c>
      <c r="N1270" s="9" t="inlineStr"/>
      <c r="O1270" s="10" t="inlineStr"/>
      <c r="P1270" s="10" t="inlineStr"/>
      <c r="Q1270" s="10" t="inlineStr"/>
      <c r="R1270" s="10" t="inlineStr">
        <is>
          <t>2026-03-12</t>
        </is>
      </c>
      <c r="S1270" s="10" t="inlineStr"/>
    </row>
    <row r="1271">
      <c r="A1271" s="3" t="inlineStr">
        <is>
          <t>F01714</t>
        </is>
      </c>
      <c r="B1271" s="4" t="inlineStr">
        <is>
          <t>F01714</t>
        </is>
      </c>
      <c r="C1271" s="4" t="inlineStr"/>
      <c r="D1271" s="4" t="inlineStr"/>
      <c r="E1271" s="3" t="inlineStr">
        <is>
          <t>VINYL WOOL BACK  30MT</t>
        </is>
      </c>
      <c r="F1271" s="4" t="inlineStr"/>
      <c r="G1271" s="4" t="inlineStr"/>
      <c r="H1271" s="4" t="inlineStr"/>
      <c r="I1271" s="5" t="n">
        <v>569.52</v>
      </c>
      <c r="J1271" s="6" t="n">
        <v>15</v>
      </c>
      <c r="K1271" s="7">
        <f>IF(I1271="","",I1271*(1+J1271/100))</f>
        <v/>
      </c>
      <c r="L1271" s="12" t="inlineStr"/>
      <c r="M1271" s="8">
        <f>IF(OR(L1271="",K1271="",L1271=0),"",
  (L1271-K1271)/L1271*100)</f>
        <v/>
      </c>
      <c r="N1271" s="9" t="inlineStr"/>
      <c r="O1271" s="4" t="inlineStr"/>
      <c r="P1271" s="4" t="inlineStr"/>
      <c r="Q1271" s="4" t="inlineStr"/>
      <c r="R1271" s="4" t="inlineStr">
        <is>
          <t>2026-03-12</t>
        </is>
      </c>
      <c r="S1271" s="4" t="inlineStr"/>
    </row>
    <row r="1272">
      <c r="A1272" s="10" t="inlineStr">
        <is>
          <t>F01715</t>
        </is>
      </c>
      <c r="B1272" s="10" t="inlineStr">
        <is>
          <t>F01715</t>
        </is>
      </c>
      <c r="C1272" s="10" t="inlineStr"/>
      <c r="D1272" s="10" t="inlineStr"/>
      <c r="E1272" s="10" t="inlineStr">
        <is>
          <t>VINYL WOOL BACK  5MT</t>
        </is>
      </c>
      <c r="F1272" s="10" t="inlineStr"/>
      <c r="G1272" s="10" t="inlineStr"/>
      <c r="H1272" s="10" t="inlineStr"/>
      <c r="I1272" s="11" t="n">
        <v>103.92</v>
      </c>
      <c r="J1272" s="6" t="n">
        <v>15</v>
      </c>
      <c r="K1272" s="7">
        <f>IF(I1272="","",I1272*(1+J1272/100))</f>
        <v/>
      </c>
      <c r="L1272" s="12" t="inlineStr"/>
      <c r="M1272" s="8">
        <f>IF(OR(L1272="",K1272="",L1272=0),"",
  (L1272-K1272)/L1272*100)</f>
        <v/>
      </c>
      <c r="N1272" s="9" t="inlineStr"/>
      <c r="O1272" s="10" t="inlineStr"/>
      <c r="P1272" s="10" t="inlineStr"/>
      <c r="Q1272" s="10" t="inlineStr"/>
      <c r="R1272" s="10" t="inlineStr">
        <is>
          <t>2026-03-12</t>
        </is>
      </c>
      <c r="S1272" s="10" t="inlineStr"/>
    </row>
    <row r="1273">
      <c r="A1273" s="3" t="inlineStr">
        <is>
          <t>F01716</t>
        </is>
      </c>
      <c r="B1273" s="4" t="inlineStr">
        <is>
          <t>F01716</t>
        </is>
      </c>
      <c r="C1273" s="4" t="inlineStr"/>
      <c r="D1273" s="4" t="inlineStr"/>
      <c r="E1273" s="3" t="inlineStr">
        <is>
          <t>VINYL RED BACK 30MT x2M</t>
        </is>
      </c>
      <c r="F1273" s="4" t="inlineStr"/>
      <c r="G1273" s="4" t="inlineStr"/>
      <c r="H1273" s="4" t="inlineStr"/>
      <c r="I1273" s="5" t="n">
        <v>749</v>
      </c>
      <c r="J1273" s="6" t="n">
        <v>15</v>
      </c>
      <c r="K1273" s="7">
        <f>IF(I1273="","",I1273*(1+J1273/100))</f>
        <v/>
      </c>
      <c r="L1273" s="12" t="inlineStr"/>
      <c r="M1273" s="8">
        <f>IF(OR(L1273="",K1273="",L1273=0),"",
  (L1273-K1273)/L1273*100)</f>
        <v/>
      </c>
      <c r="N1273" s="9" t="inlineStr"/>
      <c r="O1273" s="4" t="inlineStr"/>
      <c r="P1273" s="4" t="inlineStr"/>
      <c r="Q1273" s="4" t="inlineStr"/>
      <c r="R1273" s="4" t="inlineStr">
        <is>
          <t>2026-03-12</t>
        </is>
      </c>
      <c r="S1273" s="4" t="inlineStr"/>
    </row>
    <row r="1274">
      <c r="A1274" s="10" t="inlineStr">
        <is>
          <t>F01717</t>
        </is>
      </c>
      <c r="B1274" s="10" t="inlineStr">
        <is>
          <t>F01717</t>
        </is>
      </c>
      <c r="C1274" s="10" t="inlineStr"/>
      <c r="D1274" s="10" t="inlineStr"/>
      <c r="E1274" s="10" t="inlineStr">
        <is>
          <t>VINYL RED BACK 5MT</t>
        </is>
      </c>
      <c r="F1274" s="10" t="inlineStr"/>
      <c r="G1274" s="10" t="inlineStr"/>
      <c r="H1274" s="10" t="inlineStr"/>
      <c r="I1274" s="11" t="n">
        <v>87.04000000000001</v>
      </c>
      <c r="J1274" s="6" t="n">
        <v>15</v>
      </c>
      <c r="K1274" s="7">
        <f>IF(I1274="","",I1274*(1+J1274/100))</f>
        <v/>
      </c>
      <c r="L1274" s="12" t="inlineStr"/>
      <c r="M1274" s="8">
        <f>IF(OR(L1274="",K1274="",L1274=0),"",
  (L1274-K1274)/L1274*100)</f>
        <v/>
      </c>
      <c r="N1274" s="9" t="inlineStr"/>
      <c r="O1274" s="10" t="inlineStr"/>
      <c r="P1274" s="10" t="inlineStr"/>
      <c r="Q1274" s="10" t="inlineStr"/>
      <c r="R1274" s="10" t="inlineStr">
        <is>
          <t>2026-03-12</t>
        </is>
      </c>
      <c r="S1274" s="10" t="inlineStr"/>
    </row>
    <row r="1275">
      <c r="A1275" s="3" t="inlineStr">
        <is>
          <t>F01718</t>
        </is>
      </c>
      <c r="B1275" s="4" t="inlineStr">
        <is>
          <t>F01718</t>
        </is>
      </c>
      <c r="C1275" s="4" t="inlineStr"/>
      <c r="D1275" s="4" t="inlineStr">
        <is>
          <t>6009677013706</t>
        </is>
      </c>
      <c r="E1275" s="3" t="inlineStr">
        <is>
          <t>TABLE- FOLDING 6FT RECT BLUE WHITE</t>
        </is>
      </c>
      <c r="F1275" s="4" t="inlineStr"/>
      <c r="G1275" s="4" t="inlineStr"/>
      <c r="H1275" s="4" t="inlineStr"/>
      <c r="I1275" s="5" t="n">
        <v>409</v>
      </c>
      <c r="J1275" s="6" t="n">
        <v>15</v>
      </c>
      <c r="K1275" s="7">
        <f>IF(I1275="","",I1275*(1+J1275/100))</f>
        <v/>
      </c>
      <c r="L1275" s="12" t="inlineStr"/>
      <c r="M1275" s="8">
        <f>IF(OR(L1275="",K1275="",L1275=0),"",
  (L1275-K1275)/L1275*100)</f>
        <v/>
      </c>
      <c r="N1275" s="9" t="inlineStr"/>
      <c r="O1275" s="4" t="inlineStr"/>
      <c r="P1275" s="4" t="inlineStr"/>
      <c r="Q1275" s="4" t="inlineStr"/>
      <c r="R1275" s="4" t="inlineStr">
        <is>
          <t>2026-03-12</t>
        </is>
      </c>
      <c r="S1275" s="4" t="inlineStr"/>
    </row>
    <row r="1276">
      <c r="A1276" s="10" t="inlineStr">
        <is>
          <t>F01719</t>
        </is>
      </c>
      <c r="B1276" s="10" t="inlineStr">
        <is>
          <t>F01719</t>
        </is>
      </c>
      <c r="C1276" s="10" t="inlineStr"/>
      <c r="D1276" s="10" t="inlineStr"/>
      <c r="E1276" s="10" t="inlineStr">
        <is>
          <t>CLOCKS ASSRTD NO BOXES</t>
        </is>
      </c>
      <c r="F1276" s="10" t="inlineStr"/>
      <c r="G1276" s="10" t="inlineStr"/>
      <c r="H1276" s="10" t="inlineStr"/>
      <c r="I1276" s="11" t="n">
        <v>9.460000000000001</v>
      </c>
      <c r="J1276" s="6" t="n">
        <v>15</v>
      </c>
      <c r="K1276" s="7">
        <f>IF(I1276="","",I1276*(1+J1276/100))</f>
        <v/>
      </c>
      <c r="L1276" s="12" t="inlineStr"/>
      <c r="M1276" s="8">
        <f>IF(OR(L1276="",K1276="",L1276=0),"",
  (L1276-K1276)/L1276*100)</f>
        <v/>
      </c>
      <c r="N1276" s="9" t="inlineStr"/>
      <c r="O1276" s="10" t="inlineStr"/>
      <c r="P1276" s="10" t="inlineStr"/>
      <c r="Q1276" s="10" t="inlineStr"/>
      <c r="R1276" s="10" t="inlineStr">
        <is>
          <t>2026-03-12</t>
        </is>
      </c>
      <c r="S1276" s="10" t="inlineStr"/>
    </row>
    <row r="1277">
      <c r="A1277" s="3" t="inlineStr">
        <is>
          <t>F01720</t>
        </is>
      </c>
      <c r="B1277" s="4" t="inlineStr">
        <is>
          <t>F01720</t>
        </is>
      </c>
      <c r="C1277" s="4" t="inlineStr"/>
      <c r="D1277" s="4" t="inlineStr"/>
      <c r="E1277" s="3" t="inlineStr">
        <is>
          <t>CUTTING BOARD</t>
        </is>
      </c>
      <c r="F1277" s="4" t="inlineStr"/>
      <c r="G1277" s="4" t="inlineStr"/>
      <c r="H1277" s="4" t="inlineStr"/>
      <c r="I1277" s="5" t="n">
        <v>29.04</v>
      </c>
      <c r="J1277" s="6" t="n">
        <v>15</v>
      </c>
      <c r="K1277" s="7">
        <f>IF(I1277="","",I1277*(1+J1277/100))</f>
        <v/>
      </c>
      <c r="L1277" s="12" t="inlineStr"/>
      <c r="M1277" s="8">
        <f>IF(OR(L1277="",K1277="",L1277=0),"",
  (L1277-K1277)/L1277*100)</f>
        <v/>
      </c>
      <c r="N1277" s="9" t="inlineStr"/>
      <c r="O1277" s="4" t="inlineStr"/>
      <c r="P1277" s="4" t="inlineStr"/>
      <c r="Q1277" s="4" t="inlineStr"/>
      <c r="R1277" s="4" t="inlineStr">
        <is>
          <t>2026-03-12</t>
        </is>
      </c>
      <c r="S1277" s="4" t="inlineStr"/>
    </row>
    <row r="1278">
      <c r="A1278" s="10" t="inlineStr">
        <is>
          <t>F01721</t>
        </is>
      </c>
      <c r="B1278" s="10" t="inlineStr">
        <is>
          <t>F01721</t>
        </is>
      </c>
      <c r="C1278" s="10" t="inlineStr"/>
      <c r="D1278" s="10" t="inlineStr"/>
      <c r="E1278" s="10" t="inlineStr">
        <is>
          <t>CUTTING BOARD AND KNIFE</t>
        </is>
      </c>
      <c r="F1278" s="10" t="inlineStr"/>
      <c r="G1278" s="10" t="inlineStr"/>
      <c r="H1278" s="10" t="inlineStr"/>
      <c r="I1278" s="11" t="n">
        <v>29.04</v>
      </c>
      <c r="J1278" s="6" t="n">
        <v>15</v>
      </c>
      <c r="K1278" s="7">
        <f>IF(I1278="","",I1278*(1+J1278/100))</f>
        <v/>
      </c>
      <c r="L1278" s="12" t="inlineStr"/>
      <c r="M1278" s="8">
        <f>IF(OR(L1278="",K1278="",L1278=0),"",
  (L1278-K1278)/L1278*100)</f>
        <v/>
      </c>
      <c r="N1278" s="9" t="inlineStr"/>
      <c r="O1278" s="10" t="inlineStr"/>
      <c r="P1278" s="10" t="inlineStr"/>
      <c r="Q1278" s="10" t="inlineStr"/>
      <c r="R1278" s="10" t="inlineStr">
        <is>
          <t>2026-03-12</t>
        </is>
      </c>
      <c r="S1278" s="10" t="inlineStr"/>
    </row>
    <row r="1279">
      <c r="A1279" s="3" t="inlineStr">
        <is>
          <t>F01722</t>
        </is>
      </c>
      <c r="B1279" s="4" t="inlineStr">
        <is>
          <t>F01722</t>
        </is>
      </c>
      <c r="C1279" s="4" t="inlineStr"/>
      <c r="D1279" s="4" t="inlineStr"/>
      <c r="E1279" s="3" t="inlineStr">
        <is>
          <t>LOCK SET CYLINDER DAMAGED PACKAGING</t>
        </is>
      </c>
      <c r="F1279" s="4" t="inlineStr"/>
      <c r="G1279" s="4" t="inlineStr"/>
      <c r="H1279" s="4" t="inlineStr"/>
      <c r="I1279" s="5" t="n">
        <v>27.25</v>
      </c>
      <c r="J1279" s="6" t="n">
        <v>15</v>
      </c>
      <c r="K1279" s="7">
        <f>IF(I1279="","",I1279*(1+J1279/100))</f>
        <v/>
      </c>
      <c r="L1279" s="12" t="inlineStr"/>
      <c r="M1279" s="8">
        <f>IF(OR(L1279="",K1279="",L1279=0),"",
  (L1279-K1279)/L1279*100)</f>
        <v/>
      </c>
      <c r="N1279" s="9" t="inlineStr"/>
      <c r="O1279" s="4" t="inlineStr"/>
      <c r="P1279" s="4" t="inlineStr"/>
      <c r="Q1279" s="4" t="inlineStr"/>
      <c r="R1279" s="4" t="inlineStr">
        <is>
          <t>2026-03-12</t>
        </is>
      </c>
      <c r="S1279" s="4" t="inlineStr"/>
    </row>
    <row r="1280">
      <c r="A1280" s="10" t="inlineStr">
        <is>
          <t>F01723</t>
        </is>
      </c>
      <c r="B1280" s="10" t="inlineStr">
        <is>
          <t>F01723</t>
        </is>
      </c>
      <c r="C1280" s="10" t="inlineStr"/>
      <c r="D1280" s="10" t="inlineStr">
        <is>
          <t>6009705656124</t>
        </is>
      </c>
      <c r="E1280" s="10" t="inlineStr">
        <is>
          <t>PLATE ASS CHIPPED/MARKED</t>
        </is>
      </c>
      <c r="F1280" s="10" t="inlineStr"/>
      <c r="G1280" s="10" t="inlineStr"/>
      <c r="H1280" s="10" t="inlineStr"/>
      <c r="I1280" s="11" t="n">
        <v>4.18</v>
      </c>
      <c r="J1280" s="6" t="n">
        <v>15</v>
      </c>
      <c r="K1280" s="7">
        <f>IF(I1280="","",I1280*(1+J1280/100))</f>
        <v/>
      </c>
      <c r="L1280" s="12" t="inlineStr"/>
      <c r="M1280" s="8">
        <f>IF(OR(L1280="",K1280="",L1280=0),"",
  (L1280-K1280)/L1280*100)</f>
        <v/>
      </c>
      <c r="N1280" s="9" t="inlineStr"/>
      <c r="O1280" s="10" t="inlineStr"/>
      <c r="P1280" s="10" t="inlineStr"/>
      <c r="Q1280" s="10" t="inlineStr"/>
      <c r="R1280" s="10" t="inlineStr">
        <is>
          <t>2026-03-12</t>
        </is>
      </c>
      <c r="S1280" s="10" t="inlineStr"/>
    </row>
    <row r="1281">
      <c r="A1281" s="3" t="inlineStr">
        <is>
          <t>F01725</t>
        </is>
      </c>
      <c r="B1281" s="4" t="inlineStr">
        <is>
          <t>F01725</t>
        </is>
      </c>
      <c r="C1281" s="4" t="inlineStr"/>
      <c r="D1281" s="4" t="inlineStr"/>
      <c r="E1281" s="3" t="inlineStr">
        <is>
          <t>DOOR STEEL DAMAGED BDK1419 RIGHT SINGLE</t>
        </is>
      </c>
      <c r="F1281" s="4" t="inlineStr"/>
      <c r="G1281" s="4" t="inlineStr"/>
      <c r="H1281" s="4" t="inlineStr"/>
      <c r="I1281" s="5" t="n">
        <v>1</v>
      </c>
      <c r="J1281" s="6" t="n">
        <v>15</v>
      </c>
      <c r="K1281" s="7">
        <f>IF(I1281="","",I1281*(1+J1281/100))</f>
        <v/>
      </c>
      <c r="L1281" s="12" t="inlineStr"/>
      <c r="M1281" s="8">
        <f>IF(OR(L1281="",K1281="",L1281=0),"",
  (L1281-K1281)/L1281*100)</f>
        <v/>
      </c>
      <c r="N1281" s="9" t="inlineStr"/>
      <c r="O1281" s="4" t="inlineStr"/>
      <c r="P1281" s="4" t="inlineStr"/>
      <c r="Q1281" s="4" t="inlineStr"/>
      <c r="R1281" s="4" t="inlineStr">
        <is>
          <t>2026-03-12</t>
        </is>
      </c>
      <c r="S1281" s="4" t="inlineStr"/>
    </row>
    <row r="1282">
      <c r="A1282" s="10" t="inlineStr">
        <is>
          <t>F01726</t>
        </is>
      </c>
      <c r="B1282" s="10" t="inlineStr">
        <is>
          <t>F01726</t>
        </is>
      </c>
      <c r="C1282" s="10" t="inlineStr"/>
      <c r="D1282" s="10" t="inlineStr"/>
      <c r="E1282" s="10" t="inlineStr">
        <is>
          <t>DOOR -STEEL DAMAGED BDS-1145 RIGHT SINGL</t>
        </is>
      </c>
      <c r="F1282" s="10" t="inlineStr"/>
      <c r="G1282" s="10" t="inlineStr"/>
      <c r="H1282" s="10" t="inlineStr"/>
      <c r="I1282" s="11" t="n">
        <v>1</v>
      </c>
      <c r="J1282" s="6" t="n">
        <v>15</v>
      </c>
      <c r="K1282" s="7">
        <f>IF(I1282="","",I1282*(1+J1282/100))</f>
        <v/>
      </c>
      <c r="L1282" s="12" t="inlineStr"/>
      <c r="M1282" s="8">
        <f>IF(OR(L1282="",K1282="",L1282=0),"",
  (L1282-K1282)/L1282*100)</f>
        <v/>
      </c>
      <c r="N1282" s="9" t="inlineStr"/>
      <c r="O1282" s="10" t="inlineStr"/>
      <c r="P1282" s="10" t="inlineStr"/>
      <c r="Q1282" s="10" t="inlineStr"/>
      <c r="R1282" s="10" t="inlineStr">
        <is>
          <t>2026-03-12</t>
        </is>
      </c>
      <c r="S1282" s="10" t="inlineStr"/>
    </row>
    <row r="1283">
      <c r="A1283" s="3" t="inlineStr">
        <is>
          <t>F01727</t>
        </is>
      </c>
      <c r="B1283" s="4" t="inlineStr">
        <is>
          <t>F01727</t>
        </is>
      </c>
      <c r="C1283" s="4" t="inlineStr"/>
      <c r="D1283" s="4" t="inlineStr"/>
      <c r="E1283" s="3" t="inlineStr">
        <is>
          <t>DOOR  STEEL DAMAGED BDS-1132 RIGHT DOUBL</t>
        </is>
      </c>
      <c r="F1283" s="4" t="inlineStr"/>
      <c r="G1283" s="4" t="inlineStr"/>
      <c r="H1283" s="4" t="inlineStr"/>
      <c r="I1283" s="5" t="n">
        <v>1</v>
      </c>
      <c r="J1283" s="6" t="n">
        <v>15</v>
      </c>
      <c r="K1283" s="7">
        <f>IF(I1283="","",I1283*(1+J1283/100))</f>
        <v/>
      </c>
      <c r="L1283" s="12" t="inlineStr"/>
      <c r="M1283" s="8">
        <f>IF(OR(L1283="",K1283="",L1283=0),"",
  (L1283-K1283)/L1283*100)</f>
        <v/>
      </c>
      <c r="N1283" s="9" t="inlineStr"/>
      <c r="O1283" s="4" t="inlineStr"/>
      <c r="P1283" s="4" t="inlineStr"/>
      <c r="Q1283" s="4" t="inlineStr"/>
      <c r="R1283" s="4" t="inlineStr">
        <is>
          <t>2026-03-12</t>
        </is>
      </c>
      <c r="S1283" s="4" t="inlineStr"/>
    </row>
    <row r="1284">
      <c r="A1284" s="10" t="inlineStr">
        <is>
          <t>F01728</t>
        </is>
      </c>
      <c r="B1284" s="10" t="inlineStr">
        <is>
          <t>F01728</t>
        </is>
      </c>
      <c r="C1284" s="10" t="inlineStr"/>
      <c r="D1284" s="10" t="inlineStr"/>
      <c r="E1284" s="10" t="inlineStr">
        <is>
          <t>DOOR STEEL DAMAGED  BDS1145 RIGHT DOUBLE</t>
        </is>
      </c>
      <c r="F1284" s="10" t="inlineStr"/>
      <c r="G1284" s="10" t="inlineStr"/>
      <c r="H1284" s="10" t="inlineStr"/>
      <c r="I1284" s="11" t="n">
        <v>1</v>
      </c>
      <c r="J1284" s="6" t="n">
        <v>15</v>
      </c>
      <c r="K1284" s="7">
        <f>IF(I1284="","",I1284*(1+J1284/100))</f>
        <v/>
      </c>
      <c r="L1284" s="12" t="inlineStr"/>
      <c r="M1284" s="8">
        <f>IF(OR(L1284="",K1284="",L1284=0),"",
  (L1284-K1284)/L1284*100)</f>
        <v/>
      </c>
      <c r="N1284" s="9" t="inlineStr"/>
      <c r="O1284" s="10" t="inlineStr"/>
      <c r="P1284" s="10" t="inlineStr"/>
      <c r="Q1284" s="10" t="inlineStr"/>
      <c r="R1284" s="10" t="inlineStr">
        <is>
          <t>2026-03-12</t>
        </is>
      </c>
      <c r="S1284" s="10" t="inlineStr"/>
    </row>
    <row r="1285">
      <c r="A1285" s="3" t="inlineStr">
        <is>
          <t>F01729</t>
        </is>
      </c>
      <c r="B1285" s="4" t="inlineStr">
        <is>
          <t>F01729</t>
        </is>
      </c>
      <c r="C1285" s="4" t="inlineStr"/>
      <c r="D1285" s="4" t="inlineStr"/>
      <c r="E1285" s="3" t="inlineStr">
        <is>
          <t>DOOR DAMAGED MERANTI 6 PANEL (H) STAIN</t>
        </is>
      </c>
      <c r="F1285" s="4" t="inlineStr"/>
      <c r="G1285" s="4" t="inlineStr"/>
      <c r="H1285" s="4" t="inlineStr"/>
      <c r="I1285" s="5" t="n">
        <v>396.6</v>
      </c>
      <c r="J1285" s="6" t="n">
        <v>15</v>
      </c>
      <c r="K1285" s="7">
        <f>IF(I1285="","",I1285*(1+J1285/100))</f>
        <v/>
      </c>
      <c r="L1285" s="12" t="inlineStr"/>
      <c r="M1285" s="8">
        <f>IF(OR(L1285="",K1285="",L1285=0),"",
  (L1285-K1285)/L1285*100)</f>
        <v/>
      </c>
      <c r="N1285" s="9" t="inlineStr"/>
      <c r="O1285" s="4" t="inlineStr"/>
      <c r="P1285" s="4" t="inlineStr"/>
      <c r="Q1285" s="4" t="inlineStr"/>
      <c r="R1285" s="4" t="inlineStr">
        <is>
          <t>2026-03-12</t>
        </is>
      </c>
      <c r="S1285" s="4" t="inlineStr"/>
    </row>
    <row r="1286">
      <c r="A1286" s="10" t="inlineStr">
        <is>
          <t>F01730</t>
        </is>
      </c>
      <c r="B1286" s="10" t="inlineStr">
        <is>
          <t>F01730</t>
        </is>
      </c>
      <c r="C1286" s="10" t="inlineStr"/>
      <c r="D1286" s="10" t="inlineStr"/>
      <c r="E1286" s="10" t="inlineStr">
        <is>
          <t>DOOR -STEEL DAMAGED BDS-1132 LEFT SINGLE</t>
        </is>
      </c>
      <c r="F1286" s="10" t="inlineStr"/>
      <c r="G1286" s="10" t="inlineStr"/>
      <c r="H1286" s="10" t="inlineStr"/>
      <c r="I1286" s="11" t="n">
        <v>1</v>
      </c>
      <c r="J1286" s="6" t="n">
        <v>15</v>
      </c>
      <c r="K1286" s="7">
        <f>IF(I1286="","",I1286*(1+J1286/100))</f>
        <v/>
      </c>
      <c r="L1286" s="12" t="inlineStr"/>
      <c r="M1286" s="8">
        <f>IF(OR(L1286="",K1286="",L1286=0),"",
  (L1286-K1286)/L1286*100)</f>
        <v/>
      </c>
      <c r="N1286" s="9" t="inlineStr"/>
      <c r="O1286" s="10" t="inlineStr"/>
      <c r="P1286" s="10" t="inlineStr"/>
      <c r="Q1286" s="10" t="inlineStr"/>
      <c r="R1286" s="10" t="inlineStr">
        <is>
          <t>2026-03-12</t>
        </is>
      </c>
      <c r="S1286" s="10" t="inlineStr"/>
    </row>
    <row r="1287">
      <c r="A1287" s="3" t="inlineStr">
        <is>
          <t>F01731</t>
        </is>
      </c>
      <c r="B1287" s="4" t="inlineStr">
        <is>
          <t>F01731</t>
        </is>
      </c>
      <c r="C1287" s="4" t="inlineStr">
        <is>
          <t>10167</t>
        </is>
      </c>
      <c r="D1287" s="4" t="inlineStr">
        <is>
          <t>0658325081206</t>
        </is>
      </c>
      <c r="E1287" s="3" t="inlineStr">
        <is>
          <t>DUSTPAN WITH LIP</t>
        </is>
      </c>
      <c r="F1287" s="4" t="inlineStr"/>
      <c r="G1287" s="4" t="inlineStr"/>
      <c r="H1287" s="4" t="inlineStr"/>
      <c r="I1287" s="5" t="n">
        <v>7.49</v>
      </c>
      <c r="J1287" s="6" t="n">
        <v>15</v>
      </c>
      <c r="K1287" s="7">
        <f>IF(I1287="","",I1287*(1+J1287/100))</f>
        <v/>
      </c>
      <c r="L1287" s="5" t="n">
        <v>140</v>
      </c>
      <c r="M1287" s="8">
        <f>IF(OR(L1287="",K1287="",L1287=0),"",
  (L1287-K1287)/L1287*100)</f>
        <v/>
      </c>
      <c r="N1287" s="14" t="n">
        <v>224</v>
      </c>
      <c r="O1287" s="4" t="inlineStr"/>
      <c r="P1287" s="4" t="inlineStr"/>
      <c r="Q1287" s="4" t="inlineStr"/>
      <c r="R1287" s="4" t="inlineStr">
        <is>
          <t>2026-03-12</t>
        </is>
      </c>
      <c r="S1287" s="4" t="inlineStr"/>
    </row>
    <row r="1288">
      <c r="A1288" s="10" t="inlineStr">
        <is>
          <t>F01732</t>
        </is>
      </c>
      <c r="B1288" s="10" t="inlineStr">
        <is>
          <t>F01732</t>
        </is>
      </c>
      <c r="C1288" s="10" t="inlineStr"/>
      <c r="D1288" s="10" t="inlineStr"/>
      <c r="E1288" s="10" t="inlineStr">
        <is>
          <t>MEDALLION DAMAGED  POLYSTYRENE EPS   -</t>
        </is>
      </c>
      <c r="F1288" s="10" t="inlineStr"/>
      <c r="G1288" s="10" t="inlineStr"/>
      <c r="H1288" s="10" t="inlineStr"/>
      <c r="I1288" s="11" t="n">
        <v>97.66</v>
      </c>
      <c r="J1288" s="6" t="n">
        <v>15</v>
      </c>
      <c r="K1288" s="7">
        <f>IF(I1288="","",I1288*(1+J1288/100))</f>
        <v/>
      </c>
      <c r="L1288" s="12" t="inlineStr"/>
      <c r="M1288" s="8">
        <f>IF(OR(L1288="",K1288="",L1288=0),"",
  (L1288-K1288)/L1288*100)</f>
        <v/>
      </c>
      <c r="N1288" s="9" t="inlineStr"/>
      <c r="O1288" s="10" t="inlineStr"/>
      <c r="P1288" s="10" t="inlineStr"/>
      <c r="Q1288" s="10" t="inlineStr"/>
      <c r="R1288" s="10" t="inlineStr">
        <is>
          <t>2026-03-12</t>
        </is>
      </c>
      <c r="S1288" s="10" t="inlineStr"/>
    </row>
    <row r="1289">
      <c r="A1289" s="3" t="inlineStr">
        <is>
          <t>F01733</t>
        </is>
      </c>
      <c r="B1289" s="4" t="inlineStr">
        <is>
          <t>F01733</t>
        </is>
      </c>
      <c r="C1289" s="4" t="inlineStr"/>
      <c r="D1289" s="4" t="inlineStr"/>
      <c r="E1289" s="3" t="inlineStr">
        <is>
          <t>CORNICES DAMAGED ASSORTED</t>
        </is>
      </c>
      <c r="F1289" s="4" t="inlineStr"/>
      <c r="G1289" s="4" t="inlineStr"/>
      <c r="H1289" s="4" t="inlineStr"/>
      <c r="I1289" s="5" t="n">
        <v>97.66</v>
      </c>
      <c r="J1289" s="6" t="n">
        <v>15</v>
      </c>
      <c r="K1289" s="7">
        <f>IF(I1289="","",I1289*(1+J1289/100))</f>
        <v/>
      </c>
      <c r="L1289" s="12" t="inlineStr"/>
      <c r="M1289" s="8">
        <f>IF(OR(L1289="",K1289="",L1289=0),"",
  (L1289-K1289)/L1289*100)</f>
        <v/>
      </c>
      <c r="N1289" s="9" t="inlineStr"/>
      <c r="O1289" s="4" t="inlineStr"/>
      <c r="P1289" s="4" t="inlineStr"/>
      <c r="Q1289" s="4" t="inlineStr"/>
      <c r="R1289" s="4" t="inlineStr">
        <is>
          <t>2026-03-12</t>
        </is>
      </c>
      <c r="S1289" s="4" t="inlineStr"/>
    </row>
    <row r="1290">
      <c r="A1290" s="10" t="inlineStr">
        <is>
          <t>F01734</t>
        </is>
      </c>
      <c r="B1290" s="10" t="inlineStr">
        <is>
          <t>F01734</t>
        </is>
      </c>
      <c r="C1290" s="10" t="inlineStr"/>
      <c r="D1290" s="10" t="inlineStr"/>
      <c r="E1290" s="10" t="inlineStr">
        <is>
          <t>PEEL &amp; STICK A FRAME STANDS</t>
        </is>
      </c>
      <c r="F1290" s="10" t="inlineStr"/>
      <c r="G1290" s="10" t="inlineStr"/>
      <c r="H1290" s="10" t="inlineStr"/>
      <c r="I1290" s="11" t="n">
        <v>600</v>
      </c>
      <c r="J1290" s="6" t="n">
        <v>15</v>
      </c>
      <c r="K1290" s="7">
        <f>IF(I1290="","",I1290*(1+J1290/100))</f>
        <v/>
      </c>
      <c r="L1290" s="12" t="inlineStr"/>
      <c r="M1290" s="8">
        <f>IF(OR(L1290="",K1290="",L1290=0),"",
  (L1290-K1290)/L1290*100)</f>
        <v/>
      </c>
      <c r="N1290" s="9" t="inlineStr"/>
      <c r="O1290" s="10" t="inlineStr"/>
      <c r="P1290" s="10" t="inlineStr"/>
      <c r="Q1290" s="10" t="inlineStr"/>
      <c r="R1290" s="10" t="inlineStr">
        <is>
          <t>2026-03-12</t>
        </is>
      </c>
      <c r="S1290" s="10" t="inlineStr"/>
    </row>
    <row r="1291">
      <c r="A1291" s="3" t="inlineStr">
        <is>
          <t>F01735</t>
        </is>
      </c>
      <c r="B1291" s="4" t="inlineStr">
        <is>
          <t>F01735</t>
        </is>
      </c>
      <c r="C1291" s="4" t="inlineStr"/>
      <c r="D1291" s="4" t="inlineStr">
        <is>
          <t>6956896486326</t>
        </is>
      </c>
      <c r="E1291" s="3" t="inlineStr">
        <is>
          <t>TOOTH PICK 3s</t>
        </is>
      </c>
      <c r="F1291" s="4" t="inlineStr"/>
      <c r="G1291" s="4" t="inlineStr"/>
      <c r="H1291" s="4" t="inlineStr"/>
      <c r="I1291" s="5" t="n">
        <v>4.36</v>
      </c>
      <c r="J1291" s="6" t="n">
        <v>15</v>
      </c>
      <c r="K1291" s="7">
        <f>IF(I1291="","",I1291*(1+J1291/100))</f>
        <v/>
      </c>
      <c r="L1291" s="12" t="inlineStr"/>
      <c r="M1291" s="8">
        <f>IF(OR(L1291="",K1291="",L1291=0),"",
  (L1291-K1291)/L1291*100)</f>
        <v/>
      </c>
      <c r="N1291" s="9" t="inlineStr"/>
      <c r="O1291" s="4" t="inlineStr"/>
      <c r="P1291" s="4" t="inlineStr"/>
      <c r="Q1291" s="4" t="inlineStr"/>
      <c r="R1291" s="4" t="inlineStr">
        <is>
          <t>2026-03-12</t>
        </is>
      </c>
      <c r="S1291" s="4" t="inlineStr"/>
    </row>
    <row r="1292">
      <c r="A1292" s="10" t="inlineStr">
        <is>
          <t>F01736</t>
        </is>
      </c>
      <c r="B1292" s="10" t="inlineStr">
        <is>
          <t>F01736</t>
        </is>
      </c>
      <c r="C1292" s="10" t="inlineStr"/>
      <c r="D1292" s="10" t="inlineStr"/>
      <c r="E1292" s="10" t="inlineStr">
        <is>
          <t>STEEL DOORS HANDLE SETS</t>
        </is>
      </c>
      <c r="F1292" s="10" t="inlineStr"/>
      <c r="G1292" s="10" t="inlineStr"/>
      <c r="H1292" s="10" t="inlineStr"/>
      <c r="I1292" s="11" t="n">
        <v>1</v>
      </c>
      <c r="J1292" s="6" t="n">
        <v>15</v>
      </c>
      <c r="K1292" s="7">
        <f>IF(I1292="","",I1292*(1+J1292/100))</f>
        <v/>
      </c>
      <c r="L1292" s="12" t="inlineStr"/>
      <c r="M1292" s="8">
        <f>IF(OR(L1292="",K1292="",L1292=0),"",
  (L1292-K1292)/L1292*100)</f>
        <v/>
      </c>
      <c r="N1292" s="9" t="inlineStr"/>
      <c r="O1292" s="10" t="inlineStr"/>
      <c r="P1292" s="10" t="inlineStr"/>
      <c r="Q1292" s="10" t="inlineStr"/>
      <c r="R1292" s="10" t="inlineStr">
        <is>
          <t>2026-03-12</t>
        </is>
      </c>
      <c r="S1292" s="10" t="inlineStr"/>
    </row>
    <row r="1293">
      <c r="A1293" s="3" t="inlineStr">
        <is>
          <t>F01737</t>
        </is>
      </c>
      <c r="B1293" s="4" t="inlineStr">
        <is>
          <t>F01737</t>
        </is>
      </c>
      <c r="C1293" s="4" t="inlineStr"/>
      <c r="D1293" s="4" t="inlineStr"/>
      <c r="E1293" s="3" t="inlineStr">
        <is>
          <t>GLASS MIRROR FOR STEEL DOORS</t>
        </is>
      </c>
      <c r="F1293" s="4" t="inlineStr"/>
      <c r="G1293" s="4" t="inlineStr"/>
      <c r="H1293" s="4" t="inlineStr"/>
      <c r="I1293" s="5" t="n">
        <v>1</v>
      </c>
      <c r="J1293" s="6" t="n">
        <v>15</v>
      </c>
      <c r="K1293" s="7">
        <f>IF(I1293="","",I1293*(1+J1293/100))</f>
        <v/>
      </c>
      <c r="L1293" s="12" t="inlineStr"/>
      <c r="M1293" s="8">
        <f>IF(OR(L1293="",K1293="",L1293=0),"",
  (L1293-K1293)/L1293*100)</f>
        <v/>
      </c>
      <c r="N1293" s="9" t="inlineStr"/>
      <c r="O1293" s="4" t="inlineStr"/>
      <c r="P1293" s="4" t="inlineStr"/>
      <c r="Q1293" s="4" t="inlineStr"/>
      <c r="R1293" s="4" t="inlineStr">
        <is>
          <t>2026-03-12</t>
        </is>
      </c>
      <c r="S1293" s="4" t="inlineStr"/>
    </row>
    <row r="1294">
      <c r="A1294" s="10" t="inlineStr">
        <is>
          <t>F01738</t>
        </is>
      </c>
      <c r="B1294" s="10" t="inlineStr">
        <is>
          <t>F01738</t>
        </is>
      </c>
      <c r="C1294" s="10" t="inlineStr"/>
      <c r="D1294" s="10" t="inlineStr"/>
      <c r="E1294" s="10" t="inlineStr">
        <is>
          <t>STEEL DOOR LOCK MECHANISM WITH KEYS</t>
        </is>
      </c>
      <c r="F1294" s="10" t="inlineStr"/>
      <c r="G1294" s="10" t="inlineStr"/>
      <c r="H1294" s="10" t="inlineStr"/>
      <c r="I1294" s="11" t="n">
        <v>1</v>
      </c>
      <c r="J1294" s="6" t="n">
        <v>15</v>
      </c>
      <c r="K1294" s="7">
        <f>IF(I1294="","",I1294*(1+J1294/100))</f>
        <v/>
      </c>
      <c r="L1294" s="12" t="inlineStr"/>
      <c r="M1294" s="8">
        <f>IF(OR(L1294="",K1294="",L1294=0),"",
  (L1294-K1294)/L1294*100)</f>
        <v/>
      </c>
      <c r="N1294" s="9" t="inlineStr"/>
      <c r="O1294" s="10" t="inlineStr"/>
      <c r="P1294" s="10" t="inlineStr"/>
      <c r="Q1294" s="10" t="inlineStr"/>
      <c r="R1294" s="10" t="inlineStr">
        <is>
          <t>2026-03-12</t>
        </is>
      </c>
      <c r="S1294" s="10" t="inlineStr"/>
    </row>
    <row r="1295">
      <c r="A1295" s="3" t="inlineStr">
        <is>
          <t>F01739</t>
        </is>
      </c>
      <c r="B1295" s="4" t="inlineStr">
        <is>
          <t>F01739</t>
        </is>
      </c>
      <c r="C1295" s="4" t="inlineStr"/>
      <c r="D1295" s="4" t="inlineStr"/>
      <c r="E1295" s="3" t="inlineStr">
        <is>
          <t>STEEL DOORS HANDLE SMALL</t>
        </is>
      </c>
      <c r="F1295" s="4" t="inlineStr"/>
      <c r="G1295" s="4" t="inlineStr"/>
      <c r="H1295" s="4" t="inlineStr"/>
      <c r="I1295" s="5" t="n">
        <v>30.06</v>
      </c>
      <c r="J1295" s="6" t="n">
        <v>15</v>
      </c>
      <c r="K1295" s="7">
        <f>IF(I1295="","",I1295*(1+J1295/100))</f>
        <v/>
      </c>
      <c r="L1295" s="12" t="inlineStr"/>
      <c r="M1295" s="8">
        <f>IF(OR(L1295="",K1295="",L1295=0),"",
  (L1295-K1295)/L1295*100)</f>
        <v/>
      </c>
      <c r="N1295" s="9" t="inlineStr"/>
      <c r="O1295" s="4" t="inlineStr"/>
      <c r="P1295" s="4" t="inlineStr"/>
      <c r="Q1295" s="4" t="inlineStr"/>
      <c r="R1295" s="4" t="inlineStr">
        <is>
          <t>2026-03-12</t>
        </is>
      </c>
      <c r="S1295" s="4" t="inlineStr"/>
    </row>
    <row r="1296">
      <c r="A1296" s="10" t="inlineStr">
        <is>
          <t>F01740</t>
        </is>
      </c>
      <c r="B1296" s="10" t="inlineStr">
        <is>
          <t>F01740</t>
        </is>
      </c>
      <c r="C1296" s="10" t="inlineStr"/>
      <c r="D1296" s="10" t="inlineStr"/>
      <c r="E1296" s="10" t="inlineStr">
        <is>
          <t>STEEL DOORS HANDLE BIG</t>
        </is>
      </c>
      <c r="F1296" s="10" t="inlineStr"/>
      <c r="G1296" s="10" t="inlineStr"/>
      <c r="H1296" s="10" t="inlineStr"/>
      <c r="I1296" s="11" t="n">
        <v>30.06</v>
      </c>
      <c r="J1296" s="6" t="n">
        <v>15</v>
      </c>
      <c r="K1296" s="7">
        <f>IF(I1296="","",I1296*(1+J1296/100))</f>
        <v/>
      </c>
      <c r="L1296" s="12" t="inlineStr"/>
      <c r="M1296" s="8">
        <f>IF(OR(L1296="",K1296="",L1296=0),"",
  (L1296-K1296)/L1296*100)</f>
        <v/>
      </c>
      <c r="N1296" s="9" t="inlineStr"/>
      <c r="O1296" s="10" t="inlineStr"/>
      <c r="P1296" s="10" t="inlineStr"/>
      <c r="Q1296" s="10" t="inlineStr"/>
      <c r="R1296" s="10" t="inlineStr">
        <is>
          <t>2026-03-12</t>
        </is>
      </c>
      <c r="S1296" s="10" t="inlineStr"/>
    </row>
    <row r="1297">
      <c r="A1297" s="3" t="inlineStr">
        <is>
          <t>F01741</t>
        </is>
      </c>
      <c r="B1297" s="4" t="inlineStr">
        <is>
          <t>F01741</t>
        </is>
      </c>
      <c r="C1297" s="4" t="inlineStr"/>
      <c r="D1297" s="4" t="inlineStr"/>
      <c r="E1297" s="3" t="inlineStr">
        <is>
          <t>LOCK MECHANISM BIG</t>
        </is>
      </c>
      <c r="F1297" s="4" t="inlineStr"/>
      <c r="G1297" s="4" t="inlineStr"/>
      <c r="H1297" s="4" t="inlineStr"/>
      <c r="I1297" s="5" t="n">
        <v>1</v>
      </c>
      <c r="J1297" s="6" t="n">
        <v>15</v>
      </c>
      <c r="K1297" s="7">
        <f>IF(I1297="","",I1297*(1+J1297/100))</f>
        <v/>
      </c>
      <c r="L1297" s="12" t="inlineStr"/>
      <c r="M1297" s="8">
        <f>IF(OR(L1297="",K1297="",L1297=0),"",
  (L1297-K1297)/L1297*100)</f>
        <v/>
      </c>
      <c r="N1297" s="9" t="inlineStr"/>
      <c r="O1297" s="4" t="inlineStr"/>
      <c r="P1297" s="4" t="inlineStr"/>
      <c r="Q1297" s="4" t="inlineStr"/>
      <c r="R1297" s="4" t="inlineStr">
        <is>
          <t>2026-03-12</t>
        </is>
      </c>
      <c r="S1297" s="4" t="inlineStr"/>
    </row>
    <row r="1298">
      <c r="A1298" s="10" t="inlineStr">
        <is>
          <t>F01742</t>
        </is>
      </c>
      <c r="B1298" s="10" t="inlineStr">
        <is>
          <t>F01742</t>
        </is>
      </c>
      <c r="C1298" s="10" t="inlineStr"/>
      <c r="D1298" s="10" t="inlineStr"/>
      <c r="E1298" s="10" t="inlineStr">
        <is>
          <t>LOCK MECHANISM SMALL</t>
        </is>
      </c>
      <c r="F1298" s="10" t="inlineStr"/>
      <c r="G1298" s="10" t="inlineStr"/>
      <c r="H1298" s="10" t="inlineStr"/>
      <c r="I1298" s="11" t="n">
        <v>1</v>
      </c>
      <c r="J1298" s="6" t="n">
        <v>15</v>
      </c>
      <c r="K1298" s="7">
        <f>IF(I1298="","",I1298*(1+J1298/100))</f>
        <v/>
      </c>
      <c r="L1298" s="12" t="inlineStr"/>
      <c r="M1298" s="8">
        <f>IF(OR(L1298="",K1298="",L1298=0),"",
  (L1298-K1298)/L1298*100)</f>
        <v/>
      </c>
      <c r="N1298" s="9" t="inlineStr"/>
      <c r="O1298" s="10" t="inlineStr"/>
      <c r="P1298" s="10" t="inlineStr"/>
      <c r="Q1298" s="10" t="inlineStr"/>
      <c r="R1298" s="10" t="inlineStr">
        <is>
          <t>2026-03-12</t>
        </is>
      </c>
      <c r="S1298" s="10" t="inlineStr"/>
    </row>
    <row r="1299">
      <c r="A1299" s="3" t="inlineStr">
        <is>
          <t>F01743</t>
        </is>
      </c>
      <c r="B1299" s="4" t="inlineStr">
        <is>
          <t>F01743</t>
        </is>
      </c>
      <c r="C1299" s="4" t="inlineStr"/>
      <c r="D1299" s="4" t="inlineStr"/>
      <c r="E1299" s="3" t="inlineStr">
        <is>
          <t>STEEL DOOR SPARE BOXES 910X2050</t>
        </is>
      </c>
      <c r="F1299" s="4" t="inlineStr"/>
      <c r="G1299" s="4" t="inlineStr"/>
      <c r="H1299" s="4" t="inlineStr"/>
      <c r="I1299" s="5" t="n">
        <v>1</v>
      </c>
      <c r="J1299" s="6" t="n">
        <v>15</v>
      </c>
      <c r="K1299" s="7">
        <f>IF(I1299="","",I1299*(1+J1299/100))</f>
        <v/>
      </c>
      <c r="L1299" s="12" t="inlineStr"/>
      <c r="M1299" s="8">
        <f>IF(OR(L1299="",K1299="",L1299=0),"",
  (L1299-K1299)/L1299*100)</f>
        <v/>
      </c>
      <c r="N1299" s="9" t="inlineStr"/>
      <c r="O1299" s="4" t="inlineStr"/>
      <c r="P1299" s="4" t="inlineStr"/>
      <c r="Q1299" s="4" t="inlineStr"/>
      <c r="R1299" s="4" t="inlineStr">
        <is>
          <t>2026-03-12</t>
        </is>
      </c>
      <c r="S1299" s="4" t="inlineStr"/>
    </row>
    <row r="1300">
      <c r="A1300" s="10" t="inlineStr">
        <is>
          <t>F01744</t>
        </is>
      </c>
      <c r="B1300" s="10" t="inlineStr">
        <is>
          <t>F01744</t>
        </is>
      </c>
      <c r="C1300" s="10" t="inlineStr"/>
      <c r="D1300" s="10" t="inlineStr"/>
      <c r="E1300" s="10" t="inlineStr">
        <is>
          <t>STEEL DOOR SPARE BOXES 1200X2050</t>
        </is>
      </c>
      <c r="F1300" s="10" t="inlineStr"/>
      <c r="G1300" s="10" t="inlineStr"/>
      <c r="H1300" s="10" t="inlineStr"/>
      <c r="I1300" s="11" t="n">
        <v>1</v>
      </c>
      <c r="J1300" s="6" t="n">
        <v>15</v>
      </c>
      <c r="K1300" s="7">
        <f>IF(I1300="","",I1300*(1+J1300/100))</f>
        <v/>
      </c>
      <c r="L1300" s="12" t="inlineStr"/>
      <c r="M1300" s="8">
        <f>IF(OR(L1300="",K1300="",L1300=0),"",
  (L1300-K1300)/L1300*100)</f>
        <v/>
      </c>
      <c r="N1300" s="9" t="inlineStr"/>
      <c r="O1300" s="10" t="inlineStr"/>
      <c r="P1300" s="10" t="inlineStr"/>
      <c r="Q1300" s="10" t="inlineStr"/>
      <c r="R1300" s="10" t="inlineStr">
        <is>
          <t>2026-03-12</t>
        </is>
      </c>
      <c r="S1300" s="10" t="inlineStr"/>
    </row>
    <row r="1301">
      <c r="A1301" s="3" t="inlineStr">
        <is>
          <t>F01745</t>
        </is>
      </c>
      <c r="B1301" s="4" t="inlineStr">
        <is>
          <t>F01745</t>
        </is>
      </c>
      <c r="C1301" s="4" t="inlineStr"/>
      <c r="D1301" s="4" t="inlineStr">
        <is>
          <t>6009677013829</t>
        </is>
      </c>
      <c r="E1301" s="3" t="inlineStr">
        <is>
          <t>DH-003 PVC CEILING 3900*300*6MM</t>
        </is>
      </c>
      <c r="F1301" s="4" t="inlineStr"/>
      <c r="G1301" s="4" t="inlineStr"/>
      <c r="H1301" s="4" t="inlineStr"/>
      <c r="I1301" s="5" t="n">
        <v>409</v>
      </c>
      <c r="J1301" s="6" t="n">
        <v>15</v>
      </c>
      <c r="K1301" s="7">
        <f>IF(I1301="","",I1301*(1+J1301/100))</f>
        <v/>
      </c>
      <c r="L1301" s="12" t="inlineStr"/>
      <c r="M1301" s="8">
        <f>IF(OR(L1301="",K1301="",L1301=0),"",
  (L1301-K1301)/L1301*100)</f>
        <v/>
      </c>
      <c r="N1301" s="9" t="inlineStr"/>
      <c r="O1301" s="4" t="inlineStr"/>
      <c r="P1301" s="4" t="inlineStr"/>
      <c r="Q1301" s="4" t="inlineStr"/>
      <c r="R1301" s="4" t="inlineStr">
        <is>
          <t>2026-03-12</t>
        </is>
      </c>
      <c r="S1301" s="4" t="inlineStr"/>
    </row>
    <row r="1302">
      <c r="A1302" s="10" t="inlineStr">
        <is>
          <t>F01755</t>
        </is>
      </c>
      <c r="B1302" s="10" t="inlineStr">
        <is>
          <t>F01755</t>
        </is>
      </c>
      <c r="C1302" s="10" t="inlineStr"/>
      <c r="D1302" s="10" t="inlineStr"/>
      <c r="E1302" s="10" t="inlineStr">
        <is>
          <t>VINYL SPONGE BAK 2MX3MTR(SHRINK)</t>
        </is>
      </c>
      <c r="F1302" s="10" t="inlineStr"/>
      <c r="G1302" s="10" t="inlineStr"/>
      <c r="H1302" s="10" t="inlineStr"/>
      <c r="I1302" s="11" t="n">
        <v>95.8</v>
      </c>
      <c r="J1302" s="6" t="n">
        <v>15</v>
      </c>
      <c r="K1302" s="7">
        <f>IF(I1302="","",I1302*(1+J1302/100))</f>
        <v/>
      </c>
      <c r="L1302" s="12" t="inlineStr"/>
      <c r="M1302" s="8">
        <f>IF(OR(L1302="",K1302="",L1302=0),"",
  (L1302-K1302)/L1302*100)</f>
        <v/>
      </c>
      <c r="N1302" s="9" t="inlineStr"/>
      <c r="O1302" s="10" t="inlineStr"/>
      <c r="P1302" s="10" t="inlineStr"/>
      <c r="Q1302" s="10" t="inlineStr"/>
      <c r="R1302" s="10" t="inlineStr">
        <is>
          <t>2026-03-12</t>
        </is>
      </c>
      <c r="S1302" s="10" t="inlineStr"/>
    </row>
    <row r="1303">
      <c r="A1303" s="3" t="inlineStr">
        <is>
          <t>F01756</t>
        </is>
      </c>
      <c r="B1303" s="4" t="inlineStr">
        <is>
          <t>F01756</t>
        </is>
      </c>
      <c r="C1303" s="4" t="inlineStr"/>
      <c r="D1303" s="4" t="inlineStr">
        <is>
          <t>6009677013430</t>
        </is>
      </c>
      <c r="E1303" s="3" t="inlineStr">
        <is>
          <t>ROPE 8MM X 30M NYLON (SK830)</t>
        </is>
      </c>
      <c r="F1303" s="4" t="inlineStr"/>
      <c r="G1303" s="4" t="inlineStr"/>
      <c r="H1303" s="4" t="inlineStr"/>
      <c r="I1303" s="5" t="n">
        <v>25.1</v>
      </c>
      <c r="J1303" s="6" t="n">
        <v>15</v>
      </c>
      <c r="K1303" s="7">
        <f>IF(I1303="","",I1303*(1+J1303/100))</f>
        <v/>
      </c>
      <c r="L1303" s="12" t="inlineStr"/>
      <c r="M1303" s="8">
        <f>IF(OR(L1303="",K1303="",L1303=0),"",
  (L1303-K1303)/L1303*100)</f>
        <v/>
      </c>
      <c r="N1303" s="9" t="inlineStr"/>
      <c r="O1303" s="4" t="inlineStr"/>
      <c r="P1303" s="4" t="inlineStr"/>
      <c r="Q1303" s="4" t="inlineStr"/>
      <c r="R1303" s="4" t="inlineStr">
        <is>
          <t>2026-03-12</t>
        </is>
      </c>
      <c r="S1303" s="4" t="inlineStr"/>
    </row>
    <row r="1304">
      <c r="A1304" s="10" t="inlineStr">
        <is>
          <t>F01757</t>
        </is>
      </c>
      <c r="B1304" s="10" t="inlineStr">
        <is>
          <t>F01757</t>
        </is>
      </c>
      <c r="C1304" s="10" t="inlineStr"/>
      <c r="D1304" s="10" t="inlineStr">
        <is>
          <t>6009677013423</t>
        </is>
      </c>
      <c r="E1304" s="10" t="inlineStr">
        <is>
          <t>ROPE 7MM X 30M NYLON (SK730)</t>
        </is>
      </c>
      <c r="F1304" s="10" t="inlineStr"/>
      <c r="G1304" s="10" t="inlineStr"/>
      <c r="H1304" s="10" t="inlineStr"/>
      <c r="I1304" s="11" t="n">
        <v>34.95</v>
      </c>
      <c r="J1304" s="6" t="n">
        <v>15</v>
      </c>
      <c r="K1304" s="7">
        <f>IF(I1304="","",I1304*(1+J1304/100))</f>
        <v/>
      </c>
      <c r="L1304" s="12" t="inlineStr"/>
      <c r="M1304" s="8">
        <f>IF(OR(L1304="",K1304="",L1304=0),"",
  (L1304-K1304)/L1304*100)</f>
        <v/>
      </c>
      <c r="N1304" s="9" t="inlineStr"/>
      <c r="O1304" s="10" t="inlineStr"/>
      <c r="P1304" s="10" t="inlineStr"/>
      <c r="Q1304" s="10" t="inlineStr"/>
      <c r="R1304" s="10" t="inlineStr">
        <is>
          <t>2026-03-12</t>
        </is>
      </c>
      <c r="S1304" s="10" t="inlineStr"/>
    </row>
    <row r="1305">
      <c r="A1305" s="3" t="inlineStr">
        <is>
          <t>F01758</t>
        </is>
      </c>
      <c r="B1305" s="4" t="inlineStr">
        <is>
          <t>F01758</t>
        </is>
      </c>
      <c r="C1305" s="4" t="inlineStr"/>
      <c r="D1305" s="4" t="inlineStr">
        <is>
          <t>6009677013362</t>
        </is>
      </c>
      <c r="E1305" s="3" t="inlineStr">
        <is>
          <t>ROPE 6MM X 30M NYLON (SK630)</t>
        </is>
      </c>
      <c r="F1305" s="4" t="inlineStr"/>
      <c r="G1305" s="4" t="inlineStr"/>
      <c r="H1305" s="4" t="inlineStr"/>
      <c r="I1305" s="5" t="n">
        <v>28.95</v>
      </c>
      <c r="J1305" s="6" t="n">
        <v>15</v>
      </c>
      <c r="K1305" s="7">
        <f>IF(I1305="","",I1305*(1+J1305/100))</f>
        <v/>
      </c>
      <c r="L1305" s="12" t="inlineStr"/>
      <c r="M1305" s="8">
        <f>IF(OR(L1305="",K1305="",L1305=0),"",
  (L1305-K1305)/L1305*100)</f>
        <v/>
      </c>
      <c r="N1305" s="9" t="inlineStr"/>
      <c r="O1305" s="4" t="inlineStr"/>
      <c r="P1305" s="4" t="inlineStr"/>
      <c r="Q1305" s="4" t="inlineStr"/>
      <c r="R1305" s="4" t="inlineStr">
        <is>
          <t>2026-03-12</t>
        </is>
      </c>
      <c r="S1305" s="4" t="inlineStr"/>
    </row>
    <row r="1306">
      <c r="A1306" s="10" t="inlineStr">
        <is>
          <t>F01759</t>
        </is>
      </c>
      <c r="B1306" s="10" t="inlineStr">
        <is>
          <t>F01759</t>
        </is>
      </c>
      <c r="C1306" s="10" t="inlineStr"/>
      <c r="D1306" s="10" t="inlineStr">
        <is>
          <t>6009677013447</t>
        </is>
      </c>
      <c r="E1306" s="10" t="inlineStr">
        <is>
          <t>ROPE 10MM X 30M NYLON (SK1030)</t>
        </is>
      </c>
      <c r="F1306" s="10" t="inlineStr"/>
      <c r="G1306" s="10" t="inlineStr"/>
      <c r="H1306" s="10" t="inlineStr"/>
      <c r="I1306" s="11" t="n">
        <v>58.95</v>
      </c>
      <c r="J1306" s="6" t="n">
        <v>15</v>
      </c>
      <c r="K1306" s="7">
        <f>IF(I1306="","",I1306*(1+J1306/100))</f>
        <v/>
      </c>
      <c r="L1306" s="12" t="inlineStr"/>
      <c r="M1306" s="8">
        <f>IF(OR(L1306="",K1306="",L1306=0),"",
  (L1306-K1306)/L1306*100)</f>
        <v/>
      </c>
      <c r="N1306" s="9" t="inlineStr"/>
      <c r="O1306" s="10" t="inlineStr"/>
      <c r="P1306" s="10" t="inlineStr"/>
      <c r="Q1306" s="10" t="inlineStr"/>
      <c r="R1306" s="10" t="inlineStr">
        <is>
          <t>2026-03-12</t>
        </is>
      </c>
      <c r="S1306" s="10" t="inlineStr"/>
    </row>
    <row r="1307">
      <c r="A1307" s="3" t="inlineStr">
        <is>
          <t>F01760</t>
        </is>
      </c>
      <c r="B1307" s="4" t="inlineStr">
        <is>
          <t>F01760</t>
        </is>
      </c>
      <c r="C1307" s="4" t="inlineStr">
        <is>
          <t>32174</t>
        </is>
      </c>
      <c r="D1307" s="4" t="inlineStr"/>
      <c r="E1307" s="3" t="inlineStr">
        <is>
          <t>SPARE FUNNELS FOR LANTERNS</t>
        </is>
      </c>
      <c r="F1307" s="4" t="inlineStr"/>
      <c r="G1307" s="4" t="inlineStr"/>
      <c r="H1307" s="4" t="inlineStr"/>
      <c r="I1307" s="5" t="n">
        <v>0.25</v>
      </c>
      <c r="J1307" s="6" t="n">
        <v>15</v>
      </c>
      <c r="K1307" s="7">
        <f>IF(I1307="","",I1307*(1+J1307/100))</f>
        <v/>
      </c>
      <c r="L1307" s="12" t="inlineStr"/>
      <c r="M1307" s="8">
        <f>IF(OR(L1307="",K1307="",L1307=0),"",
  (L1307-K1307)/L1307*100)</f>
        <v/>
      </c>
      <c r="N1307" s="9" t="inlineStr"/>
      <c r="O1307" s="4" t="inlineStr"/>
      <c r="P1307" s="4" t="inlineStr"/>
      <c r="Q1307" s="4" t="inlineStr"/>
      <c r="R1307" s="4" t="inlineStr">
        <is>
          <t>2026-03-12</t>
        </is>
      </c>
      <c r="S1307" s="4" t="inlineStr"/>
    </row>
    <row r="1308">
      <c r="A1308" s="10" t="inlineStr">
        <is>
          <t>F01761</t>
        </is>
      </c>
      <c r="B1308" s="10" t="inlineStr">
        <is>
          <t>F01761</t>
        </is>
      </c>
      <c r="C1308" s="10" t="inlineStr">
        <is>
          <t>32235</t>
        </is>
      </c>
      <c r="D1308" s="10" t="inlineStr"/>
      <c r="E1308" s="10" t="inlineStr">
        <is>
          <t>SPARE WICKS FOR LANTERNS BIG</t>
        </is>
      </c>
      <c r="F1308" s="10" t="inlineStr"/>
      <c r="G1308" s="10" t="inlineStr"/>
      <c r="H1308" s="10" t="inlineStr"/>
      <c r="I1308" s="11" t="n">
        <v>1.79</v>
      </c>
      <c r="J1308" s="6" t="n">
        <v>15</v>
      </c>
      <c r="K1308" s="7">
        <f>IF(I1308="","",I1308*(1+J1308/100))</f>
        <v/>
      </c>
      <c r="L1308" s="12" t="inlineStr"/>
      <c r="M1308" s="8">
        <f>IF(OR(L1308="",K1308="",L1308=0),"",
  (L1308-K1308)/L1308*100)</f>
        <v/>
      </c>
      <c r="N1308" s="9" t="inlineStr"/>
      <c r="O1308" s="10" t="inlineStr"/>
      <c r="P1308" s="10" t="inlineStr"/>
      <c r="Q1308" s="10" t="inlineStr"/>
      <c r="R1308" s="10" t="inlineStr">
        <is>
          <t>2026-03-12</t>
        </is>
      </c>
      <c r="S1308" s="10" t="inlineStr"/>
    </row>
    <row r="1309">
      <c r="A1309" s="3" t="inlineStr">
        <is>
          <t>F01762</t>
        </is>
      </c>
      <c r="B1309" s="4" t="inlineStr">
        <is>
          <t>F01762</t>
        </is>
      </c>
      <c r="C1309" s="4" t="inlineStr">
        <is>
          <t>11709</t>
        </is>
      </c>
      <c r="D1309" s="4" t="inlineStr">
        <is>
          <t>6009677015397</t>
        </is>
      </c>
      <c r="E1309" s="3" t="inlineStr">
        <is>
          <t>PEEL &amp; STICK TILES (8PC/5PK) KLD0207-1</t>
        </is>
      </c>
      <c r="F1309" s="4" t="inlineStr"/>
      <c r="G1309" s="4" t="inlineStr"/>
      <c r="H1309" s="4" t="inlineStr"/>
      <c r="I1309" s="5" t="n">
        <v>204.95</v>
      </c>
      <c r="J1309" s="6" t="n">
        <v>15</v>
      </c>
      <c r="K1309" s="7">
        <f>IF(I1309="","",I1309*(1+J1309/100))</f>
        <v/>
      </c>
      <c r="L1309" s="5" t="n">
        <v>580</v>
      </c>
      <c r="M1309" s="8">
        <f>IF(OR(L1309="",K1309="",L1309=0),"",
  (L1309-K1309)/L1309*100)</f>
        <v/>
      </c>
      <c r="N1309" s="14" t="n">
        <v>1</v>
      </c>
      <c r="O1309" s="4" t="inlineStr"/>
      <c r="P1309" s="4" t="inlineStr"/>
      <c r="Q1309" s="4" t="inlineStr"/>
      <c r="R1309" s="4" t="inlineStr">
        <is>
          <t>2026-03-12</t>
        </is>
      </c>
      <c r="S1309" s="4" t="inlineStr"/>
    </row>
    <row r="1310">
      <c r="A1310" s="10" t="inlineStr">
        <is>
          <t>F01763</t>
        </is>
      </c>
      <c r="B1310" s="10" t="inlineStr">
        <is>
          <t>F01763</t>
        </is>
      </c>
      <c r="C1310" s="10" t="inlineStr">
        <is>
          <t>16663</t>
        </is>
      </c>
      <c r="D1310" s="10" t="inlineStr">
        <is>
          <t>6009697458778</t>
        </is>
      </c>
      <c r="E1310" s="10" t="inlineStr">
        <is>
          <t>PEEL &amp; STICK TILES (8PC/5PK) CL1119</t>
        </is>
      </c>
      <c r="F1310" s="10" t="inlineStr"/>
      <c r="G1310" s="10" t="inlineStr"/>
      <c r="H1310" s="10" t="inlineStr"/>
      <c r="I1310" s="11" t="n">
        <v>204.95</v>
      </c>
      <c r="J1310" s="6" t="n">
        <v>15</v>
      </c>
      <c r="K1310" s="7">
        <f>IF(I1310="","",I1310*(1+J1310/100))</f>
        <v/>
      </c>
      <c r="L1310" s="11" t="n">
        <v>580</v>
      </c>
      <c r="M1310" s="8">
        <f>IF(OR(L1310="",K1310="",L1310=0),"",
  (L1310-K1310)/L1310*100)</f>
        <v/>
      </c>
      <c r="N1310" s="13" t="n">
        <v>204</v>
      </c>
      <c r="O1310" s="10" t="inlineStr"/>
      <c r="P1310" s="10" t="inlineStr"/>
      <c r="Q1310" s="10" t="inlineStr"/>
      <c r="R1310" s="10" t="inlineStr">
        <is>
          <t>2026-03-12</t>
        </is>
      </c>
      <c r="S1310" s="10" t="inlineStr"/>
    </row>
    <row r="1311">
      <c r="A1311" s="3" t="inlineStr">
        <is>
          <t>F01764</t>
        </is>
      </c>
      <c r="B1311" s="4" t="inlineStr">
        <is>
          <t>F01764</t>
        </is>
      </c>
      <c r="C1311" s="4" t="inlineStr">
        <is>
          <t>11710</t>
        </is>
      </c>
      <c r="D1311" s="4" t="inlineStr">
        <is>
          <t>6009697458853</t>
        </is>
      </c>
      <c r="E1311" s="3" t="inlineStr">
        <is>
          <t>PEEL &amp; STICK TILES (8PC/5PK) CL2045</t>
        </is>
      </c>
      <c r="F1311" s="4" t="inlineStr"/>
      <c r="G1311" s="4" t="inlineStr"/>
      <c r="H1311" s="4" t="inlineStr"/>
      <c r="I1311" s="5" t="n">
        <v>204.95</v>
      </c>
      <c r="J1311" s="6" t="n">
        <v>15</v>
      </c>
      <c r="K1311" s="7">
        <f>IF(I1311="","",I1311*(1+J1311/100))</f>
        <v/>
      </c>
      <c r="L1311" s="5" t="n">
        <v>580</v>
      </c>
      <c r="M1311" s="8">
        <f>IF(OR(L1311="",K1311="",L1311=0),"",
  (L1311-K1311)/L1311*100)</f>
        <v/>
      </c>
      <c r="N1311" s="14" t="n">
        <v>1101</v>
      </c>
      <c r="O1311" s="4" t="inlineStr"/>
      <c r="P1311" s="4" t="inlineStr"/>
      <c r="Q1311" s="4" t="inlineStr"/>
      <c r="R1311" s="4" t="inlineStr">
        <is>
          <t>2026-03-12</t>
        </is>
      </c>
      <c r="S1311" s="4" t="inlineStr"/>
    </row>
    <row r="1312">
      <c r="A1312" s="10" t="inlineStr">
        <is>
          <t>F01765</t>
        </is>
      </c>
      <c r="B1312" s="10" t="inlineStr">
        <is>
          <t>F01765</t>
        </is>
      </c>
      <c r="C1312" s="10" t="inlineStr"/>
      <c r="D1312" s="10" t="inlineStr">
        <is>
          <t>6009697458877</t>
        </is>
      </c>
      <c r="E1312" s="10" t="inlineStr">
        <is>
          <t>PEEL &amp; STICK TILES (8PC/5PK) CL2062</t>
        </is>
      </c>
      <c r="F1312" s="10" t="inlineStr"/>
      <c r="G1312" s="10" t="inlineStr"/>
      <c r="H1312" s="10" t="inlineStr"/>
      <c r="I1312" s="11" t="n">
        <v>204.95</v>
      </c>
      <c r="J1312" s="6" t="n">
        <v>15</v>
      </c>
      <c r="K1312" s="7">
        <f>IF(I1312="","",I1312*(1+J1312/100))</f>
        <v/>
      </c>
      <c r="L1312" s="12" t="inlineStr"/>
      <c r="M1312" s="8">
        <f>IF(OR(L1312="",K1312="",L1312=0),"",
  (L1312-K1312)/L1312*100)</f>
        <v/>
      </c>
      <c r="N1312" s="13" t="n">
        <v>14</v>
      </c>
      <c r="O1312" s="10" t="inlineStr"/>
      <c r="P1312" s="10" t="inlineStr"/>
      <c r="Q1312" s="10" t="inlineStr"/>
      <c r="R1312" s="10" t="inlineStr">
        <is>
          <t>2026-03-12</t>
        </is>
      </c>
      <c r="S1312" s="10" t="inlineStr"/>
    </row>
    <row r="1313">
      <c r="A1313" s="3" t="inlineStr">
        <is>
          <t>F01766</t>
        </is>
      </c>
      <c r="B1313" s="4" t="inlineStr">
        <is>
          <t>F01766</t>
        </is>
      </c>
      <c r="C1313" s="4" t="inlineStr">
        <is>
          <t>16661</t>
        </is>
      </c>
      <c r="D1313" s="4" t="inlineStr">
        <is>
          <t>6009697458891</t>
        </is>
      </c>
      <c r="E1313" s="3" t="inlineStr">
        <is>
          <t>PEEL &amp; STICK TILES (8PC/5PK) CL2063</t>
        </is>
      </c>
      <c r="F1313" s="4" t="inlineStr"/>
      <c r="G1313" s="4" t="inlineStr"/>
      <c r="H1313" s="4" t="inlineStr"/>
      <c r="I1313" s="5" t="n">
        <v>214.95</v>
      </c>
      <c r="J1313" s="6" t="n">
        <v>15</v>
      </c>
      <c r="K1313" s="7">
        <f>IF(I1313="","",I1313*(1+J1313/100))</f>
        <v/>
      </c>
      <c r="L1313" s="5" t="n">
        <v>580</v>
      </c>
      <c r="M1313" s="8">
        <f>IF(OR(L1313="",K1313="",L1313=0),"",
  (L1313-K1313)/L1313*100)</f>
        <v/>
      </c>
      <c r="N1313" s="9" t="inlineStr"/>
      <c r="O1313" s="4" t="inlineStr"/>
      <c r="P1313" s="4" t="inlineStr"/>
      <c r="Q1313" s="4" t="inlineStr"/>
      <c r="R1313" s="4" t="inlineStr">
        <is>
          <t>2026-03-12</t>
        </is>
      </c>
      <c r="S1313" s="4" t="inlineStr"/>
    </row>
    <row r="1314">
      <c r="A1314" s="10" t="inlineStr">
        <is>
          <t>F01767</t>
        </is>
      </c>
      <c r="B1314" s="10" t="inlineStr">
        <is>
          <t>F01767</t>
        </is>
      </c>
      <c r="C1314" s="10" t="inlineStr">
        <is>
          <t>16666</t>
        </is>
      </c>
      <c r="D1314" s="10" t="inlineStr">
        <is>
          <t>6009697458914</t>
        </is>
      </c>
      <c r="E1314" s="10" t="inlineStr">
        <is>
          <t>PEEL &amp; STICK TILES (8PC/5PK) CL2066</t>
        </is>
      </c>
      <c r="F1314" s="10" t="inlineStr"/>
      <c r="G1314" s="10" t="inlineStr"/>
      <c r="H1314" s="10" t="inlineStr"/>
      <c r="I1314" s="11" t="n">
        <v>214.95</v>
      </c>
      <c r="J1314" s="6" t="n">
        <v>15</v>
      </c>
      <c r="K1314" s="7">
        <f>IF(I1314="","",I1314*(1+J1314/100))</f>
        <v/>
      </c>
      <c r="L1314" s="11" t="n">
        <v>580</v>
      </c>
      <c r="M1314" s="8">
        <f>IF(OR(L1314="",K1314="",L1314=0),"",
  (L1314-K1314)/L1314*100)</f>
        <v/>
      </c>
      <c r="N1314" s="13" t="n">
        <v>9</v>
      </c>
      <c r="O1314" s="10" t="inlineStr"/>
      <c r="P1314" s="10" t="inlineStr"/>
      <c r="Q1314" s="10" t="inlineStr"/>
      <c r="R1314" s="10" t="inlineStr">
        <is>
          <t>2026-03-12</t>
        </is>
      </c>
      <c r="S1314" s="10" t="inlineStr"/>
    </row>
    <row r="1315">
      <c r="A1315" s="3" t="inlineStr">
        <is>
          <t>F01768</t>
        </is>
      </c>
      <c r="B1315" s="4" t="inlineStr">
        <is>
          <t>F01768</t>
        </is>
      </c>
      <c r="C1315" s="4" t="inlineStr"/>
      <c r="D1315" s="4" t="inlineStr">
        <is>
          <t>6009697458938</t>
        </is>
      </c>
      <c r="E1315" s="3" t="inlineStr">
        <is>
          <t>PEEL &amp; STICK TILES (8PC/5PK) CL2071</t>
        </is>
      </c>
      <c r="F1315" s="4" t="inlineStr"/>
      <c r="G1315" s="4" t="inlineStr"/>
      <c r="H1315" s="4" t="inlineStr"/>
      <c r="I1315" s="5" t="n">
        <v>204.95</v>
      </c>
      <c r="J1315" s="6" t="n">
        <v>15</v>
      </c>
      <c r="K1315" s="7">
        <f>IF(I1315="","",I1315*(1+J1315/100))</f>
        <v/>
      </c>
      <c r="L1315" s="12" t="inlineStr"/>
      <c r="M1315" s="8">
        <f>IF(OR(L1315="",K1315="",L1315=0),"",
  (L1315-K1315)/L1315*100)</f>
        <v/>
      </c>
      <c r="N1315" s="14" t="n">
        <v>577</v>
      </c>
      <c r="O1315" s="4" t="inlineStr"/>
      <c r="P1315" s="4" t="inlineStr"/>
      <c r="Q1315" s="4" t="inlineStr"/>
      <c r="R1315" s="4" t="inlineStr">
        <is>
          <t>2026-03-12</t>
        </is>
      </c>
      <c r="S1315" s="4" t="inlineStr"/>
    </row>
    <row r="1316">
      <c r="A1316" s="10" t="inlineStr">
        <is>
          <t>F01769</t>
        </is>
      </c>
      <c r="B1316" s="10" t="inlineStr">
        <is>
          <t>F01769</t>
        </is>
      </c>
      <c r="C1316" s="10" t="inlineStr">
        <is>
          <t>16667</t>
        </is>
      </c>
      <c r="D1316" s="10" t="inlineStr">
        <is>
          <t>6009697457931</t>
        </is>
      </c>
      <c r="E1316" s="10" t="inlineStr">
        <is>
          <t>PEEL &amp; STICK TILES (8PC/5PK) CL2603</t>
        </is>
      </c>
      <c r="F1316" s="10" t="inlineStr"/>
      <c r="G1316" s="10" t="inlineStr"/>
      <c r="H1316" s="10" t="inlineStr"/>
      <c r="I1316" s="11" t="n">
        <v>214.95</v>
      </c>
      <c r="J1316" s="6" t="n">
        <v>15</v>
      </c>
      <c r="K1316" s="7">
        <f>IF(I1316="","",I1316*(1+J1316/100))</f>
        <v/>
      </c>
      <c r="L1316" s="11" t="n">
        <v>580</v>
      </c>
      <c r="M1316" s="8">
        <f>IF(OR(L1316="",K1316="",L1316=0),"",
  (L1316-K1316)/L1316*100)</f>
        <v/>
      </c>
      <c r="N1316" s="13" t="n">
        <v>6</v>
      </c>
      <c r="O1316" s="10" t="inlineStr"/>
      <c r="P1316" s="10" t="inlineStr"/>
      <c r="Q1316" s="10" t="inlineStr"/>
      <c r="R1316" s="10" t="inlineStr">
        <is>
          <t>2026-03-12</t>
        </is>
      </c>
      <c r="S1316" s="10" t="inlineStr"/>
    </row>
    <row r="1317">
      <c r="A1317" s="3" t="inlineStr">
        <is>
          <t>F01770</t>
        </is>
      </c>
      <c r="B1317" s="4" t="inlineStr">
        <is>
          <t>F01770</t>
        </is>
      </c>
      <c r="C1317" s="4" t="inlineStr">
        <is>
          <t>16664</t>
        </is>
      </c>
      <c r="D1317" s="4" t="inlineStr">
        <is>
          <t>6009705650033</t>
        </is>
      </c>
      <c r="E1317" s="3" t="inlineStr">
        <is>
          <t>PEEL &amp; STICK TILES (8PC/5PK) CL2823</t>
        </is>
      </c>
      <c r="F1317" s="4" t="inlineStr"/>
      <c r="G1317" s="4" t="inlineStr"/>
      <c r="H1317" s="4" t="inlineStr"/>
      <c r="I1317" s="5" t="n">
        <v>214.95</v>
      </c>
      <c r="J1317" s="6" t="n">
        <v>15</v>
      </c>
      <c r="K1317" s="7">
        <f>IF(I1317="","",I1317*(1+J1317/100))</f>
        <v/>
      </c>
      <c r="L1317" s="5" t="n">
        <v>580</v>
      </c>
      <c r="M1317" s="8">
        <f>IF(OR(L1317="",K1317="",L1317=0),"",
  (L1317-K1317)/L1317*100)</f>
        <v/>
      </c>
      <c r="N1317" s="9" t="inlineStr"/>
      <c r="O1317" s="4" t="inlineStr"/>
      <c r="P1317" s="4" t="inlineStr"/>
      <c r="Q1317" s="4" t="inlineStr"/>
      <c r="R1317" s="4" t="inlineStr">
        <is>
          <t>2026-03-12</t>
        </is>
      </c>
      <c r="S1317" s="4" t="inlineStr"/>
    </row>
    <row r="1318">
      <c r="A1318" s="10" t="inlineStr">
        <is>
          <t>F01771</t>
        </is>
      </c>
      <c r="B1318" s="10" t="inlineStr">
        <is>
          <t>F01771</t>
        </is>
      </c>
      <c r="C1318" s="10" t="inlineStr">
        <is>
          <t>16670</t>
        </is>
      </c>
      <c r="D1318" s="10" t="inlineStr">
        <is>
          <t>6009697457948</t>
        </is>
      </c>
      <c r="E1318" s="10" t="inlineStr">
        <is>
          <t>PEEL &amp; STICK TILES (8PC/5PK) CL2821</t>
        </is>
      </c>
      <c r="F1318" s="10" t="inlineStr"/>
      <c r="G1318" s="10" t="inlineStr"/>
      <c r="H1318" s="10" t="inlineStr"/>
      <c r="I1318" s="11" t="n">
        <v>204.95</v>
      </c>
      <c r="J1318" s="6" t="n">
        <v>15</v>
      </c>
      <c r="K1318" s="7">
        <f>IF(I1318="","",I1318*(1+J1318/100))</f>
        <v/>
      </c>
      <c r="L1318" s="11" t="n">
        <v>580</v>
      </c>
      <c r="M1318" s="8">
        <f>IF(OR(L1318="",K1318="",L1318=0),"",
  (L1318-K1318)/L1318*100)</f>
        <v/>
      </c>
      <c r="N1318" s="13" t="n">
        <v>672</v>
      </c>
      <c r="O1318" s="10" t="inlineStr"/>
      <c r="P1318" s="10" t="inlineStr"/>
      <c r="Q1318" s="10" t="inlineStr"/>
      <c r="R1318" s="10" t="inlineStr">
        <is>
          <t>2026-03-12</t>
        </is>
      </c>
      <c r="S1318" s="10" t="inlineStr"/>
    </row>
    <row r="1319">
      <c r="A1319" s="3" t="inlineStr">
        <is>
          <t>F01772</t>
        </is>
      </c>
      <c r="B1319" s="4" t="inlineStr">
        <is>
          <t>F01772</t>
        </is>
      </c>
      <c r="C1319" s="4" t="inlineStr">
        <is>
          <t>16665</t>
        </is>
      </c>
      <c r="D1319" s="4" t="inlineStr">
        <is>
          <t>6009705650071</t>
        </is>
      </c>
      <c r="E1319" s="3" t="inlineStr">
        <is>
          <t>PEEL &amp; STICK TILES (8PC/5PK) CL2829</t>
        </is>
      </c>
      <c r="F1319" s="4" t="inlineStr"/>
      <c r="G1319" s="4" t="inlineStr"/>
      <c r="H1319" s="4" t="inlineStr"/>
      <c r="I1319" s="5" t="n">
        <v>204.95</v>
      </c>
      <c r="J1319" s="6" t="n">
        <v>15</v>
      </c>
      <c r="K1319" s="7">
        <f>IF(I1319="","",I1319*(1+J1319/100))</f>
        <v/>
      </c>
      <c r="L1319" s="5" t="n">
        <v>580</v>
      </c>
      <c r="M1319" s="8">
        <f>IF(OR(L1319="",K1319="",L1319=0),"",
  (L1319-K1319)/L1319*100)</f>
        <v/>
      </c>
      <c r="N1319" s="14" t="n">
        <v>490</v>
      </c>
      <c r="O1319" s="4" t="inlineStr"/>
      <c r="P1319" s="4" t="inlineStr"/>
      <c r="Q1319" s="4" t="inlineStr"/>
      <c r="R1319" s="4" t="inlineStr">
        <is>
          <t>2026-03-12</t>
        </is>
      </c>
      <c r="S1319" s="4" t="inlineStr"/>
    </row>
    <row r="1320">
      <c r="A1320" s="10" t="inlineStr">
        <is>
          <t>F01773</t>
        </is>
      </c>
      <c r="B1320" s="10" t="inlineStr">
        <is>
          <t>F01773</t>
        </is>
      </c>
      <c r="C1320" s="10" t="inlineStr">
        <is>
          <t>16662</t>
        </is>
      </c>
      <c r="D1320" s="10" t="inlineStr">
        <is>
          <t>6009705650095</t>
        </is>
      </c>
      <c r="E1320" s="10" t="inlineStr">
        <is>
          <t>PEEL &amp; STICK TILES (8PC/5PK) CL3008</t>
        </is>
      </c>
      <c r="F1320" s="10" t="inlineStr"/>
      <c r="G1320" s="10" t="inlineStr"/>
      <c r="H1320" s="10" t="inlineStr"/>
      <c r="I1320" s="11" t="n">
        <v>214.95</v>
      </c>
      <c r="J1320" s="6" t="n">
        <v>15</v>
      </c>
      <c r="K1320" s="7">
        <f>IF(I1320="","",I1320*(1+J1320/100))</f>
        <v/>
      </c>
      <c r="L1320" s="11" t="n">
        <v>580</v>
      </c>
      <c r="M1320" s="8">
        <f>IF(OR(L1320="",K1320="",L1320=0),"",
  (L1320-K1320)/L1320*100)</f>
        <v/>
      </c>
      <c r="N1320" s="13" t="n">
        <v>391</v>
      </c>
      <c r="O1320" s="10" t="inlineStr"/>
      <c r="P1320" s="10" t="inlineStr"/>
      <c r="Q1320" s="10" t="inlineStr"/>
      <c r="R1320" s="10" t="inlineStr">
        <is>
          <t>2026-03-12</t>
        </is>
      </c>
      <c r="S1320" s="10" t="inlineStr"/>
    </row>
    <row r="1321">
      <c r="A1321" s="3" t="inlineStr">
        <is>
          <t>F01774</t>
        </is>
      </c>
      <c r="B1321" s="4" t="inlineStr">
        <is>
          <t>F01774</t>
        </is>
      </c>
      <c r="C1321" s="4" t="inlineStr">
        <is>
          <t>16668</t>
        </is>
      </c>
      <c r="D1321" s="4" t="inlineStr">
        <is>
          <t>6009705650118</t>
        </is>
      </c>
      <c r="E1321" s="3" t="inlineStr">
        <is>
          <t>PEEL &amp; STICK TILES (8PC/5PK) CL3011</t>
        </is>
      </c>
      <c r="F1321" s="4" t="inlineStr"/>
      <c r="G1321" s="4" t="inlineStr"/>
      <c r="H1321" s="4" t="inlineStr"/>
      <c r="I1321" s="5" t="n">
        <v>214.95</v>
      </c>
      <c r="J1321" s="6" t="n">
        <v>15</v>
      </c>
      <c r="K1321" s="7">
        <f>IF(I1321="","",I1321*(1+J1321/100))</f>
        <v/>
      </c>
      <c r="L1321" s="5" t="n">
        <v>580</v>
      </c>
      <c r="M1321" s="8">
        <f>IF(OR(L1321="",K1321="",L1321=0),"",
  (L1321-K1321)/L1321*100)</f>
        <v/>
      </c>
      <c r="N1321" s="14" t="n">
        <v>13</v>
      </c>
      <c r="O1321" s="4" t="inlineStr"/>
      <c r="P1321" s="4" t="inlineStr"/>
      <c r="Q1321" s="4" t="inlineStr"/>
      <c r="R1321" s="4" t="inlineStr">
        <is>
          <t>2026-03-12</t>
        </is>
      </c>
      <c r="S1321" s="4" t="inlineStr"/>
    </row>
    <row r="1322">
      <c r="A1322" s="10" t="inlineStr">
        <is>
          <t>F01775</t>
        </is>
      </c>
      <c r="B1322" s="10" t="inlineStr">
        <is>
          <t>F01775</t>
        </is>
      </c>
      <c r="C1322" s="10" t="inlineStr">
        <is>
          <t>11700</t>
        </is>
      </c>
      <c r="D1322" s="10" t="inlineStr">
        <is>
          <t>6009705650132</t>
        </is>
      </c>
      <c r="E1322" s="10" t="inlineStr">
        <is>
          <t>PEEL &amp; STICK TILES (8PC/5PK) CL3021</t>
        </is>
      </c>
      <c r="F1322" s="10" t="inlineStr"/>
      <c r="G1322" s="10" t="inlineStr"/>
      <c r="H1322" s="10" t="inlineStr"/>
      <c r="I1322" s="11" t="n">
        <v>214.95</v>
      </c>
      <c r="J1322" s="6" t="n">
        <v>15</v>
      </c>
      <c r="K1322" s="7">
        <f>IF(I1322="","",I1322*(1+J1322/100))</f>
        <v/>
      </c>
      <c r="L1322" s="11" t="n">
        <v>580</v>
      </c>
      <c r="M1322" s="8">
        <f>IF(OR(L1322="",K1322="",L1322=0),"",
  (L1322-K1322)/L1322*100)</f>
        <v/>
      </c>
      <c r="N1322" s="13" t="n">
        <v>464</v>
      </c>
      <c r="O1322" s="10" t="inlineStr"/>
      <c r="P1322" s="10" t="inlineStr"/>
      <c r="Q1322" s="10" t="inlineStr"/>
      <c r="R1322" s="10" t="inlineStr">
        <is>
          <t>2026-03-12</t>
        </is>
      </c>
      <c r="S1322" s="10" t="inlineStr"/>
    </row>
    <row r="1323">
      <c r="A1323" s="3" t="inlineStr">
        <is>
          <t>F01776</t>
        </is>
      </c>
      <c r="B1323" s="4" t="inlineStr">
        <is>
          <t>F01776</t>
        </is>
      </c>
      <c r="C1323" s="4" t="inlineStr">
        <is>
          <t>11701</t>
        </is>
      </c>
      <c r="D1323" s="4" t="inlineStr">
        <is>
          <t>6009705650231</t>
        </is>
      </c>
      <c r="E1323" s="3" t="inlineStr">
        <is>
          <t>PEEL &amp; STICK TILES (8PC/5PK) CL7020</t>
        </is>
      </c>
      <c r="F1323" s="4" t="inlineStr"/>
      <c r="G1323" s="4" t="inlineStr"/>
      <c r="H1323" s="4" t="inlineStr"/>
      <c r="I1323" s="5" t="n">
        <v>214.95</v>
      </c>
      <c r="J1323" s="6" t="n">
        <v>15</v>
      </c>
      <c r="K1323" s="7">
        <f>IF(I1323="","",I1323*(1+J1323/100))</f>
        <v/>
      </c>
      <c r="L1323" s="5" t="n">
        <v>580</v>
      </c>
      <c r="M1323" s="8">
        <f>IF(OR(L1323="",K1323="",L1323=0),"",
  (L1323-K1323)/L1323*100)</f>
        <v/>
      </c>
      <c r="N1323" s="9" t="inlineStr"/>
      <c r="O1323" s="4" t="inlineStr"/>
      <c r="P1323" s="4" t="inlineStr"/>
      <c r="Q1323" s="4" t="inlineStr"/>
      <c r="R1323" s="4" t="inlineStr">
        <is>
          <t>2026-03-12</t>
        </is>
      </c>
      <c r="S1323" s="4" t="inlineStr"/>
    </row>
    <row r="1324">
      <c r="A1324" s="10" t="inlineStr">
        <is>
          <t>F01777</t>
        </is>
      </c>
      <c r="B1324" s="10" t="inlineStr">
        <is>
          <t>F01777</t>
        </is>
      </c>
      <c r="C1324" s="10" t="inlineStr">
        <is>
          <t>11711</t>
        </is>
      </c>
      <c r="D1324" s="10" t="inlineStr">
        <is>
          <t>6009697451694</t>
        </is>
      </c>
      <c r="E1324" s="10" t="inlineStr">
        <is>
          <t>PEEL &amp; STICK TILES (8PC/5PK) CL2024</t>
        </is>
      </c>
      <c r="F1324" s="10" t="inlineStr"/>
      <c r="G1324" s="10" t="inlineStr"/>
      <c r="H1324" s="10" t="inlineStr"/>
      <c r="I1324" s="11" t="n">
        <v>204.95</v>
      </c>
      <c r="J1324" s="6" t="n">
        <v>15</v>
      </c>
      <c r="K1324" s="7">
        <f>IF(I1324="","",I1324*(1+J1324/100))</f>
        <v/>
      </c>
      <c r="L1324" s="11" t="n">
        <v>580</v>
      </c>
      <c r="M1324" s="8">
        <f>IF(OR(L1324="",K1324="",L1324=0),"",
  (L1324-K1324)/L1324*100)</f>
        <v/>
      </c>
      <c r="N1324" s="13" t="n">
        <v>1</v>
      </c>
      <c r="O1324" s="10" t="inlineStr"/>
      <c r="P1324" s="10" t="inlineStr"/>
      <c r="Q1324" s="10" t="inlineStr"/>
      <c r="R1324" s="10" t="inlineStr">
        <is>
          <t>2026-03-12</t>
        </is>
      </c>
      <c r="S1324" s="10" t="inlineStr"/>
    </row>
    <row r="1325">
      <c r="A1325" s="3" t="inlineStr">
        <is>
          <t>F01778</t>
        </is>
      </c>
      <c r="B1325" s="4" t="inlineStr">
        <is>
          <t>F01778</t>
        </is>
      </c>
      <c r="C1325" s="4" t="inlineStr">
        <is>
          <t>11699</t>
        </is>
      </c>
      <c r="D1325" s="4" t="inlineStr">
        <is>
          <t>6009677010347</t>
        </is>
      </c>
      <c r="E1325" s="3" t="inlineStr">
        <is>
          <t>PEEL &amp; STICK TILES (8PC/5PK) CL7061</t>
        </is>
      </c>
      <c r="F1325" s="4" t="inlineStr"/>
      <c r="G1325" s="4" t="inlineStr"/>
      <c r="H1325" s="4" t="inlineStr"/>
      <c r="I1325" s="5" t="n">
        <v>204.95</v>
      </c>
      <c r="J1325" s="6" t="n">
        <v>15</v>
      </c>
      <c r="K1325" s="7">
        <f>IF(I1325="","",I1325*(1+J1325/100))</f>
        <v/>
      </c>
      <c r="L1325" s="5" t="n">
        <v>580</v>
      </c>
      <c r="M1325" s="8">
        <f>IF(OR(L1325="",K1325="",L1325=0),"",
  (L1325-K1325)/L1325*100)</f>
        <v/>
      </c>
      <c r="N1325" s="14" t="n">
        <v>178</v>
      </c>
      <c r="O1325" s="4" t="inlineStr"/>
      <c r="P1325" s="4" t="inlineStr"/>
      <c r="Q1325" s="4" t="inlineStr"/>
      <c r="R1325" s="4" t="inlineStr">
        <is>
          <t>2026-03-12</t>
        </is>
      </c>
      <c r="S1325" s="4" t="inlineStr"/>
    </row>
    <row r="1326">
      <c r="A1326" s="10" t="inlineStr">
        <is>
          <t>F01779</t>
        </is>
      </c>
      <c r="B1326" s="10" t="inlineStr">
        <is>
          <t>F01779</t>
        </is>
      </c>
      <c r="C1326" s="10" t="inlineStr">
        <is>
          <t>11702</t>
        </is>
      </c>
      <c r="D1326" s="10" t="inlineStr">
        <is>
          <t>6009697451809</t>
        </is>
      </c>
      <c r="E1326" s="10" t="inlineStr">
        <is>
          <t>PEEL &amp; STICK TILES (8PC/5PK) CL7801</t>
        </is>
      </c>
      <c r="F1326" s="10" t="inlineStr"/>
      <c r="G1326" s="10" t="inlineStr"/>
      <c r="H1326" s="10" t="inlineStr"/>
      <c r="I1326" s="11" t="n">
        <v>214.95</v>
      </c>
      <c r="J1326" s="6" t="n">
        <v>15</v>
      </c>
      <c r="K1326" s="7">
        <f>IF(I1326="","",I1326*(1+J1326/100))</f>
        <v/>
      </c>
      <c r="L1326" s="11" t="n">
        <v>580</v>
      </c>
      <c r="M1326" s="8">
        <f>IF(OR(L1326="",K1326="",L1326=0),"",
  (L1326-K1326)/L1326*100)</f>
        <v/>
      </c>
      <c r="N1326" s="9" t="inlineStr"/>
      <c r="O1326" s="10" t="inlineStr"/>
      <c r="P1326" s="10" t="inlineStr"/>
      <c r="Q1326" s="10" t="inlineStr"/>
      <c r="R1326" s="10" t="inlineStr">
        <is>
          <t>2026-03-12</t>
        </is>
      </c>
      <c r="S1326" s="10" t="inlineStr"/>
    </row>
    <row r="1327">
      <c r="A1327" s="3" t="inlineStr">
        <is>
          <t>F01780</t>
        </is>
      </c>
      <c r="B1327" s="4" t="inlineStr">
        <is>
          <t>F01780</t>
        </is>
      </c>
      <c r="C1327" s="4" t="inlineStr"/>
      <c r="D1327" s="4" t="inlineStr"/>
      <c r="E1327" s="3" t="inlineStr">
        <is>
          <t>PEEL &amp; STICK TILES (8PC/5PK) KL0618</t>
        </is>
      </c>
      <c r="F1327" s="4" t="inlineStr"/>
      <c r="G1327" s="4" t="inlineStr"/>
      <c r="H1327" s="4" t="inlineStr"/>
      <c r="I1327" s="5" t="n">
        <v>214.95</v>
      </c>
      <c r="J1327" s="6" t="n">
        <v>15</v>
      </c>
      <c r="K1327" s="7">
        <f>IF(I1327="","",I1327*(1+J1327/100))</f>
        <v/>
      </c>
      <c r="L1327" s="12" t="inlineStr"/>
      <c r="M1327" s="8">
        <f>IF(OR(L1327="",K1327="",L1327=0),"",
  (L1327-K1327)/L1327*100)</f>
        <v/>
      </c>
      <c r="N1327" s="9" t="inlineStr"/>
      <c r="O1327" s="4" t="inlineStr"/>
      <c r="P1327" s="4" t="inlineStr"/>
      <c r="Q1327" s="4" t="inlineStr"/>
      <c r="R1327" s="4" t="inlineStr">
        <is>
          <t>2026-03-12</t>
        </is>
      </c>
      <c r="S1327" s="4" t="inlineStr"/>
    </row>
    <row r="1328">
      <c r="A1328" s="10" t="inlineStr">
        <is>
          <t>F01781</t>
        </is>
      </c>
      <c r="B1328" s="10" t="inlineStr">
        <is>
          <t>F01781</t>
        </is>
      </c>
      <c r="C1328" s="10" t="inlineStr">
        <is>
          <t>11703</t>
        </is>
      </c>
      <c r="D1328" s="10" t="inlineStr"/>
      <c r="E1328" s="10" t="inlineStr">
        <is>
          <t>PEEL &amp; STICK TILES (8PC/5PK) KL0707</t>
        </is>
      </c>
      <c r="F1328" s="10" t="inlineStr"/>
      <c r="G1328" s="10" t="inlineStr"/>
      <c r="H1328" s="10" t="inlineStr"/>
      <c r="I1328" s="11" t="n">
        <v>214.95</v>
      </c>
      <c r="J1328" s="6" t="n">
        <v>15</v>
      </c>
      <c r="K1328" s="7">
        <f>IF(I1328="","",I1328*(1+J1328/100))</f>
        <v/>
      </c>
      <c r="L1328" s="11" t="n">
        <v>580</v>
      </c>
      <c r="M1328" s="8">
        <f>IF(OR(L1328="",K1328="",L1328=0),"",
  (L1328-K1328)/L1328*100)</f>
        <v/>
      </c>
      <c r="N1328" s="9" t="inlineStr"/>
      <c r="O1328" s="10" t="inlineStr"/>
      <c r="P1328" s="10" t="inlineStr"/>
      <c r="Q1328" s="10" t="inlineStr"/>
      <c r="R1328" s="10" t="inlineStr">
        <is>
          <t>2026-03-12</t>
        </is>
      </c>
      <c r="S1328" s="10" t="inlineStr"/>
    </row>
    <row r="1329">
      <c r="A1329" s="3" t="inlineStr">
        <is>
          <t>F01782</t>
        </is>
      </c>
      <c r="B1329" s="4" t="inlineStr">
        <is>
          <t>F01782</t>
        </is>
      </c>
      <c r="C1329" s="4" t="inlineStr"/>
      <c r="D1329" s="4" t="inlineStr"/>
      <c r="E1329" s="3" t="inlineStr">
        <is>
          <t>PEEL &amp; STICK TILES (8PC/5PK) KL0708</t>
        </is>
      </c>
      <c r="F1329" s="4" t="inlineStr"/>
      <c r="G1329" s="4" t="inlineStr"/>
      <c r="H1329" s="4" t="inlineStr"/>
      <c r="I1329" s="5" t="n">
        <v>214.95</v>
      </c>
      <c r="J1329" s="6" t="n">
        <v>15</v>
      </c>
      <c r="K1329" s="7">
        <f>IF(I1329="","",I1329*(1+J1329/100))</f>
        <v/>
      </c>
      <c r="L1329" s="12" t="inlineStr"/>
      <c r="M1329" s="8">
        <f>IF(OR(L1329="",K1329="",L1329=0),"",
  (L1329-K1329)/L1329*100)</f>
        <v/>
      </c>
      <c r="N1329" s="14" t="n">
        <v>2</v>
      </c>
      <c r="O1329" s="4" t="inlineStr"/>
      <c r="P1329" s="4" t="inlineStr"/>
      <c r="Q1329" s="4" t="inlineStr"/>
      <c r="R1329" s="4" t="inlineStr">
        <is>
          <t>2026-03-12</t>
        </is>
      </c>
      <c r="S1329" s="4" t="inlineStr"/>
    </row>
    <row r="1330">
      <c r="A1330" s="10" t="inlineStr">
        <is>
          <t>F01783</t>
        </is>
      </c>
      <c r="B1330" s="10" t="inlineStr">
        <is>
          <t>F01783</t>
        </is>
      </c>
      <c r="C1330" s="10" t="inlineStr">
        <is>
          <t>11705</t>
        </is>
      </c>
      <c r="D1330" s="10" t="inlineStr"/>
      <c r="E1330" s="10" t="inlineStr">
        <is>
          <t>PEEL &amp; STICK TILES (8PC/5PK) KL0718</t>
        </is>
      </c>
      <c r="F1330" s="10" t="inlineStr"/>
      <c r="G1330" s="10" t="inlineStr"/>
      <c r="H1330" s="10" t="inlineStr"/>
      <c r="I1330" s="11" t="n">
        <v>209.95</v>
      </c>
      <c r="J1330" s="6" t="n">
        <v>15</v>
      </c>
      <c r="K1330" s="7">
        <f>IF(I1330="","",I1330*(1+J1330/100))</f>
        <v/>
      </c>
      <c r="L1330" s="11" t="n">
        <v>580</v>
      </c>
      <c r="M1330" s="8">
        <f>IF(OR(L1330="",K1330="",L1330=0),"",
  (L1330-K1330)/L1330*100)</f>
        <v/>
      </c>
      <c r="N1330" s="13" t="n">
        <v>254</v>
      </c>
      <c r="O1330" s="10" t="inlineStr"/>
      <c r="P1330" s="10" t="inlineStr"/>
      <c r="Q1330" s="10" t="inlineStr"/>
      <c r="R1330" s="10" t="inlineStr">
        <is>
          <t>2026-03-12</t>
        </is>
      </c>
      <c r="S1330" s="10" t="inlineStr"/>
    </row>
    <row r="1331">
      <c r="A1331" s="3" t="inlineStr">
        <is>
          <t>F01784</t>
        </is>
      </c>
      <c r="B1331" s="4" t="inlineStr">
        <is>
          <t>F01784</t>
        </is>
      </c>
      <c r="C1331" s="4" t="inlineStr"/>
      <c r="D1331" s="4" t="inlineStr"/>
      <c r="E1331" s="3" t="inlineStr">
        <is>
          <t>PEEL &amp; STICK TILES (8PC/5PK) KLD0301</t>
        </is>
      </c>
      <c r="F1331" s="4" t="inlineStr"/>
      <c r="G1331" s="4" t="inlineStr"/>
      <c r="H1331" s="4" t="inlineStr"/>
      <c r="I1331" s="5" t="n">
        <v>230</v>
      </c>
      <c r="J1331" s="6" t="n">
        <v>15</v>
      </c>
      <c r="K1331" s="7">
        <f>IF(I1331="","",I1331*(1+J1331/100))</f>
        <v/>
      </c>
      <c r="L1331" s="12" t="inlineStr"/>
      <c r="M1331" s="8">
        <f>IF(OR(L1331="",K1331="",L1331=0),"",
  (L1331-K1331)/L1331*100)</f>
        <v/>
      </c>
      <c r="N1331" s="14" t="n">
        <v>1</v>
      </c>
      <c r="O1331" s="4" t="inlineStr"/>
      <c r="P1331" s="4" t="inlineStr"/>
      <c r="Q1331" s="4" t="inlineStr"/>
      <c r="R1331" s="4" t="inlineStr">
        <is>
          <t>2026-03-12</t>
        </is>
      </c>
      <c r="S1331" s="4" t="inlineStr"/>
    </row>
    <row r="1332">
      <c r="A1332" s="10" t="inlineStr">
        <is>
          <t>F01785</t>
        </is>
      </c>
      <c r="B1332" s="10" t="inlineStr">
        <is>
          <t>F01785</t>
        </is>
      </c>
      <c r="C1332" s="10" t="inlineStr"/>
      <c r="D1332" s="10" t="inlineStr"/>
      <c r="E1332" s="10" t="inlineStr">
        <is>
          <t>PEEL &amp; STICK TILES (8PC/5PK) KLD0403</t>
        </is>
      </c>
      <c r="F1332" s="10" t="inlineStr"/>
      <c r="G1332" s="10" t="inlineStr"/>
      <c r="H1332" s="10" t="inlineStr"/>
      <c r="I1332" s="11" t="n">
        <v>225</v>
      </c>
      <c r="J1332" s="6" t="n">
        <v>15</v>
      </c>
      <c r="K1332" s="7">
        <f>IF(I1332="","",I1332*(1+J1332/100))</f>
        <v/>
      </c>
      <c r="L1332" s="12" t="inlineStr"/>
      <c r="M1332" s="8">
        <f>IF(OR(L1332="",K1332="",L1332=0),"",
  (L1332-K1332)/L1332*100)</f>
        <v/>
      </c>
      <c r="N1332" s="9" t="inlineStr"/>
      <c r="O1332" s="10" t="inlineStr"/>
      <c r="P1332" s="10" t="inlineStr"/>
      <c r="Q1332" s="10" t="inlineStr"/>
      <c r="R1332" s="10" t="inlineStr">
        <is>
          <t>2026-03-12</t>
        </is>
      </c>
      <c r="S1332" s="10" t="inlineStr"/>
    </row>
    <row r="1333">
      <c r="A1333" s="3" t="inlineStr">
        <is>
          <t>F01786</t>
        </is>
      </c>
      <c r="B1333" s="4" t="inlineStr">
        <is>
          <t>F01786</t>
        </is>
      </c>
      <c r="C1333" s="4" t="inlineStr"/>
      <c r="D1333" s="4" t="inlineStr"/>
      <c r="E1333" s="3" t="inlineStr">
        <is>
          <t>PEEL &amp; STICK TILES (8PC/5PK) KLD0505</t>
        </is>
      </c>
      <c r="F1333" s="4" t="inlineStr"/>
      <c r="G1333" s="4" t="inlineStr"/>
      <c r="H1333" s="4" t="inlineStr"/>
      <c r="I1333" s="5" t="n">
        <v>230</v>
      </c>
      <c r="J1333" s="6" t="n">
        <v>15</v>
      </c>
      <c r="K1333" s="7">
        <f>IF(I1333="","",I1333*(1+J1333/100))</f>
        <v/>
      </c>
      <c r="L1333" s="12" t="inlineStr"/>
      <c r="M1333" s="8">
        <f>IF(OR(L1333="",K1333="",L1333=0),"",
  (L1333-K1333)/L1333*100)</f>
        <v/>
      </c>
      <c r="N1333" s="9" t="inlineStr"/>
      <c r="O1333" s="4" t="inlineStr"/>
      <c r="P1333" s="4" t="inlineStr"/>
      <c r="Q1333" s="4" t="inlineStr"/>
      <c r="R1333" s="4" t="inlineStr">
        <is>
          <t>2026-03-12</t>
        </is>
      </c>
      <c r="S1333" s="4" t="inlineStr"/>
    </row>
    <row r="1334">
      <c r="A1334" s="10" t="inlineStr">
        <is>
          <t>F01787</t>
        </is>
      </c>
      <c r="B1334" s="10" t="inlineStr">
        <is>
          <t>F01787</t>
        </is>
      </c>
      <c r="C1334" s="10" t="inlineStr"/>
      <c r="D1334" s="10" t="inlineStr">
        <is>
          <t>6009677013287</t>
        </is>
      </c>
      <c r="E1334" s="10" t="inlineStr">
        <is>
          <t>PEEL &amp; STICK TILES (8PC/5PK) KLD0716</t>
        </is>
      </c>
      <c r="F1334" s="10" t="inlineStr"/>
      <c r="G1334" s="10" t="inlineStr"/>
      <c r="H1334" s="10" t="inlineStr"/>
      <c r="I1334" s="11" t="n">
        <v>225</v>
      </c>
      <c r="J1334" s="6" t="n">
        <v>15</v>
      </c>
      <c r="K1334" s="7">
        <f>IF(I1334="","",I1334*(1+J1334/100))</f>
        <v/>
      </c>
      <c r="L1334" s="12" t="inlineStr"/>
      <c r="M1334" s="8">
        <f>IF(OR(L1334="",K1334="",L1334=0),"",
  (L1334-K1334)/L1334*100)</f>
        <v/>
      </c>
      <c r="N1334" s="13" t="n">
        <v>1</v>
      </c>
      <c r="O1334" s="10" t="inlineStr"/>
      <c r="P1334" s="10" t="inlineStr"/>
      <c r="Q1334" s="10" t="inlineStr"/>
      <c r="R1334" s="10" t="inlineStr">
        <is>
          <t>2026-03-12</t>
        </is>
      </c>
      <c r="S1334" s="10" t="inlineStr"/>
    </row>
    <row r="1335">
      <c r="A1335" s="3" t="inlineStr">
        <is>
          <t>F01788</t>
        </is>
      </c>
      <c r="B1335" s="4" t="inlineStr">
        <is>
          <t>F01788</t>
        </is>
      </c>
      <c r="C1335" s="4" t="inlineStr">
        <is>
          <t>11707</t>
        </is>
      </c>
      <c r="D1335" s="4" t="inlineStr">
        <is>
          <t>6009677013034</t>
        </is>
      </c>
      <c r="E1335" s="3" t="inlineStr">
        <is>
          <t>PEEL &amp; STICK TILES (8PC/5PK) CL2014</t>
        </is>
      </c>
      <c r="F1335" s="4" t="inlineStr"/>
      <c r="G1335" s="4" t="inlineStr"/>
      <c r="H1335" s="4" t="inlineStr"/>
      <c r="I1335" s="5" t="n">
        <v>204.95</v>
      </c>
      <c r="J1335" s="6" t="n">
        <v>15</v>
      </c>
      <c r="K1335" s="7">
        <f>IF(I1335="","",I1335*(1+J1335/100))</f>
        <v/>
      </c>
      <c r="L1335" s="5" t="n">
        <v>580</v>
      </c>
      <c r="M1335" s="8">
        <f>IF(OR(L1335="",K1335="",L1335=0),"",
  (L1335-K1335)/L1335*100)</f>
        <v/>
      </c>
      <c r="N1335" s="14" t="n">
        <v>18</v>
      </c>
      <c r="O1335" s="4" t="inlineStr"/>
      <c r="P1335" s="4" t="inlineStr"/>
      <c r="Q1335" s="4" t="inlineStr"/>
      <c r="R1335" s="4" t="inlineStr">
        <is>
          <t>2026-03-12</t>
        </is>
      </c>
      <c r="S1335" s="4" t="inlineStr"/>
    </row>
    <row r="1336">
      <c r="A1336" s="10" t="inlineStr">
        <is>
          <t>F01789</t>
        </is>
      </c>
      <c r="B1336" s="10" t="inlineStr">
        <is>
          <t>F01789</t>
        </is>
      </c>
      <c r="C1336" s="10" t="inlineStr"/>
      <c r="D1336" s="10" t="inlineStr"/>
      <c r="E1336" s="10" t="inlineStr">
        <is>
          <t>PEEL &amp; STICK TILES (8PC/5PK) KLD0805</t>
        </is>
      </c>
      <c r="F1336" s="10" t="inlineStr"/>
      <c r="G1336" s="10" t="inlineStr"/>
      <c r="H1336" s="10" t="inlineStr"/>
      <c r="I1336" s="11" t="n">
        <v>204.95</v>
      </c>
      <c r="J1336" s="6" t="n">
        <v>15</v>
      </c>
      <c r="K1336" s="7">
        <f>IF(I1336="","",I1336*(1+J1336/100))</f>
        <v/>
      </c>
      <c r="L1336" s="12" t="inlineStr"/>
      <c r="M1336" s="8">
        <f>IF(OR(L1336="",K1336="",L1336=0),"",
  (L1336-K1336)/L1336*100)</f>
        <v/>
      </c>
      <c r="N1336" s="13" t="n">
        <v>566</v>
      </c>
      <c r="O1336" s="10" t="inlineStr"/>
      <c r="P1336" s="10" t="inlineStr"/>
      <c r="Q1336" s="10" t="inlineStr"/>
      <c r="R1336" s="10" t="inlineStr">
        <is>
          <t>2026-03-12</t>
        </is>
      </c>
      <c r="S1336" s="10" t="inlineStr"/>
    </row>
    <row r="1337">
      <c r="A1337" s="3" t="inlineStr">
        <is>
          <t>F01790</t>
        </is>
      </c>
      <c r="B1337" s="4" t="inlineStr">
        <is>
          <t>F01790</t>
        </is>
      </c>
      <c r="C1337" s="4" t="inlineStr">
        <is>
          <t>11708</t>
        </is>
      </c>
      <c r="D1337" s="4" t="inlineStr"/>
      <c r="E1337" s="3" t="inlineStr">
        <is>
          <t>PEEL &amp; STICK TILES (8PC/5PK) KLD0105</t>
        </is>
      </c>
      <c r="F1337" s="4" t="inlineStr"/>
      <c r="G1337" s="4" t="inlineStr"/>
      <c r="H1337" s="4" t="inlineStr"/>
      <c r="I1337" s="5" t="n">
        <v>204.95</v>
      </c>
      <c r="J1337" s="6" t="n">
        <v>15</v>
      </c>
      <c r="K1337" s="7">
        <f>IF(I1337="","",I1337*(1+J1337/100))</f>
        <v/>
      </c>
      <c r="L1337" s="5" t="n">
        <v>580</v>
      </c>
      <c r="M1337" s="8">
        <f>IF(OR(L1337="",K1337="",L1337=0),"",
  (L1337-K1337)/L1337*100)</f>
        <v/>
      </c>
      <c r="N1337" s="14" t="n">
        <v>423</v>
      </c>
      <c r="O1337" s="4" t="inlineStr"/>
      <c r="P1337" s="4" t="inlineStr"/>
      <c r="Q1337" s="4" t="inlineStr"/>
      <c r="R1337" s="4" t="inlineStr">
        <is>
          <t>2026-03-12</t>
        </is>
      </c>
      <c r="S1337" s="4" t="inlineStr"/>
    </row>
    <row r="1338">
      <c r="A1338" s="10" t="inlineStr">
        <is>
          <t>F01791</t>
        </is>
      </c>
      <c r="B1338" s="10" t="inlineStr">
        <is>
          <t>F01791</t>
        </is>
      </c>
      <c r="C1338" s="10" t="inlineStr"/>
      <c r="D1338" s="10" t="inlineStr">
        <is>
          <t>6009677013539</t>
        </is>
      </c>
      <c r="E1338" s="10" t="inlineStr">
        <is>
          <t>CORNICE EPS ANATOLIA 6,5*12*200CM EDK-01</t>
        </is>
      </c>
      <c r="F1338" s="10" t="inlineStr"/>
      <c r="G1338" s="10" t="inlineStr"/>
      <c r="H1338" s="10" t="inlineStr"/>
      <c r="I1338" s="11" t="n">
        <v>17.92</v>
      </c>
      <c r="J1338" s="6" t="n">
        <v>15</v>
      </c>
      <c r="K1338" s="7">
        <f>IF(I1338="","",I1338*(1+J1338/100))</f>
        <v/>
      </c>
      <c r="L1338" s="12" t="inlineStr"/>
      <c r="M1338" s="8">
        <f>IF(OR(L1338="",K1338="",L1338=0),"",
  (L1338-K1338)/L1338*100)</f>
        <v/>
      </c>
      <c r="N1338" s="9" t="inlineStr"/>
      <c r="O1338" s="10" t="inlineStr"/>
      <c r="P1338" s="10" t="inlineStr"/>
      <c r="Q1338" s="10" t="inlineStr"/>
      <c r="R1338" s="10" t="inlineStr">
        <is>
          <t>2026-03-12</t>
        </is>
      </c>
      <c r="S1338" s="10" t="inlineStr"/>
    </row>
    <row r="1339">
      <c r="A1339" s="3" t="inlineStr">
        <is>
          <t>F01792</t>
        </is>
      </c>
      <c r="B1339" s="4" t="inlineStr">
        <is>
          <t>F01792</t>
        </is>
      </c>
      <c r="C1339" s="4" t="inlineStr"/>
      <c r="D1339" s="4" t="inlineStr">
        <is>
          <t>6009677013546</t>
        </is>
      </c>
      <c r="E1339" s="3" t="inlineStr">
        <is>
          <t>CORNICE EPS VENEDIK 8*8*200CM EDK-02  (3</t>
        </is>
      </c>
      <c r="F1339" s="4" t="inlineStr"/>
      <c r="G1339" s="4" t="inlineStr"/>
      <c r="H1339" s="4" t="inlineStr"/>
      <c r="I1339" s="5" t="n">
        <v>16.2</v>
      </c>
      <c r="J1339" s="6" t="n">
        <v>15</v>
      </c>
      <c r="K1339" s="7">
        <f>IF(I1339="","",I1339*(1+J1339/100))</f>
        <v/>
      </c>
      <c r="L1339" s="12" t="inlineStr"/>
      <c r="M1339" s="8">
        <f>IF(OR(L1339="",K1339="",L1339=0),"",
  (L1339-K1339)/L1339*100)</f>
        <v/>
      </c>
      <c r="N1339" s="9" t="inlineStr"/>
      <c r="O1339" s="4" t="inlineStr"/>
      <c r="P1339" s="4" t="inlineStr"/>
      <c r="Q1339" s="4" t="inlineStr"/>
      <c r="R1339" s="4" t="inlineStr">
        <is>
          <t>2026-03-12</t>
        </is>
      </c>
      <c r="S1339" s="4" t="inlineStr"/>
    </row>
    <row r="1340">
      <c r="A1340" s="10" t="inlineStr">
        <is>
          <t>F01793</t>
        </is>
      </c>
      <c r="B1340" s="10" t="inlineStr">
        <is>
          <t>F01793</t>
        </is>
      </c>
      <c r="C1340" s="10" t="inlineStr"/>
      <c r="D1340" s="10" t="inlineStr">
        <is>
          <t>6009677013553</t>
        </is>
      </c>
      <c r="E1340" s="10" t="inlineStr">
        <is>
          <t>CORNICE EPS FLORA 10*10**200CM EDK-03</t>
        </is>
      </c>
      <c r="F1340" s="10" t="inlineStr"/>
      <c r="G1340" s="10" t="inlineStr"/>
      <c r="H1340" s="10" t="inlineStr"/>
      <c r="I1340" s="11" t="n">
        <v>17.33</v>
      </c>
      <c r="J1340" s="6" t="n">
        <v>15</v>
      </c>
      <c r="K1340" s="7">
        <f>IF(I1340="","",I1340*(1+J1340/100))</f>
        <v/>
      </c>
      <c r="L1340" s="12" t="inlineStr"/>
      <c r="M1340" s="8">
        <f>IF(OR(L1340="",K1340="",L1340=0),"",
  (L1340-K1340)/L1340*100)</f>
        <v/>
      </c>
      <c r="N1340" s="9" t="inlineStr"/>
      <c r="O1340" s="10" t="inlineStr"/>
      <c r="P1340" s="10" t="inlineStr"/>
      <c r="Q1340" s="10" t="inlineStr"/>
      <c r="R1340" s="10" t="inlineStr">
        <is>
          <t>2026-03-12</t>
        </is>
      </c>
      <c r="S1340" s="10" t="inlineStr"/>
    </row>
    <row r="1341">
      <c r="A1341" s="3" t="inlineStr">
        <is>
          <t>F01794</t>
        </is>
      </c>
      <c r="B1341" s="4" t="inlineStr">
        <is>
          <t>F01794</t>
        </is>
      </c>
      <c r="C1341" s="4" t="inlineStr"/>
      <c r="D1341" s="4" t="inlineStr">
        <is>
          <t>6009677013560</t>
        </is>
      </c>
      <c r="E1341" s="3" t="inlineStr">
        <is>
          <t>CORNICE EPS VERSACE 6,5*12*200CM EDK-05</t>
        </is>
      </c>
      <c r="F1341" s="4" t="inlineStr"/>
      <c r="G1341" s="4" t="inlineStr"/>
      <c r="H1341" s="4" t="inlineStr"/>
      <c r="I1341" s="5" t="n">
        <v>17.87</v>
      </c>
      <c r="J1341" s="6" t="n">
        <v>15</v>
      </c>
      <c r="K1341" s="7">
        <f>IF(I1341="","",I1341*(1+J1341/100))</f>
        <v/>
      </c>
      <c r="L1341" s="12" t="inlineStr"/>
      <c r="M1341" s="8">
        <f>IF(OR(L1341="",K1341="",L1341=0),"",
  (L1341-K1341)/L1341*100)</f>
        <v/>
      </c>
      <c r="N1341" s="9" t="inlineStr"/>
      <c r="O1341" s="4" t="inlineStr"/>
      <c r="P1341" s="4" t="inlineStr"/>
      <c r="Q1341" s="4" t="inlineStr"/>
      <c r="R1341" s="4" t="inlineStr">
        <is>
          <t>2026-03-12</t>
        </is>
      </c>
      <c r="S1341" s="4" t="inlineStr"/>
    </row>
    <row r="1342">
      <c r="A1342" s="10" t="inlineStr">
        <is>
          <t>F01795</t>
        </is>
      </c>
      <c r="B1342" s="10" t="inlineStr">
        <is>
          <t>F01795</t>
        </is>
      </c>
      <c r="C1342" s="10" t="inlineStr"/>
      <c r="D1342" s="10" t="inlineStr">
        <is>
          <t>6009677013621</t>
        </is>
      </c>
      <c r="E1342" s="10" t="inlineStr">
        <is>
          <t>CORNICE EPS PIYANO 10*10*200CM EDK-06 (3</t>
        </is>
      </c>
      <c r="F1342" s="10" t="inlineStr"/>
      <c r="G1342" s="10" t="inlineStr"/>
      <c r="H1342" s="10" t="inlineStr"/>
      <c r="I1342" s="11" t="n">
        <v>17.34</v>
      </c>
      <c r="J1342" s="6" t="n">
        <v>15</v>
      </c>
      <c r="K1342" s="7">
        <f>IF(I1342="","",I1342*(1+J1342/100))</f>
        <v/>
      </c>
      <c r="L1342" s="12" t="inlineStr"/>
      <c r="M1342" s="8">
        <f>IF(OR(L1342="",K1342="",L1342=0),"",
  (L1342-K1342)/L1342*100)</f>
        <v/>
      </c>
      <c r="N1342" s="9" t="inlineStr"/>
      <c r="O1342" s="10" t="inlineStr"/>
      <c r="P1342" s="10" t="inlineStr"/>
      <c r="Q1342" s="10" t="inlineStr"/>
      <c r="R1342" s="10" t="inlineStr">
        <is>
          <t>2026-03-12</t>
        </is>
      </c>
      <c r="S1342" s="10" t="inlineStr"/>
    </row>
    <row r="1343">
      <c r="A1343" s="3" t="inlineStr">
        <is>
          <t>F01796</t>
        </is>
      </c>
      <c r="B1343" s="4" t="inlineStr">
        <is>
          <t>F01796</t>
        </is>
      </c>
      <c r="C1343" s="4" t="inlineStr"/>
      <c r="D1343" s="4" t="inlineStr">
        <is>
          <t>6009677013638</t>
        </is>
      </c>
      <c r="E1343" s="3" t="inlineStr">
        <is>
          <t>CORNICE EPS OLIVIA 8*8*200CM EDK-08 (3PC</t>
        </is>
      </c>
      <c r="F1343" s="4" t="inlineStr"/>
      <c r="G1343" s="4" t="inlineStr"/>
      <c r="H1343" s="4" t="inlineStr"/>
      <c r="I1343" s="5" t="n">
        <v>16.17</v>
      </c>
      <c r="J1343" s="6" t="n">
        <v>15</v>
      </c>
      <c r="K1343" s="7">
        <f>IF(I1343="","",I1343*(1+J1343/100))</f>
        <v/>
      </c>
      <c r="L1343" s="12" t="inlineStr"/>
      <c r="M1343" s="8">
        <f>IF(OR(L1343="",K1343="",L1343=0),"",
  (L1343-K1343)/L1343*100)</f>
        <v/>
      </c>
      <c r="N1343" s="9" t="inlineStr"/>
      <c r="O1343" s="4" t="inlineStr"/>
      <c r="P1343" s="4" t="inlineStr"/>
      <c r="Q1343" s="4" t="inlineStr"/>
      <c r="R1343" s="4" t="inlineStr">
        <is>
          <t>2026-03-12</t>
        </is>
      </c>
      <c r="S1343" s="4" t="inlineStr"/>
    </row>
    <row r="1344">
      <c r="A1344" s="10" t="inlineStr">
        <is>
          <t>F01797</t>
        </is>
      </c>
      <c r="B1344" s="10" t="inlineStr">
        <is>
          <t>F01797</t>
        </is>
      </c>
      <c r="C1344" s="10" t="inlineStr"/>
      <c r="D1344" s="10" t="inlineStr">
        <is>
          <t>6009677013669</t>
        </is>
      </c>
      <c r="E1344" s="10" t="inlineStr">
        <is>
          <t>CORNICE EPS FLORETTA 6,6*8,8*200CM EDK-0</t>
        </is>
      </c>
      <c r="F1344" s="10" t="inlineStr"/>
      <c r="G1344" s="10" t="inlineStr"/>
      <c r="H1344" s="10" t="inlineStr"/>
      <c r="I1344" s="11" t="n">
        <v>17.3</v>
      </c>
      <c r="J1344" s="6" t="n">
        <v>15</v>
      </c>
      <c r="K1344" s="7">
        <f>IF(I1344="","",I1344*(1+J1344/100))</f>
        <v/>
      </c>
      <c r="L1344" s="12" t="inlineStr"/>
      <c r="M1344" s="8">
        <f>IF(OR(L1344="",K1344="",L1344=0),"",
  (L1344-K1344)/L1344*100)</f>
        <v/>
      </c>
      <c r="N1344" s="9" t="inlineStr"/>
      <c r="O1344" s="10" t="inlineStr"/>
      <c r="P1344" s="10" t="inlineStr"/>
      <c r="Q1344" s="10" t="inlineStr"/>
      <c r="R1344" s="10" t="inlineStr">
        <is>
          <t>2026-03-12</t>
        </is>
      </c>
      <c r="S1344" s="10" t="inlineStr"/>
    </row>
    <row r="1345">
      <c r="A1345" s="3" t="inlineStr">
        <is>
          <t>F01798</t>
        </is>
      </c>
      <c r="B1345" s="4" t="inlineStr">
        <is>
          <t>F01798</t>
        </is>
      </c>
      <c r="C1345" s="4" t="inlineStr"/>
      <c r="D1345" s="4" t="inlineStr">
        <is>
          <t>6009677013683</t>
        </is>
      </c>
      <c r="E1345" s="3" t="inlineStr">
        <is>
          <t>CORNICE EPS VIONA 4,5*12,3*200CM EDK-10</t>
        </is>
      </c>
      <c r="F1345" s="4" t="inlineStr"/>
      <c r="G1345" s="4" t="inlineStr"/>
      <c r="H1345" s="4" t="inlineStr"/>
      <c r="I1345" s="5" t="n">
        <v>17.84</v>
      </c>
      <c r="J1345" s="6" t="n">
        <v>15</v>
      </c>
      <c r="K1345" s="7">
        <f>IF(I1345="","",I1345*(1+J1345/100))</f>
        <v/>
      </c>
      <c r="L1345" s="12" t="inlineStr"/>
      <c r="M1345" s="8">
        <f>IF(OR(L1345="",K1345="",L1345=0),"",
  (L1345-K1345)/L1345*100)</f>
        <v/>
      </c>
      <c r="N1345" s="9" t="inlineStr"/>
      <c r="O1345" s="4" t="inlineStr"/>
      <c r="P1345" s="4" t="inlineStr"/>
      <c r="Q1345" s="4" t="inlineStr"/>
      <c r="R1345" s="4" t="inlineStr">
        <is>
          <t>2026-03-12</t>
        </is>
      </c>
      <c r="S1345" s="4" t="inlineStr"/>
    </row>
    <row r="1346">
      <c r="A1346" s="10" t="inlineStr">
        <is>
          <t>F01799</t>
        </is>
      </c>
      <c r="B1346" s="10" t="inlineStr">
        <is>
          <t>F01799</t>
        </is>
      </c>
      <c r="C1346" s="10" t="inlineStr"/>
      <c r="D1346" s="10" t="inlineStr">
        <is>
          <t>6009677013690</t>
        </is>
      </c>
      <c r="E1346" s="10" t="inlineStr">
        <is>
          <t>CORNICE EPS SARMASIK 10*10*200CM EDK-13</t>
        </is>
      </c>
      <c r="F1346" s="10" t="inlineStr"/>
      <c r="G1346" s="10" t="inlineStr"/>
      <c r="H1346" s="10" t="inlineStr"/>
      <c r="I1346" s="11" t="n">
        <v>17.3</v>
      </c>
      <c r="J1346" s="6" t="n">
        <v>15</v>
      </c>
      <c r="K1346" s="7">
        <f>IF(I1346="","",I1346*(1+J1346/100))</f>
        <v/>
      </c>
      <c r="L1346" s="12" t="inlineStr"/>
      <c r="M1346" s="8">
        <f>IF(OR(L1346="",K1346="",L1346=0),"",
  (L1346-K1346)/L1346*100)</f>
        <v/>
      </c>
      <c r="N1346" s="9" t="inlineStr"/>
      <c r="O1346" s="10" t="inlineStr"/>
      <c r="P1346" s="10" t="inlineStr"/>
      <c r="Q1346" s="10" t="inlineStr"/>
      <c r="R1346" s="10" t="inlineStr">
        <is>
          <t>2026-03-12</t>
        </is>
      </c>
      <c r="S1346" s="10" t="inlineStr"/>
    </row>
    <row r="1347">
      <c r="A1347" s="3" t="inlineStr">
        <is>
          <t>F01800</t>
        </is>
      </c>
      <c r="B1347" s="4" t="inlineStr">
        <is>
          <t>F01800</t>
        </is>
      </c>
      <c r="C1347" s="4" t="inlineStr"/>
      <c r="D1347" s="4" t="inlineStr">
        <is>
          <t>6009677013706</t>
        </is>
      </c>
      <c r="E1347" s="3" t="inlineStr">
        <is>
          <t>CORNICE EPS OLIVET 8*8*200CM EDK-14 (3PC</t>
        </is>
      </c>
      <c r="F1347" s="4" t="inlineStr"/>
      <c r="G1347" s="4" t="inlineStr"/>
      <c r="H1347" s="4" t="inlineStr"/>
      <c r="I1347" s="5" t="n">
        <v>17.32</v>
      </c>
      <c r="J1347" s="6" t="n">
        <v>15</v>
      </c>
      <c r="K1347" s="7">
        <f>IF(I1347="","",I1347*(1+J1347/100))</f>
        <v/>
      </c>
      <c r="L1347" s="12" t="inlineStr"/>
      <c r="M1347" s="8">
        <f>IF(OR(L1347="",K1347="",L1347=0),"",
  (L1347-K1347)/L1347*100)</f>
        <v/>
      </c>
      <c r="N1347" s="9" t="inlineStr"/>
      <c r="O1347" s="4" t="inlineStr"/>
      <c r="P1347" s="4" t="inlineStr"/>
      <c r="Q1347" s="4" t="inlineStr"/>
      <c r="R1347" s="4" t="inlineStr">
        <is>
          <t>2026-03-12</t>
        </is>
      </c>
      <c r="S1347" s="4" t="inlineStr"/>
    </row>
    <row r="1348">
      <c r="A1348" s="10" t="inlineStr">
        <is>
          <t>F01801</t>
        </is>
      </c>
      <c r="B1348" s="10" t="inlineStr">
        <is>
          <t>F01801</t>
        </is>
      </c>
      <c r="C1348" s="10" t="inlineStr"/>
      <c r="D1348" s="10" t="inlineStr">
        <is>
          <t>6009677013782</t>
        </is>
      </c>
      <c r="E1348" s="10" t="inlineStr">
        <is>
          <t>CORNICE EPS ESIN 8*8*200CM EDK-15 (3PC/S</t>
        </is>
      </c>
      <c r="F1348" s="10" t="inlineStr"/>
      <c r="G1348" s="10" t="inlineStr"/>
      <c r="H1348" s="10" t="inlineStr"/>
      <c r="I1348" s="11" t="n">
        <v>16.76</v>
      </c>
      <c r="J1348" s="6" t="n">
        <v>15</v>
      </c>
      <c r="K1348" s="7">
        <f>IF(I1348="","",I1348*(1+J1348/100))</f>
        <v/>
      </c>
      <c r="L1348" s="12" t="inlineStr"/>
      <c r="M1348" s="8">
        <f>IF(OR(L1348="",K1348="",L1348=0),"",
  (L1348-K1348)/L1348*100)</f>
        <v/>
      </c>
      <c r="N1348" s="9" t="inlineStr"/>
      <c r="O1348" s="10" t="inlineStr"/>
      <c r="P1348" s="10" t="inlineStr"/>
      <c r="Q1348" s="10" t="inlineStr"/>
      <c r="R1348" s="10" t="inlineStr">
        <is>
          <t>2026-03-12</t>
        </is>
      </c>
      <c r="S1348" s="10" t="inlineStr"/>
    </row>
    <row r="1349">
      <c r="A1349" s="3" t="inlineStr">
        <is>
          <t>F01802</t>
        </is>
      </c>
      <c r="B1349" s="4" t="inlineStr">
        <is>
          <t>F01802</t>
        </is>
      </c>
      <c r="C1349" s="4" t="inlineStr"/>
      <c r="D1349" s="4" t="inlineStr">
        <is>
          <t>6009677013775</t>
        </is>
      </c>
      <c r="E1349" s="3" t="inlineStr">
        <is>
          <t>CORNICE EPS FLORYA 8*8*200CM EDK-17 (3PC</t>
        </is>
      </c>
      <c r="F1349" s="4" t="inlineStr"/>
      <c r="G1349" s="4" t="inlineStr"/>
      <c r="H1349" s="4" t="inlineStr"/>
      <c r="I1349" s="5" t="n">
        <v>16.2</v>
      </c>
      <c r="J1349" s="6" t="n">
        <v>15</v>
      </c>
      <c r="K1349" s="7">
        <f>IF(I1349="","",I1349*(1+J1349/100))</f>
        <v/>
      </c>
      <c r="L1349" s="12" t="inlineStr"/>
      <c r="M1349" s="8">
        <f>IF(OR(L1349="",K1349="",L1349=0),"",
  (L1349-K1349)/L1349*100)</f>
        <v/>
      </c>
      <c r="N1349" s="9" t="inlineStr"/>
      <c r="O1349" s="4" t="inlineStr"/>
      <c r="P1349" s="4" t="inlineStr"/>
      <c r="Q1349" s="4" t="inlineStr"/>
      <c r="R1349" s="4" t="inlineStr">
        <is>
          <t>2026-03-12</t>
        </is>
      </c>
      <c r="S1349" s="4" t="inlineStr"/>
    </row>
    <row r="1350">
      <c r="A1350" s="10" t="inlineStr">
        <is>
          <t>F01803</t>
        </is>
      </c>
      <c r="B1350" s="10" t="inlineStr">
        <is>
          <t>F01803</t>
        </is>
      </c>
      <c r="C1350" s="10" t="inlineStr"/>
      <c r="D1350" s="10" t="inlineStr"/>
      <c r="E1350" s="10" t="inlineStr">
        <is>
          <t>SPARE WICKS FOR LANTERNS SMALL</t>
        </is>
      </c>
      <c r="F1350" s="10" t="inlineStr"/>
      <c r="G1350" s="10" t="inlineStr"/>
      <c r="H1350" s="10" t="inlineStr"/>
      <c r="I1350" s="11" t="n">
        <v>1.29</v>
      </c>
      <c r="J1350" s="6" t="n">
        <v>15</v>
      </c>
      <c r="K1350" s="7">
        <f>IF(I1350="","",I1350*(1+J1350/100))</f>
        <v/>
      </c>
      <c r="L1350" s="12" t="inlineStr"/>
      <c r="M1350" s="8">
        <f>IF(OR(L1350="",K1350="",L1350=0),"",
  (L1350-K1350)/L1350*100)</f>
        <v/>
      </c>
      <c r="N1350" s="9" t="inlineStr"/>
      <c r="O1350" s="10" t="inlineStr"/>
      <c r="P1350" s="10" t="inlineStr"/>
      <c r="Q1350" s="10" t="inlineStr"/>
      <c r="R1350" s="10" t="inlineStr">
        <is>
          <t>2026-03-12</t>
        </is>
      </c>
      <c r="S1350" s="10" t="inlineStr"/>
    </row>
    <row r="1351">
      <c r="A1351" s="3" t="inlineStr">
        <is>
          <t>F01804</t>
        </is>
      </c>
      <c r="B1351" s="4" t="inlineStr">
        <is>
          <t>F01804</t>
        </is>
      </c>
      <c r="C1351" s="4" t="inlineStr"/>
      <c r="D1351" s="4" t="inlineStr">
        <is>
          <t>6009677011634</t>
        </is>
      </c>
      <c r="E1351" s="3" t="inlineStr">
        <is>
          <t>PEEL &amp; STICK WDN OTASSY BRWN WOOD18PC/BX</t>
        </is>
      </c>
      <c r="F1351" s="4" t="inlineStr"/>
      <c r="G1351" s="4" t="inlineStr"/>
      <c r="H1351" s="4" t="inlineStr"/>
      <c r="I1351" s="5" t="n">
        <v>186.95</v>
      </c>
      <c r="J1351" s="6" t="n">
        <v>15</v>
      </c>
      <c r="K1351" s="7">
        <f>IF(I1351="","",I1351*(1+J1351/100))</f>
        <v/>
      </c>
      <c r="L1351" s="12" t="inlineStr"/>
      <c r="M1351" s="8">
        <f>IF(OR(L1351="",K1351="",L1351=0),"",
  (L1351-K1351)/L1351*100)</f>
        <v/>
      </c>
      <c r="N1351" s="14" t="n">
        <v>1</v>
      </c>
      <c r="O1351" s="4" t="inlineStr"/>
      <c r="P1351" s="4" t="inlineStr"/>
      <c r="Q1351" s="4" t="inlineStr"/>
      <c r="R1351" s="4" t="inlineStr">
        <is>
          <t>2026-03-12</t>
        </is>
      </c>
      <c r="S1351" s="4" t="inlineStr"/>
    </row>
    <row r="1352">
      <c r="A1352" s="10" t="inlineStr">
        <is>
          <t>F01805</t>
        </is>
      </c>
      <c r="B1352" s="10" t="inlineStr">
        <is>
          <t>F01805</t>
        </is>
      </c>
      <c r="C1352" s="10" t="inlineStr"/>
      <c r="D1352" s="10" t="inlineStr">
        <is>
          <t>6009677011955</t>
        </is>
      </c>
      <c r="E1352" s="10" t="inlineStr">
        <is>
          <t>PEEL &amp; STICK WDN TASSY STONE 18PC/BX</t>
        </is>
      </c>
      <c r="F1352" s="10" t="inlineStr"/>
      <c r="G1352" s="10" t="inlineStr"/>
      <c r="H1352" s="10" t="inlineStr"/>
      <c r="I1352" s="11" t="n">
        <v>165.95</v>
      </c>
      <c r="J1352" s="6" t="n">
        <v>15</v>
      </c>
      <c r="K1352" s="7">
        <f>IF(I1352="","",I1352*(1+J1352/100))</f>
        <v/>
      </c>
      <c r="L1352" s="12" t="inlineStr"/>
      <c r="M1352" s="8">
        <f>IF(OR(L1352="",K1352="",L1352=0),"",
  (L1352-K1352)/L1352*100)</f>
        <v/>
      </c>
      <c r="N1352" s="13" t="n">
        <v>789</v>
      </c>
      <c r="O1352" s="10" t="inlineStr"/>
      <c r="P1352" s="10" t="inlineStr"/>
      <c r="Q1352" s="10" t="inlineStr"/>
      <c r="R1352" s="10" t="inlineStr">
        <is>
          <t>2026-03-12</t>
        </is>
      </c>
      <c r="S1352" s="10" t="inlineStr"/>
    </row>
    <row r="1353">
      <c r="A1353" s="3" t="inlineStr">
        <is>
          <t>F01806</t>
        </is>
      </c>
      <c r="B1353" s="4" t="inlineStr">
        <is>
          <t>F01806</t>
        </is>
      </c>
      <c r="C1353" s="4" t="inlineStr"/>
      <c r="D1353" s="4" t="inlineStr"/>
      <c r="E1353" s="3" t="inlineStr">
        <is>
          <t>PEEL &amp; STICK WDN AG17-025 18PC/BOX ('6x3</t>
        </is>
      </c>
      <c r="F1353" s="4" t="inlineStr"/>
      <c r="G1353" s="4" t="inlineStr"/>
      <c r="H1353" s="4" t="inlineStr"/>
      <c r="I1353" s="5" t="n">
        <v>164.9</v>
      </c>
      <c r="J1353" s="6" t="n">
        <v>15</v>
      </c>
      <c r="K1353" s="7">
        <f>IF(I1353="","",I1353*(1+J1353/100))</f>
        <v/>
      </c>
      <c r="L1353" s="12" t="inlineStr"/>
      <c r="M1353" s="8">
        <f>IF(OR(L1353="",K1353="",L1353=0),"",
  (L1353-K1353)/L1353*100)</f>
        <v/>
      </c>
      <c r="N1353" s="9" t="inlineStr"/>
      <c r="O1353" s="4" t="inlineStr"/>
      <c r="P1353" s="4" t="inlineStr"/>
      <c r="Q1353" s="4" t="inlineStr"/>
      <c r="R1353" s="4" t="inlineStr">
        <is>
          <t>2026-03-12</t>
        </is>
      </c>
      <c r="S1353" s="4" t="inlineStr"/>
    </row>
    <row r="1354">
      <c r="A1354" s="10" t="inlineStr">
        <is>
          <t>F01807</t>
        </is>
      </c>
      <c r="B1354" s="10" t="inlineStr">
        <is>
          <t>F01807</t>
        </is>
      </c>
      <c r="C1354" s="10" t="inlineStr"/>
      <c r="D1354" s="10" t="inlineStr">
        <is>
          <t>6009677012730</t>
        </is>
      </c>
      <c r="E1354" s="10" t="inlineStr">
        <is>
          <t>PEEL &amp; STICK WDN TASSY BRONZE 18PC/BX</t>
        </is>
      </c>
      <c r="F1354" s="10" t="inlineStr"/>
      <c r="G1354" s="10" t="inlineStr"/>
      <c r="H1354" s="10" t="inlineStr"/>
      <c r="I1354" s="11" t="n">
        <v>165.95</v>
      </c>
      <c r="J1354" s="6" t="n">
        <v>15</v>
      </c>
      <c r="K1354" s="7">
        <f>IF(I1354="","",I1354*(1+J1354/100))</f>
        <v/>
      </c>
      <c r="L1354" s="12" t="inlineStr"/>
      <c r="M1354" s="8">
        <f>IF(OR(L1354="",K1354="",L1354=0),"",
  (L1354-K1354)/L1354*100)</f>
        <v/>
      </c>
      <c r="N1354" s="13" t="n">
        <v>591</v>
      </c>
      <c r="O1354" s="10" t="inlineStr"/>
      <c r="P1354" s="10" t="inlineStr"/>
      <c r="Q1354" s="10" t="inlineStr"/>
      <c r="R1354" s="10" t="inlineStr">
        <is>
          <t>2026-03-12</t>
        </is>
      </c>
      <c r="S1354" s="10" t="inlineStr"/>
    </row>
    <row r="1355">
      <c r="A1355" s="3" t="inlineStr">
        <is>
          <t>F01808</t>
        </is>
      </c>
      <c r="B1355" s="4" t="inlineStr">
        <is>
          <t>F01808</t>
        </is>
      </c>
      <c r="C1355" s="4" t="inlineStr"/>
      <c r="D1355" s="4" t="inlineStr">
        <is>
          <t>6009677012747</t>
        </is>
      </c>
      <c r="E1355" s="3" t="inlineStr">
        <is>
          <t>PEEL &amp; STICK WDN TASSY BEIGE  18PC/BX</t>
        </is>
      </c>
      <c r="F1355" s="4" t="inlineStr"/>
      <c r="G1355" s="4" t="inlineStr"/>
      <c r="H1355" s="4" t="inlineStr"/>
      <c r="I1355" s="5" t="n">
        <v>165.95</v>
      </c>
      <c r="J1355" s="6" t="n">
        <v>15</v>
      </c>
      <c r="K1355" s="7">
        <f>IF(I1355="","",I1355*(1+J1355/100))</f>
        <v/>
      </c>
      <c r="L1355" s="12" t="inlineStr"/>
      <c r="M1355" s="8">
        <f>IF(OR(L1355="",K1355="",L1355=0),"",
  (L1355-K1355)/L1355*100)</f>
        <v/>
      </c>
      <c r="N1355" s="14" t="n">
        <v>599</v>
      </c>
      <c r="O1355" s="4" t="inlineStr"/>
      <c r="P1355" s="4" t="inlineStr"/>
      <c r="Q1355" s="4" t="inlineStr"/>
      <c r="R1355" s="4" t="inlineStr">
        <is>
          <t>2026-03-12</t>
        </is>
      </c>
      <c r="S1355" s="4" t="inlineStr"/>
    </row>
    <row r="1356">
      <c r="A1356" s="10" t="inlineStr">
        <is>
          <t>F01809</t>
        </is>
      </c>
      <c r="B1356" s="10" t="inlineStr">
        <is>
          <t>F01809</t>
        </is>
      </c>
      <c r="C1356" s="10" t="inlineStr"/>
      <c r="D1356" s="10" t="inlineStr">
        <is>
          <t>6009677012754</t>
        </is>
      </c>
      <c r="E1356" s="10" t="inlineStr">
        <is>
          <t>PEEL &amp; STICK WDN TASSY GREY  18PC/BX</t>
        </is>
      </c>
      <c r="F1356" s="10" t="inlineStr"/>
      <c r="G1356" s="10" t="inlineStr"/>
      <c r="H1356" s="10" t="inlineStr"/>
      <c r="I1356" s="11" t="n">
        <v>165.95</v>
      </c>
      <c r="J1356" s="6" t="n">
        <v>15</v>
      </c>
      <c r="K1356" s="7">
        <f>IF(I1356="","",I1356*(1+J1356/100))</f>
        <v/>
      </c>
      <c r="L1356" s="12" t="inlineStr"/>
      <c r="M1356" s="8">
        <f>IF(OR(L1356="",K1356="",L1356=0),"",
  (L1356-K1356)/L1356*100)</f>
        <v/>
      </c>
      <c r="N1356" s="13" t="n">
        <v>502</v>
      </c>
      <c r="O1356" s="10" t="inlineStr"/>
      <c r="P1356" s="10" t="inlineStr"/>
      <c r="Q1356" s="10" t="inlineStr"/>
      <c r="R1356" s="10" t="inlineStr">
        <is>
          <t>2026-03-12</t>
        </is>
      </c>
      <c r="S1356" s="10" t="inlineStr"/>
    </row>
    <row r="1357">
      <c r="A1357" s="3" t="inlineStr">
        <is>
          <t>F01810</t>
        </is>
      </c>
      <c r="B1357" s="4" t="inlineStr">
        <is>
          <t>F01810</t>
        </is>
      </c>
      <c r="C1357" s="4" t="inlineStr"/>
      <c r="D1357" s="4" t="inlineStr">
        <is>
          <t>6009677012761</t>
        </is>
      </c>
      <c r="E1357" s="3" t="inlineStr">
        <is>
          <t>PEEL &amp; STICK WDN TASSY ASH 18PC/BX</t>
        </is>
      </c>
      <c r="F1357" s="4" t="inlineStr"/>
      <c r="G1357" s="4" t="inlineStr"/>
      <c r="H1357" s="4" t="inlineStr"/>
      <c r="I1357" s="5" t="n">
        <v>186.95</v>
      </c>
      <c r="J1357" s="6" t="n">
        <v>15</v>
      </c>
      <c r="K1357" s="7">
        <f>IF(I1357="","",I1357*(1+J1357/100))</f>
        <v/>
      </c>
      <c r="L1357" s="12" t="inlineStr"/>
      <c r="M1357" s="8">
        <f>IF(OR(L1357="",K1357="",L1357=0),"",
  (L1357-K1357)/L1357*100)</f>
        <v/>
      </c>
      <c r="N1357" s="9" t="inlineStr"/>
      <c r="O1357" s="4" t="inlineStr"/>
      <c r="P1357" s="4" t="inlineStr"/>
      <c r="Q1357" s="4" t="inlineStr"/>
      <c r="R1357" s="4" t="inlineStr">
        <is>
          <t>2026-03-12</t>
        </is>
      </c>
      <c r="S1357" s="4" t="inlineStr"/>
    </row>
    <row r="1358">
      <c r="A1358" s="10" t="inlineStr">
        <is>
          <t>F01811</t>
        </is>
      </c>
      <c r="B1358" s="10" t="inlineStr">
        <is>
          <t>F01811</t>
        </is>
      </c>
      <c r="C1358" s="10" t="inlineStr"/>
      <c r="D1358" s="10" t="inlineStr"/>
      <c r="E1358" s="10" t="inlineStr">
        <is>
          <t>PEEL &amp; STICK WDN AG17-020 18PC/BOX ('6x3</t>
        </is>
      </c>
      <c r="F1358" s="10" t="inlineStr"/>
      <c r="G1358" s="10" t="inlineStr"/>
      <c r="H1358" s="10" t="inlineStr"/>
      <c r="I1358" s="11" t="n">
        <v>164.9</v>
      </c>
      <c r="J1358" s="6" t="n">
        <v>15</v>
      </c>
      <c r="K1358" s="7">
        <f>IF(I1358="","",I1358*(1+J1358/100))</f>
        <v/>
      </c>
      <c r="L1358" s="12" t="inlineStr"/>
      <c r="M1358" s="8">
        <f>IF(OR(L1358="",K1358="",L1358=0),"",
  (L1358-K1358)/L1358*100)</f>
        <v/>
      </c>
      <c r="N1358" s="9" t="inlineStr"/>
      <c r="O1358" s="10" t="inlineStr"/>
      <c r="P1358" s="10" t="inlineStr"/>
      <c r="Q1358" s="10" t="inlineStr"/>
      <c r="R1358" s="10" t="inlineStr">
        <is>
          <t>2026-03-12</t>
        </is>
      </c>
      <c r="S1358" s="10" t="inlineStr"/>
    </row>
    <row r="1359">
      <c r="A1359" s="3" t="inlineStr">
        <is>
          <t>F01812</t>
        </is>
      </c>
      <c r="B1359" s="4" t="inlineStr">
        <is>
          <t>F01812</t>
        </is>
      </c>
      <c r="C1359" s="4" t="inlineStr"/>
      <c r="D1359" s="4" t="inlineStr">
        <is>
          <t>6009677012785</t>
        </is>
      </c>
      <c r="E1359" s="3" t="inlineStr">
        <is>
          <t>PEEL &amp; STICK WDN TASSY BROWN 18PC/BX</t>
        </is>
      </c>
      <c r="F1359" s="4" t="inlineStr"/>
      <c r="G1359" s="4" t="inlineStr"/>
      <c r="H1359" s="4" t="inlineStr"/>
      <c r="I1359" s="5" t="n">
        <v>165.95</v>
      </c>
      <c r="J1359" s="6" t="n">
        <v>15</v>
      </c>
      <c r="K1359" s="7">
        <f>IF(I1359="","",I1359*(1+J1359/100))</f>
        <v/>
      </c>
      <c r="L1359" s="12" t="inlineStr"/>
      <c r="M1359" s="8">
        <f>IF(OR(L1359="",K1359="",L1359=0),"",
  (L1359-K1359)/L1359*100)</f>
        <v/>
      </c>
      <c r="N1359" s="14" t="n">
        <v>594</v>
      </c>
      <c r="O1359" s="4" t="inlineStr"/>
      <c r="P1359" s="4" t="inlineStr"/>
      <c r="Q1359" s="4" t="inlineStr"/>
      <c r="R1359" s="4" t="inlineStr">
        <is>
          <t>2026-03-12</t>
        </is>
      </c>
      <c r="S1359" s="4" t="inlineStr"/>
    </row>
    <row r="1360">
      <c r="A1360" s="10" t="inlineStr">
        <is>
          <t>F01813</t>
        </is>
      </c>
      <c r="B1360" s="10" t="inlineStr">
        <is>
          <t>F01813</t>
        </is>
      </c>
      <c r="C1360" s="10" t="inlineStr"/>
      <c r="D1360" s="10" t="inlineStr">
        <is>
          <t>6009677012808</t>
        </is>
      </c>
      <c r="E1360" s="10" t="inlineStr">
        <is>
          <t>PEEL &amp; STICK WDN TASSY CHOC 18PC/BX</t>
        </is>
      </c>
      <c r="F1360" s="10" t="inlineStr"/>
      <c r="G1360" s="10" t="inlineStr"/>
      <c r="H1360" s="10" t="inlineStr"/>
      <c r="I1360" s="11" t="n">
        <v>165.95</v>
      </c>
      <c r="J1360" s="6" t="n">
        <v>15</v>
      </c>
      <c r="K1360" s="7">
        <f>IF(I1360="","",I1360*(1+J1360/100))</f>
        <v/>
      </c>
      <c r="L1360" s="12" t="inlineStr"/>
      <c r="M1360" s="8">
        <f>IF(OR(L1360="",K1360="",L1360=0),"",
  (L1360-K1360)/L1360*100)</f>
        <v/>
      </c>
      <c r="N1360" s="13" t="n">
        <v>609</v>
      </c>
      <c r="O1360" s="10" t="inlineStr"/>
      <c r="P1360" s="10" t="inlineStr"/>
      <c r="Q1360" s="10" t="inlineStr"/>
      <c r="R1360" s="10" t="inlineStr">
        <is>
          <t>2026-03-12</t>
        </is>
      </c>
      <c r="S1360" s="10" t="inlineStr"/>
    </row>
    <row r="1361">
      <c r="A1361" s="3" t="inlineStr">
        <is>
          <t>F01814</t>
        </is>
      </c>
      <c r="B1361" s="4" t="inlineStr">
        <is>
          <t>F01814</t>
        </is>
      </c>
      <c r="C1361" s="4" t="inlineStr"/>
      <c r="D1361" s="4" t="inlineStr">
        <is>
          <t>6009677015359</t>
        </is>
      </c>
      <c r="E1361" s="3" t="inlineStr">
        <is>
          <t>TOWER BOLT 100MM (TWB-01)</t>
        </is>
      </c>
      <c r="F1361" s="4" t="inlineStr"/>
      <c r="G1361" s="4" t="inlineStr"/>
      <c r="H1361" s="4" t="inlineStr"/>
      <c r="I1361" s="5" t="n">
        <v>12.95</v>
      </c>
      <c r="J1361" s="6" t="n">
        <v>15</v>
      </c>
      <c r="K1361" s="7">
        <f>IF(I1361="","",I1361*(1+J1361/100))</f>
        <v/>
      </c>
      <c r="L1361" s="12" t="inlineStr"/>
      <c r="M1361" s="8">
        <f>IF(OR(L1361="",K1361="",L1361=0),"",
  (L1361-K1361)/L1361*100)</f>
        <v/>
      </c>
      <c r="N1361" s="9" t="inlineStr"/>
      <c r="O1361" s="4" t="inlineStr"/>
      <c r="P1361" s="4" t="inlineStr"/>
      <c r="Q1361" s="4" t="inlineStr"/>
      <c r="R1361" s="4" t="inlineStr">
        <is>
          <t>2026-03-12</t>
        </is>
      </c>
      <c r="S1361" s="4" t="inlineStr"/>
    </row>
    <row r="1362">
      <c r="A1362" s="10" t="inlineStr">
        <is>
          <t>F01815</t>
        </is>
      </c>
      <c r="B1362" s="10" t="inlineStr">
        <is>
          <t>F01815</t>
        </is>
      </c>
      <c r="C1362" s="10" t="inlineStr">
        <is>
          <t>10267</t>
        </is>
      </c>
      <c r="D1362" s="10" t="inlineStr">
        <is>
          <t>6009677015366</t>
        </is>
      </c>
      <c r="E1362" s="10" t="inlineStr">
        <is>
          <t>TOWER BOLT 150MM (TWB-02)</t>
        </is>
      </c>
      <c r="F1362" s="10" t="inlineStr"/>
      <c r="G1362" s="10" t="inlineStr"/>
      <c r="H1362" s="10" t="inlineStr"/>
      <c r="I1362" s="11" t="n">
        <v>15.95</v>
      </c>
      <c r="J1362" s="6" t="n">
        <v>15</v>
      </c>
      <c r="K1362" s="7">
        <f>IF(I1362="","",I1362*(1+J1362/100))</f>
        <v/>
      </c>
      <c r="L1362" s="11" t="n">
        <v>170</v>
      </c>
      <c r="M1362" s="8">
        <f>IF(OR(L1362="",K1362="",L1362=0),"",
  (L1362-K1362)/L1362*100)</f>
        <v/>
      </c>
      <c r="N1362" s="13" t="n">
        <v>148</v>
      </c>
      <c r="O1362" s="10" t="inlineStr"/>
      <c r="P1362" s="10" t="inlineStr"/>
      <c r="Q1362" s="10" t="inlineStr"/>
      <c r="R1362" s="10" t="inlineStr">
        <is>
          <t>2026-03-12</t>
        </is>
      </c>
      <c r="S1362" s="10" t="inlineStr"/>
    </row>
    <row r="1363">
      <c r="A1363" s="3" t="inlineStr">
        <is>
          <t>F01816</t>
        </is>
      </c>
      <c r="B1363" s="4" t="inlineStr">
        <is>
          <t>F01816</t>
        </is>
      </c>
      <c r="C1363" s="4" t="inlineStr"/>
      <c r="D1363" s="4" t="inlineStr">
        <is>
          <t>6009677015373</t>
        </is>
      </c>
      <c r="E1363" s="3" t="inlineStr">
        <is>
          <t>HINGE BUTT IRON 100MMX 1.6MM (PAIR)</t>
        </is>
      </c>
      <c r="F1363" s="4" t="inlineStr"/>
      <c r="G1363" s="4" t="inlineStr"/>
      <c r="H1363" s="4" t="inlineStr"/>
      <c r="I1363" s="5" t="n">
        <v>13.49</v>
      </c>
      <c r="J1363" s="6" t="n">
        <v>15</v>
      </c>
      <c r="K1363" s="7">
        <f>IF(I1363="","",I1363*(1+J1363/100))</f>
        <v/>
      </c>
      <c r="L1363" s="12" t="inlineStr"/>
      <c r="M1363" s="8">
        <f>IF(OR(L1363="",K1363="",L1363=0),"",
  (L1363-K1363)/L1363*100)</f>
        <v/>
      </c>
      <c r="N1363" s="14" t="n">
        <v>80</v>
      </c>
      <c r="O1363" s="4" t="inlineStr"/>
      <c r="P1363" s="4" t="inlineStr"/>
      <c r="Q1363" s="4" t="inlineStr"/>
      <c r="R1363" s="4" t="inlineStr">
        <is>
          <t>2026-03-12</t>
        </is>
      </c>
      <c r="S1363" s="4" t="inlineStr"/>
    </row>
    <row r="1364">
      <c r="A1364" s="10" t="inlineStr">
        <is>
          <t>F01817</t>
        </is>
      </c>
      <c r="B1364" s="10" t="inlineStr">
        <is>
          <t>F01817</t>
        </is>
      </c>
      <c r="C1364" s="10" t="inlineStr"/>
      <c r="D1364" s="10" t="inlineStr">
        <is>
          <t>6009677015380</t>
        </is>
      </c>
      <c r="E1364" s="10" t="inlineStr">
        <is>
          <t>HINGE BUTT BRASS 100MM X1.6MM (PAIR)</t>
        </is>
      </c>
      <c r="F1364" s="10" t="inlineStr"/>
      <c r="G1364" s="10" t="inlineStr"/>
      <c r="H1364" s="10" t="inlineStr"/>
      <c r="I1364" s="11" t="n">
        <v>14.49</v>
      </c>
      <c r="J1364" s="6" t="n">
        <v>15</v>
      </c>
      <c r="K1364" s="7">
        <f>IF(I1364="","",I1364*(1+J1364/100))</f>
        <v/>
      </c>
      <c r="L1364" s="12" t="inlineStr"/>
      <c r="M1364" s="8">
        <f>IF(OR(L1364="",K1364="",L1364=0),"",
  (L1364-K1364)/L1364*100)</f>
        <v/>
      </c>
      <c r="N1364" s="9" t="inlineStr"/>
      <c r="O1364" s="10" t="inlineStr"/>
      <c r="P1364" s="10" t="inlineStr"/>
      <c r="Q1364" s="10" t="inlineStr"/>
      <c r="R1364" s="10" t="inlineStr">
        <is>
          <t>2026-03-12</t>
        </is>
      </c>
      <c r="S1364" s="10" t="inlineStr"/>
    </row>
    <row r="1365">
      <c r="A1365" s="3" t="inlineStr">
        <is>
          <t>F01818</t>
        </is>
      </c>
      <c r="B1365" s="4" t="inlineStr">
        <is>
          <t>F01818</t>
        </is>
      </c>
      <c r="C1365" s="4" t="inlineStr"/>
      <c r="D1365" s="4" t="inlineStr">
        <is>
          <t>6009677015397</t>
        </is>
      </c>
      <c r="E1365" s="3" t="inlineStr">
        <is>
          <t>HINGE BUTT IRON 100MMX 1.2MM (PAIR)</t>
        </is>
      </c>
      <c r="F1365" s="4" t="inlineStr"/>
      <c r="G1365" s="4" t="inlineStr"/>
      <c r="H1365" s="4" t="inlineStr"/>
      <c r="I1365" s="5" t="n">
        <v>10.95</v>
      </c>
      <c r="J1365" s="6" t="n">
        <v>15</v>
      </c>
      <c r="K1365" s="7">
        <f>IF(I1365="","",I1365*(1+J1365/100))</f>
        <v/>
      </c>
      <c r="L1365" s="12" t="inlineStr"/>
      <c r="M1365" s="8">
        <f>IF(OR(L1365="",K1365="",L1365=0),"",
  (L1365-K1365)/L1365*100)</f>
        <v/>
      </c>
      <c r="N1365" s="14" t="n">
        <v>160</v>
      </c>
      <c r="O1365" s="4" t="inlineStr"/>
      <c r="P1365" s="4" t="inlineStr"/>
      <c r="Q1365" s="4" t="inlineStr"/>
      <c r="R1365" s="4" t="inlineStr">
        <is>
          <t>2026-03-12</t>
        </is>
      </c>
      <c r="S1365" s="4" t="inlineStr"/>
    </row>
    <row r="1366">
      <c r="A1366" s="10" t="inlineStr">
        <is>
          <t>F01819</t>
        </is>
      </c>
      <c r="B1366" s="10" t="inlineStr">
        <is>
          <t>F01819</t>
        </is>
      </c>
      <c r="C1366" s="10" t="inlineStr"/>
      <c r="D1366" s="10" t="inlineStr">
        <is>
          <t>6009677015571</t>
        </is>
      </c>
      <c r="E1366" s="10" t="inlineStr">
        <is>
          <t>BRASS BARREL BOLTS - 50MM BLISTER (2BBC/</t>
        </is>
      </c>
      <c r="F1366" s="10" t="inlineStr"/>
      <c r="G1366" s="10" t="inlineStr"/>
      <c r="H1366" s="10" t="inlineStr"/>
      <c r="I1366" s="11" t="n">
        <v>10.5</v>
      </c>
      <c r="J1366" s="6" t="n">
        <v>15</v>
      </c>
      <c r="K1366" s="7">
        <f>IF(I1366="","",I1366*(1+J1366/100))</f>
        <v/>
      </c>
      <c r="L1366" s="12" t="inlineStr"/>
      <c r="M1366" s="8">
        <f>IF(OR(L1366="",K1366="",L1366=0),"",
  (L1366-K1366)/L1366*100)</f>
        <v/>
      </c>
      <c r="N1366" s="9" t="inlineStr"/>
      <c r="O1366" s="10" t="inlineStr"/>
      <c r="P1366" s="10" t="inlineStr"/>
      <c r="Q1366" s="10" t="inlineStr"/>
      <c r="R1366" s="10" t="inlineStr">
        <is>
          <t>2026-03-12</t>
        </is>
      </c>
      <c r="S1366" s="10" t="inlineStr"/>
    </row>
    <row r="1367">
      <c r="A1367" s="3" t="inlineStr">
        <is>
          <t>F01820</t>
        </is>
      </c>
      <c r="B1367" s="4" t="inlineStr">
        <is>
          <t>F01820</t>
        </is>
      </c>
      <c r="C1367" s="4" t="inlineStr"/>
      <c r="D1367" s="4" t="inlineStr">
        <is>
          <t>6009677015588</t>
        </is>
      </c>
      <c r="E1367" s="3" t="inlineStr">
        <is>
          <t>BRASS BARREL BOLTS - 63MM BLISTER (2BBC/</t>
        </is>
      </c>
      <c r="F1367" s="4" t="inlineStr"/>
      <c r="G1367" s="4" t="inlineStr"/>
      <c r="H1367" s="4" t="inlineStr"/>
      <c r="I1367" s="5" t="n">
        <v>12.5</v>
      </c>
      <c r="J1367" s="6" t="n">
        <v>15</v>
      </c>
      <c r="K1367" s="7">
        <f>IF(I1367="","",I1367*(1+J1367/100))</f>
        <v/>
      </c>
      <c r="L1367" s="12" t="inlineStr"/>
      <c r="M1367" s="8">
        <f>IF(OR(L1367="",K1367="",L1367=0),"",
  (L1367-K1367)/L1367*100)</f>
        <v/>
      </c>
      <c r="N1367" s="14" t="n">
        <v>6</v>
      </c>
      <c r="O1367" s="4" t="inlineStr"/>
      <c r="P1367" s="4" t="inlineStr"/>
      <c r="Q1367" s="4" t="inlineStr"/>
      <c r="R1367" s="4" t="inlineStr">
        <is>
          <t>2026-03-12</t>
        </is>
      </c>
      <c r="S1367" s="4" t="inlineStr"/>
    </row>
    <row r="1368">
      <c r="A1368" s="10" t="inlineStr">
        <is>
          <t>F01821</t>
        </is>
      </c>
      <c r="B1368" s="10" t="inlineStr">
        <is>
          <t>F01821</t>
        </is>
      </c>
      <c r="C1368" s="10" t="inlineStr"/>
      <c r="D1368" s="10" t="inlineStr">
        <is>
          <t>6009677015595</t>
        </is>
      </c>
      <c r="E1368" s="10" t="inlineStr">
        <is>
          <t>BRASS BARREL BOLTS - 75MM BLISTER (2BBC/</t>
        </is>
      </c>
      <c r="F1368" s="10" t="inlineStr"/>
      <c r="G1368" s="10" t="inlineStr"/>
      <c r="H1368" s="10" t="inlineStr"/>
      <c r="I1368" s="11" t="n">
        <v>14.5</v>
      </c>
      <c r="J1368" s="6" t="n">
        <v>15</v>
      </c>
      <c r="K1368" s="7">
        <f>IF(I1368="","",I1368*(1+J1368/100))</f>
        <v/>
      </c>
      <c r="L1368" s="12" t="inlineStr"/>
      <c r="M1368" s="8">
        <f>IF(OR(L1368="",K1368="",L1368=0),"",
  (L1368-K1368)/L1368*100)</f>
        <v/>
      </c>
      <c r="N1368" s="9" t="inlineStr"/>
      <c r="O1368" s="10" t="inlineStr"/>
      <c r="P1368" s="10" t="inlineStr"/>
      <c r="Q1368" s="10" t="inlineStr"/>
      <c r="R1368" s="10" t="inlineStr">
        <is>
          <t>2026-03-12</t>
        </is>
      </c>
      <c r="S1368" s="10" t="inlineStr"/>
    </row>
    <row r="1369">
      <c r="A1369" s="3" t="inlineStr">
        <is>
          <t>F01822</t>
        </is>
      </c>
      <c r="B1369" s="4" t="inlineStr">
        <is>
          <t>F01822</t>
        </is>
      </c>
      <c r="C1369" s="4" t="inlineStr"/>
      <c r="D1369" s="4" t="inlineStr">
        <is>
          <t>6009677015601</t>
        </is>
      </c>
      <c r="E1369" s="3" t="inlineStr">
        <is>
          <t>BRASS BARREL BOLTS - 100MM BLISTER (2BBC</t>
        </is>
      </c>
      <c r="F1369" s="4" t="inlineStr"/>
      <c r="G1369" s="4" t="inlineStr"/>
      <c r="H1369" s="4" t="inlineStr"/>
      <c r="I1369" s="5" t="n">
        <v>17.5</v>
      </c>
      <c r="J1369" s="6" t="n">
        <v>15</v>
      </c>
      <c r="K1369" s="7">
        <f>IF(I1369="","",I1369*(1+J1369/100))</f>
        <v/>
      </c>
      <c r="L1369" s="12" t="inlineStr"/>
      <c r="M1369" s="8">
        <f>IF(OR(L1369="",K1369="",L1369=0),"",
  (L1369-K1369)/L1369*100)</f>
        <v/>
      </c>
      <c r="N1369" s="9" t="inlineStr"/>
      <c r="O1369" s="4" t="inlineStr"/>
      <c r="P1369" s="4" t="inlineStr"/>
      <c r="Q1369" s="4" t="inlineStr"/>
      <c r="R1369" s="4" t="inlineStr">
        <is>
          <t>2026-03-12</t>
        </is>
      </c>
      <c r="S1369" s="4" t="inlineStr"/>
    </row>
    <row r="1370">
      <c r="A1370" s="10" t="inlineStr">
        <is>
          <t>F01823</t>
        </is>
      </c>
      <c r="B1370" s="10" t="inlineStr">
        <is>
          <t>F01823</t>
        </is>
      </c>
      <c r="C1370" s="10" t="inlineStr"/>
      <c r="D1370" s="10" t="inlineStr">
        <is>
          <t>6009677015618</t>
        </is>
      </c>
      <c r="E1370" s="10" t="inlineStr">
        <is>
          <t>CHROME BARREL BOLTS - 50MM BLISTER (2CBC</t>
        </is>
      </c>
      <c r="F1370" s="10" t="inlineStr"/>
      <c r="G1370" s="10" t="inlineStr"/>
      <c r="H1370" s="10" t="inlineStr"/>
      <c r="I1370" s="11" t="n">
        <v>12.5</v>
      </c>
      <c r="J1370" s="6" t="n">
        <v>15</v>
      </c>
      <c r="K1370" s="7">
        <f>IF(I1370="","",I1370*(1+J1370/100))</f>
        <v/>
      </c>
      <c r="L1370" s="12" t="inlineStr"/>
      <c r="M1370" s="8">
        <f>IF(OR(L1370="",K1370="",L1370=0),"",
  (L1370-K1370)/L1370*100)</f>
        <v/>
      </c>
      <c r="N1370" s="9" t="inlineStr"/>
      <c r="O1370" s="10" t="inlineStr"/>
      <c r="P1370" s="10" t="inlineStr"/>
      <c r="Q1370" s="10" t="inlineStr"/>
      <c r="R1370" s="10" t="inlineStr">
        <is>
          <t>2026-03-12</t>
        </is>
      </c>
      <c r="S1370" s="10" t="inlineStr"/>
    </row>
    <row r="1371">
      <c r="A1371" s="3" t="inlineStr">
        <is>
          <t>F01824</t>
        </is>
      </c>
      <c r="B1371" s="4" t="inlineStr">
        <is>
          <t>F01824</t>
        </is>
      </c>
      <c r="C1371" s="4" t="inlineStr"/>
      <c r="D1371" s="4" t="inlineStr">
        <is>
          <t>6009677015625</t>
        </is>
      </c>
      <c r="E1371" s="3" t="inlineStr">
        <is>
          <t>CHROME BARREL BOLTS - 63MM BLISTER (2CBC</t>
        </is>
      </c>
      <c r="F1371" s="4" t="inlineStr"/>
      <c r="G1371" s="4" t="inlineStr"/>
      <c r="H1371" s="4" t="inlineStr"/>
      <c r="I1371" s="5" t="n">
        <v>14.95</v>
      </c>
      <c r="J1371" s="6" t="n">
        <v>15</v>
      </c>
      <c r="K1371" s="7">
        <f>IF(I1371="","",I1371*(1+J1371/100))</f>
        <v/>
      </c>
      <c r="L1371" s="12" t="inlineStr"/>
      <c r="M1371" s="8">
        <f>IF(OR(L1371="",K1371="",L1371=0),"",
  (L1371-K1371)/L1371*100)</f>
        <v/>
      </c>
      <c r="N1371" s="9" t="inlineStr"/>
      <c r="O1371" s="4" t="inlineStr"/>
      <c r="P1371" s="4" t="inlineStr"/>
      <c r="Q1371" s="4" t="inlineStr"/>
      <c r="R1371" s="4" t="inlineStr">
        <is>
          <t>2026-03-12</t>
        </is>
      </c>
      <c r="S1371" s="4" t="inlineStr"/>
    </row>
    <row r="1372">
      <c r="A1372" s="10" t="inlineStr">
        <is>
          <t>F01825</t>
        </is>
      </c>
      <c r="B1372" s="10" t="inlineStr">
        <is>
          <t>F01825</t>
        </is>
      </c>
      <c r="C1372" s="10" t="inlineStr"/>
      <c r="D1372" s="10" t="inlineStr">
        <is>
          <t>6009677015632</t>
        </is>
      </c>
      <c r="E1372" s="10" t="inlineStr">
        <is>
          <t>CHROME BARREL BOLTS - 75MM BLISTER (2CBC</t>
        </is>
      </c>
      <c r="F1372" s="10" t="inlineStr"/>
      <c r="G1372" s="10" t="inlineStr"/>
      <c r="H1372" s="10" t="inlineStr"/>
      <c r="I1372" s="11" t="n">
        <v>17.5</v>
      </c>
      <c r="J1372" s="6" t="n">
        <v>15</v>
      </c>
      <c r="K1372" s="7">
        <f>IF(I1372="","",I1372*(1+J1372/100))</f>
        <v/>
      </c>
      <c r="L1372" s="12" t="inlineStr"/>
      <c r="M1372" s="8">
        <f>IF(OR(L1372="",K1372="",L1372=0),"",
  (L1372-K1372)/L1372*100)</f>
        <v/>
      </c>
      <c r="N1372" s="9" t="inlineStr"/>
      <c r="O1372" s="10" t="inlineStr"/>
      <c r="P1372" s="10" t="inlineStr"/>
      <c r="Q1372" s="10" t="inlineStr"/>
      <c r="R1372" s="10" t="inlineStr">
        <is>
          <t>2026-03-12</t>
        </is>
      </c>
      <c r="S1372" s="10" t="inlineStr"/>
    </row>
    <row r="1373">
      <c r="A1373" s="3" t="inlineStr">
        <is>
          <t>F01826</t>
        </is>
      </c>
      <c r="B1373" s="4" t="inlineStr">
        <is>
          <t>F01826</t>
        </is>
      </c>
      <c r="C1373" s="4" t="inlineStr"/>
      <c r="D1373" s="4" t="inlineStr">
        <is>
          <t>6009677015649</t>
        </is>
      </c>
      <c r="E1373" s="3" t="inlineStr">
        <is>
          <t>CHROME BARREL BOLTS - 100MM BLISTER (2CB</t>
        </is>
      </c>
      <c r="F1373" s="4" t="inlineStr"/>
      <c r="G1373" s="4" t="inlineStr"/>
      <c r="H1373" s="4" t="inlineStr"/>
      <c r="I1373" s="5" t="n">
        <v>20.29</v>
      </c>
      <c r="J1373" s="6" t="n">
        <v>15</v>
      </c>
      <c r="K1373" s="7">
        <f>IF(I1373="","",I1373*(1+J1373/100))</f>
        <v/>
      </c>
      <c r="L1373" s="12" t="inlineStr"/>
      <c r="M1373" s="8">
        <f>IF(OR(L1373="",K1373="",L1373=0),"",
  (L1373-K1373)/L1373*100)</f>
        <v/>
      </c>
      <c r="N1373" s="14" t="n">
        <v>1</v>
      </c>
      <c r="O1373" s="4" t="inlineStr"/>
      <c r="P1373" s="4" t="inlineStr"/>
      <c r="Q1373" s="4" t="inlineStr"/>
      <c r="R1373" s="4" t="inlineStr">
        <is>
          <t>2026-03-12</t>
        </is>
      </c>
      <c r="S1373" s="4" t="inlineStr"/>
    </row>
    <row r="1374">
      <c r="A1374" s="10" t="inlineStr">
        <is>
          <t>F01827</t>
        </is>
      </c>
      <c r="B1374" s="10" t="inlineStr">
        <is>
          <t>F01827</t>
        </is>
      </c>
      <c r="C1374" s="10" t="inlineStr">
        <is>
          <t>18383</t>
        </is>
      </c>
      <c r="D1374" s="10" t="inlineStr">
        <is>
          <t>6009677015656</t>
        </is>
      </c>
      <c r="E1374" s="10" t="inlineStr">
        <is>
          <t>BRASS BARREL BOLT NECKED - 50MM BLISTER</t>
        </is>
      </c>
      <c r="F1374" s="10" t="inlineStr"/>
      <c r="G1374" s="10" t="inlineStr"/>
      <c r="H1374" s="10" t="inlineStr"/>
      <c r="I1374" s="11" t="n">
        <v>14.5</v>
      </c>
      <c r="J1374" s="6" t="n">
        <v>15</v>
      </c>
      <c r="K1374" s="7">
        <f>IF(I1374="","",I1374*(1+J1374/100))</f>
        <v/>
      </c>
      <c r="L1374" s="11" t="n">
        <v>170</v>
      </c>
      <c r="M1374" s="8">
        <f>IF(OR(L1374="",K1374="",L1374=0),"",
  (L1374-K1374)/L1374*100)</f>
        <v/>
      </c>
      <c r="N1374" s="9" t="inlineStr"/>
      <c r="O1374" s="10" t="inlineStr"/>
      <c r="P1374" s="10" t="inlineStr"/>
      <c r="Q1374" s="10" t="inlineStr"/>
      <c r="R1374" s="10" t="inlineStr">
        <is>
          <t>2026-03-12</t>
        </is>
      </c>
      <c r="S1374" s="10" t="inlineStr"/>
    </row>
    <row r="1375">
      <c r="A1375" s="3" t="inlineStr">
        <is>
          <t>F01828</t>
        </is>
      </c>
      <c r="B1375" s="4" t="inlineStr">
        <is>
          <t>F01828</t>
        </is>
      </c>
      <c r="C1375" s="4" t="inlineStr">
        <is>
          <t>18384</t>
        </is>
      </c>
      <c r="D1375" s="4" t="inlineStr">
        <is>
          <t>6009677015663</t>
        </is>
      </c>
      <c r="E1375" s="3" t="inlineStr">
        <is>
          <t>BRASS BARREL BOLT NECKED - 63MM BLISTER</t>
        </is>
      </c>
      <c r="F1375" s="4" t="inlineStr"/>
      <c r="G1375" s="4" t="inlineStr"/>
      <c r="H1375" s="4" t="inlineStr"/>
      <c r="I1375" s="5" t="n">
        <v>17.5</v>
      </c>
      <c r="J1375" s="6" t="n">
        <v>15</v>
      </c>
      <c r="K1375" s="7">
        <f>IF(I1375="","",I1375*(1+J1375/100))</f>
        <v/>
      </c>
      <c r="L1375" s="5" t="n">
        <v>180</v>
      </c>
      <c r="M1375" s="8">
        <f>IF(OR(L1375="",K1375="",L1375=0),"",
  (L1375-K1375)/L1375*100)</f>
        <v/>
      </c>
      <c r="N1375" s="14" t="n">
        <v>13</v>
      </c>
      <c r="O1375" s="4" t="inlineStr"/>
      <c r="P1375" s="4" t="inlineStr"/>
      <c r="Q1375" s="4" t="inlineStr"/>
      <c r="R1375" s="4" t="inlineStr">
        <is>
          <t>2026-03-12</t>
        </is>
      </c>
      <c r="S1375" s="4" t="inlineStr"/>
    </row>
    <row r="1376">
      <c r="A1376" s="10" t="inlineStr">
        <is>
          <t>F01829</t>
        </is>
      </c>
      <c r="B1376" s="10" t="inlineStr">
        <is>
          <t>F01829</t>
        </is>
      </c>
      <c r="C1376" s="10" t="inlineStr"/>
      <c r="D1376" s="10" t="inlineStr">
        <is>
          <t>6009677015670</t>
        </is>
      </c>
      <c r="E1376" s="10" t="inlineStr">
        <is>
          <t>BRASS BARREL BOLT NECKED - 75MM BLISTER</t>
        </is>
      </c>
      <c r="F1376" s="10" t="inlineStr"/>
      <c r="G1376" s="10" t="inlineStr"/>
      <c r="H1376" s="10" t="inlineStr"/>
      <c r="I1376" s="11" t="n">
        <v>20.95</v>
      </c>
      <c r="J1376" s="6" t="n">
        <v>15</v>
      </c>
      <c r="K1376" s="7">
        <f>IF(I1376="","",I1376*(1+J1376/100))</f>
        <v/>
      </c>
      <c r="L1376" s="12" t="inlineStr"/>
      <c r="M1376" s="8">
        <f>IF(OR(L1376="",K1376="",L1376=0),"",
  (L1376-K1376)/L1376*100)</f>
        <v/>
      </c>
      <c r="N1376" s="9" t="inlineStr"/>
      <c r="O1376" s="10" t="inlineStr"/>
      <c r="P1376" s="10" t="inlineStr"/>
      <c r="Q1376" s="10" t="inlineStr"/>
      <c r="R1376" s="10" t="inlineStr">
        <is>
          <t>2026-03-12</t>
        </is>
      </c>
      <c r="S1376" s="10" t="inlineStr"/>
    </row>
    <row r="1377">
      <c r="A1377" s="3" t="inlineStr">
        <is>
          <t>F01830</t>
        </is>
      </c>
      <c r="B1377" s="4" t="inlineStr">
        <is>
          <t>F01830</t>
        </is>
      </c>
      <c r="C1377" s="4" t="inlineStr"/>
      <c r="D1377" s="4" t="inlineStr">
        <is>
          <t>6009677015687</t>
        </is>
      </c>
      <c r="E1377" s="3" t="inlineStr">
        <is>
          <t>BRASS BARREL BOLT NECKED - 100MM BLISTER</t>
        </is>
      </c>
      <c r="F1377" s="4" t="inlineStr"/>
      <c r="G1377" s="4" t="inlineStr"/>
      <c r="H1377" s="4" t="inlineStr"/>
      <c r="I1377" s="5" t="n">
        <v>26.95</v>
      </c>
      <c r="J1377" s="6" t="n">
        <v>15</v>
      </c>
      <c r="K1377" s="7">
        <f>IF(I1377="","",I1377*(1+J1377/100))</f>
        <v/>
      </c>
      <c r="L1377" s="12" t="inlineStr"/>
      <c r="M1377" s="8">
        <f>IF(OR(L1377="",K1377="",L1377=0),"",
  (L1377-K1377)/L1377*100)</f>
        <v/>
      </c>
      <c r="N1377" s="9" t="inlineStr"/>
      <c r="O1377" s="4" t="inlineStr"/>
      <c r="P1377" s="4" t="inlineStr"/>
      <c r="Q1377" s="4" t="inlineStr"/>
      <c r="R1377" s="4" t="inlineStr">
        <is>
          <t>2026-03-12</t>
        </is>
      </c>
      <c r="S1377" s="4" t="inlineStr"/>
    </row>
    <row r="1378">
      <c r="A1378" s="10" t="inlineStr">
        <is>
          <t>F01831</t>
        </is>
      </c>
      <c r="B1378" s="10" t="inlineStr">
        <is>
          <t>F01831</t>
        </is>
      </c>
      <c r="C1378" s="10" t="inlineStr"/>
      <c r="D1378" s="10" t="inlineStr">
        <is>
          <t>6009677015694</t>
        </is>
      </c>
      <c r="E1378" s="10" t="inlineStr">
        <is>
          <t>CHROME BARREL BOLT NECKED - 50MM BLISTER</t>
        </is>
      </c>
      <c r="F1378" s="10" t="inlineStr"/>
      <c r="G1378" s="10" t="inlineStr"/>
      <c r="H1378" s="10" t="inlineStr"/>
      <c r="I1378" s="11" t="n">
        <v>15.95</v>
      </c>
      <c r="J1378" s="6" t="n">
        <v>15</v>
      </c>
      <c r="K1378" s="7">
        <f>IF(I1378="","",I1378*(1+J1378/100))</f>
        <v/>
      </c>
      <c r="L1378" s="12" t="inlineStr"/>
      <c r="M1378" s="8">
        <f>IF(OR(L1378="",K1378="",L1378=0),"",
  (L1378-K1378)/L1378*100)</f>
        <v/>
      </c>
      <c r="N1378" s="9" t="inlineStr"/>
      <c r="O1378" s="10" t="inlineStr"/>
      <c r="P1378" s="10" t="inlineStr"/>
      <c r="Q1378" s="10" t="inlineStr"/>
      <c r="R1378" s="10" t="inlineStr">
        <is>
          <t>2026-03-12</t>
        </is>
      </c>
      <c r="S1378" s="10" t="inlineStr"/>
    </row>
    <row r="1379">
      <c r="A1379" s="3" t="inlineStr">
        <is>
          <t>F01832</t>
        </is>
      </c>
      <c r="B1379" s="4" t="inlineStr">
        <is>
          <t>F01832</t>
        </is>
      </c>
      <c r="C1379" s="4" t="inlineStr"/>
      <c r="D1379" s="4" t="inlineStr">
        <is>
          <t>6009677015700</t>
        </is>
      </c>
      <c r="E1379" s="3" t="inlineStr">
        <is>
          <t>CHROME BARREL BOLT NECKED - 63MM BLISTER</t>
        </is>
      </c>
      <c r="F1379" s="4" t="inlineStr"/>
      <c r="G1379" s="4" t="inlineStr"/>
      <c r="H1379" s="4" t="inlineStr"/>
      <c r="I1379" s="5" t="n">
        <v>20.5</v>
      </c>
      <c r="J1379" s="6" t="n">
        <v>15</v>
      </c>
      <c r="K1379" s="7">
        <f>IF(I1379="","",I1379*(1+J1379/100))</f>
        <v/>
      </c>
      <c r="L1379" s="12" t="inlineStr"/>
      <c r="M1379" s="8">
        <f>IF(OR(L1379="",K1379="",L1379=0),"",
  (L1379-K1379)/L1379*100)</f>
        <v/>
      </c>
      <c r="N1379" s="9" t="inlineStr"/>
      <c r="O1379" s="4" t="inlineStr"/>
      <c r="P1379" s="4" t="inlineStr"/>
      <c r="Q1379" s="4" t="inlineStr"/>
      <c r="R1379" s="4" t="inlineStr">
        <is>
          <t>2026-03-12</t>
        </is>
      </c>
      <c r="S1379" s="4" t="inlineStr"/>
    </row>
    <row r="1380">
      <c r="A1380" s="10" t="inlineStr">
        <is>
          <t>F01833</t>
        </is>
      </c>
      <c r="B1380" s="10" t="inlineStr">
        <is>
          <t>F01833</t>
        </is>
      </c>
      <c r="C1380" s="10" t="inlineStr"/>
      <c r="D1380" s="10" t="inlineStr">
        <is>
          <t>6009677015717</t>
        </is>
      </c>
      <c r="E1380" s="10" t="inlineStr">
        <is>
          <t>CHROME BARREL BOLT NECKED - 75MM BLISTER</t>
        </is>
      </c>
      <c r="F1380" s="10" t="inlineStr"/>
      <c r="G1380" s="10" t="inlineStr"/>
      <c r="H1380" s="10" t="inlineStr"/>
      <c r="I1380" s="11" t="n">
        <v>24.25</v>
      </c>
      <c r="J1380" s="6" t="n">
        <v>15</v>
      </c>
      <c r="K1380" s="7">
        <f>IF(I1380="","",I1380*(1+J1380/100))</f>
        <v/>
      </c>
      <c r="L1380" s="12" t="inlineStr"/>
      <c r="M1380" s="8">
        <f>IF(OR(L1380="",K1380="",L1380=0),"",
  (L1380-K1380)/L1380*100)</f>
        <v/>
      </c>
      <c r="N1380" s="9" t="inlineStr"/>
      <c r="O1380" s="10" t="inlineStr"/>
      <c r="P1380" s="10" t="inlineStr"/>
      <c r="Q1380" s="10" t="inlineStr"/>
      <c r="R1380" s="10" t="inlineStr">
        <is>
          <t>2026-03-12</t>
        </is>
      </c>
      <c r="S1380" s="10" t="inlineStr"/>
    </row>
    <row r="1381">
      <c r="A1381" s="3" t="inlineStr">
        <is>
          <t>F01834</t>
        </is>
      </c>
      <c r="B1381" s="4" t="inlineStr">
        <is>
          <t>F01834</t>
        </is>
      </c>
      <c r="C1381" s="4" t="inlineStr"/>
      <c r="D1381" s="4" t="inlineStr">
        <is>
          <t>6009677015724</t>
        </is>
      </c>
      <c r="E1381" s="3" t="inlineStr">
        <is>
          <t>CHROME BARREL BOLT NECKED - 100MM BLISTE</t>
        </is>
      </c>
      <c r="F1381" s="4" t="inlineStr"/>
      <c r="G1381" s="4" t="inlineStr"/>
      <c r="H1381" s="4" t="inlineStr"/>
      <c r="I1381" s="5" t="n">
        <v>31.5</v>
      </c>
      <c r="J1381" s="6" t="n">
        <v>15</v>
      </c>
      <c r="K1381" s="7">
        <f>IF(I1381="","",I1381*(1+J1381/100))</f>
        <v/>
      </c>
      <c r="L1381" s="12" t="inlineStr"/>
      <c r="M1381" s="8">
        <f>IF(OR(L1381="",K1381="",L1381=0),"",
  (L1381-K1381)/L1381*100)</f>
        <v/>
      </c>
      <c r="N1381" s="9" t="inlineStr"/>
      <c r="O1381" s="4" t="inlineStr"/>
      <c r="P1381" s="4" t="inlineStr"/>
      <c r="Q1381" s="4" t="inlineStr"/>
      <c r="R1381" s="4" t="inlineStr">
        <is>
          <t>2026-03-12</t>
        </is>
      </c>
      <c r="S1381" s="4" t="inlineStr"/>
    </row>
    <row r="1382">
      <c r="A1382" s="10" t="inlineStr">
        <is>
          <t>F01835</t>
        </is>
      </c>
      <c r="B1382" s="10" t="inlineStr">
        <is>
          <t>F01835</t>
        </is>
      </c>
      <c r="C1382" s="10" t="inlineStr"/>
      <c r="D1382" s="10" t="inlineStr">
        <is>
          <t>6009677015731</t>
        </is>
      </c>
      <c r="E1382" s="10" t="inlineStr">
        <is>
          <t>SECURITY GATE LOCK (GL-01)</t>
        </is>
      </c>
      <c r="F1382" s="10" t="inlineStr"/>
      <c r="G1382" s="10" t="inlineStr"/>
      <c r="H1382" s="10" t="inlineStr"/>
      <c r="I1382" s="11" t="n">
        <v>37.95</v>
      </c>
      <c r="J1382" s="6" t="n">
        <v>15</v>
      </c>
      <c r="K1382" s="7">
        <f>IF(I1382="","",I1382*(1+J1382/100))</f>
        <v/>
      </c>
      <c r="L1382" s="12" t="inlineStr"/>
      <c r="M1382" s="8">
        <f>IF(OR(L1382="",K1382="",L1382=0),"",
  (L1382-K1382)/L1382*100)</f>
        <v/>
      </c>
      <c r="N1382" s="9" t="inlineStr"/>
      <c r="O1382" s="10" t="inlineStr"/>
      <c r="P1382" s="10" t="inlineStr"/>
      <c r="Q1382" s="10" t="inlineStr"/>
      <c r="R1382" s="10" t="inlineStr">
        <is>
          <t>2026-03-12</t>
        </is>
      </c>
      <c r="S1382" s="10" t="inlineStr"/>
    </row>
    <row r="1383">
      <c r="A1383" s="3" t="inlineStr">
        <is>
          <t>F01836</t>
        </is>
      </c>
      <c r="B1383" s="4" t="inlineStr">
        <is>
          <t>F01836</t>
        </is>
      </c>
      <c r="C1383" s="4" t="inlineStr"/>
      <c r="D1383" s="4" t="inlineStr">
        <is>
          <t>6009677015786</t>
        </is>
      </c>
      <c r="E1383" s="3" t="inlineStr">
        <is>
          <t>WELD ON HINGES H.DUTY (BFH63)</t>
        </is>
      </c>
      <c r="F1383" s="4" t="inlineStr"/>
      <c r="G1383" s="4" t="inlineStr"/>
      <c r="H1383" s="4" t="inlineStr"/>
      <c r="I1383" s="5" t="n">
        <v>6.89</v>
      </c>
      <c r="J1383" s="6" t="n">
        <v>15</v>
      </c>
      <c r="K1383" s="7">
        <f>IF(I1383="","",I1383*(1+J1383/100))</f>
        <v/>
      </c>
      <c r="L1383" s="12" t="inlineStr"/>
      <c r="M1383" s="8">
        <f>IF(OR(L1383="",K1383="",L1383=0),"",
  (L1383-K1383)/L1383*100)</f>
        <v/>
      </c>
      <c r="N1383" s="9" t="inlineStr"/>
      <c r="O1383" s="4" t="inlineStr"/>
      <c r="P1383" s="4" t="inlineStr"/>
      <c r="Q1383" s="4" t="inlineStr"/>
      <c r="R1383" s="4" t="inlineStr">
        <is>
          <t>2026-03-12</t>
        </is>
      </c>
      <c r="S1383" s="4" t="inlineStr"/>
    </row>
    <row r="1384">
      <c r="A1384" s="10" t="inlineStr">
        <is>
          <t>F01837</t>
        </is>
      </c>
      <c r="B1384" s="10" t="inlineStr">
        <is>
          <t>F01837</t>
        </is>
      </c>
      <c r="C1384" s="10" t="inlineStr"/>
      <c r="D1384" s="10" t="inlineStr">
        <is>
          <t>6009677015793</t>
        </is>
      </c>
      <c r="E1384" s="10" t="inlineStr">
        <is>
          <t>GATE ROLLER KIT 60MM (GRK-01-60)</t>
        </is>
      </c>
      <c r="F1384" s="10" t="inlineStr"/>
      <c r="G1384" s="10" t="inlineStr"/>
      <c r="H1384" s="10" t="inlineStr"/>
      <c r="I1384" s="11" t="n">
        <v>127.95</v>
      </c>
      <c r="J1384" s="6" t="n">
        <v>15</v>
      </c>
      <c r="K1384" s="7">
        <f>IF(I1384="","",I1384*(1+J1384/100))</f>
        <v/>
      </c>
      <c r="L1384" s="12" t="inlineStr"/>
      <c r="M1384" s="8">
        <f>IF(OR(L1384="",K1384="",L1384=0),"",
  (L1384-K1384)/L1384*100)</f>
        <v/>
      </c>
      <c r="N1384" s="13" t="n">
        <v>889</v>
      </c>
      <c r="O1384" s="10" t="inlineStr"/>
      <c r="P1384" s="10" t="inlineStr"/>
      <c r="Q1384" s="10" t="inlineStr"/>
      <c r="R1384" s="10" t="inlineStr">
        <is>
          <t>2026-03-12</t>
        </is>
      </c>
      <c r="S1384" s="10" t="inlineStr"/>
    </row>
    <row r="1385">
      <c r="A1385" s="3" t="inlineStr">
        <is>
          <t>F01838</t>
        </is>
      </c>
      <c r="B1385" s="4" t="inlineStr">
        <is>
          <t>F01838</t>
        </is>
      </c>
      <c r="C1385" s="4" t="inlineStr"/>
      <c r="D1385" s="4" t="inlineStr">
        <is>
          <t>6009677015809</t>
        </is>
      </c>
      <c r="E1385" s="3" t="inlineStr">
        <is>
          <t>GATE ROLLER KIT 80MM (GRK-01-80)</t>
        </is>
      </c>
      <c r="F1385" s="4" t="inlineStr"/>
      <c r="G1385" s="4" t="inlineStr"/>
      <c r="H1385" s="4" t="inlineStr"/>
      <c r="I1385" s="5" t="n">
        <v>155</v>
      </c>
      <c r="J1385" s="6" t="n">
        <v>15</v>
      </c>
      <c r="K1385" s="7">
        <f>IF(I1385="","",I1385*(1+J1385/100))</f>
        <v/>
      </c>
      <c r="L1385" s="12" t="inlineStr"/>
      <c r="M1385" s="8">
        <f>IF(OR(L1385="",K1385="",L1385=0),"",
  (L1385-K1385)/L1385*100)</f>
        <v/>
      </c>
      <c r="N1385" s="14" t="n">
        <v>528</v>
      </c>
      <c r="O1385" s="4" t="inlineStr"/>
      <c r="P1385" s="4" t="inlineStr"/>
      <c r="Q1385" s="4" t="inlineStr"/>
      <c r="R1385" s="4" t="inlineStr">
        <is>
          <t>2026-03-12</t>
        </is>
      </c>
      <c r="S1385" s="4" t="inlineStr"/>
    </row>
    <row r="1386">
      <c r="A1386" s="10" t="inlineStr">
        <is>
          <t>F01839</t>
        </is>
      </c>
      <c r="B1386" s="10" t="inlineStr">
        <is>
          <t>F01839</t>
        </is>
      </c>
      <c r="C1386" s="10" t="inlineStr"/>
      <c r="D1386" s="10" t="inlineStr">
        <is>
          <t>6009677015816</t>
        </is>
      </c>
      <c r="E1386" s="10" t="inlineStr">
        <is>
          <t>WINDOW HANDLES H.DUTY - RIGHT CARDED (WF</t>
        </is>
      </c>
      <c r="F1386" s="10" t="inlineStr"/>
      <c r="G1386" s="10" t="inlineStr"/>
      <c r="H1386" s="10" t="inlineStr"/>
      <c r="I1386" s="11" t="n">
        <v>10.49</v>
      </c>
      <c r="J1386" s="6" t="n">
        <v>15</v>
      </c>
      <c r="K1386" s="7">
        <f>IF(I1386="","",I1386*(1+J1386/100))</f>
        <v/>
      </c>
      <c r="L1386" s="12" t="inlineStr"/>
      <c r="M1386" s="8">
        <f>IF(OR(L1386="",K1386="",L1386=0),"",
  (L1386-K1386)/L1386*100)</f>
        <v/>
      </c>
      <c r="N1386" s="9" t="inlineStr"/>
      <c r="O1386" s="10" t="inlineStr"/>
      <c r="P1386" s="10" t="inlineStr"/>
      <c r="Q1386" s="10" t="inlineStr"/>
      <c r="R1386" s="10" t="inlineStr">
        <is>
          <t>2026-03-12</t>
        </is>
      </c>
      <c r="S1386" s="10" t="inlineStr"/>
    </row>
    <row r="1387">
      <c r="A1387" s="3" t="inlineStr">
        <is>
          <t>F01840</t>
        </is>
      </c>
      <c r="B1387" s="4" t="inlineStr">
        <is>
          <t>F01840</t>
        </is>
      </c>
      <c r="C1387" s="4" t="inlineStr"/>
      <c r="D1387" s="4" t="inlineStr">
        <is>
          <t>6009677015878</t>
        </is>
      </c>
      <c r="E1387" s="3" t="inlineStr">
        <is>
          <t>WINDOW HANDLES H.DUTY - LEFT CARDED (WFC</t>
        </is>
      </c>
      <c r="F1387" s="4" t="inlineStr"/>
      <c r="G1387" s="4" t="inlineStr"/>
      <c r="H1387" s="4" t="inlineStr"/>
      <c r="I1387" s="5" t="n">
        <v>10.49</v>
      </c>
      <c r="J1387" s="6" t="n">
        <v>15</v>
      </c>
      <c r="K1387" s="7">
        <f>IF(I1387="","",I1387*(1+J1387/100))</f>
        <v/>
      </c>
      <c r="L1387" s="12" t="inlineStr"/>
      <c r="M1387" s="8">
        <f>IF(OR(L1387="",K1387="",L1387=0),"",
  (L1387-K1387)/L1387*100)</f>
        <v/>
      </c>
      <c r="N1387" s="14" t="n">
        <v>1</v>
      </c>
      <c r="O1387" s="4" t="inlineStr"/>
      <c r="P1387" s="4" t="inlineStr"/>
      <c r="Q1387" s="4" t="inlineStr"/>
      <c r="R1387" s="4" t="inlineStr">
        <is>
          <t>2026-03-12</t>
        </is>
      </c>
      <c r="S1387" s="4" t="inlineStr"/>
    </row>
    <row r="1388">
      <c r="A1388" s="10" t="inlineStr">
        <is>
          <t>F01841</t>
        </is>
      </c>
      <c r="B1388" s="10" t="inlineStr">
        <is>
          <t>F01841</t>
        </is>
      </c>
      <c r="C1388" s="10" t="inlineStr"/>
      <c r="D1388" s="10" t="inlineStr">
        <is>
          <t>6009677015892</t>
        </is>
      </c>
      <c r="E1388" s="10" t="inlineStr">
        <is>
          <t>WINDOW HANDLES POLY BAG - RIGHT CARDED (</t>
        </is>
      </c>
      <c r="F1388" s="10" t="inlineStr"/>
      <c r="G1388" s="10" t="inlineStr"/>
      <c r="H1388" s="10" t="inlineStr"/>
      <c r="I1388" s="11" t="n">
        <v>6.49</v>
      </c>
      <c r="J1388" s="6" t="n">
        <v>15</v>
      </c>
      <c r="K1388" s="7">
        <f>IF(I1388="","",I1388*(1+J1388/100))</f>
        <v/>
      </c>
      <c r="L1388" s="12" t="inlineStr"/>
      <c r="M1388" s="8">
        <f>IF(OR(L1388="",K1388="",L1388=0),"",
  (L1388-K1388)/L1388*100)</f>
        <v/>
      </c>
      <c r="N1388" s="13" t="n">
        <v>8</v>
      </c>
      <c r="O1388" s="10" t="inlineStr"/>
      <c r="P1388" s="10" t="inlineStr"/>
      <c r="Q1388" s="10" t="inlineStr"/>
      <c r="R1388" s="10" t="inlineStr">
        <is>
          <t>2026-03-12</t>
        </is>
      </c>
      <c r="S1388" s="10" t="inlineStr"/>
    </row>
    <row r="1389">
      <c r="A1389" s="3" t="inlineStr">
        <is>
          <t>F01842</t>
        </is>
      </c>
      <c r="B1389" s="4" t="inlineStr">
        <is>
          <t>F01842</t>
        </is>
      </c>
      <c r="C1389" s="4" t="inlineStr"/>
      <c r="D1389" s="4" t="inlineStr">
        <is>
          <t>6009677015908</t>
        </is>
      </c>
      <c r="E1389" s="3" t="inlineStr">
        <is>
          <t>WINDOW HANDLES POLY BAG - LEFT CARDED (W</t>
        </is>
      </c>
      <c r="F1389" s="4" t="inlineStr"/>
      <c r="G1389" s="4" t="inlineStr"/>
      <c r="H1389" s="4" t="inlineStr"/>
      <c r="I1389" s="5" t="n">
        <v>6.49</v>
      </c>
      <c r="J1389" s="6" t="n">
        <v>15</v>
      </c>
      <c r="K1389" s="7">
        <f>IF(I1389="","",I1389*(1+J1389/100))</f>
        <v/>
      </c>
      <c r="L1389" s="12" t="inlineStr"/>
      <c r="M1389" s="8">
        <f>IF(OR(L1389="",K1389="",L1389=0),"",
  (L1389-K1389)/L1389*100)</f>
        <v/>
      </c>
      <c r="N1389" s="9" t="inlineStr"/>
      <c r="O1389" s="4" t="inlineStr"/>
      <c r="P1389" s="4" t="inlineStr"/>
      <c r="Q1389" s="4" t="inlineStr"/>
      <c r="R1389" s="4" t="inlineStr">
        <is>
          <t>2026-03-12</t>
        </is>
      </c>
      <c r="S1389" s="4" t="inlineStr"/>
    </row>
    <row r="1390">
      <c r="A1390" s="10" t="inlineStr">
        <is>
          <t>F01843</t>
        </is>
      </c>
      <c r="B1390" s="10" t="inlineStr">
        <is>
          <t>F01843</t>
        </is>
      </c>
      <c r="C1390" s="10" t="inlineStr"/>
      <c r="D1390" s="10" t="inlineStr">
        <is>
          <t>6009677015915</t>
        </is>
      </c>
      <c r="E1390" s="10" t="inlineStr">
        <is>
          <t>STAY PEG 150MM (STPE001)</t>
        </is>
      </c>
      <c r="F1390" s="10" t="inlineStr"/>
      <c r="G1390" s="10" t="inlineStr"/>
      <c r="H1390" s="10" t="inlineStr"/>
      <c r="I1390" s="11" t="n">
        <v>7.95</v>
      </c>
      <c r="J1390" s="6" t="n">
        <v>15</v>
      </c>
      <c r="K1390" s="7">
        <f>IF(I1390="","",I1390*(1+J1390/100))</f>
        <v/>
      </c>
      <c r="L1390" s="12" t="inlineStr"/>
      <c r="M1390" s="8">
        <f>IF(OR(L1390="",K1390="",L1390=0),"",
  (L1390-K1390)/L1390*100)</f>
        <v/>
      </c>
      <c r="N1390" s="9" t="inlineStr"/>
      <c r="O1390" s="10" t="inlineStr"/>
      <c r="P1390" s="10" t="inlineStr"/>
      <c r="Q1390" s="10" t="inlineStr"/>
      <c r="R1390" s="10" t="inlineStr">
        <is>
          <t>2026-03-12</t>
        </is>
      </c>
      <c r="S1390" s="10" t="inlineStr"/>
    </row>
    <row r="1391">
      <c r="A1391" s="3" t="inlineStr">
        <is>
          <t>F01844</t>
        </is>
      </c>
      <c r="B1391" s="4" t="inlineStr">
        <is>
          <t>F01844</t>
        </is>
      </c>
      <c r="C1391" s="4" t="inlineStr"/>
      <c r="D1391" s="4" t="inlineStr">
        <is>
          <t>6009677015922</t>
        </is>
      </c>
      <c r="E1391" s="3" t="inlineStr">
        <is>
          <t>STAY PEG 200MM (STPE002)</t>
        </is>
      </c>
      <c r="F1391" s="4" t="inlineStr"/>
      <c r="G1391" s="4" t="inlineStr"/>
      <c r="H1391" s="4" t="inlineStr"/>
      <c r="I1391" s="5" t="n">
        <v>8.949999999999999</v>
      </c>
      <c r="J1391" s="6" t="n">
        <v>15</v>
      </c>
      <c r="K1391" s="7">
        <f>IF(I1391="","",I1391*(1+J1391/100))</f>
        <v/>
      </c>
      <c r="L1391" s="12" t="inlineStr"/>
      <c r="M1391" s="8">
        <f>IF(OR(L1391="",K1391="",L1391=0),"",
  (L1391-K1391)/L1391*100)</f>
        <v/>
      </c>
      <c r="N1391" s="9" t="inlineStr"/>
      <c r="O1391" s="4" t="inlineStr"/>
      <c r="P1391" s="4" t="inlineStr"/>
      <c r="Q1391" s="4" t="inlineStr"/>
      <c r="R1391" s="4" t="inlineStr">
        <is>
          <t>2026-03-12</t>
        </is>
      </c>
      <c r="S1391" s="4" t="inlineStr"/>
    </row>
    <row r="1392">
      <c r="A1392" s="10" t="inlineStr">
        <is>
          <t>F01845</t>
        </is>
      </c>
      <c r="B1392" s="10" t="inlineStr">
        <is>
          <t>F01845</t>
        </is>
      </c>
      <c r="C1392" s="10" t="inlineStr"/>
      <c r="D1392" s="10" t="inlineStr">
        <is>
          <t>6009677015939</t>
        </is>
      </c>
      <c r="E1392" s="10" t="inlineStr">
        <is>
          <t>STAY PEG 250MM (STPE003)</t>
        </is>
      </c>
      <c r="F1392" s="10" t="inlineStr"/>
      <c r="G1392" s="10" t="inlineStr"/>
      <c r="H1392" s="10" t="inlineStr"/>
      <c r="I1392" s="11" t="n">
        <v>9.949999999999999</v>
      </c>
      <c r="J1392" s="6" t="n">
        <v>15</v>
      </c>
      <c r="K1392" s="7">
        <f>IF(I1392="","",I1392*(1+J1392/100))</f>
        <v/>
      </c>
      <c r="L1392" s="12" t="inlineStr"/>
      <c r="M1392" s="8">
        <f>IF(OR(L1392="",K1392="",L1392=0),"",
  (L1392-K1392)/L1392*100)</f>
        <v/>
      </c>
      <c r="N1392" s="9" t="inlineStr"/>
      <c r="O1392" s="10" t="inlineStr"/>
      <c r="P1392" s="10" t="inlineStr"/>
      <c r="Q1392" s="10" t="inlineStr"/>
      <c r="R1392" s="10" t="inlineStr">
        <is>
          <t>2026-03-12</t>
        </is>
      </c>
      <c r="S1392" s="10" t="inlineStr"/>
    </row>
    <row r="1393">
      <c r="A1393" s="3" t="inlineStr">
        <is>
          <t>F01846</t>
        </is>
      </c>
      <c r="B1393" s="4" t="inlineStr">
        <is>
          <t>F01846</t>
        </is>
      </c>
      <c r="C1393" s="4" t="inlineStr"/>
      <c r="D1393" s="4" t="inlineStr">
        <is>
          <t>6009677014024</t>
        </is>
      </c>
      <c r="E1393" s="3" t="inlineStr">
        <is>
          <t>STAY PEG 300MM (STPE004)</t>
        </is>
      </c>
      <c r="F1393" s="4" t="inlineStr"/>
      <c r="G1393" s="4" t="inlineStr"/>
      <c r="H1393" s="4" t="inlineStr"/>
      <c r="I1393" s="5" t="n">
        <v>11.95</v>
      </c>
      <c r="J1393" s="6" t="n">
        <v>15</v>
      </c>
      <c r="K1393" s="7">
        <f>IF(I1393="","",I1393*(1+J1393/100))</f>
        <v/>
      </c>
      <c r="L1393" s="12" t="inlineStr"/>
      <c r="M1393" s="8">
        <f>IF(OR(L1393="",K1393="",L1393=0),"",
  (L1393-K1393)/L1393*100)</f>
        <v/>
      </c>
      <c r="N1393" s="9" t="inlineStr"/>
      <c r="O1393" s="4" t="inlineStr"/>
      <c r="P1393" s="4" t="inlineStr"/>
      <c r="Q1393" s="4" t="inlineStr"/>
      <c r="R1393" s="4" t="inlineStr">
        <is>
          <t>2026-03-12</t>
        </is>
      </c>
      <c r="S1393" s="4" t="inlineStr"/>
    </row>
    <row r="1394">
      <c r="A1394" s="10" t="inlineStr">
        <is>
          <t>F01847</t>
        </is>
      </c>
      <c r="B1394" s="10" t="inlineStr">
        <is>
          <t>F01847</t>
        </is>
      </c>
      <c r="C1394" s="10" t="inlineStr"/>
      <c r="D1394" s="10" t="inlineStr">
        <is>
          <t>6009677014031</t>
        </is>
      </c>
      <c r="E1394" s="10" t="inlineStr">
        <is>
          <t>STAY SLIDE 150MM (STSL001)</t>
        </is>
      </c>
      <c r="F1394" s="10" t="inlineStr"/>
      <c r="G1394" s="10" t="inlineStr"/>
      <c r="H1394" s="10" t="inlineStr"/>
      <c r="I1394" s="11" t="n">
        <v>14.5</v>
      </c>
      <c r="J1394" s="6" t="n">
        <v>15</v>
      </c>
      <c r="K1394" s="7">
        <f>IF(I1394="","",I1394*(1+J1394/100))</f>
        <v/>
      </c>
      <c r="L1394" s="12" t="inlineStr"/>
      <c r="M1394" s="8">
        <f>IF(OR(L1394="",K1394="",L1394=0),"",
  (L1394-K1394)/L1394*100)</f>
        <v/>
      </c>
      <c r="N1394" s="9" t="inlineStr"/>
      <c r="O1394" s="10" t="inlineStr"/>
      <c r="P1394" s="10" t="inlineStr"/>
      <c r="Q1394" s="10" t="inlineStr"/>
      <c r="R1394" s="10" t="inlineStr">
        <is>
          <t>2026-03-12</t>
        </is>
      </c>
      <c r="S1394" s="10" t="inlineStr"/>
    </row>
    <row r="1395">
      <c r="A1395" s="3" t="inlineStr">
        <is>
          <t>F01848</t>
        </is>
      </c>
      <c r="B1395" s="4" t="inlineStr">
        <is>
          <t>F01848</t>
        </is>
      </c>
      <c r="C1395" s="4" t="inlineStr"/>
      <c r="D1395" s="4" t="inlineStr">
        <is>
          <t>6009677014048</t>
        </is>
      </c>
      <c r="E1395" s="3" t="inlineStr">
        <is>
          <t>STAY SLIDE 175MM (STSL002)</t>
        </is>
      </c>
      <c r="F1395" s="4" t="inlineStr"/>
      <c r="G1395" s="4" t="inlineStr"/>
      <c r="H1395" s="4" t="inlineStr"/>
      <c r="I1395" s="5" t="n">
        <v>15.5</v>
      </c>
      <c r="J1395" s="6" t="n">
        <v>15</v>
      </c>
      <c r="K1395" s="7">
        <f>IF(I1395="","",I1395*(1+J1395/100))</f>
        <v/>
      </c>
      <c r="L1395" s="12" t="inlineStr"/>
      <c r="M1395" s="8">
        <f>IF(OR(L1395="",K1395="",L1395=0),"",
  (L1395-K1395)/L1395*100)</f>
        <v/>
      </c>
      <c r="N1395" s="9" t="inlineStr"/>
      <c r="O1395" s="4" t="inlineStr"/>
      <c r="P1395" s="4" t="inlineStr"/>
      <c r="Q1395" s="4" t="inlineStr"/>
      <c r="R1395" s="4" t="inlineStr">
        <is>
          <t>2026-03-12</t>
        </is>
      </c>
      <c r="S1395" s="4" t="inlineStr"/>
    </row>
    <row r="1396">
      <c r="A1396" s="10" t="inlineStr">
        <is>
          <t>F01849</t>
        </is>
      </c>
      <c r="B1396" s="10" t="inlineStr">
        <is>
          <t>F01849</t>
        </is>
      </c>
      <c r="C1396" s="10" t="inlineStr"/>
      <c r="D1396" s="10" t="inlineStr">
        <is>
          <t>6009677014055</t>
        </is>
      </c>
      <c r="E1396" s="10" t="inlineStr">
        <is>
          <t>STAY SLIDE 270MM (STSL003)</t>
        </is>
      </c>
      <c r="F1396" s="10" t="inlineStr"/>
      <c r="G1396" s="10" t="inlineStr"/>
      <c r="H1396" s="10" t="inlineStr"/>
      <c r="I1396" s="11" t="n">
        <v>17.5</v>
      </c>
      <c r="J1396" s="6" t="n">
        <v>15</v>
      </c>
      <c r="K1396" s="7">
        <f>IF(I1396="","",I1396*(1+J1396/100))</f>
        <v/>
      </c>
      <c r="L1396" s="12" t="inlineStr"/>
      <c r="M1396" s="8">
        <f>IF(OR(L1396="",K1396="",L1396=0),"",
  (L1396-K1396)/L1396*100)</f>
        <v/>
      </c>
      <c r="N1396" s="13" t="n">
        <v>3</v>
      </c>
      <c r="O1396" s="10" t="inlineStr"/>
      <c r="P1396" s="10" t="inlineStr"/>
      <c r="Q1396" s="10" t="inlineStr"/>
      <c r="R1396" s="10" t="inlineStr">
        <is>
          <t>2026-03-12</t>
        </is>
      </c>
      <c r="S1396" s="10" t="inlineStr"/>
    </row>
    <row r="1397">
      <c r="A1397" s="3" t="inlineStr">
        <is>
          <t>F01850</t>
        </is>
      </c>
      <c r="B1397" s="4" t="inlineStr">
        <is>
          <t>F01850</t>
        </is>
      </c>
      <c r="C1397" s="4" t="inlineStr"/>
      <c r="D1397" s="4" t="inlineStr">
        <is>
          <t>6009677014062</t>
        </is>
      </c>
      <c r="E1397" s="3" t="inlineStr">
        <is>
          <t>BRASS TAB (BRT)</t>
        </is>
      </c>
      <c r="F1397" s="4" t="inlineStr"/>
      <c r="G1397" s="4" t="inlineStr"/>
      <c r="H1397" s="4" t="inlineStr"/>
      <c r="I1397" s="5" t="n">
        <v>1</v>
      </c>
      <c r="J1397" s="6" t="n">
        <v>15</v>
      </c>
      <c r="K1397" s="7">
        <f>IF(I1397="","",I1397*(1+J1397/100))</f>
        <v/>
      </c>
      <c r="L1397" s="12" t="inlineStr"/>
      <c r="M1397" s="8">
        <f>IF(OR(L1397="",K1397="",L1397=0),"",
  (L1397-K1397)/L1397*100)</f>
        <v/>
      </c>
      <c r="N1397" s="9" t="inlineStr"/>
      <c r="O1397" s="4" t="inlineStr"/>
      <c r="P1397" s="4" t="inlineStr"/>
      <c r="Q1397" s="4" t="inlineStr"/>
      <c r="R1397" s="4" t="inlineStr">
        <is>
          <t>2026-03-12</t>
        </is>
      </c>
      <c r="S1397" s="4" t="inlineStr"/>
    </row>
    <row r="1398">
      <c r="A1398" s="10" t="inlineStr">
        <is>
          <t>F01851</t>
        </is>
      </c>
      <c r="B1398" s="10" t="inlineStr">
        <is>
          <t>F01851</t>
        </is>
      </c>
      <c r="C1398" s="10" t="inlineStr"/>
      <c r="D1398" s="10" t="inlineStr">
        <is>
          <t>6009677014079</t>
        </is>
      </c>
      <c r="E1398" s="10" t="inlineStr">
        <is>
          <t>HEAVY DUTY INDICATOR BOLT WC (INDB01)</t>
        </is>
      </c>
      <c r="F1398" s="10" t="inlineStr"/>
      <c r="G1398" s="10" t="inlineStr"/>
      <c r="H1398" s="10" t="inlineStr"/>
      <c r="I1398" s="11" t="n">
        <v>53.5</v>
      </c>
      <c r="J1398" s="6" t="n">
        <v>15</v>
      </c>
      <c r="K1398" s="7">
        <f>IF(I1398="","",I1398*(1+J1398/100))</f>
        <v/>
      </c>
      <c r="L1398" s="12" t="inlineStr"/>
      <c r="M1398" s="8">
        <f>IF(OR(L1398="",K1398="",L1398=0),"",
  (L1398-K1398)/L1398*100)</f>
        <v/>
      </c>
      <c r="N1398" s="9" t="inlineStr"/>
      <c r="O1398" s="10" t="inlineStr"/>
      <c r="P1398" s="10" t="inlineStr"/>
      <c r="Q1398" s="10" t="inlineStr"/>
      <c r="R1398" s="10" t="inlineStr">
        <is>
          <t>2026-03-12</t>
        </is>
      </c>
      <c r="S1398" s="10" t="inlineStr"/>
    </row>
    <row r="1399">
      <c r="A1399" s="3" t="inlineStr">
        <is>
          <t>F01852</t>
        </is>
      </c>
      <c r="B1399" s="4" t="inlineStr">
        <is>
          <t>F01852</t>
        </is>
      </c>
      <c r="C1399" s="4" t="inlineStr"/>
      <c r="D1399" s="4" t="inlineStr">
        <is>
          <t>6009677014086</t>
        </is>
      </c>
      <c r="E1399" s="3" t="inlineStr">
        <is>
          <t>HINGE TEE 100MM (TH02)</t>
        </is>
      </c>
      <c r="F1399" s="4" t="inlineStr"/>
      <c r="G1399" s="4" t="inlineStr"/>
      <c r="H1399" s="4" t="inlineStr"/>
      <c r="I1399" s="5" t="n">
        <v>10.95</v>
      </c>
      <c r="J1399" s="6" t="n">
        <v>15</v>
      </c>
      <c r="K1399" s="7">
        <f>IF(I1399="","",I1399*(1+J1399/100))</f>
        <v/>
      </c>
      <c r="L1399" s="12" t="inlineStr"/>
      <c r="M1399" s="8">
        <f>IF(OR(L1399="",K1399="",L1399=0),"",
  (L1399-K1399)/L1399*100)</f>
        <v/>
      </c>
      <c r="N1399" s="9" t="inlineStr"/>
      <c r="O1399" s="4" t="inlineStr"/>
      <c r="P1399" s="4" t="inlineStr"/>
      <c r="Q1399" s="4" t="inlineStr"/>
      <c r="R1399" s="4" t="inlineStr">
        <is>
          <t>2026-03-12</t>
        </is>
      </c>
      <c r="S1399" s="4" t="inlineStr"/>
    </row>
    <row r="1400">
      <c r="A1400" s="10" t="inlineStr">
        <is>
          <t>F01853</t>
        </is>
      </c>
      <c r="B1400" s="10" t="inlineStr">
        <is>
          <t>F01853</t>
        </is>
      </c>
      <c r="C1400" s="10" t="inlineStr"/>
      <c r="D1400" s="10" t="inlineStr">
        <is>
          <t>6009677014109</t>
        </is>
      </c>
      <c r="E1400" s="10" t="inlineStr">
        <is>
          <t>HINGE TEE 150MM (TH03)</t>
        </is>
      </c>
      <c r="F1400" s="10" t="inlineStr"/>
      <c r="G1400" s="10" t="inlineStr"/>
      <c r="H1400" s="10" t="inlineStr"/>
      <c r="I1400" s="11" t="n">
        <v>14.59</v>
      </c>
      <c r="J1400" s="6" t="n">
        <v>15</v>
      </c>
      <c r="K1400" s="7">
        <f>IF(I1400="","",I1400*(1+J1400/100))</f>
        <v/>
      </c>
      <c r="L1400" s="12" t="inlineStr"/>
      <c r="M1400" s="8">
        <f>IF(OR(L1400="",K1400="",L1400=0),"",
  (L1400-K1400)/L1400*100)</f>
        <v/>
      </c>
      <c r="N1400" s="9" t="inlineStr"/>
      <c r="O1400" s="10" t="inlineStr"/>
      <c r="P1400" s="10" t="inlineStr"/>
      <c r="Q1400" s="10" t="inlineStr"/>
      <c r="R1400" s="10" t="inlineStr">
        <is>
          <t>2026-03-12</t>
        </is>
      </c>
      <c r="S1400" s="10" t="inlineStr"/>
    </row>
    <row r="1401">
      <c r="A1401" s="3" t="inlineStr">
        <is>
          <t>F01854</t>
        </is>
      </c>
      <c r="B1401" s="4" t="inlineStr">
        <is>
          <t>F01854</t>
        </is>
      </c>
      <c r="C1401" s="4" t="inlineStr"/>
      <c r="D1401" s="4" t="inlineStr">
        <is>
          <t>6009677014116</t>
        </is>
      </c>
      <c r="E1401" s="3" t="inlineStr">
        <is>
          <t>HINGE TEE 200MM (TH04)</t>
        </is>
      </c>
      <c r="F1401" s="4" t="inlineStr"/>
      <c r="G1401" s="4" t="inlineStr"/>
      <c r="H1401" s="4" t="inlineStr"/>
      <c r="I1401" s="5" t="n">
        <v>17.95</v>
      </c>
      <c r="J1401" s="6" t="n">
        <v>15</v>
      </c>
      <c r="K1401" s="7">
        <f>IF(I1401="","",I1401*(1+J1401/100))</f>
        <v/>
      </c>
      <c r="L1401" s="12" t="inlineStr"/>
      <c r="M1401" s="8">
        <f>IF(OR(L1401="",K1401="",L1401=0),"",
  (L1401-K1401)/L1401*100)</f>
        <v/>
      </c>
      <c r="N1401" s="14" t="n">
        <v>5</v>
      </c>
      <c r="O1401" s="4" t="inlineStr"/>
      <c r="P1401" s="4" t="inlineStr"/>
      <c r="Q1401" s="4" t="inlineStr"/>
      <c r="R1401" s="4" t="inlineStr">
        <is>
          <t>2026-03-12</t>
        </is>
      </c>
      <c r="S1401" s="4" t="inlineStr"/>
    </row>
    <row r="1402">
      <c r="A1402" s="10" t="inlineStr">
        <is>
          <t>F01855</t>
        </is>
      </c>
      <c r="B1402" s="10" t="inlineStr">
        <is>
          <t>F01855</t>
        </is>
      </c>
      <c r="C1402" s="10" t="inlineStr"/>
      <c r="D1402" s="10" t="inlineStr">
        <is>
          <t>6009677014130</t>
        </is>
      </c>
      <c r="E1402" s="10" t="inlineStr">
        <is>
          <t>HASP &amp; STAPLE 55MM (HS01)</t>
        </is>
      </c>
      <c r="F1402" s="10" t="inlineStr"/>
      <c r="G1402" s="10" t="inlineStr"/>
      <c r="H1402" s="10" t="inlineStr"/>
      <c r="I1402" s="11" t="n">
        <v>8.949999999999999</v>
      </c>
      <c r="J1402" s="6" t="n">
        <v>15</v>
      </c>
      <c r="K1402" s="7">
        <f>IF(I1402="","",I1402*(1+J1402/100))</f>
        <v/>
      </c>
      <c r="L1402" s="12" t="inlineStr"/>
      <c r="M1402" s="8">
        <f>IF(OR(L1402="",K1402="",L1402=0),"",
  (L1402-K1402)/L1402*100)</f>
        <v/>
      </c>
      <c r="N1402" s="9" t="inlineStr"/>
      <c r="O1402" s="10" t="inlineStr"/>
      <c r="P1402" s="10" t="inlineStr"/>
      <c r="Q1402" s="10" t="inlineStr"/>
      <c r="R1402" s="10" t="inlineStr">
        <is>
          <t>2026-03-12</t>
        </is>
      </c>
      <c r="S1402" s="10" t="inlineStr"/>
    </row>
    <row r="1403">
      <c r="A1403" s="3" t="inlineStr">
        <is>
          <t>F01856</t>
        </is>
      </c>
      <c r="B1403" s="4" t="inlineStr">
        <is>
          <t>F01856</t>
        </is>
      </c>
      <c r="C1403" s="4" t="inlineStr"/>
      <c r="D1403" s="4" t="inlineStr">
        <is>
          <t>6009677014147</t>
        </is>
      </c>
      <c r="E1403" s="3" t="inlineStr">
        <is>
          <t>HASP &amp; STAPLE 75MM (HS02)</t>
        </is>
      </c>
      <c r="F1403" s="4" t="inlineStr"/>
      <c r="G1403" s="4" t="inlineStr"/>
      <c r="H1403" s="4" t="inlineStr"/>
      <c r="I1403" s="5" t="n">
        <v>10.49</v>
      </c>
      <c r="J1403" s="6" t="n">
        <v>15</v>
      </c>
      <c r="K1403" s="7">
        <f>IF(I1403="","",I1403*(1+J1403/100))</f>
        <v/>
      </c>
      <c r="L1403" s="12" t="inlineStr"/>
      <c r="M1403" s="8">
        <f>IF(OR(L1403="",K1403="",L1403=0),"",
  (L1403-K1403)/L1403*100)</f>
        <v/>
      </c>
      <c r="N1403" s="14" t="n">
        <v>1</v>
      </c>
      <c r="O1403" s="4" t="inlineStr"/>
      <c r="P1403" s="4" t="inlineStr"/>
      <c r="Q1403" s="4" t="inlineStr"/>
      <c r="R1403" s="4" t="inlineStr">
        <is>
          <t>2026-03-12</t>
        </is>
      </c>
      <c r="S1403" s="4" t="inlineStr"/>
    </row>
    <row r="1404">
      <c r="A1404" s="10" t="inlineStr">
        <is>
          <t>F01857</t>
        </is>
      </c>
      <c r="B1404" s="10" t="inlineStr">
        <is>
          <t>F01857</t>
        </is>
      </c>
      <c r="C1404" s="10" t="inlineStr"/>
      <c r="D1404" s="10" t="inlineStr">
        <is>
          <t>6009677014154</t>
        </is>
      </c>
      <c r="E1404" s="10" t="inlineStr">
        <is>
          <t>HASP &amp; STAPLE 100MM (HS03)</t>
        </is>
      </c>
      <c r="F1404" s="10" t="inlineStr"/>
      <c r="G1404" s="10" t="inlineStr"/>
      <c r="H1404" s="10" t="inlineStr"/>
      <c r="I1404" s="11" t="n">
        <v>11.79</v>
      </c>
      <c r="J1404" s="6" t="n">
        <v>15</v>
      </c>
      <c r="K1404" s="7">
        <f>IF(I1404="","",I1404*(1+J1404/100))</f>
        <v/>
      </c>
      <c r="L1404" s="12" t="inlineStr"/>
      <c r="M1404" s="8">
        <f>IF(OR(L1404="",K1404="",L1404=0),"",
  (L1404-K1404)/L1404*100)</f>
        <v/>
      </c>
      <c r="N1404" s="9" t="inlineStr"/>
      <c r="O1404" s="10" t="inlineStr"/>
      <c r="P1404" s="10" t="inlineStr"/>
      <c r="Q1404" s="10" t="inlineStr"/>
      <c r="R1404" s="10" t="inlineStr">
        <is>
          <t>2026-03-12</t>
        </is>
      </c>
      <c r="S1404" s="10" t="inlineStr"/>
    </row>
    <row r="1405">
      <c r="A1405" s="3" t="inlineStr">
        <is>
          <t>F01858</t>
        </is>
      </c>
      <c r="B1405" s="4" t="inlineStr">
        <is>
          <t>F01858</t>
        </is>
      </c>
      <c r="C1405" s="4" t="inlineStr"/>
      <c r="D1405" s="4" t="inlineStr">
        <is>
          <t>6009677014161</t>
        </is>
      </c>
      <c r="E1405" s="3" t="inlineStr">
        <is>
          <t>CHROME CABIN HOOK 3"CP (CHCP75)</t>
        </is>
      </c>
      <c r="F1405" s="4" t="inlineStr"/>
      <c r="G1405" s="4" t="inlineStr"/>
      <c r="H1405" s="4" t="inlineStr"/>
      <c r="I1405" s="5" t="n">
        <v>14.95</v>
      </c>
      <c r="J1405" s="6" t="n">
        <v>15</v>
      </c>
      <c r="K1405" s="7">
        <f>IF(I1405="","",I1405*(1+J1405/100))</f>
        <v/>
      </c>
      <c r="L1405" s="12" t="inlineStr"/>
      <c r="M1405" s="8">
        <f>IF(OR(L1405="",K1405="",L1405=0),"",
  (L1405-K1405)/L1405*100)</f>
        <v/>
      </c>
      <c r="N1405" s="9" t="inlineStr"/>
      <c r="O1405" s="4" t="inlineStr"/>
      <c r="P1405" s="4" t="inlineStr"/>
      <c r="Q1405" s="4" t="inlineStr"/>
      <c r="R1405" s="4" t="inlineStr">
        <is>
          <t>2026-03-12</t>
        </is>
      </c>
      <c r="S1405" s="4" t="inlineStr"/>
    </row>
    <row r="1406">
      <c r="A1406" s="10" t="inlineStr">
        <is>
          <t>F01859</t>
        </is>
      </c>
      <c r="B1406" s="10" t="inlineStr">
        <is>
          <t>F01859</t>
        </is>
      </c>
      <c r="C1406" s="10" t="inlineStr"/>
      <c r="D1406" s="10" t="inlineStr">
        <is>
          <t>6009677014178</t>
        </is>
      </c>
      <c r="E1406" s="10" t="inlineStr">
        <is>
          <t>BRASS CABIN HOOK 3"BP (CHBP75)</t>
        </is>
      </c>
      <c r="F1406" s="10" t="inlineStr"/>
      <c r="G1406" s="10" t="inlineStr"/>
      <c r="H1406" s="10" t="inlineStr"/>
      <c r="I1406" s="11" t="n">
        <v>15.95</v>
      </c>
      <c r="J1406" s="6" t="n">
        <v>15</v>
      </c>
      <c r="K1406" s="7">
        <f>IF(I1406="","",I1406*(1+J1406/100))</f>
        <v/>
      </c>
      <c r="L1406" s="12" t="inlineStr"/>
      <c r="M1406" s="8">
        <f>IF(OR(L1406="",K1406="",L1406=0),"",
  (L1406-K1406)/L1406*100)</f>
        <v/>
      </c>
      <c r="N1406" s="9" t="inlineStr"/>
      <c r="O1406" s="10" t="inlineStr"/>
      <c r="P1406" s="10" t="inlineStr"/>
      <c r="Q1406" s="10" t="inlineStr"/>
      <c r="R1406" s="10" t="inlineStr">
        <is>
          <t>2026-03-12</t>
        </is>
      </c>
      <c r="S1406" s="10" t="inlineStr"/>
    </row>
    <row r="1407">
      <c r="A1407" s="3" t="inlineStr">
        <is>
          <t>F01860</t>
        </is>
      </c>
      <c r="B1407" s="4" t="inlineStr">
        <is>
          <t>F01860</t>
        </is>
      </c>
      <c r="C1407" s="4" t="inlineStr"/>
      <c r="D1407" s="4" t="inlineStr">
        <is>
          <t>6009677014185</t>
        </is>
      </c>
      <c r="E1407" s="3" t="inlineStr">
        <is>
          <t>CHROME CABIN HOOK 4"CP (CHCP100)</t>
        </is>
      </c>
      <c r="F1407" s="4" t="inlineStr"/>
      <c r="G1407" s="4" t="inlineStr"/>
      <c r="H1407" s="4" t="inlineStr"/>
      <c r="I1407" s="5" t="n">
        <v>15.95</v>
      </c>
      <c r="J1407" s="6" t="n">
        <v>15</v>
      </c>
      <c r="K1407" s="7">
        <f>IF(I1407="","",I1407*(1+J1407/100))</f>
        <v/>
      </c>
      <c r="L1407" s="12" t="inlineStr"/>
      <c r="M1407" s="8">
        <f>IF(OR(L1407="",K1407="",L1407=0),"",
  (L1407-K1407)/L1407*100)</f>
        <v/>
      </c>
      <c r="N1407" s="9" t="inlineStr"/>
      <c r="O1407" s="4" t="inlineStr"/>
      <c r="P1407" s="4" t="inlineStr"/>
      <c r="Q1407" s="4" t="inlineStr"/>
      <c r="R1407" s="4" t="inlineStr">
        <is>
          <t>2026-03-12</t>
        </is>
      </c>
      <c r="S1407" s="4" t="inlineStr"/>
    </row>
    <row r="1408">
      <c r="A1408" s="10" t="inlineStr">
        <is>
          <t>F01861</t>
        </is>
      </c>
      <c r="B1408" s="10" t="inlineStr">
        <is>
          <t>F01861</t>
        </is>
      </c>
      <c r="C1408" s="10" t="inlineStr"/>
      <c r="D1408" s="10" t="inlineStr">
        <is>
          <t>6009677014192</t>
        </is>
      </c>
      <c r="E1408" s="10" t="inlineStr">
        <is>
          <t>BRASS CABIN HOOK 4"BP (CHCBP100)</t>
        </is>
      </c>
      <c r="F1408" s="10" t="inlineStr"/>
      <c r="G1408" s="10" t="inlineStr"/>
      <c r="H1408" s="10" t="inlineStr"/>
      <c r="I1408" s="11" t="n">
        <v>17.95</v>
      </c>
      <c r="J1408" s="6" t="n">
        <v>15</v>
      </c>
      <c r="K1408" s="7">
        <f>IF(I1408="","",I1408*(1+J1408/100))</f>
        <v/>
      </c>
      <c r="L1408" s="12" t="inlineStr"/>
      <c r="M1408" s="8">
        <f>IF(OR(L1408="",K1408="",L1408=0),"",
  (L1408-K1408)/L1408*100)</f>
        <v/>
      </c>
      <c r="N1408" s="9" t="inlineStr"/>
      <c r="O1408" s="10" t="inlineStr"/>
      <c r="P1408" s="10" t="inlineStr"/>
      <c r="Q1408" s="10" t="inlineStr"/>
      <c r="R1408" s="10" t="inlineStr">
        <is>
          <t>2026-03-12</t>
        </is>
      </c>
      <c r="S1408" s="10" t="inlineStr"/>
    </row>
    <row r="1409">
      <c r="A1409" s="3" t="inlineStr">
        <is>
          <t>F01862</t>
        </is>
      </c>
      <c r="B1409" s="4" t="inlineStr">
        <is>
          <t>F01862</t>
        </is>
      </c>
      <c r="C1409" s="4" t="inlineStr"/>
      <c r="D1409" s="4" t="inlineStr">
        <is>
          <t>6009677014208</t>
        </is>
      </c>
      <c r="E1409" s="3" t="inlineStr">
        <is>
          <t>CHROME CABIN HOOK 6"CP (CHCP150)</t>
        </is>
      </c>
      <c r="F1409" s="4" t="inlineStr"/>
      <c r="G1409" s="4" t="inlineStr"/>
      <c r="H1409" s="4" t="inlineStr"/>
      <c r="I1409" s="5" t="n">
        <v>18.5</v>
      </c>
      <c r="J1409" s="6" t="n">
        <v>15</v>
      </c>
      <c r="K1409" s="7">
        <f>IF(I1409="","",I1409*(1+J1409/100))</f>
        <v/>
      </c>
      <c r="L1409" s="12" t="inlineStr"/>
      <c r="M1409" s="8">
        <f>IF(OR(L1409="",K1409="",L1409=0),"",
  (L1409-K1409)/L1409*100)</f>
        <v/>
      </c>
      <c r="N1409" s="9" t="inlineStr"/>
      <c r="O1409" s="4" t="inlineStr"/>
      <c r="P1409" s="4" t="inlineStr"/>
      <c r="Q1409" s="4" t="inlineStr"/>
      <c r="R1409" s="4" t="inlineStr">
        <is>
          <t>2026-03-12</t>
        </is>
      </c>
      <c r="S1409" s="4" t="inlineStr"/>
    </row>
    <row r="1410">
      <c r="A1410" s="10" t="inlineStr">
        <is>
          <t>F01863</t>
        </is>
      </c>
      <c r="B1410" s="10" t="inlineStr">
        <is>
          <t>F01863</t>
        </is>
      </c>
      <c r="C1410" s="10" t="inlineStr"/>
      <c r="D1410" s="10" t="inlineStr">
        <is>
          <t>6009677014215</t>
        </is>
      </c>
      <c r="E1410" s="10" t="inlineStr">
        <is>
          <t>BRASS CABIN HOOK 6"BP (CHBP150)</t>
        </is>
      </c>
      <c r="F1410" s="10" t="inlineStr"/>
      <c r="G1410" s="10" t="inlineStr"/>
      <c r="H1410" s="10" t="inlineStr"/>
      <c r="I1410" s="11" t="n">
        <v>19.5</v>
      </c>
      <c r="J1410" s="6" t="n">
        <v>15</v>
      </c>
      <c r="K1410" s="7">
        <f>IF(I1410="","",I1410*(1+J1410/100))</f>
        <v/>
      </c>
      <c r="L1410" s="12" t="inlineStr"/>
      <c r="M1410" s="8">
        <f>IF(OR(L1410="",K1410="",L1410=0),"",
  (L1410-K1410)/L1410*100)</f>
        <v/>
      </c>
      <c r="N1410" s="9" t="inlineStr"/>
      <c r="O1410" s="10" t="inlineStr"/>
      <c r="P1410" s="10" t="inlineStr"/>
      <c r="Q1410" s="10" t="inlineStr"/>
      <c r="R1410" s="10" t="inlineStr">
        <is>
          <t>2026-03-12</t>
        </is>
      </c>
      <c r="S1410" s="10" t="inlineStr"/>
    </row>
    <row r="1411">
      <c r="A1411" s="3" t="inlineStr">
        <is>
          <t>F01864</t>
        </is>
      </c>
      <c r="B1411" s="4" t="inlineStr">
        <is>
          <t>F01864</t>
        </is>
      </c>
      <c r="C1411" s="4" t="inlineStr"/>
      <c r="D1411" s="4" t="inlineStr">
        <is>
          <t>6009677014222</t>
        </is>
      </c>
      <c r="E1411" s="3" t="inlineStr">
        <is>
          <t>BRACKET CORNER 100X100MM (BC100)</t>
        </is>
      </c>
      <c r="F1411" s="4" t="inlineStr"/>
      <c r="G1411" s="4" t="inlineStr"/>
      <c r="H1411" s="4" t="inlineStr"/>
      <c r="I1411" s="5" t="n">
        <v>29.95</v>
      </c>
      <c r="J1411" s="6" t="n">
        <v>15</v>
      </c>
      <c r="K1411" s="7">
        <f>IF(I1411="","",I1411*(1+J1411/100))</f>
        <v/>
      </c>
      <c r="L1411" s="12" t="inlineStr"/>
      <c r="M1411" s="8">
        <f>IF(OR(L1411="",K1411="",L1411=0),"",
  (L1411-K1411)/L1411*100)</f>
        <v/>
      </c>
      <c r="N1411" s="9" t="inlineStr"/>
      <c r="O1411" s="4" t="inlineStr"/>
      <c r="P1411" s="4" t="inlineStr"/>
      <c r="Q1411" s="4" t="inlineStr"/>
      <c r="R1411" s="4" t="inlineStr">
        <is>
          <t>2026-03-12</t>
        </is>
      </c>
      <c r="S1411" s="4" t="inlineStr"/>
    </row>
    <row r="1412">
      <c r="A1412" s="10" t="inlineStr">
        <is>
          <t>F01865</t>
        </is>
      </c>
      <c r="B1412" s="10" t="inlineStr">
        <is>
          <t>F01865</t>
        </is>
      </c>
      <c r="C1412" s="10" t="inlineStr"/>
      <c r="D1412" s="10" t="inlineStr">
        <is>
          <t>6009677014239</t>
        </is>
      </c>
      <c r="E1412" s="10" t="inlineStr">
        <is>
          <t>BRACKET CORNER 25X25MM CARDED 4 (BC25)</t>
        </is>
      </c>
      <c r="F1412" s="10" t="inlineStr"/>
      <c r="G1412" s="10" t="inlineStr"/>
      <c r="H1412" s="10" t="inlineStr"/>
      <c r="I1412" s="11" t="n">
        <v>10.95</v>
      </c>
      <c r="J1412" s="6" t="n">
        <v>15</v>
      </c>
      <c r="K1412" s="7">
        <f>IF(I1412="","",I1412*(1+J1412/100))</f>
        <v/>
      </c>
      <c r="L1412" s="12" t="inlineStr"/>
      <c r="M1412" s="8">
        <f>IF(OR(L1412="",K1412="",L1412=0),"",
  (L1412-K1412)/L1412*100)</f>
        <v/>
      </c>
      <c r="N1412" s="9" t="inlineStr"/>
      <c r="O1412" s="10" t="inlineStr"/>
      <c r="P1412" s="10" t="inlineStr"/>
      <c r="Q1412" s="10" t="inlineStr"/>
      <c r="R1412" s="10" t="inlineStr">
        <is>
          <t>2026-03-12</t>
        </is>
      </c>
      <c r="S1412" s="10" t="inlineStr"/>
    </row>
    <row r="1413">
      <c r="A1413" s="3" t="inlineStr">
        <is>
          <t>F01866</t>
        </is>
      </c>
      <c r="B1413" s="4" t="inlineStr">
        <is>
          <t>F01866</t>
        </is>
      </c>
      <c r="C1413" s="4" t="inlineStr"/>
      <c r="D1413" s="4" t="inlineStr">
        <is>
          <t>6009677014246</t>
        </is>
      </c>
      <c r="E1413" s="3" t="inlineStr">
        <is>
          <t>BRACKET CORNER 50X50MM CARDED 4 (BC50)</t>
        </is>
      </c>
      <c r="F1413" s="4" t="inlineStr"/>
      <c r="G1413" s="4" t="inlineStr"/>
      <c r="H1413" s="4" t="inlineStr"/>
      <c r="I1413" s="5" t="n">
        <v>11.95</v>
      </c>
      <c r="J1413" s="6" t="n">
        <v>15</v>
      </c>
      <c r="K1413" s="7">
        <f>IF(I1413="","",I1413*(1+J1413/100))</f>
        <v/>
      </c>
      <c r="L1413" s="12" t="inlineStr"/>
      <c r="M1413" s="8">
        <f>IF(OR(L1413="",K1413="",L1413=0),"",
  (L1413-K1413)/L1413*100)</f>
        <v/>
      </c>
      <c r="N1413" s="9" t="inlineStr"/>
      <c r="O1413" s="4" t="inlineStr"/>
      <c r="P1413" s="4" t="inlineStr"/>
      <c r="Q1413" s="4" t="inlineStr"/>
      <c r="R1413" s="4" t="inlineStr">
        <is>
          <t>2026-03-12</t>
        </is>
      </c>
      <c r="S1413" s="4" t="inlineStr"/>
    </row>
    <row r="1414">
      <c r="A1414" s="10" t="inlineStr">
        <is>
          <t>F01867</t>
        </is>
      </c>
      <c r="B1414" s="10" t="inlineStr">
        <is>
          <t>F01867</t>
        </is>
      </c>
      <c r="C1414" s="10" t="inlineStr"/>
      <c r="D1414" s="10" t="inlineStr">
        <is>
          <t>6009677014253</t>
        </is>
      </c>
      <c r="E1414" s="10" t="inlineStr">
        <is>
          <t>BRACKET CORNER 63X63MM CARDED 4 (BC63)</t>
        </is>
      </c>
      <c r="F1414" s="10" t="inlineStr"/>
      <c r="G1414" s="10" t="inlineStr"/>
      <c r="H1414" s="10" t="inlineStr"/>
      <c r="I1414" s="11" t="n">
        <v>14.95</v>
      </c>
      <c r="J1414" s="6" t="n">
        <v>15</v>
      </c>
      <c r="K1414" s="7">
        <f>IF(I1414="","",I1414*(1+J1414/100))</f>
        <v/>
      </c>
      <c r="L1414" s="12" t="inlineStr"/>
      <c r="M1414" s="8">
        <f>IF(OR(L1414="",K1414="",L1414=0),"",
  (L1414-K1414)/L1414*100)</f>
        <v/>
      </c>
      <c r="N1414" s="9" t="inlineStr"/>
      <c r="O1414" s="10" t="inlineStr"/>
      <c r="P1414" s="10" t="inlineStr"/>
      <c r="Q1414" s="10" t="inlineStr"/>
      <c r="R1414" s="10" t="inlineStr">
        <is>
          <t>2026-03-12</t>
        </is>
      </c>
      <c r="S1414" s="10" t="inlineStr"/>
    </row>
    <row r="1415">
      <c r="A1415" s="3" t="inlineStr">
        <is>
          <t>F01868</t>
        </is>
      </c>
      <c r="B1415" s="4" t="inlineStr">
        <is>
          <t>F01868</t>
        </is>
      </c>
      <c r="C1415" s="4" t="inlineStr"/>
      <c r="D1415" s="4" t="inlineStr">
        <is>
          <t>6009677014260</t>
        </is>
      </c>
      <c r="E1415" s="3" t="inlineStr">
        <is>
          <t>BRACKET CORNER LARGE WHITE CARDED 4 (BCL</t>
        </is>
      </c>
      <c r="F1415" s="4" t="inlineStr"/>
      <c r="G1415" s="4" t="inlineStr"/>
      <c r="H1415" s="4" t="inlineStr"/>
      <c r="I1415" s="5" t="n">
        <v>20.95</v>
      </c>
      <c r="J1415" s="6" t="n">
        <v>15</v>
      </c>
      <c r="K1415" s="7">
        <f>IF(I1415="","",I1415*(1+J1415/100))</f>
        <v/>
      </c>
      <c r="L1415" s="12" t="inlineStr"/>
      <c r="M1415" s="8">
        <f>IF(OR(L1415="",K1415="",L1415=0),"",
  (L1415-K1415)/L1415*100)</f>
        <v/>
      </c>
      <c r="N1415" s="9" t="inlineStr"/>
      <c r="O1415" s="4" t="inlineStr"/>
      <c r="P1415" s="4" t="inlineStr"/>
      <c r="Q1415" s="4" t="inlineStr"/>
      <c r="R1415" s="4" t="inlineStr">
        <is>
          <t>2026-03-12</t>
        </is>
      </c>
      <c r="S1415" s="4" t="inlineStr"/>
    </row>
    <row r="1416">
      <c r="A1416" s="10" t="inlineStr">
        <is>
          <t>F01869</t>
        </is>
      </c>
      <c r="B1416" s="10" t="inlineStr">
        <is>
          <t>F01869</t>
        </is>
      </c>
      <c r="C1416" s="10" t="inlineStr"/>
      <c r="D1416" s="10" t="inlineStr">
        <is>
          <t>6009677014314</t>
        </is>
      </c>
      <c r="E1416" s="10" t="inlineStr">
        <is>
          <t>BRACKET CORNER EXTRA LARGE (BCEL)</t>
        </is>
      </c>
      <c r="F1416" s="10" t="inlineStr"/>
      <c r="G1416" s="10" t="inlineStr"/>
      <c r="H1416" s="10" t="inlineStr"/>
      <c r="I1416" s="11" t="n">
        <v>22.95</v>
      </c>
      <c r="J1416" s="6" t="n">
        <v>15</v>
      </c>
      <c r="K1416" s="7">
        <f>IF(I1416="","",I1416*(1+J1416/100))</f>
        <v/>
      </c>
      <c r="L1416" s="12" t="inlineStr"/>
      <c r="M1416" s="8">
        <f>IF(OR(L1416="",K1416="",L1416=0),"",
  (L1416-K1416)/L1416*100)</f>
        <v/>
      </c>
      <c r="N1416" s="9" t="inlineStr"/>
      <c r="O1416" s="10" t="inlineStr"/>
      <c r="P1416" s="10" t="inlineStr"/>
      <c r="Q1416" s="10" t="inlineStr"/>
      <c r="R1416" s="10" t="inlineStr">
        <is>
          <t>2026-03-12</t>
        </is>
      </c>
      <c r="S1416" s="10" t="inlineStr"/>
    </row>
    <row r="1417">
      <c r="A1417" s="3" t="inlineStr">
        <is>
          <t>F01870</t>
        </is>
      </c>
      <c r="B1417" s="4" t="inlineStr">
        <is>
          <t>F01870</t>
        </is>
      </c>
      <c r="C1417" s="4" t="inlineStr">
        <is>
          <t>9991</t>
        </is>
      </c>
      <c r="D1417" s="4" t="inlineStr">
        <is>
          <t>6009677014321</t>
        </is>
      </c>
      <c r="E1417" s="3" t="inlineStr">
        <is>
          <t>CATCH GRIPPER NYLON WHITE 4 (CGNW)</t>
        </is>
      </c>
      <c r="F1417" s="4" t="inlineStr"/>
      <c r="G1417" s="4" t="inlineStr"/>
      <c r="H1417" s="4" t="inlineStr"/>
      <c r="I1417" s="5" t="n">
        <v>20.95</v>
      </c>
      <c r="J1417" s="6" t="n">
        <v>15</v>
      </c>
      <c r="K1417" s="7">
        <f>IF(I1417="","",I1417*(1+J1417/100))</f>
        <v/>
      </c>
      <c r="L1417" s="5" t="n">
        <v>160</v>
      </c>
      <c r="M1417" s="8">
        <f>IF(OR(L1417="",K1417="",L1417=0),"",
  (L1417-K1417)/L1417*100)</f>
        <v/>
      </c>
      <c r="N1417" s="14" t="n">
        <v>72</v>
      </c>
      <c r="O1417" s="4" t="inlineStr"/>
      <c r="P1417" s="4" t="inlineStr"/>
      <c r="Q1417" s="4" t="inlineStr"/>
      <c r="R1417" s="4" t="inlineStr">
        <is>
          <t>2026-03-12</t>
        </is>
      </c>
      <c r="S1417" s="4" t="inlineStr"/>
    </row>
    <row r="1418">
      <c r="A1418" s="10" t="inlineStr">
        <is>
          <t>F01871</t>
        </is>
      </c>
      <c r="B1418" s="10" t="inlineStr">
        <is>
          <t>F01871</t>
        </is>
      </c>
      <c r="C1418" s="10" t="inlineStr"/>
      <c r="D1418" s="10" t="inlineStr">
        <is>
          <t>6009677014338</t>
        </is>
      </c>
      <c r="E1418" s="10" t="inlineStr">
        <is>
          <t>MIRROR CLIP 16MM (MC16)</t>
        </is>
      </c>
      <c r="F1418" s="10" t="inlineStr"/>
      <c r="G1418" s="10" t="inlineStr"/>
      <c r="H1418" s="10" t="inlineStr"/>
      <c r="I1418" s="11" t="n">
        <v>12.5</v>
      </c>
      <c r="J1418" s="6" t="n">
        <v>15</v>
      </c>
      <c r="K1418" s="7">
        <f>IF(I1418="","",I1418*(1+J1418/100))</f>
        <v/>
      </c>
      <c r="L1418" s="12" t="inlineStr"/>
      <c r="M1418" s="8">
        <f>IF(OR(L1418="",K1418="",L1418=0),"",
  (L1418-K1418)/L1418*100)</f>
        <v/>
      </c>
      <c r="N1418" s="9" t="inlineStr"/>
      <c r="O1418" s="10" t="inlineStr"/>
      <c r="P1418" s="10" t="inlineStr"/>
      <c r="Q1418" s="10" t="inlineStr"/>
      <c r="R1418" s="10" t="inlineStr">
        <is>
          <t>2026-03-12</t>
        </is>
      </c>
      <c r="S1418" s="10" t="inlineStr"/>
    </row>
    <row r="1419">
      <c r="A1419" s="3" t="inlineStr">
        <is>
          <t>F01872</t>
        </is>
      </c>
      <c r="B1419" s="4" t="inlineStr">
        <is>
          <t>F01872</t>
        </is>
      </c>
      <c r="C1419" s="4" t="inlineStr"/>
      <c r="D1419" s="4" t="inlineStr">
        <is>
          <t>6009677014345</t>
        </is>
      </c>
      <c r="E1419" s="3" t="inlineStr">
        <is>
          <t>GLASS PLATES (GPB)</t>
        </is>
      </c>
      <c r="F1419" s="4" t="inlineStr"/>
      <c r="G1419" s="4" t="inlineStr"/>
      <c r="H1419" s="4" t="inlineStr"/>
      <c r="I1419" s="5" t="n">
        <v>14.49</v>
      </c>
      <c r="J1419" s="6" t="n">
        <v>15</v>
      </c>
      <c r="K1419" s="7">
        <f>IF(I1419="","",I1419*(1+J1419/100))</f>
        <v/>
      </c>
      <c r="L1419" s="12" t="inlineStr"/>
      <c r="M1419" s="8">
        <f>IF(OR(L1419="",K1419="",L1419=0),"",
  (L1419-K1419)/L1419*100)</f>
        <v/>
      </c>
      <c r="N1419" s="9" t="inlineStr"/>
      <c r="O1419" s="4" t="inlineStr"/>
      <c r="P1419" s="4" t="inlineStr"/>
      <c r="Q1419" s="4" t="inlineStr"/>
      <c r="R1419" s="4" t="inlineStr">
        <is>
          <t>2026-03-12</t>
        </is>
      </c>
      <c r="S1419" s="4" t="inlineStr"/>
    </row>
    <row r="1420">
      <c r="A1420" s="10" t="inlineStr">
        <is>
          <t>F01873</t>
        </is>
      </c>
      <c r="B1420" s="10" t="inlineStr">
        <is>
          <t>F01873</t>
        </is>
      </c>
      <c r="C1420" s="10" t="inlineStr"/>
      <c r="D1420" s="10" t="inlineStr">
        <is>
          <t>6009677014352</t>
        </is>
      </c>
      <c r="E1420" s="10" t="inlineStr">
        <is>
          <t>CATCH DOUBLE ROLLER NICKEL PLATED 4 PACK</t>
        </is>
      </c>
      <c r="F1420" s="10" t="inlineStr"/>
      <c r="G1420" s="10" t="inlineStr"/>
      <c r="H1420" s="10" t="inlineStr"/>
      <c r="I1420" s="11" t="n">
        <v>15.95</v>
      </c>
      <c r="J1420" s="6" t="n">
        <v>15</v>
      </c>
      <c r="K1420" s="7">
        <f>IF(I1420="","",I1420*(1+J1420/100))</f>
        <v/>
      </c>
      <c r="L1420" s="12" t="inlineStr"/>
      <c r="M1420" s="8">
        <f>IF(OR(L1420="",K1420="",L1420=0),"",
  (L1420-K1420)/L1420*100)</f>
        <v/>
      </c>
      <c r="N1420" s="9" t="inlineStr"/>
      <c r="O1420" s="10" t="inlineStr"/>
      <c r="P1420" s="10" t="inlineStr"/>
      <c r="Q1420" s="10" t="inlineStr"/>
      <c r="R1420" s="10" t="inlineStr">
        <is>
          <t>2026-03-12</t>
        </is>
      </c>
      <c r="S1420" s="10" t="inlineStr"/>
    </row>
    <row r="1421">
      <c r="A1421" s="3" t="inlineStr">
        <is>
          <t>F01874</t>
        </is>
      </c>
      <c r="B1421" s="4" t="inlineStr">
        <is>
          <t>F01874</t>
        </is>
      </c>
      <c r="C1421" s="4" t="inlineStr"/>
      <c r="D1421" s="4" t="inlineStr">
        <is>
          <t>6009677014369</t>
        </is>
      </c>
      <c r="E1421" s="3" t="inlineStr">
        <is>
          <t>BRACKET PLASTIC SMALL WHITE 10 (BPSW)</t>
        </is>
      </c>
      <c r="F1421" s="4" t="inlineStr"/>
      <c r="G1421" s="4" t="inlineStr"/>
      <c r="H1421" s="4" t="inlineStr"/>
      <c r="I1421" s="5" t="n">
        <v>21.95</v>
      </c>
      <c r="J1421" s="6" t="n">
        <v>15</v>
      </c>
      <c r="K1421" s="7">
        <f>IF(I1421="","",I1421*(1+J1421/100))</f>
        <v/>
      </c>
      <c r="L1421" s="12" t="inlineStr"/>
      <c r="M1421" s="8">
        <f>IF(OR(L1421="",K1421="",L1421=0),"",
  (L1421-K1421)/L1421*100)</f>
        <v/>
      </c>
      <c r="N1421" s="9" t="inlineStr"/>
      <c r="O1421" s="4" t="inlineStr"/>
      <c r="P1421" s="4" t="inlineStr"/>
      <c r="Q1421" s="4" t="inlineStr"/>
      <c r="R1421" s="4" t="inlineStr">
        <is>
          <t>2026-03-12</t>
        </is>
      </c>
      <c r="S1421" s="4" t="inlineStr"/>
    </row>
    <row r="1422">
      <c r="A1422" s="10" t="inlineStr">
        <is>
          <t>F01875</t>
        </is>
      </c>
      <c r="B1422" s="10" t="inlineStr">
        <is>
          <t>F01875</t>
        </is>
      </c>
      <c r="C1422" s="10" t="inlineStr">
        <is>
          <t>19240</t>
        </is>
      </c>
      <c r="D1422" s="10" t="inlineStr">
        <is>
          <t>6009677014390</t>
        </is>
      </c>
      <c r="E1422" s="10" t="inlineStr">
        <is>
          <t>SHELF SAFETY SUPPORT WHITE (SSSW)</t>
        </is>
      </c>
      <c r="F1422" s="10" t="inlineStr"/>
      <c r="G1422" s="10" t="inlineStr"/>
      <c r="H1422" s="10" t="inlineStr"/>
      <c r="I1422" s="11" t="n">
        <v>29.95</v>
      </c>
      <c r="J1422" s="6" t="n">
        <v>15</v>
      </c>
      <c r="K1422" s="7">
        <f>IF(I1422="","",I1422*(1+J1422/100))</f>
        <v/>
      </c>
      <c r="L1422" s="11" t="n">
        <v>150</v>
      </c>
      <c r="M1422" s="8">
        <f>IF(OR(L1422="",K1422="",L1422=0),"",
  (L1422-K1422)/L1422*100)</f>
        <v/>
      </c>
      <c r="N1422" s="13" t="n">
        <v>29</v>
      </c>
      <c r="O1422" s="10" t="inlineStr"/>
      <c r="P1422" s="10" t="inlineStr"/>
      <c r="Q1422" s="10" t="inlineStr"/>
      <c r="R1422" s="10" t="inlineStr">
        <is>
          <t>2026-03-12</t>
        </is>
      </c>
      <c r="S1422" s="10" t="inlineStr"/>
    </row>
    <row r="1423">
      <c r="A1423" s="3" t="inlineStr">
        <is>
          <t>F01876</t>
        </is>
      </c>
      <c r="B1423" s="4" t="inlineStr">
        <is>
          <t>F01876</t>
        </is>
      </c>
      <c r="C1423" s="4" t="inlineStr"/>
      <c r="D1423" s="4" t="inlineStr">
        <is>
          <t>6009677014406</t>
        </is>
      </c>
      <c r="E1423" s="3" t="inlineStr">
        <is>
          <t>MOUSE TRAP METAL BLISTER (MTM)</t>
        </is>
      </c>
      <c r="F1423" s="4" t="inlineStr"/>
      <c r="G1423" s="4" t="inlineStr"/>
      <c r="H1423" s="4" t="inlineStr"/>
      <c r="I1423" s="5" t="n">
        <v>27.5</v>
      </c>
      <c r="J1423" s="6" t="n">
        <v>15</v>
      </c>
      <c r="K1423" s="7">
        <f>IF(I1423="","",I1423*(1+J1423/100))</f>
        <v/>
      </c>
      <c r="L1423" s="12" t="inlineStr"/>
      <c r="M1423" s="8">
        <f>IF(OR(L1423="",K1423="",L1423=0),"",
  (L1423-K1423)/L1423*100)</f>
        <v/>
      </c>
      <c r="N1423" s="9" t="inlineStr"/>
      <c r="O1423" s="4" t="inlineStr"/>
      <c r="P1423" s="4" t="inlineStr"/>
      <c r="Q1423" s="4" t="inlineStr"/>
      <c r="R1423" s="4" t="inlineStr">
        <is>
          <t>2026-03-12</t>
        </is>
      </c>
      <c r="S1423" s="4" t="inlineStr"/>
    </row>
    <row r="1424">
      <c r="A1424" s="10" t="inlineStr">
        <is>
          <t>F01877</t>
        </is>
      </c>
      <c r="B1424" s="10" t="inlineStr">
        <is>
          <t>F01877</t>
        </is>
      </c>
      <c r="C1424" s="10" t="inlineStr">
        <is>
          <t>9627</t>
        </is>
      </c>
      <c r="D1424" s="10" t="inlineStr">
        <is>
          <t>6009677014413</t>
        </is>
      </c>
      <c r="E1424" s="10" t="inlineStr">
        <is>
          <t>RAT TRAP METAL (RTM)</t>
        </is>
      </c>
      <c r="F1424" s="10" t="inlineStr"/>
      <c r="G1424" s="10" t="inlineStr"/>
      <c r="H1424" s="10" t="inlineStr"/>
      <c r="I1424" s="11" t="n">
        <v>24.95</v>
      </c>
      <c r="J1424" s="6" t="n">
        <v>15</v>
      </c>
      <c r="K1424" s="7">
        <f>IF(I1424="","",I1424*(1+J1424/100))</f>
        <v/>
      </c>
      <c r="L1424" s="11" t="n">
        <v>100</v>
      </c>
      <c r="M1424" s="8">
        <f>IF(OR(L1424="",K1424="",L1424=0),"",
  (L1424-K1424)/L1424*100)</f>
        <v/>
      </c>
      <c r="N1424" s="13" t="n">
        <v>4</v>
      </c>
      <c r="O1424" s="10" t="inlineStr"/>
      <c r="P1424" s="10" t="inlineStr"/>
      <c r="Q1424" s="10" t="inlineStr"/>
      <c r="R1424" s="10" t="inlineStr">
        <is>
          <t>2026-03-12</t>
        </is>
      </c>
      <c r="S1424" s="10" t="inlineStr"/>
    </row>
    <row r="1425">
      <c r="A1425" s="3" t="inlineStr">
        <is>
          <t>F01878</t>
        </is>
      </c>
      <c r="B1425" s="4" t="inlineStr">
        <is>
          <t>F01878</t>
        </is>
      </c>
      <c r="C1425" s="4" t="inlineStr">
        <is>
          <t>10252</t>
        </is>
      </c>
      <c r="D1425" s="4" t="inlineStr">
        <is>
          <t>6009677014420</t>
        </is>
      </c>
      <c r="E1425" s="3" t="inlineStr">
        <is>
          <t>HASP LOCK CYLINDER 100MM CHROME PLATED (</t>
        </is>
      </c>
      <c r="F1425" s="4" t="inlineStr"/>
      <c r="G1425" s="4" t="inlineStr"/>
      <c r="H1425" s="4" t="inlineStr"/>
      <c r="I1425" s="5" t="n">
        <v>86.95</v>
      </c>
      <c r="J1425" s="6" t="n">
        <v>15</v>
      </c>
      <c r="K1425" s="7">
        <f>IF(I1425="","",I1425*(1+J1425/100))</f>
        <v/>
      </c>
      <c r="L1425" s="5" t="n">
        <v>270</v>
      </c>
      <c r="M1425" s="8">
        <f>IF(OR(L1425="",K1425="",L1425=0),"",
  (L1425-K1425)/L1425*100)</f>
        <v/>
      </c>
      <c r="N1425" s="14" t="n">
        <v>17</v>
      </c>
      <c r="O1425" s="4" t="inlineStr"/>
      <c r="P1425" s="4" t="inlineStr"/>
      <c r="Q1425" s="4" t="inlineStr"/>
      <c r="R1425" s="4" t="inlineStr">
        <is>
          <t>2026-03-12</t>
        </is>
      </c>
      <c r="S1425" s="4" t="inlineStr"/>
    </row>
    <row r="1426">
      <c r="A1426" s="10" t="inlineStr">
        <is>
          <t>F01879</t>
        </is>
      </c>
      <c r="B1426" s="10" t="inlineStr">
        <is>
          <t>F01879</t>
        </is>
      </c>
      <c r="C1426" s="10" t="inlineStr">
        <is>
          <t>10263</t>
        </is>
      </c>
      <c r="D1426" s="10" t="inlineStr">
        <is>
          <t>6009677014437</t>
        </is>
      </c>
      <c r="E1426" s="10" t="inlineStr">
        <is>
          <t>HASP LOCK CYLINDER 100MM BRASS PLATED (H</t>
        </is>
      </c>
      <c r="F1426" s="10" t="inlineStr"/>
      <c r="G1426" s="10" t="inlineStr"/>
      <c r="H1426" s="10" t="inlineStr"/>
      <c r="I1426" s="11" t="n">
        <v>89.95</v>
      </c>
      <c r="J1426" s="6" t="n">
        <v>15</v>
      </c>
      <c r="K1426" s="7">
        <f>IF(I1426="","",I1426*(1+J1426/100))</f>
        <v/>
      </c>
      <c r="L1426" s="11" t="n">
        <v>250</v>
      </c>
      <c r="M1426" s="8">
        <f>IF(OR(L1426="",K1426="",L1426=0),"",
  (L1426-K1426)/L1426*100)</f>
        <v/>
      </c>
      <c r="N1426" s="13" t="n">
        <v>22</v>
      </c>
      <c r="O1426" s="10" t="inlineStr"/>
      <c r="P1426" s="10" t="inlineStr"/>
      <c r="Q1426" s="10" t="inlineStr"/>
      <c r="R1426" s="10" t="inlineStr">
        <is>
          <t>2026-03-12</t>
        </is>
      </c>
      <c r="S1426" s="10" t="inlineStr"/>
    </row>
    <row r="1427">
      <c r="A1427" s="3" t="inlineStr">
        <is>
          <t>F01880</t>
        </is>
      </c>
      <c r="B1427" s="4" t="inlineStr">
        <is>
          <t>F01880</t>
        </is>
      </c>
      <c r="C1427" s="4" t="inlineStr">
        <is>
          <t>10251</t>
        </is>
      </c>
      <c r="D1427" s="4" t="inlineStr">
        <is>
          <t>6009677014451</t>
        </is>
      </c>
      <c r="E1427" s="3" t="inlineStr">
        <is>
          <t>HASP LOCK CYLINDER 75MM CHROME PLATED (H</t>
        </is>
      </c>
      <c r="F1427" s="4" t="inlineStr"/>
      <c r="G1427" s="4" t="inlineStr"/>
      <c r="H1427" s="4" t="inlineStr"/>
      <c r="I1427" s="5" t="n">
        <v>56.95</v>
      </c>
      <c r="J1427" s="6" t="n">
        <v>15</v>
      </c>
      <c r="K1427" s="7">
        <f>IF(I1427="","",I1427*(1+J1427/100))</f>
        <v/>
      </c>
      <c r="L1427" s="5" t="n">
        <v>240</v>
      </c>
      <c r="M1427" s="8">
        <f>IF(OR(L1427="",K1427="",L1427=0),"",
  (L1427-K1427)/L1427*100)</f>
        <v/>
      </c>
      <c r="N1427" s="14" t="n">
        <v>38</v>
      </c>
      <c r="O1427" s="4" t="inlineStr"/>
      <c r="P1427" s="4" t="inlineStr"/>
      <c r="Q1427" s="4" t="inlineStr"/>
      <c r="R1427" s="4" t="inlineStr">
        <is>
          <t>2026-03-12</t>
        </is>
      </c>
      <c r="S1427" s="4" t="inlineStr"/>
    </row>
    <row r="1428">
      <c r="A1428" s="10" t="inlineStr">
        <is>
          <t>F01881</t>
        </is>
      </c>
      <c r="B1428" s="10" t="inlineStr">
        <is>
          <t>F01881</t>
        </is>
      </c>
      <c r="C1428" s="10" t="inlineStr">
        <is>
          <t>10250</t>
        </is>
      </c>
      <c r="D1428" s="10" t="inlineStr">
        <is>
          <t>6009677014475</t>
        </is>
      </c>
      <c r="E1428" s="10" t="inlineStr">
        <is>
          <t>HASP LOCK CYLINDER 75MM BRASS PLATED (HL</t>
        </is>
      </c>
      <c r="F1428" s="10" t="inlineStr"/>
      <c r="G1428" s="10" t="inlineStr"/>
      <c r="H1428" s="10" t="inlineStr"/>
      <c r="I1428" s="11" t="n">
        <v>58.95</v>
      </c>
      <c r="J1428" s="6" t="n">
        <v>15</v>
      </c>
      <c r="K1428" s="7">
        <f>IF(I1428="","",I1428*(1+J1428/100))</f>
        <v/>
      </c>
      <c r="L1428" s="11" t="n">
        <v>210</v>
      </c>
      <c r="M1428" s="8">
        <f>IF(OR(L1428="",K1428="",L1428=0),"",
  (L1428-K1428)/L1428*100)</f>
        <v/>
      </c>
      <c r="N1428" s="13" t="n">
        <v>71</v>
      </c>
      <c r="O1428" s="10" t="inlineStr"/>
      <c r="P1428" s="10" t="inlineStr"/>
      <c r="Q1428" s="10" t="inlineStr"/>
      <c r="R1428" s="10" t="inlineStr">
        <is>
          <t>2026-03-12</t>
        </is>
      </c>
      <c r="S1428" s="10" t="inlineStr"/>
    </row>
    <row r="1429">
      <c r="A1429" s="3" t="inlineStr">
        <is>
          <t>F01885</t>
        </is>
      </c>
      <c r="B1429" s="4" t="inlineStr">
        <is>
          <t>F01885</t>
        </is>
      </c>
      <c r="C1429" s="4" t="inlineStr"/>
      <c r="D1429" s="4" t="inlineStr">
        <is>
          <t>6009677016011</t>
        </is>
      </c>
      <c r="E1429" s="3" t="inlineStr">
        <is>
          <t>MORTICE LOCK CHROME (2 LEVER) (MTL01) CO</t>
        </is>
      </c>
      <c r="F1429" s="4" t="inlineStr"/>
      <c r="G1429" s="4" t="inlineStr"/>
      <c r="H1429" s="4" t="inlineStr"/>
      <c r="I1429" s="5" t="n">
        <v>39.95</v>
      </c>
      <c r="J1429" s="6" t="n">
        <v>15</v>
      </c>
      <c r="K1429" s="7">
        <f>IF(I1429="","",I1429*(1+J1429/100))</f>
        <v/>
      </c>
      <c r="L1429" s="12" t="inlineStr"/>
      <c r="M1429" s="8">
        <f>IF(OR(L1429="",K1429="",L1429=0),"",
  (L1429-K1429)/L1429*100)</f>
        <v/>
      </c>
      <c r="N1429" s="9" t="inlineStr"/>
      <c r="O1429" s="4" t="inlineStr"/>
      <c r="P1429" s="4" t="inlineStr"/>
      <c r="Q1429" s="4" t="inlineStr"/>
      <c r="R1429" s="4" t="inlineStr">
        <is>
          <t>2026-03-12</t>
        </is>
      </c>
      <c r="S1429" s="4" t="inlineStr"/>
    </row>
    <row r="1430">
      <c r="A1430" s="10" t="inlineStr">
        <is>
          <t>F01886</t>
        </is>
      </c>
      <c r="B1430" s="10" t="inlineStr">
        <is>
          <t>F01886</t>
        </is>
      </c>
      <c r="C1430" s="10" t="inlineStr"/>
      <c r="D1430" s="10" t="inlineStr">
        <is>
          <t>6009677016035</t>
        </is>
      </c>
      <c r="E1430" s="10" t="inlineStr">
        <is>
          <t>MORTICE LOCK  (2 LEVER) (MTL03) BP</t>
        </is>
      </c>
      <c r="F1430" s="10" t="inlineStr"/>
      <c r="G1430" s="10" t="inlineStr"/>
      <c r="H1430" s="10" t="inlineStr"/>
      <c r="I1430" s="11" t="n">
        <v>34.77</v>
      </c>
      <c r="J1430" s="6" t="n">
        <v>15</v>
      </c>
      <c r="K1430" s="7">
        <f>IF(I1430="","",I1430*(1+J1430/100))</f>
        <v/>
      </c>
      <c r="L1430" s="12" t="inlineStr"/>
      <c r="M1430" s="8">
        <f>IF(OR(L1430="",K1430="",L1430=0),"",
  (L1430-K1430)/L1430*100)</f>
        <v/>
      </c>
      <c r="N1430" s="9" t="inlineStr"/>
      <c r="O1430" s="10" t="inlineStr"/>
      <c r="P1430" s="10" t="inlineStr"/>
      <c r="Q1430" s="10" t="inlineStr"/>
      <c r="R1430" s="10" t="inlineStr">
        <is>
          <t>2026-03-12</t>
        </is>
      </c>
      <c r="S1430" s="10" t="inlineStr"/>
    </row>
    <row r="1431">
      <c r="A1431" s="3" t="inlineStr">
        <is>
          <t>F01887</t>
        </is>
      </c>
      <c r="B1431" s="4" t="inlineStr">
        <is>
          <t>F01887</t>
        </is>
      </c>
      <c r="C1431" s="4" t="inlineStr"/>
      <c r="D1431" s="4" t="inlineStr">
        <is>
          <t>6009677016035</t>
        </is>
      </c>
      <c r="E1431" s="3" t="inlineStr">
        <is>
          <t>PREMIUM MORTICE CHROME LOCKSET (MTLP01)</t>
        </is>
      </c>
      <c r="F1431" s="4" t="inlineStr"/>
      <c r="G1431" s="4" t="inlineStr"/>
      <c r="H1431" s="4" t="inlineStr"/>
      <c r="I1431" s="5" t="n">
        <v>39.95</v>
      </c>
      <c r="J1431" s="6" t="n">
        <v>15</v>
      </c>
      <c r="K1431" s="7">
        <f>IF(I1431="","",I1431*(1+J1431/100))</f>
        <v/>
      </c>
      <c r="L1431" s="12" t="inlineStr"/>
      <c r="M1431" s="8">
        <f>IF(OR(L1431="",K1431="",L1431=0),"",
  (L1431-K1431)/L1431*100)</f>
        <v/>
      </c>
      <c r="N1431" s="9" t="inlineStr"/>
      <c r="O1431" s="4" t="inlineStr"/>
      <c r="P1431" s="4" t="inlineStr"/>
      <c r="Q1431" s="4" t="inlineStr"/>
      <c r="R1431" s="4" t="inlineStr">
        <is>
          <t>2026-03-12</t>
        </is>
      </c>
      <c r="S1431" s="4" t="inlineStr"/>
    </row>
    <row r="1432">
      <c r="A1432" s="10" t="inlineStr">
        <is>
          <t>F01888</t>
        </is>
      </c>
      <c r="B1432" s="10" t="inlineStr">
        <is>
          <t>F01888</t>
        </is>
      </c>
      <c r="C1432" s="10" t="inlineStr"/>
      <c r="D1432" s="10" t="inlineStr">
        <is>
          <t>6009677016042</t>
        </is>
      </c>
      <c r="E1432" s="10" t="inlineStr">
        <is>
          <t>PREMIUM MORTICE BRASS LOCKSET (MTLP02) B</t>
        </is>
      </c>
      <c r="F1432" s="10" t="inlineStr"/>
      <c r="G1432" s="10" t="inlineStr"/>
      <c r="H1432" s="10" t="inlineStr"/>
      <c r="I1432" s="11" t="n">
        <v>44.95</v>
      </c>
      <c r="J1432" s="6" t="n">
        <v>15</v>
      </c>
      <c r="K1432" s="7">
        <f>IF(I1432="","",I1432*(1+J1432/100))</f>
        <v/>
      </c>
      <c r="L1432" s="12" t="inlineStr"/>
      <c r="M1432" s="8">
        <f>IF(OR(L1432="",K1432="",L1432=0),"",
  (L1432-K1432)/L1432*100)</f>
        <v/>
      </c>
      <c r="N1432" s="9" t="inlineStr"/>
      <c r="O1432" s="10" t="inlineStr"/>
      <c r="P1432" s="10" t="inlineStr"/>
      <c r="Q1432" s="10" t="inlineStr"/>
      <c r="R1432" s="10" t="inlineStr">
        <is>
          <t>2026-03-12</t>
        </is>
      </c>
      <c r="S1432" s="10" t="inlineStr"/>
    </row>
    <row r="1433">
      <c r="A1433" s="3" t="inlineStr">
        <is>
          <t>F01889</t>
        </is>
      </c>
      <c r="B1433" s="4" t="inlineStr">
        <is>
          <t>F01889</t>
        </is>
      </c>
      <c r="C1433" s="4" t="inlineStr"/>
      <c r="D1433" s="4" t="inlineStr">
        <is>
          <t>6009677016073</t>
        </is>
      </c>
      <c r="E1433" s="3" t="inlineStr">
        <is>
          <t>LOCK BODY BLISTER PACKED 2lvr (LBB2)</t>
        </is>
      </c>
      <c r="F1433" s="4" t="inlineStr"/>
      <c r="G1433" s="4" t="inlineStr"/>
      <c r="H1433" s="4" t="inlineStr"/>
      <c r="I1433" s="5" t="n">
        <v>24.26</v>
      </c>
      <c r="J1433" s="6" t="n">
        <v>15</v>
      </c>
      <c r="K1433" s="7">
        <f>IF(I1433="","",I1433*(1+J1433/100))</f>
        <v/>
      </c>
      <c r="L1433" s="12" t="inlineStr"/>
      <c r="M1433" s="8">
        <f>IF(OR(L1433="",K1433="",L1433=0),"",
  (L1433-K1433)/L1433*100)</f>
        <v/>
      </c>
      <c r="N1433" s="9" t="inlineStr"/>
      <c r="O1433" s="4" t="inlineStr"/>
      <c r="P1433" s="4" t="inlineStr"/>
      <c r="Q1433" s="4" t="inlineStr"/>
      <c r="R1433" s="4" t="inlineStr">
        <is>
          <t>2026-03-12</t>
        </is>
      </c>
      <c r="S1433" s="4" t="inlineStr"/>
    </row>
    <row r="1434">
      <c r="A1434" s="10" t="inlineStr">
        <is>
          <t>F01890</t>
        </is>
      </c>
      <c r="B1434" s="10" t="inlineStr">
        <is>
          <t>F01890</t>
        </is>
      </c>
      <c r="C1434" s="10" t="inlineStr"/>
      <c r="D1434" s="10" t="inlineStr">
        <is>
          <t>6009677016080</t>
        </is>
      </c>
      <c r="E1434" s="10" t="inlineStr">
        <is>
          <t>LOCK BODY BLISTER PACKED 3lvr (LBB3)</t>
        </is>
      </c>
      <c r="F1434" s="10" t="inlineStr"/>
      <c r="G1434" s="10" t="inlineStr"/>
      <c r="H1434" s="10" t="inlineStr"/>
      <c r="I1434" s="11" t="n">
        <v>26.28</v>
      </c>
      <c r="J1434" s="6" t="n">
        <v>15</v>
      </c>
      <c r="K1434" s="7">
        <f>IF(I1434="","",I1434*(1+J1434/100))</f>
        <v/>
      </c>
      <c r="L1434" s="12" t="inlineStr"/>
      <c r="M1434" s="8">
        <f>IF(OR(L1434="",K1434="",L1434=0),"",
  (L1434-K1434)/L1434*100)</f>
        <v/>
      </c>
      <c r="N1434" s="9" t="inlineStr"/>
      <c r="O1434" s="10" t="inlineStr"/>
      <c r="P1434" s="10" t="inlineStr"/>
      <c r="Q1434" s="10" t="inlineStr"/>
      <c r="R1434" s="10" t="inlineStr">
        <is>
          <t>2026-03-12</t>
        </is>
      </c>
      <c r="S1434" s="10" t="inlineStr"/>
    </row>
    <row r="1435">
      <c r="A1435" s="3" t="inlineStr">
        <is>
          <t>F01891</t>
        </is>
      </c>
      <c r="B1435" s="4" t="inlineStr">
        <is>
          <t>F01891</t>
        </is>
      </c>
      <c r="C1435" s="4" t="inlineStr"/>
      <c r="D1435" s="4" t="inlineStr">
        <is>
          <t>6009677016097</t>
        </is>
      </c>
      <c r="E1435" s="3" t="inlineStr">
        <is>
          <t>FANCY HANDLE BLISTER PACKED 8 INCH (KEN8</t>
        </is>
      </c>
      <c r="F1435" s="4" t="inlineStr"/>
      <c r="G1435" s="4" t="inlineStr"/>
      <c r="H1435" s="4" t="inlineStr"/>
      <c r="I1435" s="5" t="n">
        <v>127.95</v>
      </c>
      <c r="J1435" s="6" t="n">
        <v>15</v>
      </c>
      <c r="K1435" s="7">
        <f>IF(I1435="","",I1435*(1+J1435/100))</f>
        <v/>
      </c>
      <c r="L1435" s="12" t="inlineStr"/>
      <c r="M1435" s="8">
        <f>IF(OR(L1435="",K1435="",L1435=0),"",
  (L1435-K1435)/L1435*100)</f>
        <v/>
      </c>
      <c r="N1435" s="9" t="inlineStr"/>
      <c r="O1435" s="4" t="inlineStr"/>
      <c r="P1435" s="4" t="inlineStr"/>
      <c r="Q1435" s="4" t="inlineStr"/>
      <c r="R1435" s="4" t="inlineStr">
        <is>
          <t>2026-03-12</t>
        </is>
      </c>
      <c r="S1435" s="4" t="inlineStr"/>
    </row>
    <row r="1436">
      <c r="A1436" s="10" t="inlineStr">
        <is>
          <t>F01892</t>
        </is>
      </c>
      <c r="B1436" s="10" t="inlineStr">
        <is>
          <t>F01892</t>
        </is>
      </c>
      <c r="C1436" s="10" t="inlineStr"/>
      <c r="D1436" s="10" t="inlineStr">
        <is>
          <t>6009677016103</t>
        </is>
      </c>
      <c r="E1436" s="10" t="inlineStr">
        <is>
          <t>FANCY HANDLE BLISTER PACKED 8 INCH (KEN8</t>
        </is>
      </c>
      <c r="F1436" s="10" t="inlineStr"/>
      <c r="G1436" s="10" t="inlineStr"/>
      <c r="H1436" s="10" t="inlineStr"/>
      <c r="I1436" s="11" t="n">
        <v>127.95</v>
      </c>
      <c r="J1436" s="6" t="n">
        <v>15</v>
      </c>
      <c r="K1436" s="7">
        <f>IF(I1436="","",I1436*(1+J1436/100))</f>
        <v/>
      </c>
      <c r="L1436" s="12" t="inlineStr"/>
      <c r="M1436" s="8">
        <f>IF(OR(L1436="",K1436="",L1436=0),"",
  (L1436-K1436)/L1436*100)</f>
        <v/>
      </c>
      <c r="N1436" s="9" t="inlineStr"/>
      <c r="O1436" s="10" t="inlineStr"/>
      <c r="P1436" s="10" t="inlineStr"/>
      <c r="Q1436" s="10" t="inlineStr"/>
      <c r="R1436" s="10" t="inlineStr">
        <is>
          <t>2026-03-12</t>
        </is>
      </c>
      <c r="S1436" s="10" t="inlineStr"/>
    </row>
    <row r="1437">
      <c r="A1437" s="3" t="inlineStr">
        <is>
          <t>F01893</t>
        </is>
      </c>
      <c r="B1437" s="4" t="inlineStr">
        <is>
          <t>F01893</t>
        </is>
      </c>
      <c r="C1437" s="4" t="inlineStr"/>
      <c r="D1437" s="4" t="inlineStr">
        <is>
          <t>6009677016110</t>
        </is>
      </c>
      <c r="E1437" s="3" t="inlineStr">
        <is>
          <t>FANCY HANDLE BLISTER PACKED 8 INCH (KEN8</t>
        </is>
      </c>
      <c r="F1437" s="4" t="inlineStr"/>
      <c r="G1437" s="4" t="inlineStr"/>
      <c r="H1437" s="4" t="inlineStr"/>
      <c r="I1437" s="5" t="n">
        <v>127.95</v>
      </c>
      <c r="J1437" s="6" t="n">
        <v>15</v>
      </c>
      <c r="K1437" s="7">
        <f>IF(I1437="","",I1437*(1+J1437/100))</f>
        <v/>
      </c>
      <c r="L1437" s="12" t="inlineStr"/>
      <c r="M1437" s="8">
        <f>IF(OR(L1437="",K1437="",L1437=0),"",
  (L1437-K1437)/L1437*100)</f>
        <v/>
      </c>
      <c r="N1437" s="9" t="inlineStr"/>
      <c r="O1437" s="4" t="inlineStr"/>
      <c r="P1437" s="4" t="inlineStr"/>
      <c r="Q1437" s="4" t="inlineStr"/>
      <c r="R1437" s="4" t="inlineStr">
        <is>
          <t>2026-03-12</t>
        </is>
      </c>
      <c r="S1437" s="4" t="inlineStr"/>
    </row>
    <row r="1438">
      <c r="A1438" s="10" t="inlineStr">
        <is>
          <t>F01894</t>
        </is>
      </c>
      <c r="B1438" s="10" t="inlineStr">
        <is>
          <t>F01894</t>
        </is>
      </c>
      <c r="C1438" s="10" t="inlineStr"/>
      <c r="D1438" s="10" t="inlineStr">
        <is>
          <t>6009677016127</t>
        </is>
      </c>
      <c r="E1438" s="10" t="inlineStr">
        <is>
          <t>FANCY HANDLE BLISTER PACKED 8 INCH (KEN8</t>
        </is>
      </c>
      <c r="F1438" s="10" t="inlineStr"/>
      <c r="G1438" s="10" t="inlineStr"/>
      <c r="H1438" s="10" t="inlineStr"/>
      <c r="I1438" s="11" t="n">
        <v>127.95</v>
      </c>
      <c r="J1438" s="6" t="n">
        <v>15</v>
      </c>
      <c r="K1438" s="7">
        <f>IF(I1438="","",I1438*(1+J1438/100))</f>
        <v/>
      </c>
      <c r="L1438" s="12" t="inlineStr"/>
      <c r="M1438" s="8">
        <f>IF(OR(L1438="",K1438="",L1438=0),"",
  (L1438-K1438)/L1438*100)</f>
        <v/>
      </c>
      <c r="N1438" s="9" t="inlineStr"/>
      <c r="O1438" s="10" t="inlineStr"/>
      <c r="P1438" s="10" t="inlineStr"/>
      <c r="Q1438" s="10" t="inlineStr"/>
      <c r="R1438" s="10" t="inlineStr">
        <is>
          <t>2026-03-12</t>
        </is>
      </c>
      <c r="S1438" s="10" t="inlineStr"/>
    </row>
    <row r="1439">
      <c r="A1439" s="3" t="inlineStr">
        <is>
          <t>F01895</t>
        </is>
      </c>
      <c r="B1439" s="4" t="inlineStr">
        <is>
          <t>F01895</t>
        </is>
      </c>
      <c r="C1439" s="4" t="inlineStr"/>
      <c r="D1439" s="4" t="inlineStr">
        <is>
          <t>6009677016134</t>
        </is>
      </c>
      <c r="E1439" s="3" t="inlineStr">
        <is>
          <t>FANCY HANDLE BLISTER PACKED 8 INCH (KEN8</t>
        </is>
      </c>
      <c r="F1439" s="4" t="inlineStr"/>
      <c r="G1439" s="4" t="inlineStr"/>
      <c r="H1439" s="4" t="inlineStr"/>
      <c r="I1439" s="5" t="n">
        <v>127.95</v>
      </c>
      <c r="J1439" s="6" t="n">
        <v>15</v>
      </c>
      <c r="K1439" s="7">
        <f>IF(I1439="","",I1439*(1+J1439/100))</f>
        <v/>
      </c>
      <c r="L1439" s="12" t="inlineStr"/>
      <c r="M1439" s="8">
        <f>IF(OR(L1439="",K1439="",L1439=0),"",
  (L1439-K1439)/L1439*100)</f>
        <v/>
      </c>
      <c r="N1439" s="9" t="inlineStr"/>
      <c r="O1439" s="4" t="inlineStr"/>
      <c r="P1439" s="4" t="inlineStr"/>
      <c r="Q1439" s="4" t="inlineStr"/>
      <c r="R1439" s="4" t="inlineStr">
        <is>
          <t>2026-03-12</t>
        </is>
      </c>
      <c r="S1439" s="4" t="inlineStr"/>
    </row>
    <row r="1440">
      <c r="A1440" s="10" t="inlineStr">
        <is>
          <t>F01896</t>
        </is>
      </c>
      <c r="B1440" s="10" t="inlineStr">
        <is>
          <t>F01896</t>
        </is>
      </c>
      <c r="C1440" s="10" t="inlineStr"/>
      <c r="D1440" s="10" t="inlineStr">
        <is>
          <t>6009677016141</t>
        </is>
      </c>
      <c r="E1440" s="10" t="inlineStr">
        <is>
          <t>FANCY HANDLE BLISTER PACKED 8 INCH (KEN8</t>
        </is>
      </c>
      <c r="F1440" s="10" t="inlineStr"/>
      <c r="G1440" s="10" t="inlineStr"/>
      <c r="H1440" s="10" t="inlineStr"/>
      <c r="I1440" s="11" t="n">
        <v>127.95</v>
      </c>
      <c r="J1440" s="6" t="n">
        <v>15</v>
      </c>
      <c r="K1440" s="7">
        <f>IF(I1440="","",I1440*(1+J1440/100))</f>
        <v/>
      </c>
      <c r="L1440" s="12" t="inlineStr"/>
      <c r="M1440" s="8">
        <f>IF(OR(L1440="",K1440="",L1440=0),"",
  (L1440-K1440)/L1440*100)</f>
        <v/>
      </c>
      <c r="N1440" s="9" t="inlineStr"/>
      <c r="O1440" s="10" t="inlineStr"/>
      <c r="P1440" s="10" t="inlineStr"/>
      <c r="Q1440" s="10" t="inlineStr"/>
      <c r="R1440" s="10" t="inlineStr">
        <is>
          <t>2026-03-12</t>
        </is>
      </c>
      <c r="S1440" s="10" t="inlineStr"/>
    </row>
    <row r="1441">
      <c r="A1441" s="3" t="inlineStr">
        <is>
          <t>F01897</t>
        </is>
      </c>
      <c r="B1441" s="4" t="inlineStr">
        <is>
          <t>F01897</t>
        </is>
      </c>
      <c r="C1441" s="4" t="inlineStr"/>
      <c r="D1441" s="4" t="inlineStr">
        <is>
          <t>6009677016158</t>
        </is>
      </c>
      <c r="E1441" s="3" t="inlineStr">
        <is>
          <t>FANCY HANDLE BLISTER PACKED 8 INCH (KEN8</t>
        </is>
      </c>
      <c r="F1441" s="4" t="inlineStr"/>
      <c r="G1441" s="4" t="inlineStr"/>
      <c r="H1441" s="4" t="inlineStr"/>
      <c r="I1441" s="5" t="n">
        <v>127.95</v>
      </c>
      <c r="J1441" s="6" t="n">
        <v>15</v>
      </c>
      <c r="K1441" s="7">
        <f>IF(I1441="","",I1441*(1+J1441/100))</f>
        <v/>
      </c>
      <c r="L1441" s="12" t="inlineStr"/>
      <c r="M1441" s="8">
        <f>IF(OR(L1441="",K1441="",L1441=0),"",
  (L1441-K1441)/L1441*100)</f>
        <v/>
      </c>
      <c r="N1441" s="9" t="inlineStr"/>
      <c r="O1441" s="4" t="inlineStr"/>
      <c r="P1441" s="4" t="inlineStr"/>
      <c r="Q1441" s="4" t="inlineStr"/>
      <c r="R1441" s="4" t="inlineStr">
        <is>
          <t>2026-03-12</t>
        </is>
      </c>
      <c r="S1441" s="4" t="inlineStr"/>
    </row>
    <row r="1442">
      <c r="A1442" s="10" t="inlineStr">
        <is>
          <t>F01898</t>
        </is>
      </c>
      <c r="B1442" s="10" t="inlineStr">
        <is>
          <t>F01898</t>
        </is>
      </c>
      <c r="C1442" s="10" t="inlineStr"/>
      <c r="D1442" s="10" t="inlineStr">
        <is>
          <t>6009677016165</t>
        </is>
      </c>
      <c r="E1442" s="10" t="inlineStr">
        <is>
          <t>FANCY HANDLE BLISTER PACKED 8 INCH (KEN8</t>
        </is>
      </c>
      <c r="F1442" s="10" t="inlineStr"/>
      <c r="G1442" s="10" t="inlineStr"/>
      <c r="H1442" s="10" t="inlineStr"/>
      <c r="I1442" s="11" t="n">
        <v>127.95</v>
      </c>
      <c r="J1442" s="6" t="n">
        <v>15</v>
      </c>
      <c r="K1442" s="7">
        <f>IF(I1442="","",I1442*(1+J1442/100))</f>
        <v/>
      </c>
      <c r="L1442" s="12" t="inlineStr"/>
      <c r="M1442" s="8">
        <f>IF(OR(L1442="",K1442="",L1442=0),"",
  (L1442-K1442)/L1442*100)</f>
        <v/>
      </c>
      <c r="N1442" s="9" t="inlineStr"/>
      <c r="O1442" s="10" t="inlineStr"/>
      <c r="P1442" s="10" t="inlineStr"/>
      <c r="Q1442" s="10" t="inlineStr"/>
      <c r="R1442" s="10" t="inlineStr">
        <is>
          <t>2026-03-12</t>
        </is>
      </c>
      <c r="S1442" s="10" t="inlineStr"/>
    </row>
    <row r="1443">
      <c r="A1443" s="3" t="inlineStr">
        <is>
          <t>F01899</t>
        </is>
      </c>
      <c r="B1443" s="4" t="inlineStr">
        <is>
          <t>F01899</t>
        </is>
      </c>
      <c r="C1443" s="4" t="inlineStr"/>
      <c r="D1443" s="4" t="inlineStr">
        <is>
          <t>6009677016172</t>
        </is>
      </c>
      <c r="E1443" s="3" t="inlineStr">
        <is>
          <t>FANCY HANDLE BLISTER PACKED 8 INCH (KEN8</t>
        </is>
      </c>
      <c r="F1443" s="4" t="inlineStr"/>
      <c r="G1443" s="4" t="inlineStr"/>
      <c r="H1443" s="4" t="inlineStr"/>
      <c r="I1443" s="5" t="n">
        <v>127.95</v>
      </c>
      <c r="J1443" s="6" t="n">
        <v>15</v>
      </c>
      <c r="K1443" s="7">
        <f>IF(I1443="","",I1443*(1+J1443/100))</f>
        <v/>
      </c>
      <c r="L1443" s="12" t="inlineStr"/>
      <c r="M1443" s="8">
        <f>IF(OR(L1443="",K1443="",L1443=0),"",
  (L1443-K1443)/L1443*100)</f>
        <v/>
      </c>
      <c r="N1443" s="9" t="inlineStr"/>
      <c r="O1443" s="4" t="inlineStr"/>
      <c r="P1443" s="4" t="inlineStr"/>
      <c r="Q1443" s="4" t="inlineStr"/>
      <c r="R1443" s="4" t="inlineStr">
        <is>
          <t>2026-03-12</t>
        </is>
      </c>
      <c r="S1443" s="4" t="inlineStr"/>
    </row>
    <row r="1444">
      <c r="A1444" s="10" t="inlineStr">
        <is>
          <t>F01900</t>
        </is>
      </c>
      <c r="B1444" s="10" t="inlineStr">
        <is>
          <t>F01900</t>
        </is>
      </c>
      <c r="C1444" s="10" t="inlineStr"/>
      <c r="D1444" s="10" t="inlineStr">
        <is>
          <t>6009677016189</t>
        </is>
      </c>
      <c r="E1444" s="10" t="inlineStr">
        <is>
          <t>FANCY HANDLE BLISTER PACKED 8 INCH (KEN8</t>
        </is>
      </c>
      <c r="F1444" s="10" t="inlineStr"/>
      <c r="G1444" s="10" t="inlineStr"/>
      <c r="H1444" s="10" t="inlineStr"/>
      <c r="I1444" s="11" t="n">
        <v>127.95</v>
      </c>
      <c r="J1444" s="6" t="n">
        <v>15</v>
      </c>
      <c r="K1444" s="7">
        <f>IF(I1444="","",I1444*(1+J1444/100))</f>
        <v/>
      </c>
      <c r="L1444" s="12" t="inlineStr"/>
      <c r="M1444" s="8">
        <f>IF(OR(L1444="",K1444="",L1444=0),"",
  (L1444-K1444)/L1444*100)</f>
        <v/>
      </c>
      <c r="N1444" s="9" t="inlineStr"/>
      <c r="O1444" s="10" t="inlineStr"/>
      <c r="P1444" s="10" t="inlineStr"/>
      <c r="Q1444" s="10" t="inlineStr"/>
      <c r="R1444" s="10" t="inlineStr">
        <is>
          <t>2026-03-12</t>
        </is>
      </c>
      <c r="S1444" s="10" t="inlineStr"/>
    </row>
    <row r="1445">
      <c r="A1445" s="3" t="inlineStr">
        <is>
          <t>F01901</t>
        </is>
      </c>
      <c r="B1445" s="4" t="inlineStr">
        <is>
          <t>F01901</t>
        </is>
      </c>
      <c r="C1445" s="4" t="inlineStr"/>
      <c r="D1445" s="4" t="inlineStr">
        <is>
          <t>6009677016196</t>
        </is>
      </c>
      <c r="E1445" s="3" t="inlineStr">
        <is>
          <t>FANCY HANDLE &amp; MORTICE LOCKSET (KE01-BLK</t>
        </is>
      </c>
      <c r="F1445" s="4" t="inlineStr"/>
      <c r="G1445" s="4" t="inlineStr"/>
      <c r="H1445" s="4" t="inlineStr"/>
      <c r="I1445" s="5" t="n">
        <v>60.65</v>
      </c>
      <c r="J1445" s="6" t="n">
        <v>15</v>
      </c>
      <c r="K1445" s="7">
        <f>IF(I1445="","",I1445*(1+J1445/100))</f>
        <v/>
      </c>
      <c r="L1445" s="12" t="inlineStr"/>
      <c r="M1445" s="8">
        <f>IF(OR(L1445="",K1445="",L1445=0),"",
  (L1445-K1445)/L1445*100)</f>
        <v/>
      </c>
      <c r="N1445" s="9" t="inlineStr"/>
      <c r="O1445" s="4" t="inlineStr"/>
      <c r="P1445" s="4" t="inlineStr"/>
      <c r="Q1445" s="4" t="inlineStr"/>
      <c r="R1445" s="4" t="inlineStr">
        <is>
          <t>2026-03-12</t>
        </is>
      </c>
      <c r="S1445" s="4" t="inlineStr"/>
    </row>
    <row r="1446">
      <c r="A1446" s="10" t="inlineStr">
        <is>
          <t>F01902</t>
        </is>
      </c>
      <c r="B1446" s="10" t="inlineStr">
        <is>
          <t>F01902</t>
        </is>
      </c>
      <c r="C1446" s="10" t="inlineStr"/>
      <c r="D1446" s="10" t="inlineStr">
        <is>
          <t>6009677016202</t>
        </is>
      </c>
      <c r="E1446" s="10" t="inlineStr">
        <is>
          <t>FANCY HANDLE &amp; MORTICE LOCKSET (KE01-BRS</t>
        </is>
      </c>
      <c r="F1446" s="10" t="inlineStr"/>
      <c r="G1446" s="10" t="inlineStr"/>
      <c r="H1446" s="10" t="inlineStr"/>
      <c r="I1446" s="11" t="n">
        <v>62.67</v>
      </c>
      <c r="J1446" s="6" t="n">
        <v>15</v>
      </c>
      <c r="K1446" s="7">
        <f>IF(I1446="","",I1446*(1+J1446/100))</f>
        <v/>
      </c>
      <c r="L1446" s="12" t="inlineStr"/>
      <c r="M1446" s="8">
        <f>IF(OR(L1446="",K1446="",L1446=0),"",
  (L1446-K1446)/L1446*100)</f>
        <v/>
      </c>
      <c r="N1446" s="9" t="inlineStr"/>
      <c r="O1446" s="10" t="inlineStr"/>
      <c r="P1446" s="10" t="inlineStr"/>
      <c r="Q1446" s="10" t="inlineStr"/>
      <c r="R1446" s="10" t="inlineStr">
        <is>
          <t>2026-03-12</t>
        </is>
      </c>
      <c r="S1446" s="10" t="inlineStr"/>
    </row>
    <row r="1447">
      <c r="A1447" s="3" t="inlineStr">
        <is>
          <t>F01903</t>
        </is>
      </c>
      <c r="B1447" s="4" t="inlineStr">
        <is>
          <t>F01903</t>
        </is>
      </c>
      <c r="C1447" s="4" t="inlineStr"/>
      <c r="D1447" s="4" t="inlineStr">
        <is>
          <t>6009677016219</t>
        </is>
      </c>
      <c r="E1447" s="3" t="inlineStr">
        <is>
          <t>FANCY HANDLE &amp; MORTICE LOCKSET (KE02-BLK</t>
        </is>
      </c>
      <c r="F1447" s="4" t="inlineStr"/>
      <c r="G1447" s="4" t="inlineStr"/>
      <c r="H1447" s="4" t="inlineStr"/>
      <c r="I1447" s="5" t="n">
        <v>60.65</v>
      </c>
      <c r="J1447" s="6" t="n">
        <v>15</v>
      </c>
      <c r="K1447" s="7">
        <f>IF(I1447="","",I1447*(1+J1447/100))</f>
        <v/>
      </c>
      <c r="L1447" s="12" t="inlineStr"/>
      <c r="M1447" s="8">
        <f>IF(OR(L1447="",K1447="",L1447=0),"",
  (L1447-K1447)/L1447*100)</f>
        <v/>
      </c>
      <c r="N1447" s="9" t="inlineStr"/>
      <c r="O1447" s="4" t="inlineStr"/>
      <c r="P1447" s="4" t="inlineStr"/>
      <c r="Q1447" s="4" t="inlineStr"/>
      <c r="R1447" s="4" t="inlineStr">
        <is>
          <t>2026-03-12</t>
        </is>
      </c>
      <c r="S1447" s="4" t="inlineStr"/>
    </row>
    <row r="1448">
      <c r="A1448" s="10" t="inlineStr">
        <is>
          <t>F01904</t>
        </is>
      </c>
      <c r="B1448" s="10" t="inlineStr">
        <is>
          <t>F01904</t>
        </is>
      </c>
      <c r="C1448" s="10" t="inlineStr"/>
      <c r="D1448" s="10" t="inlineStr">
        <is>
          <t>6009677016226</t>
        </is>
      </c>
      <c r="E1448" s="10" t="inlineStr">
        <is>
          <t>FANCY HANDLE &amp; MORTICE LOCKSET (KE02-BRS</t>
        </is>
      </c>
      <c r="F1448" s="10" t="inlineStr"/>
      <c r="G1448" s="10" t="inlineStr"/>
      <c r="H1448" s="10" t="inlineStr"/>
      <c r="I1448" s="11" t="n">
        <v>62.67</v>
      </c>
      <c r="J1448" s="6" t="n">
        <v>15</v>
      </c>
      <c r="K1448" s="7">
        <f>IF(I1448="","",I1448*(1+J1448/100))</f>
        <v/>
      </c>
      <c r="L1448" s="12" t="inlineStr"/>
      <c r="M1448" s="8">
        <f>IF(OR(L1448="",K1448="",L1448=0),"",
  (L1448-K1448)/L1448*100)</f>
        <v/>
      </c>
      <c r="N1448" s="9" t="inlineStr"/>
      <c r="O1448" s="10" t="inlineStr"/>
      <c r="P1448" s="10" t="inlineStr"/>
      <c r="Q1448" s="10" t="inlineStr"/>
      <c r="R1448" s="10" t="inlineStr">
        <is>
          <t>2026-03-12</t>
        </is>
      </c>
      <c r="S1448" s="10" t="inlineStr"/>
    </row>
    <row r="1449">
      <c r="A1449" s="3" t="inlineStr">
        <is>
          <t>F01905</t>
        </is>
      </c>
      <c r="B1449" s="4" t="inlineStr">
        <is>
          <t>F01905</t>
        </is>
      </c>
      <c r="C1449" s="4" t="inlineStr"/>
      <c r="D1449" s="4" t="inlineStr">
        <is>
          <t>6009677016233</t>
        </is>
      </c>
      <c r="E1449" s="3" t="inlineStr">
        <is>
          <t>FANCY HANDLE &amp; MORTICE LOCKSET (KE03-BLK</t>
        </is>
      </c>
      <c r="F1449" s="4" t="inlineStr"/>
      <c r="G1449" s="4" t="inlineStr"/>
      <c r="H1449" s="4" t="inlineStr"/>
      <c r="I1449" s="5" t="n">
        <v>127.95</v>
      </c>
      <c r="J1449" s="6" t="n">
        <v>15</v>
      </c>
      <c r="K1449" s="7">
        <f>IF(I1449="","",I1449*(1+J1449/100))</f>
        <v/>
      </c>
      <c r="L1449" s="12" t="inlineStr"/>
      <c r="M1449" s="8">
        <f>IF(OR(L1449="",K1449="",L1449=0),"",
  (L1449-K1449)/L1449*100)</f>
        <v/>
      </c>
      <c r="N1449" s="9" t="inlineStr"/>
      <c r="O1449" s="4" t="inlineStr"/>
      <c r="P1449" s="4" t="inlineStr"/>
      <c r="Q1449" s="4" t="inlineStr"/>
      <c r="R1449" s="4" t="inlineStr">
        <is>
          <t>2026-03-12</t>
        </is>
      </c>
      <c r="S1449" s="4" t="inlineStr"/>
    </row>
    <row r="1450">
      <c r="A1450" s="10" t="inlineStr">
        <is>
          <t>F01906</t>
        </is>
      </c>
      <c r="B1450" s="10" t="inlineStr">
        <is>
          <t>F01906</t>
        </is>
      </c>
      <c r="C1450" s="10" t="inlineStr"/>
      <c r="D1450" s="10" t="inlineStr">
        <is>
          <t>6009677016240</t>
        </is>
      </c>
      <c r="E1450" s="10" t="inlineStr">
        <is>
          <t>FANCY HANDLE &amp; MORTICE LOCKSET (KE03-BRS</t>
        </is>
      </c>
      <c r="F1450" s="10" t="inlineStr"/>
      <c r="G1450" s="10" t="inlineStr"/>
      <c r="H1450" s="10" t="inlineStr"/>
      <c r="I1450" s="11" t="n">
        <v>62.67</v>
      </c>
      <c r="J1450" s="6" t="n">
        <v>15</v>
      </c>
      <c r="K1450" s="7">
        <f>IF(I1450="","",I1450*(1+J1450/100))</f>
        <v/>
      </c>
      <c r="L1450" s="12" t="inlineStr"/>
      <c r="M1450" s="8">
        <f>IF(OR(L1450="",K1450="",L1450=0),"",
  (L1450-K1450)/L1450*100)</f>
        <v/>
      </c>
      <c r="N1450" s="9" t="inlineStr"/>
      <c r="O1450" s="10" t="inlineStr"/>
      <c r="P1450" s="10" t="inlineStr"/>
      <c r="Q1450" s="10" t="inlineStr"/>
      <c r="R1450" s="10" t="inlineStr">
        <is>
          <t>2026-03-12</t>
        </is>
      </c>
      <c r="S1450" s="10" t="inlineStr"/>
    </row>
    <row r="1451">
      <c r="A1451" s="3" t="inlineStr">
        <is>
          <t>F01907</t>
        </is>
      </c>
      <c r="B1451" s="4" t="inlineStr">
        <is>
          <t>F01907</t>
        </is>
      </c>
      <c r="C1451" s="4" t="inlineStr"/>
      <c r="D1451" s="4" t="inlineStr">
        <is>
          <t>6009677016257</t>
        </is>
      </c>
      <c r="E1451" s="3" t="inlineStr">
        <is>
          <t>FANCY HANDLE &amp; MORTICE LOCKSET (KE04-BLK</t>
        </is>
      </c>
      <c r="F1451" s="4" t="inlineStr"/>
      <c r="G1451" s="4" t="inlineStr"/>
      <c r="H1451" s="4" t="inlineStr"/>
      <c r="I1451" s="5" t="n">
        <v>60.65</v>
      </c>
      <c r="J1451" s="6" t="n">
        <v>15</v>
      </c>
      <c r="K1451" s="7">
        <f>IF(I1451="","",I1451*(1+J1451/100))</f>
        <v/>
      </c>
      <c r="L1451" s="12" t="inlineStr"/>
      <c r="M1451" s="8">
        <f>IF(OR(L1451="",K1451="",L1451=0),"",
  (L1451-K1451)/L1451*100)</f>
        <v/>
      </c>
      <c r="N1451" s="9" t="inlineStr"/>
      <c r="O1451" s="4" t="inlineStr"/>
      <c r="P1451" s="4" t="inlineStr"/>
      <c r="Q1451" s="4" t="inlineStr"/>
      <c r="R1451" s="4" t="inlineStr">
        <is>
          <t>2026-03-12</t>
        </is>
      </c>
      <c r="S1451" s="4" t="inlineStr"/>
    </row>
    <row r="1452">
      <c r="A1452" s="10" t="inlineStr">
        <is>
          <t>F01908</t>
        </is>
      </c>
      <c r="B1452" s="10" t="inlineStr">
        <is>
          <t>F01908</t>
        </is>
      </c>
      <c r="C1452" s="10" t="inlineStr"/>
      <c r="D1452" s="10" t="inlineStr">
        <is>
          <t>6009677016264</t>
        </is>
      </c>
      <c r="E1452" s="10" t="inlineStr">
        <is>
          <t>FANCY HANDLE &amp; MORTICE LOCKSET (KE04-BRS</t>
        </is>
      </c>
      <c r="F1452" s="10" t="inlineStr"/>
      <c r="G1452" s="10" t="inlineStr"/>
      <c r="H1452" s="10" t="inlineStr"/>
      <c r="I1452" s="11" t="n">
        <v>62.67</v>
      </c>
      <c r="J1452" s="6" t="n">
        <v>15</v>
      </c>
      <c r="K1452" s="7">
        <f>IF(I1452="","",I1452*(1+J1452/100))</f>
        <v/>
      </c>
      <c r="L1452" s="12" t="inlineStr"/>
      <c r="M1452" s="8">
        <f>IF(OR(L1452="",K1452="",L1452=0),"",
  (L1452-K1452)/L1452*100)</f>
        <v/>
      </c>
      <c r="N1452" s="9" t="inlineStr"/>
      <c r="O1452" s="10" t="inlineStr"/>
      <c r="P1452" s="10" t="inlineStr"/>
      <c r="Q1452" s="10" t="inlineStr"/>
      <c r="R1452" s="10" t="inlineStr">
        <is>
          <t>2026-03-12</t>
        </is>
      </c>
      <c r="S1452" s="10" t="inlineStr"/>
    </row>
    <row r="1453">
      <c r="A1453" s="3" t="inlineStr">
        <is>
          <t>F01909</t>
        </is>
      </c>
      <c r="B1453" s="4" t="inlineStr">
        <is>
          <t>F01909</t>
        </is>
      </c>
      <c r="C1453" s="4" t="inlineStr"/>
      <c r="D1453" s="4" t="inlineStr">
        <is>
          <t>6009677016271</t>
        </is>
      </c>
      <c r="E1453" s="3" t="inlineStr">
        <is>
          <t>FANCY HANDLE &amp; MORTICE LOCKSET (KE05-BLK</t>
        </is>
      </c>
      <c r="F1453" s="4" t="inlineStr"/>
      <c r="G1453" s="4" t="inlineStr"/>
      <c r="H1453" s="4" t="inlineStr"/>
      <c r="I1453" s="5" t="n">
        <v>64.95</v>
      </c>
      <c r="J1453" s="6" t="n">
        <v>15</v>
      </c>
      <c r="K1453" s="7">
        <f>IF(I1453="","",I1453*(1+J1453/100))</f>
        <v/>
      </c>
      <c r="L1453" s="12" t="inlineStr"/>
      <c r="M1453" s="8">
        <f>IF(OR(L1453="",K1453="",L1453=0),"",
  (L1453-K1453)/L1453*100)</f>
        <v/>
      </c>
      <c r="N1453" s="9" t="inlineStr"/>
      <c r="O1453" s="4" t="inlineStr"/>
      <c r="P1453" s="4" t="inlineStr"/>
      <c r="Q1453" s="4" t="inlineStr"/>
      <c r="R1453" s="4" t="inlineStr">
        <is>
          <t>2026-03-12</t>
        </is>
      </c>
      <c r="S1453" s="4" t="inlineStr"/>
    </row>
    <row r="1454">
      <c r="A1454" s="10" t="inlineStr">
        <is>
          <t>F01910</t>
        </is>
      </c>
      <c r="B1454" s="10" t="inlineStr">
        <is>
          <t>F01910</t>
        </is>
      </c>
      <c r="C1454" s="10" t="inlineStr"/>
      <c r="D1454" s="10" t="inlineStr">
        <is>
          <t>6009677016288</t>
        </is>
      </c>
      <c r="E1454" s="10" t="inlineStr">
        <is>
          <t>FANCY HANDLE &amp; MORTICE LOCKSET (KE05-BRS</t>
        </is>
      </c>
      <c r="F1454" s="10" t="inlineStr"/>
      <c r="G1454" s="10" t="inlineStr"/>
      <c r="H1454" s="10" t="inlineStr"/>
      <c r="I1454" s="11" t="n">
        <v>62.67</v>
      </c>
      <c r="J1454" s="6" t="n">
        <v>15</v>
      </c>
      <c r="K1454" s="7">
        <f>IF(I1454="","",I1454*(1+J1454/100))</f>
        <v/>
      </c>
      <c r="L1454" s="12" t="inlineStr"/>
      <c r="M1454" s="8">
        <f>IF(OR(L1454="",K1454="",L1454=0),"",
  (L1454-K1454)/L1454*100)</f>
        <v/>
      </c>
      <c r="N1454" s="9" t="inlineStr"/>
      <c r="O1454" s="10" t="inlineStr"/>
      <c r="P1454" s="10" t="inlineStr"/>
      <c r="Q1454" s="10" t="inlineStr"/>
      <c r="R1454" s="10" t="inlineStr">
        <is>
          <t>2026-03-12</t>
        </is>
      </c>
      <c r="S1454" s="10" t="inlineStr"/>
    </row>
    <row r="1455">
      <c r="A1455" s="3" t="inlineStr">
        <is>
          <t>F01911</t>
        </is>
      </c>
      <c r="B1455" s="4" t="inlineStr">
        <is>
          <t>F01911</t>
        </is>
      </c>
      <c r="C1455" s="4" t="inlineStr"/>
      <c r="D1455" s="4" t="inlineStr">
        <is>
          <t>6009677016295</t>
        </is>
      </c>
      <c r="E1455" s="3" t="inlineStr">
        <is>
          <t>LOCKSET FANCY HANDLE &amp; MORTICE (KE06-CP)</t>
        </is>
      </c>
      <c r="F1455" s="4" t="inlineStr"/>
      <c r="G1455" s="4" t="inlineStr"/>
      <c r="H1455" s="4" t="inlineStr"/>
      <c r="I1455" s="5" t="n">
        <v>57.62</v>
      </c>
      <c r="J1455" s="6" t="n">
        <v>15</v>
      </c>
      <c r="K1455" s="7">
        <f>IF(I1455="","",I1455*(1+J1455/100))</f>
        <v/>
      </c>
      <c r="L1455" s="12" t="inlineStr"/>
      <c r="M1455" s="8">
        <f>IF(OR(L1455="",K1455="",L1455=0),"",
  (L1455-K1455)/L1455*100)</f>
        <v/>
      </c>
      <c r="N1455" s="9" t="inlineStr"/>
      <c r="O1455" s="4" t="inlineStr"/>
      <c r="P1455" s="4" t="inlineStr"/>
      <c r="Q1455" s="4" t="inlineStr"/>
      <c r="R1455" s="4" t="inlineStr">
        <is>
          <t>2026-03-12</t>
        </is>
      </c>
      <c r="S1455" s="4" t="inlineStr"/>
    </row>
    <row r="1456">
      <c r="A1456" s="10" t="inlineStr">
        <is>
          <t>F01912</t>
        </is>
      </c>
      <c r="B1456" s="10" t="inlineStr">
        <is>
          <t>F01912</t>
        </is>
      </c>
      <c r="C1456" s="10" t="inlineStr"/>
      <c r="D1456" s="10" t="inlineStr">
        <is>
          <t>6009677016301</t>
        </is>
      </c>
      <c r="E1456" s="10" t="inlineStr">
        <is>
          <t>LOCKSET FANCY HANDLE &amp; MORTICE  (KE06-BP</t>
        </is>
      </c>
      <c r="F1456" s="10" t="inlineStr"/>
      <c r="G1456" s="10" t="inlineStr"/>
      <c r="H1456" s="10" t="inlineStr"/>
      <c r="I1456" s="11" t="n">
        <v>59.64</v>
      </c>
      <c r="J1456" s="6" t="n">
        <v>15</v>
      </c>
      <c r="K1456" s="7">
        <f>IF(I1456="","",I1456*(1+J1456/100))</f>
        <v/>
      </c>
      <c r="L1456" s="12" t="inlineStr"/>
      <c r="M1456" s="8">
        <f>IF(OR(L1456="",K1456="",L1456=0),"",
  (L1456-K1456)/L1456*100)</f>
        <v/>
      </c>
      <c r="N1456" s="9" t="inlineStr"/>
      <c r="O1456" s="10" t="inlineStr"/>
      <c r="P1456" s="10" t="inlineStr"/>
      <c r="Q1456" s="10" t="inlineStr"/>
      <c r="R1456" s="10" t="inlineStr">
        <is>
          <t>2026-03-12</t>
        </is>
      </c>
      <c r="S1456" s="10" t="inlineStr"/>
    </row>
    <row r="1457">
      <c r="A1457" s="3" t="inlineStr">
        <is>
          <t>F01913</t>
        </is>
      </c>
      <c r="B1457" s="4" t="inlineStr">
        <is>
          <t>F01913</t>
        </is>
      </c>
      <c r="C1457" s="4" t="inlineStr"/>
      <c r="D1457" s="4" t="inlineStr">
        <is>
          <t>6009677016318</t>
        </is>
      </c>
      <c r="E1457" s="3" t="inlineStr">
        <is>
          <t>LOCKSET ALCO GEORGIAN SABS CHROME 6"</t>
        </is>
      </c>
      <c r="F1457" s="4" t="inlineStr"/>
      <c r="G1457" s="4" t="inlineStr"/>
      <c r="H1457" s="4" t="inlineStr"/>
      <c r="I1457" s="5" t="n">
        <v>74.95</v>
      </c>
      <c r="J1457" s="6" t="n">
        <v>15</v>
      </c>
      <c r="K1457" s="7">
        <f>IF(I1457="","",I1457*(1+J1457/100))</f>
        <v/>
      </c>
      <c r="L1457" s="12" t="inlineStr"/>
      <c r="M1457" s="8">
        <f>IF(OR(L1457="",K1457="",L1457=0),"",
  (L1457-K1457)/L1457*100)</f>
        <v/>
      </c>
      <c r="N1457" s="14" t="n">
        <v>378</v>
      </c>
      <c r="O1457" s="4" t="inlineStr"/>
      <c r="P1457" s="4" t="inlineStr"/>
      <c r="Q1457" s="4" t="inlineStr"/>
      <c r="R1457" s="4" t="inlineStr">
        <is>
          <t>2026-03-12</t>
        </is>
      </c>
      <c r="S1457" s="4" t="inlineStr"/>
    </row>
    <row r="1458">
      <c r="A1458" s="10" t="inlineStr">
        <is>
          <t>F01914</t>
        </is>
      </c>
      <c r="B1458" s="10" t="inlineStr">
        <is>
          <t>F01914</t>
        </is>
      </c>
      <c r="C1458" s="10" t="inlineStr"/>
      <c r="D1458" s="10" t="inlineStr">
        <is>
          <t>6009677016356</t>
        </is>
      </c>
      <c r="E1458" s="10" t="inlineStr">
        <is>
          <t>LOCKSET ALCO GEORGIAN SABS CHROME  8"</t>
        </is>
      </c>
      <c r="F1458" s="10" t="inlineStr"/>
      <c r="G1458" s="10" t="inlineStr"/>
      <c r="H1458" s="10" t="inlineStr"/>
      <c r="I1458" s="11" t="n">
        <v>77.95</v>
      </c>
      <c r="J1458" s="6" t="n">
        <v>15</v>
      </c>
      <c r="K1458" s="7">
        <f>IF(I1458="","",I1458*(1+J1458/100))</f>
        <v/>
      </c>
      <c r="L1458" s="12" t="inlineStr"/>
      <c r="M1458" s="8">
        <f>IF(OR(L1458="",K1458="",L1458=0),"",
  (L1458-K1458)/L1458*100)</f>
        <v/>
      </c>
      <c r="N1458" s="13" t="n">
        <v>906</v>
      </c>
      <c r="O1458" s="10" t="inlineStr"/>
      <c r="P1458" s="10" t="inlineStr"/>
      <c r="Q1458" s="10" t="inlineStr"/>
      <c r="R1458" s="10" t="inlineStr">
        <is>
          <t>2026-03-12</t>
        </is>
      </c>
      <c r="S1458" s="10" t="inlineStr"/>
    </row>
    <row r="1459">
      <c r="A1459" s="3" t="inlineStr">
        <is>
          <t>F01915</t>
        </is>
      </c>
      <c r="B1459" s="4" t="inlineStr">
        <is>
          <t>F01915</t>
        </is>
      </c>
      <c r="C1459" s="4" t="inlineStr"/>
      <c r="D1459" s="4" t="inlineStr">
        <is>
          <t>6009677016363</t>
        </is>
      </c>
      <c r="E1459" s="3" t="inlineStr">
        <is>
          <t>LOCKSET ALCO GEORGIAN SABS BRASS 6"</t>
        </is>
      </c>
      <c r="F1459" s="4" t="inlineStr"/>
      <c r="G1459" s="4" t="inlineStr"/>
      <c r="H1459" s="4" t="inlineStr"/>
      <c r="I1459" s="5" t="n">
        <v>79.95</v>
      </c>
      <c r="J1459" s="6" t="n">
        <v>15</v>
      </c>
      <c r="K1459" s="7">
        <f>IF(I1459="","",I1459*(1+J1459/100))</f>
        <v/>
      </c>
      <c r="L1459" s="12" t="inlineStr"/>
      <c r="M1459" s="8">
        <f>IF(OR(L1459="",K1459="",L1459=0),"",
  (L1459-K1459)/L1459*100)</f>
        <v/>
      </c>
      <c r="N1459" s="14" t="n">
        <v>36</v>
      </c>
      <c r="O1459" s="4" t="inlineStr"/>
      <c r="P1459" s="4" t="inlineStr"/>
      <c r="Q1459" s="4" t="inlineStr"/>
      <c r="R1459" s="4" t="inlineStr">
        <is>
          <t>2026-03-12</t>
        </is>
      </c>
      <c r="S1459" s="4" t="inlineStr"/>
    </row>
    <row r="1460">
      <c r="A1460" s="10" t="inlineStr">
        <is>
          <t>F01916</t>
        </is>
      </c>
      <c r="B1460" s="10" t="inlineStr">
        <is>
          <t>F01916</t>
        </is>
      </c>
      <c r="C1460" s="10" t="inlineStr"/>
      <c r="D1460" s="10" t="inlineStr">
        <is>
          <t>6009677016387</t>
        </is>
      </c>
      <c r="E1460" s="10" t="inlineStr">
        <is>
          <t>LOCKSET ALCO GEORGIAN SABS BRASS  8"</t>
        </is>
      </c>
      <c r="F1460" s="10" t="inlineStr"/>
      <c r="G1460" s="10" t="inlineStr"/>
      <c r="H1460" s="10" t="inlineStr"/>
      <c r="I1460" s="11" t="n">
        <v>81.95</v>
      </c>
      <c r="J1460" s="6" t="n">
        <v>15</v>
      </c>
      <c r="K1460" s="7">
        <f>IF(I1460="","",I1460*(1+J1460/100))</f>
        <v/>
      </c>
      <c r="L1460" s="12" t="inlineStr"/>
      <c r="M1460" s="8">
        <f>IF(OR(L1460="",K1460="",L1460=0),"",
  (L1460-K1460)/L1460*100)</f>
        <v/>
      </c>
      <c r="N1460" s="13" t="n">
        <v>44</v>
      </c>
      <c r="O1460" s="10" t="inlineStr"/>
      <c r="P1460" s="10" t="inlineStr"/>
      <c r="Q1460" s="10" t="inlineStr"/>
      <c r="R1460" s="10" t="inlineStr">
        <is>
          <t>2026-03-12</t>
        </is>
      </c>
      <c r="S1460" s="10" t="inlineStr"/>
    </row>
    <row r="1461">
      <c r="A1461" s="3" t="inlineStr">
        <is>
          <t>F01917</t>
        </is>
      </c>
      <c r="B1461" s="4" t="inlineStr">
        <is>
          <t>F01917</t>
        </is>
      </c>
      <c r="C1461" s="4" t="inlineStr"/>
      <c r="D1461" s="4" t="inlineStr">
        <is>
          <t>6009677016400</t>
        </is>
      </c>
      <c r="E1461" s="3" t="inlineStr">
        <is>
          <t>LOCKSET ALCO VICTORIAN MORTICE CHR 6"MTL</t>
        </is>
      </c>
      <c r="F1461" s="4" t="inlineStr"/>
      <c r="G1461" s="4" t="inlineStr"/>
      <c r="H1461" s="4" t="inlineStr"/>
      <c r="I1461" s="5" t="n">
        <v>46.5</v>
      </c>
      <c r="J1461" s="6" t="n">
        <v>15</v>
      </c>
      <c r="K1461" s="7">
        <f>IF(I1461="","",I1461*(1+J1461/100))</f>
        <v/>
      </c>
      <c r="L1461" s="12" t="inlineStr"/>
      <c r="M1461" s="8">
        <f>IF(OR(L1461="",K1461="",L1461=0),"",
  (L1461-K1461)/L1461*100)</f>
        <v/>
      </c>
      <c r="N1461" s="9" t="inlineStr"/>
      <c r="O1461" s="4" t="inlineStr"/>
      <c r="P1461" s="4" t="inlineStr"/>
      <c r="Q1461" s="4" t="inlineStr"/>
      <c r="R1461" s="4" t="inlineStr">
        <is>
          <t>2026-03-12</t>
        </is>
      </c>
      <c r="S1461" s="4" t="inlineStr"/>
    </row>
    <row r="1462">
      <c r="A1462" s="10" t="inlineStr">
        <is>
          <t>F01918</t>
        </is>
      </c>
      <c r="B1462" s="10" t="inlineStr">
        <is>
          <t>F01918</t>
        </is>
      </c>
      <c r="C1462" s="10" t="inlineStr"/>
      <c r="D1462" s="10" t="inlineStr">
        <is>
          <t>6009677016417</t>
        </is>
      </c>
      <c r="E1462" s="10" t="inlineStr">
        <is>
          <t>LOCKSET ALCO VICTORIA MORTIC BRAS 6"MTL1</t>
        </is>
      </c>
      <c r="F1462" s="10" t="inlineStr"/>
      <c r="G1462" s="10" t="inlineStr"/>
      <c r="H1462" s="10" t="inlineStr"/>
      <c r="I1462" s="11" t="n">
        <v>48.52</v>
      </c>
      <c r="J1462" s="6" t="n">
        <v>15</v>
      </c>
      <c r="K1462" s="7">
        <f>IF(I1462="","",I1462*(1+J1462/100))</f>
        <v/>
      </c>
      <c r="L1462" s="12" t="inlineStr"/>
      <c r="M1462" s="8">
        <f>IF(OR(L1462="",K1462="",L1462=0),"",
  (L1462-K1462)/L1462*100)</f>
        <v/>
      </c>
      <c r="N1462" s="9" t="inlineStr"/>
      <c r="O1462" s="10" t="inlineStr"/>
      <c r="P1462" s="10" t="inlineStr"/>
      <c r="Q1462" s="10" t="inlineStr"/>
      <c r="R1462" s="10" t="inlineStr">
        <is>
          <t>2026-03-12</t>
        </is>
      </c>
      <c r="S1462" s="10" t="inlineStr"/>
    </row>
    <row r="1463">
      <c r="A1463" s="3" t="inlineStr">
        <is>
          <t>F01919</t>
        </is>
      </c>
      <c r="B1463" s="4" t="inlineStr">
        <is>
          <t>F01919</t>
        </is>
      </c>
      <c r="C1463" s="4" t="inlineStr"/>
      <c r="D1463" s="4" t="inlineStr">
        <is>
          <t>6009677016424</t>
        </is>
      </c>
      <c r="E1463" s="3" t="inlineStr">
        <is>
          <t>LOCKSET ALCO VICTORIAN MORTI CHR 8"(MTL</t>
        </is>
      </c>
      <c r="F1463" s="4" t="inlineStr"/>
      <c r="G1463" s="4" t="inlineStr"/>
      <c r="H1463" s="4" t="inlineStr"/>
      <c r="I1463" s="5" t="n">
        <v>48.52</v>
      </c>
      <c r="J1463" s="6" t="n">
        <v>15</v>
      </c>
      <c r="K1463" s="7">
        <f>IF(I1463="","",I1463*(1+J1463/100))</f>
        <v/>
      </c>
      <c r="L1463" s="12" t="inlineStr"/>
      <c r="M1463" s="8">
        <f>IF(OR(L1463="",K1463="",L1463=0),"",
  (L1463-K1463)/L1463*100)</f>
        <v/>
      </c>
      <c r="N1463" s="9" t="inlineStr"/>
      <c r="O1463" s="4" t="inlineStr"/>
      <c r="P1463" s="4" t="inlineStr"/>
      <c r="Q1463" s="4" t="inlineStr"/>
      <c r="R1463" s="4" t="inlineStr">
        <is>
          <t>2026-03-12</t>
        </is>
      </c>
      <c r="S1463" s="4" t="inlineStr"/>
    </row>
    <row r="1464">
      <c r="A1464" s="10" t="inlineStr">
        <is>
          <t>F01920</t>
        </is>
      </c>
      <c r="B1464" s="10" t="inlineStr">
        <is>
          <t>F01920</t>
        </is>
      </c>
      <c r="C1464" s="10" t="inlineStr"/>
      <c r="D1464" s="10" t="inlineStr">
        <is>
          <t>6009677016431</t>
        </is>
      </c>
      <c r="E1464" s="10" t="inlineStr">
        <is>
          <t>VICTORIAN MORTICE BRASS LOCKSET 8" (MTL1</t>
        </is>
      </c>
      <c r="F1464" s="10" t="inlineStr"/>
      <c r="G1464" s="10" t="inlineStr"/>
      <c r="H1464" s="10" t="inlineStr"/>
      <c r="I1464" s="11" t="n">
        <v>50.54</v>
      </c>
      <c r="J1464" s="6" t="n">
        <v>15</v>
      </c>
      <c r="K1464" s="7">
        <f>IF(I1464="","",I1464*(1+J1464/100))</f>
        <v/>
      </c>
      <c r="L1464" s="12" t="inlineStr"/>
      <c r="M1464" s="8">
        <f>IF(OR(L1464="",K1464="",L1464=0),"",
  (L1464-K1464)/L1464*100)</f>
        <v/>
      </c>
      <c r="N1464" s="9" t="inlineStr"/>
      <c r="O1464" s="10" t="inlineStr"/>
      <c r="P1464" s="10" t="inlineStr"/>
      <c r="Q1464" s="10" t="inlineStr"/>
      <c r="R1464" s="10" t="inlineStr">
        <is>
          <t>2026-03-12</t>
        </is>
      </c>
      <c r="S1464" s="10" t="inlineStr"/>
    </row>
    <row r="1465">
      <c r="A1465" s="3" t="inlineStr">
        <is>
          <t>F01921</t>
        </is>
      </c>
      <c r="B1465" s="4" t="inlineStr">
        <is>
          <t>F01921</t>
        </is>
      </c>
      <c r="C1465" s="4" t="inlineStr"/>
      <c r="D1465" s="4" t="inlineStr"/>
      <c r="E1465" s="3" t="inlineStr">
        <is>
          <t>STEEL DOOR LOCK MECHANISM</t>
        </is>
      </c>
      <c r="F1465" s="4" t="inlineStr"/>
      <c r="G1465" s="4" t="inlineStr"/>
      <c r="H1465" s="4" t="inlineStr"/>
      <c r="I1465" s="5" t="n">
        <v>88.95999999999999</v>
      </c>
      <c r="J1465" s="6" t="n">
        <v>15</v>
      </c>
      <c r="K1465" s="7">
        <f>IF(I1465="","",I1465*(1+J1465/100))</f>
        <v/>
      </c>
      <c r="L1465" s="12" t="inlineStr"/>
      <c r="M1465" s="8">
        <f>IF(OR(L1465="",K1465="",L1465=0),"",
  (L1465-K1465)/L1465*100)</f>
        <v/>
      </c>
      <c r="N1465" s="9" t="inlineStr"/>
      <c r="O1465" s="4" t="inlineStr"/>
      <c r="P1465" s="4" t="inlineStr"/>
      <c r="Q1465" s="4" t="inlineStr"/>
      <c r="R1465" s="4" t="inlineStr">
        <is>
          <t>2026-03-12</t>
        </is>
      </c>
      <c r="S1465" s="4" t="inlineStr"/>
    </row>
    <row r="1466">
      <c r="A1466" s="10" t="inlineStr">
        <is>
          <t>F01922</t>
        </is>
      </c>
      <c r="B1466" s="10" t="inlineStr">
        <is>
          <t>F01922</t>
        </is>
      </c>
      <c r="C1466" s="10" t="inlineStr"/>
      <c r="D1466" s="10" t="inlineStr"/>
      <c r="E1466" s="10" t="inlineStr">
        <is>
          <t>STEEL DOOR KEY SET</t>
        </is>
      </c>
      <c r="F1466" s="10" t="inlineStr"/>
      <c r="G1466" s="10" t="inlineStr"/>
      <c r="H1466" s="10" t="inlineStr"/>
      <c r="I1466" s="11" t="n">
        <v>88.95999999999999</v>
      </c>
      <c r="J1466" s="6" t="n">
        <v>15</v>
      </c>
      <c r="K1466" s="7">
        <f>IF(I1466="","",I1466*(1+J1466/100))</f>
        <v/>
      </c>
      <c r="L1466" s="12" t="inlineStr"/>
      <c r="M1466" s="8">
        <f>IF(OR(L1466="",K1466="",L1466=0),"",
  (L1466-K1466)/L1466*100)</f>
        <v/>
      </c>
      <c r="N1466" s="9" t="inlineStr"/>
      <c r="O1466" s="10" t="inlineStr"/>
      <c r="P1466" s="10" t="inlineStr"/>
      <c r="Q1466" s="10" t="inlineStr"/>
      <c r="R1466" s="10" t="inlineStr">
        <is>
          <t>2026-03-12</t>
        </is>
      </c>
      <c r="S1466" s="10" t="inlineStr"/>
    </row>
    <row r="1467">
      <c r="A1467" s="3" t="inlineStr">
        <is>
          <t>F01923</t>
        </is>
      </c>
      <c r="B1467" s="4" t="inlineStr">
        <is>
          <t>F01923</t>
        </is>
      </c>
      <c r="C1467" s="4" t="inlineStr"/>
      <c r="D1467" s="4" t="inlineStr"/>
      <c r="E1467" s="3" t="inlineStr">
        <is>
          <t>APCOL HAND SANITISER 500ML</t>
        </is>
      </c>
      <c r="F1467" s="4" t="inlineStr"/>
      <c r="G1467" s="4" t="inlineStr"/>
      <c r="H1467" s="4" t="inlineStr"/>
      <c r="I1467" s="5" t="n">
        <v>12.95</v>
      </c>
      <c r="J1467" s="6" t="n">
        <v>15</v>
      </c>
      <c r="K1467" s="7">
        <f>IF(I1467="","",I1467*(1+J1467/100))</f>
        <v/>
      </c>
      <c r="L1467" s="12" t="inlineStr"/>
      <c r="M1467" s="8">
        <f>IF(OR(L1467="",K1467="",L1467=0),"",
  (L1467-K1467)/L1467*100)</f>
        <v/>
      </c>
      <c r="N1467" s="9" t="inlineStr"/>
      <c r="O1467" s="4" t="inlineStr"/>
      <c r="P1467" s="4" t="inlineStr"/>
      <c r="Q1467" s="4" t="inlineStr"/>
      <c r="R1467" s="4" t="inlineStr">
        <is>
          <t>2026-03-12</t>
        </is>
      </c>
      <c r="S1467" s="4" t="inlineStr"/>
    </row>
    <row r="1468">
      <c r="A1468" s="10" t="inlineStr">
        <is>
          <t>F01924</t>
        </is>
      </c>
      <c r="B1468" s="10" t="inlineStr">
        <is>
          <t>F01924</t>
        </is>
      </c>
      <c r="C1468" s="10" t="inlineStr"/>
      <c r="D1468" s="10" t="inlineStr"/>
      <c r="E1468" s="10" t="inlineStr">
        <is>
          <t>KNIFE 6" BUTCHER PLS-KF3 WDN HANDLE 3 RI</t>
        </is>
      </c>
      <c r="F1468" s="10" t="inlineStr"/>
      <c r="G1468" s="10" t="inlineStr"/>
      <c r="H1468" s="10" t="inlineStr"/>
      <c r="I1468" s="11" t="n">
        <v>5.69</v>
      </c>
      <c r="J1468" s="6" t="n">
        <v>15</v>
      </c>
      <c r="K1468" s="7">
        <f>IF(I1468="","",I1468*(1+J1468/100))</f>
        <v/>
      </c>
      <c r="L1468" s="12" t="inlineStr"/>
      <c r="M1468" s="8">
        <f>IF(OR(L1468="",K1468="",L1468=0),"",
  (L1468-K1468)/L1468*100)</f>
        <v/>
      </c>
      <c r="N1468" s="9" t="inlineStr"/>
      <c r="O1468" s="10" t="inlineStr"/>
      <c r="P1468" s="10" t="inlineStr"/>
      <c r="Q1468" s="10" t="inlineStr"/>
      <c r="R1468" s="10" t="inlineStr">
        <is>
          <t>2026-03-12</t>
        </is>
      </c>
      <c r="S1468" s="10" t="inlineStr"/>
    </row>
    <row r="1469">
      <c r="A1469" s="3" t="inlineStr">
        <is>
          <t>F01925</t>
        </is>
      </c>
      <c r="B1469" s="4" t="inlineStr">
        <is>
          <t>F01925</t>
        </is>
      </c>
      <c r="C1469" s="4" t="inlineStr"/>
      <c r="D1469" s="4" t="inlineStr"/>
      <c r="E1469" s="3" t="inlineStr">
        <is>
          <t>KNIFE 7" BUTCHER PLS-KF4 WDN HANDLE 3 RI</t>
        </is>
      </c>
      <c r="F1469" s="4" t="inlineStr"/>
      <c r="G1469" s="4" t="inlineStr"/>
      <c r="H1469" s="4" t="inlineStr"/>
      <c r="I1469" s="5" t="n">
        <v>6.18</v>
      </c>
      <c r="J1469" s="6" t="n">
        <v>15</v>
      </c>
      <c r="K1469" s="7">
        <f>IF(I1469="","",I1469*(1+J1469/100))</f>
        <v/>
      </c>
      <c r="L1469" s="12" t="inlineStr"/>
      <c r="M1469" s="8">
        <f>IF(OR(L1469="",K1469="",L1469=0),"",
  (L1469-K1469)/L1469*100)</f>
        <v/>
      </c>
      <c r="N1469" s="9" t="inlineStr"/>
      <c r="O1469" s="4" t="inlineStr"/>
      <c r="P1469" s="4" t="inlineStr"/>
      <c r="Q1469" s="4" t="inlineStr"/>
      <c r="R1469" s="4" t="inlineStr">
        <is>
          <t>2026-03-12</t>
        </is>
      </c>
      <c r="S1469" s="4" t="inlineStr"/>
    </row>
    <row r="1470">
      <c r="A1470" s="10" t="inlineStr">
        <is>
          <t>F01926</t>
        </is>
      </c>
      <c r="B1470" s="10" t="inlineStr">
        <is>
          <t>F01926</t>
        </is>
      </c>
      <c r="C1470" s="10" t="inlineStr"/>
      <c r="D1470" s="10" t="inlineStr"/>
      <c r="E1470" s="10" t="inlineStr">
        <is>
          <t>KNIFE 8" BUTCHER PLS-KF5 WDN HANDLE 3 RI</t>
        </is>
      </c>
      <c r="F1470" s="10" t="inlineStr"/>
      <c r="G1470" s="10" t="inlineStr"/>
      <c r="H1470" s="10" t="inlineStr"/>
      <c r="I1470" s="11" t="n">
        <v>6.99</v>
      </c>
      <c r="J1470" s="6" t="n">
        <v>15</v>
      </c>
      <c r="K1470" s="7">
        <f>IF(I1470="","",I1470*(1+J1470/100))</f>
        <v/>
      </c>
      <c r="L1470" s="12" t="inlineStr"/>
      <c r="M1470" s="8">
        <f>IF(OR(L1470="",K1470="",L1470=0),"",
  (L1470-K1470)/L1470*100)</f>
        <v/>
      </c>
      <c r="N1470" s="9" t="inlineStr"/>
      <c r="O1470" s="10" t="inlineStr"/>
      <c r="P1470" s="10" t="inlineStr"/>
      <c r="Q1470" s="10" t="inlineStr"/>
      <c r="R1470" s="10" t="inlineStr">
        <is>
          <t>2026-03-12</t>
        </is>
      </c>
      <c r="S1470" s="10" t="inlineStr"/>
    </row>
    <row r="1471">
      <c r="A1471" s="3" t="inlineStr">
        <is>
          <t>F01927</t>
        </is>
      </c>
      <c r="B1471" s="4" t="inlineStr">
        <is>
          <t>F01927</t>
        </is>
      </c>
      <c r="C1471" s="4" t="inlineStr"/>
      <c r="D1471" s="4" t="inlineStr"/>
      <c r="E1471" s="3" t="inlineStr">
        <is>
          <t>PAPER SHREDDER 24-1</t>
        </is>
      </c>
      <c r="F1471" s="4" t="inlineStr"/>
      <c r="G1471" s="4" t="inlineStr"/>
      <c r="H1471" s="4" t="inlineStr"/>
      <c r="I1471" s="5" t="n">
        <v>1</v>
      </c>
      <c r="J1471" s="6" t="n">
        <v>15</v>
      </c>
      <c r="K1471" s="7">
        <f>IF(I1471="","",I1471*(1+J1471/100))</f>
        <v/>
      </c>
      <c r="L1471" s="12" t="inlineStr"/>
      <c r="M1471" s="8">
        <f>IF(OR(L1471="",K1471="",L1471=0),"",
  (L1471-K1471)/L1471*100)</f>
        <v/>
      </c>
      <c r="N1471" s="9" t="inlineStr"/>
      <c r="O1471" s="4" t="inlineStr"/>
      <c r="P1471" s="4" t="inlineStr"/>
      <c r="Q1471" s="4" t="inlineStr"/>
      <c r="R1471" s="4" t="inlineStr">
        <is>
          <t>2026-03-12</t>
        </is>
      </c>
      <c r="S1471" s="4" t="inlineStr"/>
    </row>
    <row r="1472">
      <c r="A1472" s="10" t="inlineStr">
        <is>
          <t>F01928</t>
        </is>
      </c>
      <c r="B1472" s="10" t="inlineStr">
        <is>
          <t>F01928</t>
        </is>
      </c>
      <c r="C1472" s="10" t="inlineStr"/>
      <c r="D1472" s="10" t="inlineStr"/>
      <c r="E1472" s="10" t="inlineStr">
        <is>
          <t>STRAPPING FOR PALLET</t>
        </is>
      </c>
      <c r="F1472" s="10" t="inlineStr"/>
      <c r="G1472" s="10" t="inlineStr"/>
      <c r="H1472" s="10" t="inlineStr"/>
      <c r="I1472" s="11" t="n">
        <v>1</v>
      </c>
      <c r="J1472" s="6" t="n">
        <v>15</v>
      </c>
      <c r="K1472" s="7">
        <f>IF(I1472="","",I1472*(1+J1472/100))</f>
        <v/>
      </c>
      <c r="L1472" s="12" t="inlineStr"/>
      <c r="M1472" s="8">
        <f>IF(OR(L1472="",K1472="",L1472=0),"",
  (L1472-K1472)/L1472*100)</f>
        <v/>
      </c>
      <c r="N1472" s="9" t="inlineStr"/>
      <c r="O1472" s="10" t="inlineStr"/>
      <c r="P1472" s="10" t="inlineStr"/>
      <c r="Q1472" s="10" t="inlineStr"/>
      <c r="R1472" s="10" t="inlineStr">
        <is>
          <t>2026-03-12</t>
        </is>
      </c>
      <c r="S1472" s="10" t="inlineStr"/>
    </row>
    <row r="1473">
      <c r="A1473" s="3" t="inlineStr">
        <is>
          <t>F01935</t>
        </is>
      </c>
      <c r="B1473" s="4" t="inlineStr">
        <is>
          <t>F01935</t>
        </is>
      </c>
      <c r="C1473" s="4" t="inlineStr"/>
      <c r="D1473" s="4" t="inlineStr"/>
      <c r="E1473" s="3" t="inlineStr">
        <is>
          <t>SECURITY STEEL DOOR K777 BROWN  RIGHT/DO</t>
        </is>
      </c>
      <c r="F1473" s="4" t="inlineStr"/>
      <c r="G1473" s="4" t="inlineStr"/>
      <c r="H1473" s="4" t="inlineStr"/>
      <c r="I1473" s="5" t="n">
        <v>1</v>
      </c>
      <c r="J1473" s="6" t="n">
        <v>15</v>
      </c>
      <c r="K1473" s="7">
        <f>IF(I1473="","",I1473*(1+J1473/100))</f>
        <v/>
      </c>
      <c r="L1473" s="12" t="inlineStr"/>
      <c r="M1473" s="8">
        <f>IF(OR(L1473="",K1473="",L1473=0),"",
  (L1473-K1473)/L1473*100)</f>
        <v/>
      </c>
      <c r="N1473" s="9" t="inlineStr"/>
      <c r="O1473" s="4" t="inlineStr"/>
      <c r="P1473" s="4" t="inlineStr"/>
      <c r="Q1473" s="4" t="inlineStr"/>
      <c r="R1473" s="4" t="inlineStr">
        <is>
          <t>2026-03-12</t>
        </is>
      </c>
      <c r="S1473" s="4" t="inlineStr"/>
    </row>
    <row r="1474">
      <c r="A1474" s="10" t="inlineStr">
        <is>
          <t>F01944</t>
        </is>
      </c>
      <c r="B1474" s="10" t="inlineStr">
        <is>
          <t>F01944</t>
        </is>
      </c>
      <c r="C1474" s="10" t="inlineStr"/>
      <c r="D1474" s="10" t="inlineStr"/>
      <c r="E1474" s="10" t="inlineStr">
        <is>
          <t>BY-124 PVC CEILING 3900*300*6MM LOOSE</t>
        </is>
      </c>
      <c r="F1474" s="10" t="inlineStr"/>
      <c r="G1474" s="10" t="inlineStr"/>
      <c r="H1474" s="10" t="inlineStr"/>
      <c r="I1474" s="11" t="n">
        <v>1</v>
      </c>
      <c r="J1474" s="6" t="n">
        <v>15</v>
      </c>
      <c r="K1474" s="7">
        <f>IF(I1474="","",I1474*(1+J1474/100))</f>
        <v/>
      </c>
      <c r="L1474" s="12" t="inlineStr"/>
      <c r="M1474" s="8">
        <f>IF(OR(L1474="",K1474="",L1474=0),"",
  (L1474-K1474)/L1474*100)</f>
        <v/>
      </c>
      <c r="N1474" s="9" t="inlineStr"/>
      <c r="O1474" s="10" t="inlineStr"/>
      <c r="P1474" s="10" t="inlineStr"/>
      <c r="Q1474" s="10" t="inlineStr"/>
      <c r="R1474" s="10" t="inlineStr">
        <is>
          <t>2026-03-12</t>
        </is>
      </c>
      <c r="S1474" s="10" t="inlineStr"/>
    </row>
    <row r="1475">
      <c r="A1475" s="3" t="inlineStr">
        <is>
          <t>F01945</t>
        </is>
      </c>
      <c r="B1475" s="4" t="inlineStr">
        <is>
          <t>F01945</t>
        </is>
      </c>
      <c r="C1475" s="4" t="inlineStr"/>
      <c r="D1475" s="4" t="inlineStr"/>
      <c r="E1475" s="3" t="inlineStr">
        <is>
          <t>BY-116 PVC CEILING 3900*300*6MM LOOSE</t>
        </is>
      </c>
      <c r="F1475" s="4" t="inlineStr"/>
      <c r="G1475" s="4" t="inlineStr"/>
      <c r="H1475" s="4" t="inlineStr"/>
      <c r="I1475" s="5" t="n">
        <v>1</v>
      </c>
      <c r="J1475" s="6" t="n">
        <v>15</v>
      </c>
      <c r="K1475" s="7">
        <f>IF(I1475="","",I1475*(1+J1475/100))</f>
        <v/>
      </c>
      <c r="L1475" s="12" t="inlineStr"/>
      <c r="M1475" s="8">
        <f>IF(OR(L1475="",K1475="",L1475=0),"",
  (L1475-K1475)/L1475*100)</f>
        <v/>
      </c>
      <c r="N1475" s="9" t="inlineStr"/>
      <c r="O1475" s="4" t="inlineStr"/>
      <c r="P1475" s="4" t="inlineStr"/>
      <c r="Q1475" s="4" t="inlineStr"/>
      <c r="R1475" s="4" t="inlineStr">
        <is>
          <t>2026-03-12</t>
        </is>
      </c>
      <c r="S1475" s="4" t="inlineStr"/>
    </row>
    <row r="1476">
      <c r="A1476" s="10" t="inlineStr">
        <is>
          <t>F01946</t>
        </is>
      </c>
      <c r="B1476" s="10" t="inlineStr">
        <is>
          <t>F01946</t>
        </is>
      </c>
      <c r="C1476" s="10" t="inlineStr"/>
      <c r="D1476" s="10" t="inlineStr"/>
      <c r="E1476" s="10" t="inlineStr">
        <is>
          <t>BY-114 PVC CEILING 3900*300*6MM LOOSE</t>
        </is>
      </c>
      <c r="F1476" s="10" t="inlineStr"/>
      <c r="G1476" s="10" t="inlineStr"/>
      <c r="H1476" s="10" t="inlineStr"/>
      <c r="I1476" s="11" t="n">
        <v>1</v>
      </c>
      <c r="J1476" s="6" t="n">
        <v>15</v>
      </c>
      <c r="K1476" s="7">
        <f>IF(I1476="","",I1476*(1+J1476/100))</f>
        <v/>
      </c>
      <c r="L1476" s="12" t="inlineStr"/>
      <c r="M1476" s="8">
        <f>IF(OR(L1476="",K1476="",L1476=0),"",
  (L1476-K1476)/L1476*100)</f>
        <v/>
      </c>
      <c r="N1476" s="9" t="inlineStr"/>
      <c r="O1476" s="10" t="inlineStr"/>
      <c r="P1476" s="10" t="inlineStr"/>
      <c r="Q1476" s="10" t="inlineStr"/>
      <c r="R1476" s="10" t="inlineStr">
        <is>
          <t>2026-03-12</t>
        </is>
      </c>
      <c r="S1476" s="10" t="inlineStr"/>
    </row>
    <row r="1477">
      <c r="A1477" s="3" t="inlineStr">
        <is>
          <t>F01947</t>
        </is>
      </c>
      <c r="B1477" s="4" t="inlineStr">
        <is>
          <t>F01947</t>
        </is>
      </c>
      <c r="C1477" s="4" t="inlineStr"/>
      <c r="D1477" s="4" t="inlineStr"/>
      <c r="E1477" s="3" t="inlineStr">
        <is>
          <t>BY-123 PVC CEILING 3900*300*6MM LOOSE</t>
        </is>
      </c>
      <c r="F1477" s="4" t="inlineStr"/>
      <c r="G1477" s="4" t="inlineStr"/>
      <c r="H1477" s="4" t="inlineStr"/>
      <c r="I1477" s="5" t="n">
        <v>1</v>
      </c>
      <c r="J1477" s="6" t="n">
        <v>15</v>
      </c>
      <c r="K1477" s="7">
        <f>IF(I1477="","",I1477*(1+J1477/100))</f>
        <v/>
      </c>
      <c r="L1477" s="12" t="inlineStr"/>
      <c r="M1477" s="8">
        <f>IF(OR(L1477="",K1477="",L1477=0),"",
  (L1477-K1477)/L1477*100)</f>
        <v/>
      </c>
      <c r="N1477" s="9" t="inlineStr"/>
      <c r="O1477" s="4" t="inlineStr"/>
      <c r="P1477" s="4" t="inlineStr"/>
      <c r="Q1477" s="4" t="inlineStr"/>
      <c r="R1477" s="4" t="inlineStr">
        <is>
          <t>2026-03-12</t>
        </is>
      </c>
      <c r="S1477" s="4" t="inlineStr"/>
    </row>
    <row r="1478">
      <c r="A1478" s="10" t="inlineStr">
        <is>
          <t>F01948</t>
        </is>
      </c>
      <c r="B1478" s="10" t="inlineStr">
        <is>
          <t>F01948</t>
        </is>
      </c>
      <c r="C1478" s="10" t="inlineStr"/>
      <c r="D1478" s="10" t="inlineStr"/>
      <c r="E1478" s="10" t="inlineStr">
        <is>
          <t>BY-127 PVC CEILING 3900*300*6MM LOOSE</t>
        </is>
      </c>
      <c r="F1478" s="10" t="inlineStr"/>
      <c r="G1478" s="10" t="inlineStr"/>
      <c r="H1478" s="10" t="inlineStr"/>
      <c r="I1478" s="11" t="n">
        <v>1</v>
      </c>
      <c r="J1478" s="6" t="n">
        <v>15</v>
      </c>
      <c r="K1478" s="7">
        <f>IF(I1478="","",I1478*(1+J1478/100))</f>
        <v/>
      </c>
      <c r="L1478" s="12" t="inlineStr"/>
      <c r="M1478" s="8">
        <f>IF(OR(L1478="",K1478="",L1478=0),"",
  (L1478-K1478)/L1478*100)</f>
        <v/>
      </c>
      <c r="N1478" s="9" t="inlineStr"/>
      <c r="O1478" s="10" t="inlineStr"/>
      <c r="P1478" s="10" t="inlineStr"/>
      <c r="Q1478" s="10" t="inlineStr"/>
      <c r="R1478" s="10" t="inlineStr">
        <is>
          <t>2026-03-12</t>
        </is>
      </c>
      <c r="S1478" s="10" t="inlineStr"/>
    </row>
    <row r="1479">
      <c r="A1479" s="3" t="inlineStr">
        <is>
          <t>F01949</t>
        </is>
      </c>
      <c r="B1479" s="4" t="inlineStr">
        <is>
          <t>F01949</t>
        </is>
      </c>
      <c r="C1479" s="4" t="inlineStr"/>
      <c r="D1479" s="4" t="inlineStr"/>
      <c r="E1479" s="3" t="inlineStr">
        <is>
          <t>LM-012 - PVC WALL &amp; CEILING LAMINATION P</t>
        </is>
      </c>
      <c r="F1479" s="4" t="inlineStr"/>
      <c r="G1479" s="4" t="inlineStr"/>
      <c r="H1479" s="4" t="inlineStr"/>
      <c r="I1479" s="5" t="n">
        <v>42.5</v>
      </c>
      <c r="J1479" s="6" t="n">
        <v>15</v>
      </c>
      <c r="K1479" s="7">
        <f>IF(I1479="","",I1479*(1+J1479/100))</f>
        <v/>
      </c>
      <c r="L1479" s="12" t="inlineStr"/>
      <c r="M1479" s="8">
        <f>IF(OR(L1479="",K1479="",L1479=0),"",
  (L1479-K1479)/L1479*100)</f>
        <v/>
      </c>
      <c r="N1479" s="9" t="inlineStr"/>
      <c r="O1479" s="4" t="inlineStr"/>
      <c r="P1479" s="4" t="inlineStr"/>
      <c r="Q1479" s="4" t="inlineStr"/>
      <c r="R1479" s="4" t="inlineStr">
        <is>
          <t>2026-03-12</t>
        </is>
      </c>
      <c r="S1479" s="4" t="inlineStr"/>
    </row>
    <row r="1480">
      <c r="A1480" s="10" t="inlineStr">
        <is>
          <t>F01950</t>
        </is>
      </c>
      <c r="B1480" s="10" t="inlineStr">
        <is>
          <t>F01950</t>
        </is>
      </c>
      <c r="C1480" s="10" t="inlineStr"/>
      <c r="D1480" s="10" t="inlineStr"/>
      <c r="E1480" s="10" t="inlineStr">
        <is>
          <t>LM-011 - PVC WALL &amp; CEILING LAMINATION P</t>
        </is>
      </c>
      <c r="F1480" s="10" t="inlineStr"/>
      <c r="G1480" s="10" t="inlineStr"/>
      <c r="H1480" s="10" t="inlineStr"/>
      <c r="I1480" s="11" t="n">
        <v>42.5</v>
      </c>
      <c r="J1480" s="6" t="n">
        <v>15</v>
      </c>
      <c r="K1480" s="7">
        <f>IF(I1480="","",I1480*(1+J1480/100))</f>
        <v/>
      </c>
      <c r="L1480" s="12" t="inlineStr"/>
      <c r="M1480" s="8">
        <f>IF(OR(L1480="",K1480="",L1480=0),"",
  (L1480-K1480)/L1480*100)</f>
        <v/>
      </c>
      <c r="N1480" s="9" t="inlineStr"/>
      <c r="O1480" s="10" t="inlineStr"/>
      <c r="P1480" s="10" t="inlineStr"/>
      <c r="Q1480" s="10" t="inlineStr"/>
      <c r="R1480" s="10" t="inlineStr">
        <is>
          <t>2026-03-12</t>
        </is>
      </c>
      <c r="S1480" s="10" t="inlineStr"/>
    </row>
    <row r="1481">
      <c r="A1481" s="3" t="inlineStr">
        <is>
          <t>F01952</t>
        </is>
      </c>
      <c r="B1481" s="4" t="inlineStr">
        <is>
          <t>F01952</t>
        </is>
      </c>
      <c r="C1481" s="4" t="inlineStr"/>
      <c r="D1481" s="4" t="inlineStr"/>
      <c r="E1481" s="3" t="inlineStr">
        <is>
          <t>CLOCK OVAL 20CMX16.8CM SML DAMAGED</t>
        </is>
      </c>
      <c r="F1481" s="4" t="inlineStr"/>
      <c r="G1481" s="4" t="inlineStr"/>
      <c r="H1481" s="4" t="inlineStr"/>
      <c r="I1481" s="5" t="n">
        <v>12.16</v>
      </c>
      <c r="J1481" s="6" t="n">
        <v>15</v>
      </c>
      <c r="K1481" s="7">
        <f>IF(I1481="","",I1481*(1+J1481/100))</f>
        <v/>
      </c>
      <c r="L1481" s="12" t="inlineStr"/>
      <c r="M1481" s="8">
        <f>IF(OR(L1481="",K1481="",L1481=0),"",
  (L1481-K1481)/L1481*100)</f>
        <v/>
      </c>
      <c r="N1481" s="9" t="inlineStr"/>
      <c r="O1481" s="4" t="inlineStr"/>
      <c r="P1481" s="4" t="inlineStr"/>
      <c r="Q1481" s="4" t="inlineStr"/>
      <c r="R1481" s="4" t="inlineStr">
        <is>
          <t>2026-03-12</t>
        </is>
      </c>
      <c r="S1481" s="4" t="inlineStr"/>
    </row>
    <row r="1482">
      <c r="A1482" s="10" t="inlineStr">
        <is>
          <t>F01953</t>
        </is>
      </c>
      <c r="B1482" s="10" t="inlineStr">
        <is>
          <t>F01953</t>
        </is>
      </c>
      <c r="C1482" s="10" t="inlineStr"/>
      <c r="D1482" s="10" t="inlineStr"/>
      <c r="E1482" s="10" t="inlineStr">
        <is>
          <t>CLOCK OVAL 25CMX 18CM) MED DAMAGED</t>
        </is>
      </c>
      <c r="F1482" s="10" t="inlineStr"/>
      <c r="G1482" s="10" t="inlineStr"/>
      <c r="H1482" s="10" t="inlineStr"/>
      <c r="I1482" s="11" t="n">
        <v>14.71</v>
      </c>
      <c r="J1482" s="6" t="n">
        <v>15</v>
      </c>
      <c r="K1482" s="7">
        <f>IF(I1482="","",I1482*(1+J1482/100))</f>
        <v/>
      </c>
      <c r="L1482" s="12" t="inlineStr"/>
      <c r="M1482" s="8">
        <f>IF(OR(L1482="",K1482="",L1482=0),"",
  (L1482-K1482)/L1482*100)</f>
        <v/>
      </c>
      <c r="N1482" s="9" t="inlineStr"/>
      <c r="O1482" s="10" t="inlineStr"/>
      <c r="P1482" s="10" t="inlineStr"/>
      <c r="Q1482" s="10" t="inlineStr"/>
      <c r="R1482" s="10" t="inlineStr">
        <is>
          <t>2026-03-12</t>
        </is>
      </c>
      <c r="S1482" s="10" t="inlineStr"/>
    </row>
    <row r="1483">
      <c r="A1483" s="3" t="inlineStr">
        <is>
          <t>F01954</t>
        </is>
      </c>
      <c r="B1483" s="4" t="inlineStr">
        <is>
          <t>F01954</t>
        </is>
      </c>
      <c r="C1483" s="4" t="inlineStr"/>
      <c r="D1483" s="4" t="inlineStr"/>
      <c r="E1483" s="3" t="inlineStr">
        <is>
          <t>CLOCK RECT 22CM X 20CM MED DAMAGED</t>
        </is>
      </c>
      <c r="F1483" s="4" t="inlineStr"/>
      <c r="G1483" s="4" t="inlineStr"/>
      <c r="H1483" s="4" t="inlineStr"/>
      <c r="I1483" s="5" t="n">
        <v>14.29</v>
      </c>
      <c r="J1483" s="6" t="n">
        <v>15</v>
      </c>
      <c r="K1483" s="7">
        <f>IF(I1483="","",I1483*(1+J1483/100))</f>
        <v/>
      </c>
      <c r="L1483" s="12" t="inlineStr"/>
      <c r="M1483" s="8">
        <f>IF(OR(L1483="",K1483="",L1483=0),"",
  (L1483-K1483)/L1483*100)</f>
        <v/>
      </c>
      <c r="N1483" s="9" t="inlineStr"/>
      <c r="O1483" s="4" t="inlineStr"/>
      <c r="P1483" s="4" t="inlineStr"/>
      <c r="Q1483" s="4" t="inlineStr"/>
      <c r="R1483" s="4" t="inlineStr">
        <is>
          <t>2026-03-12</t>
        </is>
      </c>
      <c r="S1483" s="4" t="inlineStr"/>
    </row>
    <row r="1484">
      <c r="A1484" s="10" t="inlineStr">
        <is>
          <t>F01955</t>
        </is>
      </c>
      <c r="B1484" s="10" t="inlineStr">
        <is>
          <t>F01955</t>
        </is>
      </c>
      <c r="C1484" s="10" t="inlineStr"/>
      <c r="D1484" s="10" t="inlineStr"/>
      <c r="E1484" s="10" t="inlineStr">
        <is>
          <t>CLOCK RECT 24CM X 19CM MED DAMAGED</t>
        </is>
      </c>
      <c r="F1484" s="10" t="inlineStr"/>
      <c r="G1484" s="10" t="inlineStr"/>
      <c r="H1484" s="10" t="inlineStr"/>
      <c r="I1484" s="11" t="n">
        <v>14.16</v>
      </c>
      <c r="J1484" s="6" t="n">
        <v>15</v>
      </c>
      <c r="K1484" s="7">
        <f>IF(I1484="","",I1484*(1+J1484/100))</f>
        <v/>
      </c>
      <c r="L1484" s="12" t="inlineStr"/>
      <c r="M1484" s="8">
        <f>IF(OR(L1484="",K1484="",L1484=0),"",
  (L1484-K1484)/L1484*100)</f>
        <v/>
      </c>
      <c r="N1484" s="9" t="inlineStr"/>
      <c r="O1484" s="10" t="inlineStr"/>
      <c r="P1484" s="10" t="inlineStr"/>
      <c r="Q1484" s="10" t="inlineStr"/>
      <c r="R1484" s="10" t="inlineStr">
        <is>
          <t>2026-03-12</t>
        </is>
      </c>
      <c r="S1484" s="10" t="inlineStr"/>
    </row>
    <row r="1485">
      <c r="A1485" s="3" t="inlineStr">
        <is>
          <t>F01956</t>
        </is>
      </c>
      <c r="B1485" s="4" t="inlineStr">
        <is>
          <t>F01956</t>
        </is>
      </c>
      <c r="C1485" s="4" t="inlineStr"/>
      <c r="D1485" s="4" t="inlineStr"/>
      <c r="E1485" s="3" t="inlineStr">
        <is>
          <t>CLOCK RECT 25CM X 21CM LARGE DAMAGED</t>
        </is>
      </c>
      <c r="F1485" s="4" t="inlineStr"/>
      <c r="G1485" s="4" t="inlineStr"/>
      <c r="H1485" s="4" t="inlineStr"/>
      <c r="I1485" s="5" t="n">
        <v>24.95</v>
      </c>
      <c r="J1485" s="6" t="n">
        <v>15</v>
      </c>
      <c r="K1485" s="7">
        <f>IF(I1485="","",I1485*(1+J1485/100))</f>
        <v/>
      </c>
      <c r="L1485" s="12" t="inlineStr"/>
      <c r="M1485" s="8">
        <f>IF(OR(L1485="",K1485="",L1485=0),"",
  (L1485-K1485)/L1485*100)</f>
        <v/>
      </c>
      <c r="N1485" s="9" t="inlineStr"/>
      <c r="O1485" s="4" t="inlineStr"/>
      <c r="P1485" s="4" t="inlineStr"/>
      <c r="Q1485" s="4" t="inlineStr"/>
      <c r="R1485" s="4" t="inlineStr">
        <is>
          <t>2026-03-12</t>
        </is>
      </c>
      <c r="S1485" s="4" t="inlineStr"/>
    </row>
    <row r="1486">
      <c r="A1486" s="10" t="inlineStr">
        <is>
          <t>F01957</t>
        </is>
      </c>
      <c r="B1486" s="10" t="inlineStr">
        <is>
          <t>F01957</t>
        </is>
      </c>
      <c r="C1486" s="10" t="inlineStr"/>
      <c r="D1486" s="10" t="inlineStr"/>
      <c r="E1486" s="10" t="inlineStr">
        <is>
          <t>SHADE NET  1.8MX50M  DAMAGED</t>
        </is>
      </c>
      <c r="F1486" s="10" t="inlineStr"/>
      <c r="G1486" s="10" t="inlineStr"/>
      <c r="H1486" s="10" t="inlineStr"/>
      <c r="I1486" s="11" t="n">
        <v>990</v>
      </c>
      <c r="J1486" s="6" t="n">
        <v>15</v>
      </c>
      <c r="K1486" s="7">
        <f>IF(I1486="","",I1486*(1+J1486/100))</f>
        <v/>
      </c>
      <c r="L1486" s="12" t="inlineStr"/>
      <c r="M1486" s="8">
        <f>IF(OR(L1486="",K1486="",L1486=0),"",
  (L1486-K1486)/L1486*100)</f>
        <v/>
      </c>
      <c r="N1486" s="9" t="inlineStr"/>
      <c r="O1486" s="10" t="inlineStr"/>
      <c r="P1486" s="10" t="inlineStr"/>
      <c r="Q1486" s="10" t="inlineStr"/>
      <c r="R1486" s="10" t="inlineStr">
        <is>
          <t>2026-03-12</t>
        </is>
      </c>
      <c r="S1486" s="10" t="inlineStr"/>
    </row>
    <row r="1487">
      <c r="A1487" s="3" t="inlineStr">
        <is>
          <t>F01958</t>
        </is>
      </c>
      <c r="B1487" s="4" t="inlineStr">
        <is>
          <t>F01958</t>
        </is>
      </c>
      <c r="C1487" s="4" t="inlineStr"/>
      <c r="D1487" s="4" t="inlineStr"/>
      <c r="E1487" s="3" t="inlineStr">
        <is>
          <t>SHADE NET 3MX50M  DAMAGED</t>
        </is>
      </c>
      <c r="F1487" s="4" t="inlineStr"/>
      <c r="G1487" s="4" t="inlineStr"/>
      <c r="H1487" s="4" t="inlineStr"/>
      <c r="I1487" s="5" t="n">
        <v>1</v>
      </c>
      <c r="J1487" s="6" t="n">
        <v>15</v>
      </c>
      <c r="K1487" s="7">
        <f>IF(I1487="","",I1487*(1+J1487/100))</f>
        <v/>
      </c>
      <c r="L1487" s="12" t="inlineStr"/>
      <c r="M1487" s="8">
        <f>IF(OR(L1487="",K1487="",L1487=0),"",
  (L1487-K1487)/L1487*100)</f>
        <v/>
      </c>
      <c r="N1487" s="9" t="inlineStr"/>
      <c r="O1487" s="4" t="inlineStr"/>
      <c r="P1487" s="4" t="inlineStr"/>
      <c r="Q1487" s="4" t="inlineStr"/>
      <c r="R1487" s="4" t="inlineStr">
        <is>
          <t>2026-03-12</t>
        </is>
      </c>
      <c r="S1487" s="4" t="inlineStr"/>
    </row>
    <row r="1488">
      <c r="A1488" s="10" t="inlineStr">
        <is>
          <t>F01959</t>
        </is>
      </c>
      <c r="B1488" s="10" t="inlineStr">
        <is>
          <t>F01959</t>
        </is>
      </c>
      <c r="C1488" s="10" t="inlineStr"/>
      <c r="D1488" s="10" t="inlineStr"/>
      <c r="E1488" s="10" t="inlineStr">
        <is>
          <t>KNIFE 4" BUTCHER PLS-KF1 WDN HANDLE 3 RI</t>
        </is>
      </c>
      <c r="F1488" s="10" t="inlineStr"/>
      <c r="G1488" s="10" t="inlineStr"/>
      <c r="H1488" s="10" t="inlineStr"/>
      <c r="I1488" s="11" t="n">
        <v>1</v>
      </c>
      <c r="J1488" s="6" t="n">
        <v>15</v>
      </c>
      <c r="K1488" s="7">
        <f>IF(I1488="","",I1488*(1+J1488/100))</f>
        <v/>
      </c>
      <c r="L1488" s="12" t="inlineStr"/>
      <c r="M1488" s="8">
        <f>IF(OR(L1488="",K1488="",L1488=0),"",
  (L1488-K1488)/L1488*100)</f>
        <v/>
      </c>
      <c r="N1488" s="9" t="inlineStr"/>
      <c r="O1488" s="10" t="inlineStr"/>
      <c r="P1488" s="10" t="inlineStr"/>
      <c r="Q1488" s="10" t="inlineStr"/>
      <c r="R1488" s="10" t="inlineStr">
        <is>
          <t>2026-03-12</t>
        </is>
      </c>
      <c r="S1488" s="10" t="inlineStr"/>
    </row>
    <row r="1489">
      <c r="A1489" s="3" t="inlineStr">
        <is>
          <t>F01960</t>
        </is>
      </c>
      <c r="B1489" s="4" t="inlineStr">
        <is>
          <t>F01960</t>
        </is>
      </c>
      <c r="C1489" s="4" t="inlineStr"/>
      <c r="D1489" s="4" t="inlineStr"/>
      <c r="E1489" s="3" t="inlineStr">
        <is>
          <t>SECURITY STEEL DOOR K512 BLACK RIGHT/SIN</t>
        </is>
      </c>
      <c r="F1489" s="4" t="inlineStr"/>
      <c r="G1489" s="4" t="inlineStr"/>
      <c r="H1489" s="4" t="inlineStr"/>
      <c r="I1489" s="5" t="n">
        <v>1</v>
      </c>
      <c r="J1489" s="6" t="n">
        <v>15</v>
      </c>
      <c r="K1489" s="7">
        <f>IF(I1489="","",I1489*(1+J1489/100))</f>
        <v/>
      </c>
      <c r="L1489" s="12" t="inlineStr"/>
      <c r="M1489" s="8">
        <f>IF(OR(L1489="",K1489="",L1489=0),"",
  (L1489-K1489)/L1489*100)</f>
        <v/>
      </c>
      <c r="N1489" s="9" t="inlineStr"/>
      <c r="O1489" s="4" t="inlineStr"/>
      <c r="P1489" s="4" t="inlineStr"/>
      <c r="Q1489" s="4" t="inlineStr"/>
      <c r="R1489" s="4" t="inlineStr">
        <is>
          <t>2026-03-12</t>
        </is>
      </c>
      <c r="S1489" s="4" t="inlineStr"/>
    </row>
    <row r="1490">
      <c r="A1490" s="10" t="inlineStr">
        <is>
          <t>F01961</t>
        </is>
      </c>
      <c r="B1490" s="10" t="inlineStr">
        <is>
          <t>F01961</t>
        </is>
      </c>
      <c r="C1490" s="10" t="inlineStr"/>
      <c r="D1490" s="10" t="inlineStr"/>
      <c r="E1490" s="10" t="inlineStr">
        <is>
          <t>SECURITY STEEL DOOR BD-S1132 - RIGHT SIN</t>
        </is>
      </c>
      <c r="F1490" s="10" t="inlineStr"/>
      <c r="G1490" s="10" t="inlineStr"/>
      <c r="H1490" s="10" t="inlineStr"/>
      <c r="I1490" s="11" t="n">
        <v>1</v>
      </c>
      <c r="J1490" s="6" t="n">
        <v>15</v>
      </c>
      <c r="K1490" s="7">
        <f>IF(I1490="","",I1490*(1+J1490/100))</f>
        <v/>
      </c>
      <c r="L1490" s="12" t="inlineStr"/>
      <c r="M1490" s="8">
        <f>IF(OR(L1490="",K1490="",L1490=0),"",
  (L1490-K1490)/L1490*100)</f>
        <v/>
      </c>
      <c r="N1490" s="9" t="inlineStr"/>
      <c r="O1490" s="10" t="inlineStr"/>
      <c r="P1490" s="10" t="inlineStr"/>
      <c r="Q1490" s="10" t="inlineStr"/>
      <c r="R1490" s="10" t="inlineStr">
        <is>
          <t>2026-03-12</t>
        </is>
      </c>
      <c r="S1490" s="10" t="inlineStr"/>
    </row>
    <row r="1491">
      <c r="A1491" s="3" t="inlineStr">
        <is>
          <t>F01962</t>
        </is>
      </c>
      <c r="B1491" s="4" t="inlineStr">
        <is>
          <t>F01962</t>
        </is>
      </c>
      <c r="C1491" s="4" t="inlineStr"/>
      <c r="D1491" s="4" t="inlineStr"/>
      <c r="E1491" s="3" t="inlineStr">
        <is>
          <t>DOOR -STEEL DAMAGED K512 LEFT SINGLE BRO</t>
        </is>
      </c>
      <c r="F1491" s="4" t="inlineStr"/>
      <c r="G1491" s="4" t="inlineStr"/>
      <c r="H1491" s="4" t="inlineStr"/>
      <c r="I1491" s="5" t="n">
        <v>1</v>
      </c>
      <c r="J1491" s="6" t="n">
        <v>15</v>
      </c>
      <c r="K1491" s="7">
        <f>IF(I1491="","",I1491*(1+J1491/100))</f>
        <v/>
      </c>
      <c r="L1491" s="12" t="inlineStr"/>
      <c r="M1491" s="8">
        <f>IF(OR(L1491="",K1491="",L1491=0),"",
  (L1491-K1491)/L1491*100)</f>
        <v/>
      </c>
      <c r="N1491" s="9" t="inlineStr"/>
      <c r="O1491" s="4" t="inlineStr"/>
      <c r="P1491" s="4" t="inlineStr"/>
      <c r="Q1491" s="4" t="inlineStr"/>
      <c r="R1491" s="4" t="inlineStr">
        <is>
          <t>2026-03-12</t>
        </is>
      </c>
      <c r="S1491" s="4" t="inlineStr"/>
    </row>
    <row r="1492">
      <c r="A1492" s="10" t="inlineStr">
        <is>
          <t>F01963</t>
        </is>
      </c>
      <c r="B1492" s="10" t="inlineStr">
        <is>
          <t>F01963</t>
        </is>
      </c>
      <c r="C1492" s="10" t="inlineStr"/>
      <c r="D1492" s="10" t="inlineStr">
        <is>
          <t>0781718142526</t>
        </is>
      </c>
      <c r="E1492" s="10" t="inlineStr">
        <is>
          <t>TABLE FOLDING  WHITE 6FT CP</t>
        </is>
      </c>
      <c r="F1492" s="10" t="inlineStr"/>
      <c r="G1492" s="10" t="inlineStr"/>
      <c r="H1492" s="10" t="inlineStr"/>
      <c r="I1492" s="11" t="n">
        <v>399</v>
      </c>
      <c r="J1492" s="6" t="n">
        <v>15</v>
      </c>
      <c r="K1492" s="7">
        <f>IF(I1492="","",I1492*(1+J1492/100))</f>
        <v/>
      </c>
      <c r="L1492" s="12" t="inlineStr"/>
      <c r="M1492" s="8">
        <f>IF(OR(L1492="",K1492="",L1492=0),"",
  (L1492-K1492)/L1492*100)</f>
        <v/>
      </c>
      <c r="N1492" s="13" t="n">
        <v>251</v>
      </c>
      <c r="O1492" s="10" t="inlineStr"/>
      <c r="P1492" s="10" t="inlineStr"/>
      <c r="Q1492" s="10" t="inlineStr"/>
      <c r="R1492" s="10" t="inlineStr">
        <is>
          <t>2026-03-12</t>
        </is>
      </c>
      <c r="S1492" s="10" t="inlineStr"/>
    </row>
    <row r="1493">
      <c r="A1493" s="3" t="inlineStr">
        <is>
          <t>F01964</t>
        </is>
      </c>
      <c r="B1493" s="4" t="inlineStr">
        <is>
          <t>F01964</t>
        </is>
      </c>
      <c r="C1493" s="4" t="inlineStr"/>
      <c r="D1493" s="4" t="inlineStr"/>
      <c r="E1493" s="3" t="inlineStr">
        <is>
          <t>TABLE FOLDING GREY -LOCAL (Z)</t>
        </is>
      </c>
      <c r="F1493" s="4" t="inlineStr"/>
      <c r="G1493" s="4" t="inlineStr"/>
      <c r="H1493" s="4" t="inlineStr"/>
      <c r="I1493" s="5" t="n">
        <v>429</v>
      </c>
      <c r="J1493" s="6" t="n">
        <v>15</v>
      </c>
      <c r="K1493" s="7">
        <f>IF(I1493="","",I1493*(1+J1493/100))</f>
        <v/>
      </c>
      <c r="L1493" s="12" t="inlineStr"/>
      <c r="M1493" s="8">
        <f>IF(OR(L1493="",K1493="",L1493=0),"",
  (L1493-K1493)/L1493*100)</f>
        <v/>
      </c>
      <c r="N1493" s="9" t="inlineStr"/>
      <c r="O1493" s="4" t="inlineStr"/>
      <c r="P1493" s="4" t="inlineStr"/>
      <c r="Q1493" s="4" t="inlineStr"/>
      <c r="R1493" s="4" t="inlineStr">
        <is>
          <t>2026-03-12</t>
        </is>
      </c>
      <c r="S1493" s="4" t="inlineStr"/>
    </row>
    <row r="1494">
      <c r="A1494" s="10" t="inlineStr">
        <is>
          <t>F01965</t>
        </is>
      </c>
      <c r="B1494" s="10" t="inlineStr">
        <is>
          <t>F01965</t>
        </is>
      </c>
      <c r="C1494" s="10" t="inlineStr"/>
      <c r="D1494" s="10" t="inlineStr"/>
      <c r="E1494" s="10" t="inlineStr">
        <is>
          <t>CHAIR FOLDING BLACK HEAVY DUTY METAL</t>
        </is>
      </c>
      <c r="F1494" s="10" t="inlineStr"/>
      <c r="G1494" s="10" t="inlineStr"/>
      <c r="H1494" s="10" t="inlineStr"/>
      <c r="I1494" s="11" t="n">
        <v>259.95</v>
      </c>
      <c r="J1494" s="6" t="n">
        <v>15</v>
      </c>
      <c r="K1494" s="7">
        <f>IF(I1494="","",I1494*(1+J1494/100))</f>
        <v/>
      </c>
      <c r="L1494" s="12" t="inlineStr"/>
      <c r="M1494" s="8">
        <f>IF(OR(L1494="",K1494="",L1494=0),"",
  (L1494-K1494)/L1494*100)</f>
        <v/>
      </c>
      <c r="N1494" s="9" t="inlineStr"/>
      <c r="O1494" s="10" t="inlineStr"/>
      <c r="P1494" s="10" t="inlineStr"/>
      <c r="Q1494" s="10" t="inlineStr"/>
      <c r="R1494" s="10" t="inlineStr">
        <is>
          <t>2026-03-12</t>
        </is>
      </c>
      <c r="S1494" s="10" t="inlineStr"/>
    </row>
    <row r="1495">
      <c r="A1495" s="3" t="inlineStr">
        <is>
          <t>F01966</t>
        </is>
      </c>
      <c r="B1495" s="4" t="inlineStr">
        <is>
          <t>F01966</t>
        </is>
      </c>
      <c r="C1495" s="4" t="inlineStr"/>
      <c r="D1495" s="4" t="inlineStr">
        <is>
          <t>0658325073393</t>
        </is>
      </c>
      <c r="E1495" s="3" t="inlineStr">
        <is>
          <t>PLASTIC TOY TRUCK (4 COLOUR)</t>
        </is>
      </c>
      <c r="F1495" s="4" t="inlineStr"/>
      <c r="G1495" s="4" t="inlineStr"/>
      <c r="H1495" s="4" t="inlineStr"/>
      <c r="I1495" s="5" t="n">
        <v>82.5</v>
      </c>
      <c r="J1495" s="6" t="n">
        <v>15</v>
      </c>
      <c r="K1495" s="7">
        <f>IF(I1495="","",I1495*(1+J1495/100))</f>
        <v/>
      </c>
      <c r="L1495" s="12" t="inlineStr"/>
      <c r="M1495" s="8">
        <f>IF(OR(L1495="",K1495="",L1495=0),"",
  (L1495-K1495)/L1495*100)</f>
        <v/>
      </c>
      <c r="N1495" s="9" t="inlineStr"/>
      <c r="O1495" s="4" t="inlineStr"/>
      <c r="P1495" s="4" t="inlineStr"/>
      <c r="Q1495" s="4" t="inlineStr"/>
      <c r="R1495" s="4" t="inlineStr">
        <is>
          <t>2026-03-12</t>
        </is>
      </c>
      <c r="S1495" s="4" t="inlineStr"/>
    </row>
    <row r="1496">
      <c r="A1496" s="10" t="inlineStr">
        <is>
          <t>F01967</t>
        </is>
      </c>
      <c r="B1496" s="10" t="inlineStr">
        <is>
          <t>F01967</t>
        </is>
      </c>
      <c r="C1496" s="10" t="inlineStr"/>
      <c r="D1496" s="10" t="inlineStr"/>
      <c r="E1496" s="10" t="inlineStr">
        <is>
          <t>DAMAGED CHAIR ADULT PARTY BLACK</t>
        </is>
      </c>
      <c r="F1496" s="10" t="inlineStr"/>
      <c r="G1496" s="10" t="inlineStr"/>
      <c r="H1496" s="10" t="inlineStr"/>
      <c r="I1496" s="11" t="n">
        <v>27.61</v>
      </c>
      <c r="J1496" s="6" t="n">
        <v>15</v>
      </c>
      <c r="K1496" s="7">
        <f>IF(I1496="","",I1496*(1+J1496/100))</f>
        <v/>
      </c>
      <c r="L1496" s="12" t="inlineStr"/>
      <c r="M1496" s="8">
        <f>IF(OR(L1496="",K1496="",L1496=0),"",
  (L1496-K1496)/L1496*100)</f>
        <v/>
      </c>
      <c r="N1496" s="9" t="inlineStr"/>
      <c r="O1496" s="10" t="inlineStr"/>
      <c r="P1496" s="10" t="inlineStr"/>
      <c r="Q1496" s="10" t="inlineStr"/>
      <c r="R1496" s="10" t="inlineStr">
        <is>
          <t>2026-03-12</t>
        </is>
      </c>
      <c r="S1496" s="10" t="inlineStr"/>
    </row>
    <row r="1497">
      <c r="A1497" s="3" t="inlineStr">
        <is>
          <t>F01968</t>
        </is>
      </c>
      <c r="B1497" s="4" t="inlineStr">
        <is>
          <t>F01968</t>
        </is>
      </c>
      <c r="C1497" s="4" t="inlineStr"/>
      <c r="D1497" s="4" t="inlineStr"/>
      <c r="E1497" s="3" t="inlineStr">
        <is>
          <t>KENWOOD COMPACT STEAM IRON BLUE 1100W NO</t>
        </is>
      </c>
      <c r="F1497" s="4" t="inlineStr"/>
      <c r="G1497" s="4" t="inlineStr"/>
      <c r="H1497" s="4" t="inlineStr"/>
      <c r="I1497" s="5" t="n">
        <v>139.95</v>
      </c>
      <c r="J1497" s="6" t="n">
        <v>15</v>
      </c>
      <c r="K1497" s="7">
        <f>IF(I1497="","",I1497*(1+J1497/100))</f>
        <v/>
      </c>
      <c r="L1497" s="12" t="inlineStr"/>
      <c r="M1497" s="8">
        <f>IF(OR(L1497="",K1497="",L1497=0),"",
  (L1497-K1497)/L1497*100)</f>
        <v/>
      </c>
      <c r="N1497" s="14" t="n">
        <v>7</v>
      </c>
      <c r="O1497" s="4" t="inlineStr"/>
      <c r="P1497" s="4" t="inlineStr"/>
      <c r="Q1497" s="4" t="inlineStr"/>
      <c r="R1497" s="4" t="inlineStr">
        <is>
          <t>2026-03-12</t>
        </is>
      </c>
      <c r="S1497" s="4" t="inlineStr"/>
    </row>
    <row r="1498">
      <c r="A1498" s="10" t="inlineStr">
        <is>
          <t>F01969</t>
        </is>
      </c>
      <c r="B1498" s="10" t="inlineStr">
        <is>
          <t>F01969</t>
        </is>
      </c>
      <c r="C1498" s="10" t="inlineStr"/>
      <c r="D1498" s="10" t="inlineStr">
        <is>
          <t>6003977085364</t>
        </is>
      </c>
      <c r="E1498" s="10" t="inlineStr">
        <is>
          <t>MONDI PAPER 250 SHEETS PER REAM</t>
        </is>
      </c>
      <c r="F1498" s="10" t="inlineStr"/>
      <c r="G1498" s="10" t="inlineStr"/>
      <c r="H1498" s="10" t="inlineStr"/>
      <c r="I1498" s="11" t="n">
        <v>1</v>
      </c>
      <c r="J1498" s="6" t="n">
        <v>15</v>
      </c>
      <c r="K1498" s="7">
        <f>IF(I1498="","",I1498*(1+J1498/100))</f>
        <v/>
      </c>
      <c r="L1498" s="12" t="inlineStr"/>
      <c r="M1498" s="8">
        <f>IF(OR(L1498="",K1498="",L1498=0),"",
  (L1498-K1498)/L1498*100)</f>
        <v/>
      </c>
      <c r="N1498" s="9" t="inlineStr"/>
      <c r="O1498" s="10" t="inlineStr"/>
      <c r="P1498" s="10" t="inlineStr"/>
      <c r="Q1498" s="10" t="inlineStr"/>
      <c r="R1498" s="10" t="inlineStr">
        <is>
          <t>2026-03-12</t>
        </is>
      </c>
      <c r="S1498" s="10" t="inlineStr"/>
    </row>
    <row r="1499">
      <c r="A1499" s="3" t="inlineStr">
        <is>
          <t>F01970</t>
        </is>
      </c>
      <c r="B1499" s="4" t="inlineStr">
        <is>
          <t>F01970</t>
        </is>
      </c>
      <c r="C1499" s="4" t="inlineStr"/>
      <c r="D1499" s="4" t="inlineStr">
        <is>
          <t>6009800322163</t>
        </is>
      </c>
      <c r="E1499" s="3" t="inlineStr">
        <is>
          <t>BROOM ECONO BUDGET</t>
        </is>
      </c>
      <c r="F1499" s="4" t="inlineStr"/>
      <c r="G1499" s="4" t="inlineStr"/>
      <c r="H1499" s="4" t="inlineStr"/>
      <c r="I1499" s="5" t="n">
        <v>13.49</v>
      </c>
      <c r="J1499" s="6" t="n">
        <v>15</v>
      </c>
      <c r="K1499" s="7">
        <f>IF(I1499="","",I1499*(1+J1499/100))</f>
        <v/>
      </c>
      <c r="L1499" s="12" t="inlineStr"/>
      <c r="M1499" s="8">
        <f>IF(OR(L1499="",K1499="",L1499=0),"",
  (L1499-K1499)/L1499*100)</f>
        <v/>
      </c>
      <c r="N1499" s="14" t="n">
        <v>159</v>
      </c>
      <c r="O1499" s="4" t="inlineStr"/>
      <c r="P1499" s="4" t="inlineStr"/>
      <c r="Q1499" s="4" t="inlineStr"/>
      <c r="R1499" s="4" t="inlineStr">
        <is>
          <t>2026-03-12</t>
        </is>
      </c>
      <c r="S1499" s="4" t="inlineStr"/>
    </row>
    <row r="1500">
      <c r="A1500" s="10" t="inlineStr">
        <is>
          <t>F01971</t>
        </is>
      </c>
      <c r="B1500" s="10" t="inlineStr">
        <is>
          <t>F01971</t>
        </is>
      </c>
      <c r="C1500" s="10" t="inlineStr">
        <is>
          <t>18697</t>
        </is>
      </c>
      <c r="D1500" s="10" t="inlineStr">
        <is>
          <t>6009800322323</t>
        </is>
      </c>
      <c r="E1500" s="10" t="inlineStr">
        <is>
          <t>BROOM FLAGGED DELUX</t>
        </is>
      </c>
      <c r="F1500" s="10" t="inlineStr"/>
      <c r="G1500" s="10" t="inlineStr"/>
      <c r="H1500" s="10" t="inlineStr"/>
      <c r="I1500" s="11" t="n">
        <v>24.95</v>
      </c>
      <c r="J1500" s="6" t="n">
        <v>15</v>
      </c>
      <c r="K1500" s="7">
        <f>IF(I1500="","",I1500*(1+J1500/100))</f>
        <v/>
      </c>
      <c r="L1500" s="11" t="n">
        <v>120</v>
      </c>
      <c r="M1500" s="8">
        <f>IF(OR(L1500="",K1500="",L1500=0),"",
  (L1500-K1500)/L1500*100)</f>
        <v/>
      </c>
      <c r="N1500" s="13" t="n">
        <v>370</v>
      </c>
      <c r="O1500" s="10" t="inlineStr"/>
      <c r="P1500" s="10" t="inlineStr"/>
      <c r="Q1500" s="10" t="inlineStr"/>
      <c r="R1500" s="10" t="inlineStr">
        <is>
          <t>2026-03-12</t>
        </is>
      </c>
      <c r="S1500" s="10" t="inlineStr"/>
    </row>
    <row r="1501">
      <c r="A1501" s="3" t="inlineStr">
        <is>
          <t>F01972</t>
        </is>
      </c>
      <c r="B1501" s="4" t="inlineStr">
        <is>
          <t>F01972</t>
        </is>
      </c>
      <c r="C1501" s="4" t="inlineStr">
        <is>
          <t>18698</t>
        </is>
      </c>
      <c r="D1501" s="4" t="inlineStr">
        <is>
          <t>6009800322446</t>
        </is>
      </c>
      <c r="E1501" s="3" t="inlineStr">
        <is>
          <t>BROOM FLAG SPECIAL</t>
        </is>
      </c>
      <c r="F1501" s="4" t="inlineStr"/>
      <c r="G1501" s="4" t="inlineStr"/>
      <c r="H1501" s="4" t="inlineStr"/>
      <c r="I1501" s="5" t="n">
        <v>23.95</v>
      </c>
      <c r="J1501" s="6" t="n">
        <v>15</v>
      </c>
      <c r="K1501" s="7">
        <f>IF(I1501="","",I1501*(1+J1501/100))</f>
        <v/>
      </c>
      <c r="L1501" s="5" t="n">
        <v>100</v>
      </c>
      <c r="M1501" s="8">
        <f>IF(OR(L1501="",K1501="",L1501=0),"",
  (L1501-K1501)/L1501*100)</f>
        <v/>
      </c>
      <c r="N1501" s="14" t="n">
        <v>416</v>
      </c>
      <c r="O1501" s="4" t="inlineStr"/>
      <c r="P1501" s="4" t="inlineStr"/>
      <c r="Q1501" s="4" t="inlineStr"/>
      <c r="R1501" s="4" t="inlineStr">
        <is>
          <t>2026-03-12</t>
        </is>
      </c>
      <c r="S1501" s="4" t="inlineStr"/>
    </row>
    <row r="1502">
      <c r="A1502" s="10" t="inlineStr">
        <is>
          <t>F01973</t>
        </is>
      </c>
      <c r="B1502" s="10" t="inlineStr">
        <is>
          <t>F01973</t>
        </is>
      </c>
      <c r="C1502" s="10" t="inlineStr"/>
      <c r="D1502" s="10" t="inlineStr">
        <is>
          <t>6009800322132</t>
        </is>
      </c>
      <c r="E1502" s="10" t="inlineStr">
        <is>
          <t>BROOM GRIP METAL CLIP</t>
        </is>
      </c>
      <c r="F1502" s="10" t="inlineStr"/>
      <c r="G1502" s="10" t="inlineStr"/>
      <c r="H1502" s="10" t="inlineStr"/>
      <c r="I1502" s="11" t="n">
        <v>29.95</v>
      </c>
      <c r="J1502" s="6" t="n">
        <v>15</v>
      </c>
      <c r="K1502" s="7">
        <f>IF(I1502="","",I1502*(1+J1502/100))</f>
        <v/>
      </c>
      <c r="L1502" s="12" t="inlineStr"/>
      <c r="M1502" s="8">
        <f>IF(OR(L1502="",K1502="",L1502=0),"",
  (L1502-K1502)/L1502*100)</f>
        <v/>
      </c>
      <c r="N1502" s="13" t="n">
        <v>761</v>
      </c>
      <c r="O1502" s="10" t="inlineStr"/>
      <c r="P1502" s="10" t="inlineStr"/>
      <c r="Q1502" s="10" t="inlineStr"/>
      <c r="R1502" s="10" t="inlineStr">
        <is>
          <t>2026-03-12</t>
        </is>
      </c>
      <c r="S1502" s="10" t="inlineStr"/>
    </row>
    <row r="1503">
      <c r="A1503" s="3" t="inlineStr">
        <is>
          <t>F01974</t>
        </is>
      </c>
      <c r="B1503" s="4" t="inlineStr">
        <is>
          <t>F01974</t>
        </is>
      </c>
      <c r="C1503" s="4" t="inlineStr"/>
      <c r="D1503" s="4" t="inlineStr">
        <is>
          <t>6009515706791</t>
        </is>
      </c>
      <c r="E1503" s="3" t="inlineStr">
        <is>
          <t>BROOM WHISK  DELUXE  (A_B)</t>
        </is>
      </c>
      <c r="F1503" s="4" t="inlineStr"/>
      <c r="G1503" s="4" t="inlineStr"/>
      <c r="H1503" s="4" t="inlineStr"/>
      <c r="I1503" s="5" t="n">
        <v>22.95</v>
      </c>
      <c r="J1503" s="6" t="n">
        <v>15</v>
      </c>
      <c r="K1503" s="7">
        <f>IF(I1503="","",I1503*(1+J1503/100))</f>
        <v/>
      </c>
      <c r="L1503" s="12" t="inlineStr"/>
      <c r="M1503" s="8">
        <f>IF(OR(L1503="",K1503="",L1503=0),"",
  (L1503-K1503)/L1503*100)</f>
        <v/>
      </c>
      <c r="N1503" s="9" t="inlineStr"/>
      <c r="O1503" s="4" t="inlineStr"/>
      <c r="P1503" s="4" t="inlineStr"/>
      <c r="Q1503" s="4" t="inlineStr"/>
      <c r="R1503" s="4" t="inlineStr">
        <is>
          <t>2026-03-12</t>
        </is>
      </c>
      <c r="S1503" s="4" t="inlineStr"/>
    </row>
    <row r="1504">
      <c r="A1504" s="10" t="inlineStr">
        <is>
          <t>F01975</t>
        </is>
      </c>
      <c r="B1504" s="10" t="inlineStr">
        <is>
          <t>F01975</t>
        </is>
      </c>
      <c r="C1504" s="10" t="inlineStr">
        <is>
          <t>18628</t>
        </is>
      </c>
      <c r="D1504" s="10" t="inlineStr">
        <is>
          <t>6009800322385</t>
        </is>
      </c>
      <c r="E1504" s="10" t="inlineStr">
        <is>
          <t>BROOM PLATFORM 300MM SOFT</t>
        </is>
      </c>
      <c r="F1504" s="10" t="inlineStr"/>
      <c r="G1504" s="10" t="inlineStr"/>
      <c r="H1504" s="10" t="inlineStr"/>
      <c r="I1504" s="11" t="n">
        <v>35.95</v>
      </c>
      <c r="J1504" s="6" t="n">
        <v>15</v>
      </c>
      <c r="K1504" s="7">
        <f>IF(I1504="","",I1504*(1+J1504/100))</f>
        <v/>
      </c>
      <c r="L1504" s="11" t="n">
        <v>230</v>
      </c>
      <c r="M1504" s="8">
        <f>IF(OR(L1504="",K1504="",L1504=0),"",
  (L1504-K1504)/L1504*100)</f>
        <v/>
      </c>
      <c r="N1504" s="13" t="n">
        <v>147</v>
      </c>
      <c r="O1504" s="10" t="inlineStr"/>
      <c r="P1504" s="10" t="inlineStr"/>
      <c r="Q1504" s="10" t="inlineStr"/>
      <c r="R1504" s="10" t="inlineStr">
        <is>
          <t>2026-03-12</t>
        </is>
      </c>
      <c r="S1504" s="10" t="inlineStr"/>
    </row>
    <row r="1505">
      <c r="A1505" s="3" t="inlineStr">
        <is>
          <t>F01976</t>
        </is>
      </c>
      <c r="B1505" s="4" t="inlineStr">
        <is>
          <t>F01976</t>
        </is>
      </c>
      <c r="C1505" s="4" t="inlineStr"/>
      <c r="D1505" s="4" t="inlineStr">
        <is>
          <t>6009800322330</t>
        </is>
      </c>
      <c r="E1505" s="3" t="inlineStr">
        <is>
          <t>BROOM PLATFORM 300MM HARD</t>
        </is>
      </c>
      <c r="F1505" s="4" t="inlineStr"/>
      <c r="G1505" s="4" t="inlineStr"/>
      <c r="H1505" s="4" t="inlineStr"/>
      <c r="I1505" s="5" t="n">
        <v>35.95</v>
      </c>
      <c r="J1505" s="6" t="n">
        <v>15</v>
      </c>
      <c r="K1505" s="7">
        <f>IF(I1505="","",I1505*(1+J1505/100))</f>
        <v/>
      </c>
      <c r="L1505" s="12" t="inlineStr"/>
      <c r="M1505" s="8">
        <f>IF(OR(L1505="",K1505="",L1505=0),"",
  (L1505-K1505)/L1505*100)</f>
        <v/>
      </c>
      <c r="N1505" s="14" t="n">
        <v>2</v>
      </c>
      <c r="O1505" s="4" t="inlineStr"/>
      <c r="P1505" s="4" t="inlineStr"/>
      <c r="Q1505" s="4" t="inlineStr"/>
      <c r="R1505" s="4" t="inlineStr">
        <is>
          <t>2026-03-12</t>
        </is>
      </c>
      <c r="S1505" s="4" t="inlineStr"/>
    </row>
    <row r="1506">
      <c r="A1506" s="10" t="inlineStr">
        <is>
          <t>F01977</t>
        </is>
      </c>
      <c r="B1506" s="10" t="inlineStr">
        <is>
          <t>F01977</t>
        </is>
      </c>
      <c r="C1506" s="10" t="inlineStr"/>
      <c r="D1506" s="10" t="inlineStr">
        <is>
          <t>6009800322408</t>
        </is>
      </c>
      <c r="E1506" s="10" t="inlineStr">
        <is>
          <t>BROOM PLATFORM 450MM SOFT</t>
        </is>
      </c>
      <c r="F1506" s="10" t="inlineStr"/>
      <c r="G1506" s="10" t="inlineStr"/>
      <c r="H1506" s="10" t="inlineStr"/>
      <c r="I1506" s="11" t="n">
        <v>45.95</v>
      </c>
      <c r="J1506" s="6" t="n">
        <v>15</v>
      </c>
      <c r="K1506" s="7">
        <f>IF(I1506="","",I1506*(1+J1506/100))</f>
        <v/>
      </c>
      <c r="L1506" s="12" t="inlineStr"/>
      <c r="M1506" s="8">
        <f>IF(OR(L1506="",K1506="",L1506=0),"",
  (L1506-K1506)/L1506*100)</f>
        <v/>
      </c>
      <c r="N1506" s="13" t="n">
        <v>78</v>
      </c>
      <c r="O1506" s="10" t="inlineStr"/>
      <c r="P1506" s="10" t="inlineStr"/>
      <c r="Q1506" s="10" t="inlineStr"/>
      <c r="R1506" s="10" t="inlineStr">
        <is>
          <t>2026-03-12</t>
        </is>
      </c>
      <c r="S1506" s="10" t="inlineStr"/>
    </row>
    <row r="1507">
      <c r="A1507" s="3" t="inlineStr">
        <is>
          <t>F01978</t>
        </is>
      </c>
      <c r="B1507" s="4" t="inlineStr">
        <is>
          <t>F01978</t>
        </is>
      </c>
      <c r="C1507" s="4" t="inlineStr"/>
      <c r="D1507" s="4" t="inlineStr">
        <is>
          <t>6009800322354</t>
        </is>
      </c>
      <c r="E1507" s="3" t="inlineStr">
        <is>
          <t>BROOM PLATFORM 450MM HARD</t>
        </is>
      </c>
      <c r="F1507" s="4" t="inlineStr"/>
      <c r="G1507" s="4" t="inlineStr"/>
      <c r="H1507" s="4" t="inlineStr"/>
      <c r="I1507" s="5" t="n">
        <v>48.95</v>
      </c>
      <c r="J1507" s="6" t="n">
        <v>15</v>
      </c>
      <c r="K1507" s="7">
        <f>IF(I1507="","",I1507*(1+J1507/100))</f>
        <v/>
      </c>
      <c r="L1507" s="12" t="inlineStr"/>
      <c r="M1507" s="8">
        <f>IF(OR(L1507="",K1507="",L1507=0),"",
  (L1507-K1507)/L1507*100)</f>
        <v/>
      </c>
      <c r="N1507" s="14" t="n">
        <v>5</v>
      </c>
      <c r="O1507" s="4" t="inlineStr"/>
      <c r="P1507" s="4" t="inlineStr"/>
      <c r="Q1507" s="4" t="inlineStr"/>
      <c r="R1507" s="4" t="inlineStr">
        <is>
          <t>2026-03-12</t>
        </is>
      </c>
      <c r="S1507" s="4" t="inlineStr"/>
    </row>
    <row r="1508">
      <c r="A1508" s="10" t="inlineStr">
        <is>
          <t>F01979</t>
        </is>
      </c>
      <c r="B1508" s="10" t="inlineStr">
        <is>
          <t>F01979</t>
        </is>
      </c>
      <c r="C1508" s="10" t="inlineStr">
        <is>
          <t>18629</t>
        </is>
      </c>
      <c r="D1508" s="10" t="inlineStr">
        <is>
          <t>6009800322415</t>
        </is>
      </c>
      <c r="E1508" s="10" t="inlineStr">
        <is>
          <t>BROOM PLATFORM 600MM SOFT</t>
        </is>
      </c>
      <c r="F1508" s="10" t="inlineStr"/>
      <c r="G1508" s="10" t="inlineStr"/>
      <c r="H1508" s="10" t="inlineStr"/>
      <c r="I1508" s="11" t="n">
        <v>55.95</v>
      </c>
      <c r="J1508" s="6" t="n">
        <v>15</v>
      </c>
      <c r="K1508" s="7">
        <f>IF(I1508="","",I1508*(1+J1508/100))</f>
        <v/>
      </c>
      <c r="L1508" s="11" t="n">
        <v>250</v>
      </c>
      <c r="M1508" s="8">
        <f>IF(OR(L1508="",K1508="",L1508=0),"",
  (L1508-K1508)/L1508*100)</f>
        <v/>
      </c>
      <c r="N1508" s="13" t="n">
        <v>102</v>
      </c>
      <c r="O1508" s="10" t="inlineStr"/>
      <c r="P1508" s="10" t="inlineStr"/>
      <c r="Q1508" s="10" t="inlineStr"/>
      <c r="R1508" s="10" t="inlineStr">
        <is>
          <t>2026-03-12</t>
        </is>
      </c>
      <c r="S1508" s="10" t="inlineStr"/>
    </row>
    <row r="1509">
      <c r="A1509" s="3" t="inlineStr">
        <is>
          <t>F01980</t>
        </is>
      </c>
      <c r="B1509" s="4" t="inlineStr">
        <is>
          <t>F01980</t>
        </is>
      </c>
      <c r="C1509" s="4" t="inlineStr">
        <is>
          <t>18627</t>
        </is>
      </c>
      <c r="D1509" s="4" t="inlineStr">
        <is>
          <t>6009800322378</t>
        </is>
      </c>
      <c r="E1509" s="3" t="inlineStr">
        <is>
          <t>BROOM PLATFORM 600MM HARD</t>
        </is>
      </c>
      <c r="F1509" s="4" t="inlineStr"/>
      <c r="G1509" s="4" t="inlineStr"/>
      <c r="H1509" s="4" t="inlineStr"/>
      <c r="I1509" s="5" t="n">
        <v>55.95</v>
      </c>
      <c r="J1509" s="6" t="n">
        <v>15</v>
      </c>
      <c r="K1509" s="7">
        <f>IF(I1509="","",I1509*(1+J1509/100))</f>
        <v/>
      </c>
      <c r="L1509" s="5" t="n">
        <v>250</v>
      </c>
      <c r="M1509" s="8">
        <f>IF(OR(L1509="",K1509="",L1509=0),"",
  (L1509-K1509)/L1509*100)</f>
        <v/>
      </c>
      <c r="N1509" s="14" t="n">
        <v>55</v>
      </c>
      <c r="O1509" s="4" t="inlineStr"/>
      <c r="P1509" s="4" t="inlineStr"/>
      <c r="Q1509" s="4" t="inlineStr"/>
      <c r="R1509" s="4" t="inlineStr">
        <is>
          <t>2026-03-12</t>
        </is>
      </c>
      <c r="S1509" s="4" t="inlineStr"/>
    </row>
    <row r="1510">
      <c r="A1510" s="10" t="inlineStr">
        <is>
          <t>F01981</t>
        </is>
      </c>
      <c r="B1510" s="10" t="inlineStr">
        <is>
          <t>F01981</t>
        </is>
      </c>
      <c r="C1510" s="10" t="inlineStr">
        <is>
          <t>9644</t>
        </is>
      </c>
      <c r="D1510" s="10" t="inlineStr">
        <is>
          <t>6009800322200</t>
        </is>
      </c>
      <c r="E1510" s="10" t="inlineStr">
        <is>
          <t>SHOE BRUSH WHITE 10'S</t>
        </is>
      </c>
      <c r="F1510" s="10" t="inlineStr"/>
      <c r="G1510" s="10" t="inlineStr"/>
      <c r="H1510" s="10" t="inlineStr"/>
      <c r="I1510" s="11" t="n">
        <v>28.95</v>
      </c>
      <c r="J1510" s="6" t="n">
        <v>15</v>
      </c>
      <c r="K1510" s="7">
        <f>IF(I1510="","",I1510*(1+J1510/100))</f>
        <v/>
      </c>
      <c r="L1510" s="11" t="n">
        <v>130</v>
      </c>
      <c r="M1510" s="8">
        <f>IF(OR(L1510="",K1510="",L1510=0),"",
  (L1510-K1510)/L1510*100)</f>
        <v/>
      </c>
      <c r="N1510" s="9" t="inlineStr"/>
      <c r="O1510" s="10" t="inlineStr"/>
      <c r="P1510" s="10" t="inlineStr"/>
      <c r="Q1510" s="10" t="inlineStr"/>
      <c r="R1510" s="10" t="inlineStr">
        <is>
          <t>2026-03-12</t>
        </is>
      </c>
      <c r="S1510" s="10" t="inlineStr"/>
    </row>
    <row r="1511">
      <c r="A1511" s="3" t="inlineStr">
        <is>
          <t>F01982</t>
        </is>
      </c>
      <c r="B1511" s="4" t="inlineStr">
        <is>
          <t>F01982</t>
        </is>
      </c>
      <c r="C1511" s="4" t="inlineStr">
        <is>
          <t>9643</t>
        </is>
      </c>
      <c r="D1511" s="4" t="inlineStr">
        <is>
          <t>6009800322224</t>
        </is>
      </c>
      <c r="E1511" s="3" t="inlineStr">
        <is>
          <t>SHOE BRUSH BLACK 10'S</t>
        </is>
      </c>
      <c r="F1511" s="4" t="inlineStr"/>
      <c r="G1511" s="4" t="inlineStr"/>
      <c r="H1511" s="4" t="inlineStr"/>
      <c r="I1511" s="5" t="n">
        <v>28.95</v>
      </c>
      <c r="J1511" s="6" t="n">
        <v>15</v>
      </c>
      <c r="K1511" s="7">
        <f>IF(I1511="","",I1511*(1+J1511/100))</f>
        <v/>
      </c>
      <c r="L1511" s="5" t="n">
        <v>130</v>
      </c>
      <c r="M1511" s="8">
        <f>IF(OR(L1511="",K1511="",L1511=0),"",
  (L1511-K1511)/L1511*100)</f>
        <v/>
      </c>
      <c r="N1511" s="9" t="inlineStr"/>
      <c r="O1511" s="4" t="inlineStr"/>
      <c r="P1511" s="4" t="inlineStr"/>
      <c r="Q1511" s="4" t="inlineStr"/>
      <c r="R1511" s="4" t="inlineStr">
        <is>
          <t>2026-03-12</t>
        </is>
      </c>
      <c r="S1511" s="4" t="inlineStr"/>
    </row>
    <row r="1512">
      <c r="A1512" s="10" t="inlineStr">
        <is>
          <t>F01983</t>
        </is>
      </c>
      <c r="B1512" s="10" t="inlineStr">
        <is>
          <t>F01983</t>
        </is>
      </c>
      <c r="C1512" s="10" t="inlineStr"/>
      <c r="D1512" s="10" t="inlineStr">
        <is>
          <t>6009800322040</t>
        </is>
      </c>
      <c r="E1512" s="10" t="inlineStr">
        <is>
          <t>MOP METAL CLIP JUMBO 350g</t>
        </is>
      </c>
      <c r="F1512" s="10" t="inlineStr"/>
      <c r="G1512" s="10" t="inlineStr"/>
      <c r="H1512" s="10" t="inlineStr"/>
      <c r="I1512" s="11" t="n">
        <v>25.5</v>
      </c>
      <c r="J1512" s="6" t="n">
        <v>15</v>
      </c>
      <c r="K1512" s="7">
        <f>IF(I1512="","",I1512*(1+J1512/100))</f>
        <v/>
      </c>
      <c r="L1512" s="12" t="inlineStr"/>
      <c r="M1512" s="8">
        <f>IF(OR(L1512="",K1512="",L1512=0),"",
  (L1512-K1512)/L1512*100)</f>
        <v/>
      </c>
      <c r="N1512" s="13" t="n">
        <v>43</v>
      </c>
      <c r="O1512" s="10" t="inlineStr"/>
      <c r="P1512" s="10" t="inlineStr"/>
      <c r="Q1512" s="10" t="inlineStr"/>
      <c r="R1512" s="10" t="inlineStr">
        <is>
          <t>2026-03-12</t>
        </is>
      </c>
      <c r="S1512" s="10" t="inlineStr"/>
    </row>
    <row r="1513">
      <c r="A1513" s="3" t="inlineStr">
        <is>
          <t>F01984</t>
        </is>
      </c>
      <c r="B1513" s="4" t="inlineStr">
        <is>
          <t>F01984</t>
        </is>
      </c>
      <c r="C1513" s="4" t="inlineStr"/>
      <c r="D1513" s="4" t="inlineStr">
        <is>
          <t>6009800322668</t>
        </is>
      </c>
      <c r="E1513" s="3" t="inlineStr">
        <is>
          <t>MOP METAL CLIP MEGA 500g</t>
        </is>
      </c>
      <c r="F1513" s="4" t="inlineStr"/>
      <c r="G1513" s="4" t="inlineStr"/>
      <c r="H1513" s="4" t="inlineStr"/>
      <c r="I1513" s="5" t="n">
        <v>32.5</v>
      </c>
      <c r="J1513" s="6" t="n">
        <v>15</v>
      </c>
      <c r="K1513" s="7">
        <f>IF(I1513="","",I1513*(1+J1513/100))</f>
        <v/>
      </c>
      <c r="L1513" s="12" t="inlineStr"/>
      <c r="M1513" s="8">
        <f>IF(OR(L1513="",K1513="",L1513=0),"",
  (L1513-K1513)/L1513*100)</f>
        <v/>
      </c>
      <c r="N1513" s="14" t="n">
        <v>140</v>
      </c>
      <c r="O1513" s="4" t="inlineStr"/>
      <c r="P1513" s="4" t="inlineStr"/>
      <c r="Q1513" s="4" t="inlineStr"/>
      <c r="R1513" s="4" t="inlineStr">
        <is>
          <t>2026-03-12</t>
        </is>
      </c>
      <c r="S1513" s="4" t="inlineStr"/>
    </row>
    <row r="1514">
      <c r="A1514" s="10" t="inlineStr">
        <is>
          <t>F01985</t>
        </is>
      </c>
      <c r="B1514" s="10" t="inlineStr">
        <is>
          <t>F01985</t>
        </is>
      </c>
      <c r="C1514" s="10" t="inlineStr">
        <is>
          <t>12853</t>
        </is>
      </c>
      <c r="D1514" s="10" t="inlineStr">
        <is>
          <t>6009800322279</t>
        </is>
      </c>
      <c r="E1514" s="10" t="inlineStr">
        <is>
          <t>BRUSH SCRUBBING S SHAPE 6'S</t>
        </is>
      </c>
      <c r="F1514" s="10" t="inlineStr"/>
      <c r="G1514" s="10" t="inlineStr"/>
      <c r="H1514" s="10" t="inlineStr"/>
      <c r="I1514" s="11" t="n">
        <v>37.5</v>
      </c>
      <c r="J1514" s="6" t="n">
        <v>15</v>
      </c>
      <c r="K1514" s="7">
        <f>IF(I1514="","",I1514*(1+J1514/100))</f>
        <v/>
      </c>
      <c r="L1514" s="11" t="n">
        <v>150</v>
      </c>
      <c r="M1514" s="8">
        <f>IF(OR(L1514="",K1514="",L1514=0),"",
  (L1514-K1514)/L1514*100)</f>
        <v/>
      </c>
      <c r="N1514" s="13" t="n">
        <v>91</v>
      </c>
      <c r="O1514" s="10" t="inlineStr"/>
      <c r="P1514" s="10" t="inlineStr"/>
      <c r="Q1514" s="10" t="inlineStr"/>
      <c r="R1514" s="10" t="inlineStr">
        <is>
          <t>2026-03-12</t>
        </is>
      </c>
      <c r="S1514" s="10" t="inlineStr"/>
    </row>
    <row r="1515">
      <c r="A1515" s="3" t="inlineStr">
        <is>
          <t>F01986</t>
        </is>
      </c>
      <c r="B1515" s="4" t="inlineStr">
        <is>
          <t>F01986</t>
        </is>
      </c>
      <c r="C1515" s="4" t="inlineStr">
        <is>
          <t>12852</t>
        </is>
      </c>
      <c r="D1515" s="4" t="inlineStr">
        <is>
          <t>6009800322255</t>
        </is>
      </c>
      <c r="E1515" s="3" t="inlineStr">
        <is>
          <t>BRUSH CHUBBY 6'S</t>
        </is>
      </c>
      <c r="F1515" s="4" t="inlineStr"/>
      <c r="G1515" s="4" t="inlineStr"/>
      <c r="H1515" s="4" t="inlineStr"/>
      <c r="I1515" s="5" t="n">
        <v>35.5</v>
      </c>
      <c r="J1515" s="6" t="n">
        <v>15</v>
      </c>
      <c r="K1515" s="7">
        <f>IF(I1515="","",I1515*(1+J1515/100))</f>
        <v/>
      </c>
      <c r="L1515" s="5" t="n">
        <v>130</v>
      </c>
      <c r="M1515" s="8">
        <f>IF(OR(L1515="",K1515="",L1515=0),"",
  (L1515-K1515)/L1515*100)</f>
        <v/>
      </c>
      <c r="N1515" s="14" t="n">
        <v>55</v>
      </c>
      <c r="O1515" s="4" t="inlineStr"/>
      <c r="P1515" s="4" t="inlineStr"/>
      <c r="Q1515" s="4" t="inlineStr"/>
      <c r="R1515" s="4" t="inlineStr">
        <is>
          <t>2026-03-12</t>
        </is>
      </c>
      <c r="S1515" s="4" t="inlineStr"/>
    </row>
    <row r="1516">
      <c r="A1516" s="10" t="inlineStr">
        <is>
          <t>F01987</t>
        </is>
      </c>
      <c r="B1516" s="10" t="inlineStr">
        <is>
          <t>F01987</t>
        </is>
      </c>
      <c r="C1516" s="10" t="inlineStr">
        <is>
          <t>18694</t>
        </is>
      </c>
      <c r="D1516" s="10" t="inlineStr">
        <is>
          <t>6009800322446</t>
        </is>
      </c>
      <c r="E1516" s="10" t="inlineStr">
        <is>
          <t>BRUSH BODY DELUXE ASSORT 6'S</t>
        </is>
      </c>
      <c r="F1516" s="10" t="inlineStr"/>
      <c r="G1516" s="10" t="inlineStr"/>
      <c r="H1516" s="10" t="inlineStr"/>
      <c r="I1516" s="11" t="n">
        <v>84.95</v>
      </c>
      <c r="J1516" s="6" t="n">
        <v>15</v>
      </c>
      <c r="K1516" s="7">
        <f>IF(I1516="","",I1516*(1+J1516/100))</f>
        <v/>
      </c>
      <c r="L1516" s="11" t="n">
        <v>290</v>
      </c>
      <c r="M1516" s="8">
        <f>IF(OR(L1516="",K1516="",L1516=0),"",
  (L1516-K1516)/L1516*100)</f>
        <v/>
      </c>
      <c r="N1516" s="13" t="n">
        <v>50</v>
      </c>
      <c r="O1516" s="10" t="inlineStr"/>
      <c r="P1516" s="10" t="inlineStr"/>
      <c r="Q1516" s="10" t="inlineStr"/>
      <c r="R1516" s="10" t="inlineStr">
        <is>
          <t>2026-03-12</t>
        </is>
      </c>
      <c r="S1516" s="10" t="inlineStr"/>
    </row>
    <row r="1517">
      <c r="A1517" s="3" t="inlineStr">
        <is>
          <t>F01988</t>
        </is>
      </c>
      <c r="B1517" s="4" t="inlineStr">
        <is>
          <t>F01988</t>
        </is>
      </c>
      <c r="C1517" s="4" t="inlineStr">
        <is>
          <t>18700</t>
        </is>
      </c>
      <c r="D1517" s="4" t="inlineStr">
        <is>
          <t>6009800322170</t>
        </is>
      </c>
      <c r="E1517" s="3" t="inlineStr">
        <is>
          <t>BRUSH WHITE WASH</t>
        </is>
      </c>
      <c r="F1517" s="4" t="inlineStr"/>
      <c r="G1517" s="4" t="inlineStr"/>
      <c r="H1517" s="4" t="inlineStr"/>
      <c r="I1517" s="5" t="n">
        <v>12.95</v>
      </c>
      <c r="J1517" s="6" t="n">
        <v>15</v>
      </c>
      <c r="K1517" s="7">
        <f>IF(I1517="","",I1517*(1+J1517/100))</f>
        <v/>
      </c>
      <c r="L1517" s="5" t="n">
        <v>80</v>
      </c>
      <c r="M1517" s="8">
        <f>IF(OR(L1517="",K1517="",L1517=0),"",
  (L1517-K1517)/L1517*100)</f>
        <v/>
      </c>
      <c r="N1517" s="14" t="n">
        <v>2</v>
      </c>
      <c r="O1517" s="4" t="inlineStr"/>
      <c r="P1517" s="4" t="inlineStr"/>
      <c r="Q1517" s="4" t="inlineStr"/>
      <c r="R1517" s="4" t="inlineStr">
        <is>
          <t>2026-03-12</t>
        </is>
      </c>
      <c r="S1517" s="4" t="inlineStr"/>
    </row>
    <row r="1518">
      <c r="A1518" s="10" t="inlineStr">
        <is>
          <t>F01989</t>
        </is>
      </c>
      <c r="B1518" s="10" t="inlineStr">
        <is>
          <t>F01989</t>
        </is>
      </c>
      <c r="C1518" s="10" t="inlineStr">
        <is>
          <t>9640</t>
        </is>
      </c>
      <c r="D1518" s="10" t="inlineStr"/>
      <c r="E1518" s="10" t="inlineStr">
        <is>
          <t>FEATHER DUSTER SHORT</t>
        </is>
      </c>
      <c r="F1518" s="10" t="inlineStr"/>
      <c r="G1518" s="10" t="inlineStr"/>
      <c r="H1518" s="10" t="inlineStr"/>
      <c r="I1518" s="11" t="n">
        <v>19.5</v>
      </c>
      <c r="J1518" s="6" t="n">
        <v>15</v>
      </c>
      <c r="K1518" s="7">
        <f>IF(I1518="","",I1518*(1+J1518/100))</f>
        <v/>
      </c>
      <c r="L1518" s="11" t="n">
        <v>120</v>
      </c>
      <c r="M1518" s="8">
        <f>IF(OR(L1518="",K1518="",L1518=0),"",
  (L1518-K1518)/L1518*100)</f>
        <v/>
      </c>
      <c r="N1518" s="13" t="n">
        <v>31</v>
      </c>
      <c r="O1518" s="10" t="inlineStr"/>
      <c r="P1518" s="10" t="inlineStr"/>
      <c r="Q1518" s="10" t="inlineStr"/>
      <c r="R1518" s="10" t="inlineStr">
        <is>
          <t>2026-03-12</t>
        </is>
      </c>
      <c r="S1518" s="10" t="inlineStr"/>
    </row>
    <row r="1519">
      <c r="A1519" s="3" t="inlineStr">
        <is>
          <t>F01990</t>
        </is>
      </c>
      <c r="B1519" s="4" t="inlineStr">
        <is>
          <t>F01990</t>
        </is>
      </c>
      <c r="C1519" s="4" t="inlineStr">
        <is>
          <t>18703</t>
        </is>
      </c>
      <c r="D1519" s="4" t="inlineStr">
        <is>
          <t>6009705657636</t>
        </is>
      </c>
      <c r="E1519" s="3" t="inlineStr">
        <is>
          <t>DOOR STOPPER 2 SIDED</t>
        </is>
      </c>
      <c r="F1519" s="4" t="inlineStr"/>
      <c r="G1519" s="4" t="inlineStr"/>
      <c r="H1519" s="4" t="inlineStr"/>
      <c r="I1519" s="5" t="n">
        <v>15.95</v>
      </c>
      <c r="J1519" s="6" t="n">
        <v>15</v>
      </c>
      <c r="K1519" s="7">
        <f>IF(I1519="","",I1519*(1+J1519/100))</f>
        <v/>
      </c>
      <c r="L1519" s="5" t="n">
        <v>120</v>
      </c>
      <c r="M1519" s="8">
        <f>IF(OR(L1519="",K1519="",L1519=0),"",
  (L1519-K1519)/L1519*100)</f>
        <v/>
      </c>
      <c r="N1519" s="14" t="n">
        <v>231</v>
      </c>
      <c r="O1519" s="4" t="inlineStr"/>
      <c r="P1519" s="4" t="inlineStr"/>
      <c r="Q1519" s="4" t="inlineStr"/>
      <c r="R1519" s="4" t="inlineStr">
        <is>
          <t>2026-03-12</t>
        </is>
      </c>
      <c r="S1519" s="4" t="inlineStr"/>
    </row>
    <row r="1520">
      <c r="A1520" s="10" t="inlineStr">
        <is>
          <t>F01991</t>
        </is>
      </c>
      <c r="B1520" s="10" t="inlineStr">
        <is>
          <t>F01991</t>
        </is>
      </c>
      <c r="C1520" s="10" t="inlineStr"/>
      <c r="D1520" s="10" t="inlineStr"/>
      <c r="E1520" s="10" t="inlineStr">
        <is>
          <t>BUILDERS SCRUBBING BRUSH</t>
        </is>
      </c>
      <c r="F1520" s="10" t="inlineStr"/>
      <c r="G1520" s="10" t="inlineStr"/>
      <c r="H1520" s="10" t="inlineStr"/>
      <c r="I1520" s="11" t="n">
        <v>1</v>
      </c>
      <c r="J1520" s="6" t="n">
        <v>15</v>
      </c>
      <c r="K1520" s="7">
        <f>IF(I1520="","",I1520*(1+J1520/100))</f>
        <v/>
      </c>
      <c r="L1520" s="12" t="inlineStr"/>
      <c r="M1520" s="8">
        <f>IF(OR(L1520="",K1520="",L1520=0),"",
  (L1520-K1520)/L1520*100)</f>
        <v/>
      </c>
      <c r="N1520" s="9" t="inlineStr"/>
      <c r="O1520" s="10" t="inlineStr"/>
      <c r="P1520" s="10" t="inlineStr"/>
      <c r="Q1520" s="10" t="inlineStr"/>
      <c r="R1520" s="10" t="inlineStr">
        <is>
          <t>2026-03-12</t>
        </is>
      </c>
      <c r="S1520" s="10" t="inlineStr"/>
    </row>
    <row r="1521">
      <c r="A1521" s="3" t="inlineStr">
        <is>
          <t>F01992</t>
        </is>
      </c>
      <c r="B1521" s="4" t="inlineStr">
        <is>
          <t>F01992</t>
        </is>
      </c>
      <c r="C1521" s="4" t="inlineStr"/>
      <c r="D1521" s="4" t="inlineStr">
        <is>
          <t>781718166534</t>
        </is>
      </c>
      <c r="E1521" s="3" t="inlineStr">
        <is>
          <t>BABY BATH JUMBO OLIVE</t>
        </is>
      </c>
      <c r="F1521" s="4" t="inlineStr"/>
      <c r="G1521" s="4" t="inlineStr"/>
      <c r="H1521" s="4" t="inlineStr"/>
      <c r="I1521" s="5" t="n">
        <v>54.95</v>
      </c>
      <c r="J1521" s="6" t="n">
        <v>15</v>
      </c>
      <c r="K1521" s="7">
        <f>IF(I1521="","",I1521*(1+J1521/100))</f>
        <v/>
      </c>
      <c r="L1521" s="12" t="inlineStr"/>
      <c r="M1521" s="8">
        <f>IF(OR(L1521="",K1521="",L1521=0),"",
  (L1521-K1521)/L1521*100)</f>
        <v/>
      </c>
      <c r="N1521" s="14" t="n">
        <v>8</v>
      </c>
      <c r="O1521" s="4" t="inlineStr"/>
      <c r="P1521" s="4" t="inlineStr"/>
      <c r="Q1521" s="4" t="inlineStr"/>
      <c r="R1521" s="4" t="inlineStr">
        <is>
          <t>2026-03-12</t>
        </is>
      </c>
      <c r="S1521" s="4" t="inlineStr"/>
    </row>
    <row r="1522">
      <c r="A1522" s="10" t="inlineStr">
        <is>
          <t>F01993</t>
        </is>
      </c>
      <c r="B1522" s="10" t="inlineStr">
        <is>
          <t>F01993</t>
        </is>
      </c>
      <c r="C1522" s="10" t="inlineStr">
        <is>
          <t>10138</t>
        </is>
      </c>
      <c r="D1522" s="10" t="inlineStr">
        <is>
          <t>2098014000015</t>
        </is>
      </c>
      <c r="E1522" s="10" t="inlineStr">
        <is>
          <t>BASIN PLASTIC 26CM</t>
        </is>
      </c>
      <c r="F1522" s="10" t="inlineStr"/>
      <c r="G1522" s="10" t="inlineStr"/>
      <c r="H1522" s="10" t="inlineStr"/>
      <c r="I1522" s="11" t="n">
        <v>5.89</v>
      </c>
      <c r="J1522" s="6" t="n">
        <v>15</v>
      </c>
      <c r="K1522" s="7">
        <f>IF(I1522="","",I1522*(1+J1522/100))</f>
        <v/>
      </c>
      <c r="L1522" s="11" t="n">
        <v>200</v>
      </c>
      <c r="M1522" s="8">
        <f>IF(OR(L1522="",K1522="",L1522=0),"",
  (L1522-K1522)/L1522*100)</f>
        <v/>
      </c>
      <c r="N1522" s="13" t="n">
        <v>75</v>
      </c>
      <c r="O1522" s="10" t="inlineStr"/>
      <c r="P1522" s="10" t="inlineStr"/>
      <c r="Q1522" s="10" t="inlineStr"/>
      <c r="R1522" s="10" t="inlineStr">
        <is>
          <t>2026-03-12</t>
        </is>
      </c>
      <c r="S1522" s="10" t="inlineStr"/>
    </row>
    <row r="1523">
      <c r="A1523" s="3" t="inlineStr">
        <is>
          <t>F01994</t>
        </is>
      </c>
      <c r="B1523" s="4" t="inlineStr">
        <is>
          <t>F01994</t>
        </is>
      </c>
      <c r="C1523" s="4" t="inlineStr"/>
      <c r="D1523" s="4" t="inlineStr">
        <is>
          <t>2098021001005</t>
        </is>
      </c>
      <c r="E1523" s="3" t="inlineStr">
        <is>
          <t>BASIN PLASTIC 36CM</t>
        </is>
      </c>
      <c r="F1523" s="4" t="inlineStr"/>
      <c r="G1523" s="4" t="inlineStr"/>
      <c r="H1523" s="4" t="inlineStr"/>
      <c r="I1523" s="5" t="n">
        <v>8.289999999999999</v>
      </c>
      <c r="J1523" s="6" t="n">
        <v>15</v>
      </c>
      <c r="K1523" s="7">
        <f>IF(I1523="","",I1523*(1+J1523/100))</f>
        <v/>
      </c>
      <c r="L1523" s="12" t="inlineStr"/>
      <c r="M1523" s="8">
        <f>IF(OR(L1523="",K1523="",L1523=0),"",
  (L1523-K1523)/L1523*100)</f>
        <v/>
      </c>
      <c r="N1523" s="14" t="n">
        <v>217</v>
      </c>
      <c r="O1523" s="4" t="inlineStr"/>
      <c r="P1523" s="4" t="inlineStr"/>
      <c r="Q1523" s="4" t="inlineStr"/>
      <c r="R1523" s="4" t="inlineStr">
        <is>
          <t>2026-03-12</t>
        </is>
      </c>
      <c r="S1523" s="4" t="inlineStr"/>
    </row>
    <row r="1524">
      <c r="A1524" s="10" t="inlineStr">
        <is>
          <t>F01995</t>
        </is>
      </c>
      <c r="B1524" s="10" t="inlineStr">
        <is>
          <t>F01995</t>
        </is>
      </c>
      <c r="C1524" s="10" t="inlineStr">
        <is>
          <t>10141</t>
        </is>
      </c>
      <c r="D1524" s="10" t="inlineStr">
        <is>
          <t>2098031001002</t>
        </is>
      </c>
      <c r="E1524" s="10" t="inlineStr">
        <is>
          <t>BASIN PLASTIC 42CM</t>
        </is>
      </c>
      <c r="F1524" s="10" t="inlineStr"/>
      <c r="G1524" s="10" t="inlineStr"/>
      <c r="H1524" s="10" t="inlineStr"/>
      <c r="I1524" s="11" t="n">
        <v>14.5</v>
      </c>
      <c r="J1524" s="6" t="n">
        <v>15</v>
      </c>
      <c r="K1524" s="7">
        <f>IF(I1524="","",I1524*(1+J1524/100))</f>
        <v/>
      </c>
      <c r="L1524" s="11" t="n">
        <v>150</v>
      </c>
      <c r="M1524" s="8">
        <f>IF(OR(L1524="",K1524="",L1524=0),"",
  (L1524-K1524)/L1524*100)</f>
        <v/>
      </c>
      <c r="N1524" s="13" t="n">
        <v>226</v>
      </c>
      <c r="O1524" s="10" t="inlineStr"/>
      <c r="P1524" s="10" t="inlineStr"/>
      <c r="Q1524" s="10" t="inlineStr"/>
      <c r="R1524" s="10" t="inlineStr">
        <is>
          <t>2026-03-12</t>
        </is>
      </c>
      <c r="S1524" s="10" t="inlineStr"/>
    </row>
    <row r="1525">
      <c r="A1525" s="3" t="inlineStr">
        <is>
          <t>F01996</t>
        </is>
      </c>
      <c r="B1525" s="4" t="inlineStr">
        <is>
          <t>F01996</t>
        </is>
      </c>
      <c r="C1525" s="4" t="inlineStr">
        <is>
          <t>32316</t>
        </is>
      </c>
      <c r="D1525" s="4" t="inlineStr">
        <is>
          <t>6009660940408</t>
        </is>
      </c>
      <c r="E1525" s="3" t="inlineStr">
        <is>
          <t>BATH OVAL 50LT</t>
        </is>
      </c>
      <c r="F1525" s="4" t="inlineStr"/>
      <c r="G1525" s="4" t="inlineStr"/>
      <c r="H1525" s="4" t="inlineStr"/>
      <c r="I1525" s="5" t="n">
        <v>29.5</v>
      </c>
      <c r="J1525" s="6" t="n">
        <v>15</v>
      </c>
      <c r="K1525" s="7">
        <f>IF(I1525="","",I1525*(1+J1525/100))</f>
        <v/>
      </c>
      <c r="L1525" s="12" t="inlineStr"/>
      <c r="M1525" s="8">
        <f>IF(OR(L1525="",K1525="",L1525=0),"",
  (L1525-K1525)/L1525*100)</f>
        <v/>
      </c>
      <c r="N1525" s="14" t="n">
        <v>67</v>
      </c>
      <c r="O1525" s="4" t="inlineStr"/>
      <c r="P1525" s="4" t="inlineStr"/>
      <c r="Q1525" s="4" t="inlineStr"/>
      <c r="R1525" s="4" t="inlineStr">
        <is>
          <t>2026-03-12</t>
        </is>
      </c>
      <c r="S1525" s="4" t="inlineStr"/>
    </row>
    <row r="1526">
      <c r="A1526" s="10" t="inlineStr">
        <is>
          <t>F01997</t>
        </is>
      </c>
      <c r="B1526" s="10" t="inlineStr">
        <is>
          <t>F01997</t>
        </is>
      </c>
      <c r="C1526" s="10" t="inlineStr"/>
      <c r="D1526" s="10" t="inlineStr">
        <is>
          <t>700371595500</t>
        </is>
      </c>
      <c r="E1526" s="10" t="inlineStr">
        <is>
          <t>BATH OVAL 50LT OLIVE</t>
        </is>
      </c>
      <c r="F1526" s="10" t="inlineStr"/>
      <c r="G1526" s="10" t="inlineStr"/>
      <c r="H1526" s="10" t="inlineStr"/>
      <c r="I1526" s="11" t="n">
        <v>27.5</v>
      </c>
      <c r="J1526" s="6" t="n">
        <v>15</v>
      </c>
      <c r="K1526" s="7">
        <f>IF(I1526="","",I1526*(1+J1526/100))</f>
        <v/>
      </c>
      <c r="L1526" s="12" t="inlineStr"/>
      <c r="M1526" s="8">
        <f>IF(OR(L1526="",K1526="",L1526=0),"",
  (L1526-K1526)/L1526*100)</f>
        <v/>
      </c>
      <c r="N1526" s="13" t="n">
        <v>15</v>
      </c>
      <c r="O1526" s="10" t="inlineStr"/>
      <c r="P1526" s="10" t="inlineStr"/>
      <c r="Q1526" s="10" t="inlineStr"/>
      <c r="R1526" s="10" t="inlineStr">
        <is>
          <t>2026-03-12</t>
        </is>
      </c>
      <c r="S1526" s="10" t="inlineStr"/>
    </row>
    <row r="1527">
      <c r="A1527" s="3" t="inlineStr">
        <is>
          <t>F01998</t>
        </is>
      </c>
      <c r="B1527" s="4" t="inlineStr">
        <is>
          <t>F01998</t>
        </is>
      </c>
      <c r="C1527" s="4" t="inlineStr">
        <is>
          <t>32319</t>
        </is>
      </c>
      <c r="D1527" s="4" t="inlineStr">
        <is>
          <t>6009660940415</t>
        </is>
      </c>
      <c r="E1527" s="3" t="inlineStr">
        <is>
          <t>BATH OVAL 90LT</t>
        </is>
      </c>
      <c r="F1527" s="4" t="inlineStr"/>
      <c r="G1527" s="4" t="inlineStr"/>
      <c r="H1527" s="4" t="inlineStr"/>
      <c r="I1527" s="5" t="n">
        <v>43.95</v>
      </c>
      <c r="J1527" s="6" t="n">
        <v>15</v>
      </c>
      <c r="K1527" s="7">
        <f>IF(I1527="","",I1527*(1+J1527/100))</f>
        <v/>
      </c>
      <c r="L1527" s="12" t="inlineStr"/>
      <c r="M1527" s="8">
        <f>IF(OR(L1527="",K1527="",L1527=0),"",
  (L1527-K1527)/L1527*100)</f>
        <v/>
      </c>
      <c r="N1527" s="14" t="n">
        <v>23</v>
      </c>
      <c r="O1527" s="4" t="inlineStr"/>
      <c r="P1527" s="4" t="inlineStr"/>
      <c r="Q1527" s="4" t="inlineStr"/>
      <c r="R1527" s="4" t="inlineStr">
        <is>
          <t>2026-03-12</t>
        </is>
      </c>
      <c r="S1527" s="4" t="inlineStr"/>
    </row>
    <row r="1528">
      <c r="A1528" s="10" t="inlineStr">
        <is>
          <t>F01999</t>
        </is>
      </c>
      <c r="B1528" s="10" t="inlineStr">
        <is>
          <t>F01999</t>
        </is>
      </c>
      <c r="C1528" s="10" t="inlineStr"/>
      <c r="D1528" s="10" t="inlineStr">
        <is>
          <t>700371708108</t>
        </is>
      </c>
      <c r="E1528" s="10" t="inlineStr">
        <is>
          <t>BATH OVAL 90LT OLIVE</t>
        </is>
      </c>
      <c r="F1528" s="10" t="inlineStr"/>
      <c r="G1528" s="10" t="inlineStr"/>
      <c r="H1528" s="10" t="inlineStr"/>
      <c r="I1528" s="11" t="n">
        <v>43.95</v>
      </c>
      <c r="J1528" s="6" t="n">
        <v>15</v>
      </c>
      <c r="K1528" s="7">
        <f>IF(I1528="","",I1528*(1+J1528/100))</f>
        <v/>
      </c>
      <c r="L1528" s="12" t="inlineStr"/>
      <c r="M1528" s="8">
        <f>IF(OR(L1528="",K1528="",L1528=0),"",
  (L1528-K1528)/L1528*100)</f>
        <v/>
      </c>
      <c r="N1528" s="9" t="inlineStr"/>
      <c r="O1528" s="10" t="inlineStr"/>
      <c r="P1528" s="10" t="inlineStr"/>
      <c r="Q1528" s="10" t="inlineStr"/>
      <c r="R1528" s="10" t="inlineStr">
        <is>
          <t>2026-03-12</t>
        </is>
      </c>
      <c r="S1528" s="10" t="inlineStr"/>
    </row>
    <row r="1529">
      <c r="A1529" s="3" t="inlineStr">
        <is>
          <t>F02000</t>
        </is>
      </c>
      <c r="B1529" s="4" t="inlineStr">
        <is>
          <t>F02000</t>
        </is>
      </c>
      <c r="C1529" s="4" t="inlineStr"/>
      <c r="D1529" s="4" t="inlineStr"/>
      <c r="E1529" s="3" t="inlineStr">
        <is>
          <t>BUCKET AND LID 1LTR WHITE</t>
        </is>
      </c>
      <c r="F1529" s="4" t="inlineStr"/>
      <c r="G1529" s="4" t="inlineStr"/>
      <c r="H1529" s="4" t="inlineStr"/>
      <c r="I1529" s="5" t="n">
        <v>5.2</v>
      </c>
      <c r="J1529" s="6" t="n">
        <v>15</v>
      </c>
      <c r="K1529" s="7">
        <f>IF(I1529="","",I1529*(1+J1529/100))</f>
        <v/>
      </c>
      <c r="L1529" s="12" t="inlineStr"/>
      <c r="M1529" s="8">
        <f>IF(OR(L1529="",K1529="",L1529=0),"",
  (L1529-K1529)/L1529*100)</f>
        <v/>
      </c>
      <c r="N1529" s="9" t="inlineStr"/>
      <c r="O1529" s="4" t="inlineStr"/>
      <c r="P1529" s="4" t="inlineStr"/>
      <c r="Q1529" s="4" t="inlineStr"/>
      <c r="R1529" s="4" t="inlineStr">
        <is>
          <t>2026-03-12</t>
        </is>
      </c>
      <c r="S1529" s="4" t="inlineStr"/>
    </row>
    <row r="1530">
      <c r="A1530" s="10" t="inlineStr">
        <is>
          <t>F02001</t>
        </is>
      </c>
      <c r="B1530" s="10" t="inlineStr">
        <is>
          <t>F02001</t>
        </is>
      </c>
      <c r="C1530" s="10" t="inlineStr"/>
      <c r="D1530" s="10" t="inlineStr"/>
      <c r="E1530" s="10" t="inlineStr">
        <is>
          <t>BUCKET AND LID 2LT WHT</t>
        </is>
      </c>
      <c r="F1530" s="10" t="inlineStr"/>
      <c r="G1530" s="10" t="inlineStr"/>
      <c r="H1530" s="10" t="inlineStr"/>
      <c r="I1530" s="11" t="n">
        <v>8.5</v>
      </c>
      <c r="J1530" s="6" t="n">
        <v>15</v>
      </c>
      <c r="K1530" s="7">
        <f>IF(I1530="","",I1530*(1+J1530/100))</f>
        <v/>
      </c>
      <c r="L1530" s="12" t="inlineStr"/>
      <c r="M1530" s="8">
        <f>IF(OR(L1530="",K1530="",L1530=0),"",
  (L1530-K1530)/L1530*100)</f>
        <v/>
      </c>
      <c r="N1530" s="9" t="inlineStr"/>
      <c r="O1530" s="10" t="inlineStr"/>
      <c r="P1530" s="10" t="inlineStr"/>
      <c r="Q1530" s="10" t="inlineStr"/>
      <c r="R1530" s="10" t="inlineStr">
        <is>
          <t>2026-03-12</t>
        </is>
      </c>
      <c r="S1530" s="10" t="inlineStr"/>
    </row>
    <row r="1531">
      <c r="A1531" s="3" t="inlineStr">
        <is>
          <t>F02002</t>
        </is>
      </c>
      <c r="B1531" s="4" t="inlineStr">
        <is>
          <t>F02002</t>
        </is>
      </c>
      <c r="C1531" s="4" t="inlineStr">
        <is>
          <t>10155</t>
        </is>
      </c>
      <c r="D1531" s="4" t="inlineStr">
        <is>
          <t>6009647910844</t>
        </is>
      </c>
      <c r="E1531" s="3" t="inlineStr">
        <is>
          <t>BUCKET+LID 20LTR TRIPLE LOCK ASST COLOR</t>
        </is>
      </c>
      <c r="F1531" s="4" t="inlineStr"/>
      <c r="G1531" s="4" t="inlineStr"/>
      <c r="H1531" s="4" t="inlineStr"/>
      <c r="I1531" s="5" t="n">
        <v>32.5</v>
      </c>
      <c r="J1531" s="6" t="n">
        <v>15</v>
      </c>
      <c r="K1531" s="7">
        <f>IF(I1531="","",I1531*(1+J1531/100))</f>
        <v/>
      </c>
      <c r="L1531" s="5" t="n">
        <v>80</v>
      </c>
      <c r="M1531" s="8">
        <f>IF(OR(L1531="",K1531="",L1531=0),"",
  (L1531-K1531)/L1531*100)</f>
        <v/>
      </c>
      <c r="N1531" s="14" t="n">
        <v>1825</v>
      </c>
      <c r="O1531" s="4" t="inlineStr"/>
      <c r="P1531" s="4" t="inlineStr"/>
      <c r="Q1531" s="4" t="inlineStr"/>
      <c r="R1531" s="4" t="inlineStr">
        <is>
          <t>2026-03-12</t>
        </is>
      </c>
      <c r="S1531" s="4" t="inlineStr"/>
    </row>
    <row r="1532">
      <c r="A1532" s="10" t="inlineStr">
        <is>
          <t>F02003</t>
        </is>
      </c>
      <c r="B1532" s="10" t="inlineStr">
        <is>
          <t>F02003</t>
        </is>
      </c>
      <c r="C1532" s="10" t="inlineStr">
        <is>
          <t>10161</t>
        </is>
      </c>
      <c r="D1532" s="10" t="inlineStr">
        <is>
          <t>6005912000524</t>
        </is>
      </c>
      <c r="E1532" s="10" t="inlineStr">
        <is>
          <t>CHAIR KIDDIES + ARM</t>
        </is>
      </c>
      <c r="F1532" s="10" t="inlineStr"/>
      <c r="G1532" s="10" t="inlineStr"/>
      <c r="H1532" s="10" t="inlineStr"/>
      <c r="I1532" s="11" t="n">
        <v>17.5</v>
      </c>
      <c r="J1532" s="6" t="n">
        <v>15</v>
      </c>
      <c r="K1532" s="7">
        <f>IF(I1532="","",I1532*(1+J1532/100))</f>
        <v/>
      </c>
      <c r="L1532" s="11" t="n">
        <v>35</v>
      </c>
      <c r="M1532" s="8">
        <f>IF(OR(L1532="",K1532="",L1532=0),"",
  (L1532-K1532)/L1532*100)</f>
        <v/>
      </c>
      <c r="N1532" s="13" t="n">
        <v>185</v>
      </c>
      <c r="O1532" s="10" t="inlineStr"/>
      <c r="P1532" s="10" t="inlineStr"/>
      <c r="Q1532" s="10" t="inlineStr"/>
      <c r="R1532" s="10" t="inlineStr">
        <is>
          <t>2026-03-12</t>
        </is>
      </c>
      <c r="S1532" s="10" t="inlineStr"/>
    </row>
    <row r="1533">
      <c r="A1533" s="3" t="inlineStr">
        <is>
          <t>F02004</t>
        </is>
      </c>
      <c r="B1533" s="4" t="inlineStr">
        <is>
          <t>F02004</t>
        </is>
      </c>
      <c r="C1533" s="4" t="inlineStr">
        <is>
          <t>32255</t>
        </is>
      </c>
      <c r="D1533" s="4" t="inlineStr">
        <is>
          <t>700083659193</t>
        </is>
      </c>
      <c r="E1533" s="3" t="inlineStr">
        <is>
          <t>DUST PAN + BRUSH SET</t>
        </is>
      </c>
      <c r="F1533" s="4" t="inlineStr"/>
      <c r="G1533" s="4" t="inlineStr"/>
      <c r="H1533" s="4" t="inlineStr"/>
      <c r="I1533" s="5" t="n">
        <v>19.5</v>
      </c>
      <c r="J1533" s="6" t="n">
        <v>15</v>
      </c>
      <c r="K1533" s="7">
        <f>IF(I1533="","",I1533*(1+J1533/100))</f>
        <v/>
      </c>
      <c r="L1533" s="12" t="inlineStr"/>
      <c r="M1533" s="8">
        <f>IF(OR(L1533="",K1533="",L1533=0),"",
  (L1533-K1533)/L1533*100)</f>
        <v/>
      </c>
      <c r="N1533" s="9" t="inlineStr"/>
      <c r="O1533" s="4" t="inlineStr"/>
      <c r="P1533" s="4" t="inlineStr"/>
      <c r="Q1533" s="4" t="inlineStr"/>
      <c r="R1533" s="4" t="inlineStr">
        <is>
          <t>2026-03-12</t>
        </is>
      </c>
      <c r="S1533" s="4" t="inlineStr"/>
    </row>
    <row r="1534">
      <c r="A1534" s="10" t="inlineStr">
        <is>
          <t>F02005</t>
        </is>
      </c>
      <c r="B1534" s="10" t="inlineStr">
        <is>
          <t>F02005</t>
        </is>
      </c>
      <c r="C1534" s="10" t="inlineStr">
        <is>
          <t>10099</t>
        </is>
      </c>
      <c r="D1534" s="10" t="inlineStr">
        <is>
          <t>6009705630820</t>
        </is>
      </c>
      <c r="E1534" s="10" t="inlineStr">
        <is>
          <t>MUG BEER PLASTIC 500ML ELITE</t>
        </is>
      </c>
      <c r="F1534" s="10" t="inlineStr"/>
      <c r="G1534" s="10" t="inlineStr"/>
      <c r="H1534" s="10" t="inlineStr"/>
      <c r="I1534" s="11" t="n">
        <v>5.99</v>
      </c>
      <c r="J1534" s="6" t="n">
        <v>15</v>
      </c>
      <c r="K1534" s="7">
        <f>IF(I1534="","",I1534*(1+J1534/100))</f>
        <v/>
      </c>
      <c r="L1534" s="11" t="n">
        <v>100</v>
      </c>
      <c r="M1534" s="8">
        <f>IF(OR(L1534="",K1534="",L1534=0),"",
  (L1534-K1534)/L1534*100)</f>
        <v/>
      </c>
      <c r="N1534" s="13" t="n">
        <v>59</v>
      </c>
      <c r="O1534" s="10" t="inlineStr"/>
      <c r="P1534" s="10" t="inlineStr"/>
      <c r="Q1534" s="10" t="inlineStr"/>
      <c r="R1534" s="10" t="inlineStr">
        <is>
          <t>2026-03-12</t>
        </is>
      </c>
      <c r="S1534" s="10" t="inlineStr"/>
    </row>
    <row r="1535">
      <c r="A1535" s="3" t="inlineStr">
        <is>
          <t>F02006</t>
        </is>
      </c>
      <c r="B1535" s="4" t="inlineStr">
        <is>
          <t>F02006</t>
        </is>
      </c>
      <c r="C1535" s="4" t="inlineStr">
        <is>
          <t>10101</t>
        </is>
      </c>
      <c r="D1535" s="4" t="inlineStr">
        <is>
          <t>6009705630837</t>
        </is>
      </c>
      <c r="E1535" s="3" t="inlineStr">
        <is>
          <t>MUG RIBBED PLASTIC ELITE</t>
        </is>
      </c>
      <c r="F1535" s="4" t="inlineStr"/>
      <c r="G1535" s="4" t="inlineStr"/>
      <c r="H1535" s="4" t="inlineStr"/>
      <c r="I1535" s="5" t="n">
        <v>2.89</v>
      </c>
      <c r="J1535" s="6" t="n">
        <v>15</v>
      </c>
      <c r="K1535" s="7">
        <f>IF(I1535="","",I1535*(1+J1535/100))</f>
        <v/>
      </c>
      <c r="L1535" s="5" t="n">
        <v>90</v>
      </c>
      <c r="M1535" s="8">
        <f>IF(OR(L1535="",K1535="",L1535=0),"",
  (L1535-K1535)/L1535*100)</f>
        <v/>
      </c>
      <c r="N1535" s="9" t="inlineStr"/>
      <c r="O1535" s="4" t="inlineStr"/>
      <c r="P1535" s="4" t="inlineStr"/>
      <c r="Q1535" s="4" t="inlineStr"/>
      <c r="R1535" s="4" t="inlineStr">
        <is>
          <t>2026-03-12</t>
        </is>
      </c>
      <c r="S1535" s="4" t="inlineStr"/>
    </row>
    <row r="1536">
      <c r="A1536" s="10" t="inlineStr">
        <is>
          <t>F02007</t>
        </is>
      </c>
      <c r="B1536" s="10" t="inlineStr">
        <is>
          <t>F02007</t>
        </is>
      </c>
      <c r="C1536" s="10" t="inlineStr">
        <is>
          <t>9845</t>
        </is>
      </c>
      <c r="D1536" s="10" t="inlineStr">
        <is>
          <t>6009705630813</t>
        </is>
      </c>
      <c r="E1536" s="10" t="inlineStr">
        <is>
          <t>JUG 1.5LT PLASTIC ELITE</t>
        </is>
      </c>
      <c r="F1536" s="10" t="inlineStr"/>
      <c r="G1536" s="10" t="inlineStr"/>
      <c r="H1536" s="10" t="inlineStr"/>
      <c r="I1536" s="11" t="n">
        <v>8.5</v>
      </c>
      <c r="J1536" s="6" t="n">
        <v>15</v>
      </c>
      <c r="K1536" s="7">
        <f>IF(I1536="","",I1536*(1+J1536/100))</f>
        <v/>
      </c>
      <c r="L1536" s="11" t="n">
        <v>170</v>
      </c>
      <c r="M1536" s="8">
        <f>IF(OR(L1536="",K1536="",L1536=0),"",
  (L1536-K1536)/L1536*100)</f>
        <v/>
      </c>
      <c r="N1536" s="9" t="inlineStr"/>
      <c r="O1536" s="10" t="inlineStr"/>
      <c r="P1536" s="10" t="inlineStr"/>
      <c r="Q1536" s="10" t="inlineStr"/>
      <c r="R1536" s="10" t="inlineStr">
        <is>
          <t>2026-03-12</t>
        </is>
      </c>
      <c r="S1536" s="10" t="inlineStr"/>
    </row>
    <row r="1537">
      <c r="A1537" s="3" t="inlineStr">
        <is>
          <t>F02008</t>
        </is>
      </c>
      <c r="B1537" s="4" t="inlineStr">
        <is>
          <t>F02008</t>
        </is>
      </c>
      <c r="C1537" s="4" t="inlineStr"/>
      <c r="D1537" s="4" t="inlineStr">
        <is>
          <t>6009647917683</t>
        </is>
      </c>
      <c r="E1537" s="3" t="inlineStr">
        <is>
          <t>CONTAINER T 2TONE RECT 1400ML FORM</t>
        </is>
      </c>
      <c r="F1537" s="4" t="inlineStr"/>
      <c r="G1537" s="4" t="inlineStr"/>
      <c r="H1537" s="4" t="inlineStr"/>
      <c r="I1537" s="5" t="n">
        <v>17.95</v>
      </c>
      <c r="J1537" s="6" t="n">
        <v>15</v>
      </c>
      <c r="K1537" s="7">
        <f>IF(I1537="","",I1537*(1+J1537/100))</f>
        <v/>
      </c>
      <c r="L1537" s="12" t="inlineStr"/>
      <c r="M1537" s="8">
        <f>IF(OR(L1537="",K1537="",L1537=0),"",
  (L1537-K1537)/L1537*100)</f>
        <v/>
      </c>
      <c r="N1537" s="14" t="n">
        <v>20</v>
      </c>
      <c r="O1537" s="4" t="inlineStr"/>
      <c r="P1537" s="4" t="inlineStr"/>
      <c r="Q1537" s="4" t="inlineStr"/>
      <c r="R1537" s="4" t="inlineStr">
        <is>
          <t>2026-03-12</t>
        </is>
      </c>
      <c r="S1537" s="4" t="inlineStr"/>
    </row>
    <row r="1538">
      <c r="A1538" s="10" t="inlineStr">
        <is>
          <t>F02009</t>
        </is>
      </c>
      <c r="B1538" s="10" t="inlineStr">
        <is>
          <t>F02009</t>
        </is>
      </c>
      <c r="C1538" s="10" t="inlineStr">
        <is>
          <t>9847</t>
        </is>
      </c>
      <c r="D1538" s="10" t="inlineStr">
        <is>
          <t>6009647917669</t>
        </is>
      </c>
      <c r="E1538" s="10" t="inlineStr">
        <is>
          <t>CONTAINER 2TONE RECT 700ML FORM</t>
        </is>
      </c>
      <c r="F1538" s="10" t="inlineStr"/>
      <c r="G1538" s="10" t="inlineStr"/>
      <c r="H1538" s="10" t="inlineStr"/>
      <c r="I1538" s="11" t="n">
        <v>10.5</v>
      </c>
      <c r="J1538" s="6" t="n">
        <v>15</v>
      </c>
      <c r="K1538" s="7">
        <f>IF(I1538="","",I1538*(1+J1538/100))</f>
        <v/>
      </c>
      <c r="L1538" s="11" t="n">
        <v>160</v>
      </c>
      <c r="M1538" s="8">
        <f>IF(OR(L1538="",K1538="",L1538=0),"",
  (L1538-K1538)/L1538*100)</f>
        <v/>
      </c>
      <c r="N1538" s="13" t="n">
        <v>143</v>
      </c>
      <c r="O1538" s="10" t="inlineStr"/>
      <c r="P1538" s="10" t="inlineStr"/>
      <c r="Q1538" s="10" t="inlineStr"/>
      <c r="R1538" s="10" t="inlineStr">
        <is>
          <t>2026-03-12</t>
        </is>
      </c>
      <c r="S1538" s="10" t="inlineStr"/>
    </row>
    <row r="1539">
      <c r="A1539" s="3" t="inlineStr">
        <is>
          <t>F02010</t>
        </is>
      </c>
      <c r="B1539" s="4" t="inlineStr">
        <is>
          <t>F02010</t>
        </is>
      </c>
      <c r="C1539" s="4" t="inlineStr">
        <is>
          <t>9850</t>
        </is>
      </c>
      <c r="D1539" s="4" t="inlineStr">
        <is>
          <t>6009647917546</t>
        </is>
      </c>
      <c r="E1539" s="3" t="inlineStr">
        <is>
          <t>CONTAINER 2TONE RND 1000ML FORM</t>
        </is>
      </c>
      <c r="F1539" s="4" t="inlineStr"/>
      <c r="G1539" s="4" t="inlineStr"/>
      <c r="H1539" s="4" t="inlineStr"/>
      <c r="I1539" s="5" t="n">
        <v>9.69</v>
      </c>
      <c r="J1539" s="6" t="n">
        <v>15</v>
      </c>
      <c r="K1539" s="7">
        <f>IF(I1539="","",I1539*(1+J1539/100))</f>
        <v/>
      </c>
      <c r="L1539" s="5" t="n">
        <v>160</v>
      </c>
      <c r="M1539" s="8">
        <f>IF(OR(L1539="",K1539="",L1539=0),"",
  (L1539-K1539)/L1539*100)</f>
        <v/>
      </c>
      <c r="N1539" s="9" t="inlineStr"/>
      <c r="O1539" s="4" t="inlineStr"/>
      <c r="P1539" s="4" t="inlineStr"/>
      <c r="Q1539" s="4" t="inlineStr"/>
      <c r="R1539" s="4" t="inlineStr">
        <is>
          <t>2026-03-12</t>
        </is>
      </c>
      <c r="S1539" s="4" t="inlineStr"/>
    </row>
    <row r="1540">
      <c r="A1540" s="10" t="inlineStr">
        <is>
          <t>F02011</t>
        </is>
      </c>
      <c r="B1540" s="10" t="inlineStr">
        <is>
          <t>F02011</t>
        </is>
      </c>
      <c r="C1540" s="10" t="inlineStr">
        <is>
          <t>9851</t>
        </is>
      </c>
      <c r="D1540" s="10" t="inlineStr">
        <is>
          <t>6009647917584</t>
        </is>
      </c>
      <c r="E1540" s="10" t="inlineStr">
        <is>
          <t>CONTAINER 2TONE RND 1600ML FORM</t>
        </is>
      </c>
      <c r="F1540" s="10" t="inlineStr"/>
      <c r="G1540" s="10" t="inlineStr"/>
      <c r="H1540" s="10" t="inlineStr"/>
      <c r="I1540" s="11" t="n">
        <v>15.5</v>
      </c>
      <c r="J1540" s="6" t="n">
        <v>15</v>
      </c>
      <c r="K1540" s="7">
        <f>IF(I1540="","",I1540*(1+J1540/100))</f>
        <v/>
      </c>
      <c r="L1540" s="11" t="n">
        <v>170</v>
      </c>
      <c r="M1540" s="8">
        <f>IF(OR(L1540="",K1540="",L1540=0),"",
  (L1540-K1540)/L1540*100)</f>
        <v/>
      </c>
      <c r="N1540" s="13" t="n">
        <v>1</v>
      </c>
      <c r="O1540" s="10" t="inlineStr"/>
      <c r="P1540" s="10" t="inlineStr"/>
      <c r="Q1540" s="10" t="inlineStr"/>
      <c r="R1540" s="10" t="inlineStr">
        <is>
          <t>2026-03-12</t>
        </is>
      </c>
      <c r="S1540" s="10" t="inlineStr"/>
    </row>
    <row r="1541">
      <c r="A1541" s="3" t="inlineStr">
        <is>
          <t>F02012</t>
        </is>
      </c>
      <c r="B1541" s="4" t="inlineStr">
        <is>
          <t>F02012</t>
        </is>
      </c>
      <c r="C1541" s="4" t="inlineStr">
        <is>
          <t>10115</t>
        </is>
      </c>
      <c r="D1541" s="4" t="inlineStr">
        <is>
          <t>6009647917539</t>
        </is>
      </c>
      <c r="E1541" s="3" t="inlineStr">
        <is>
          <t>CONTAINER 2TONE RND 500ML FORM</t>
        </is>
      </c>
      <c r="F1541" s="4" t="inlineStr"/>
      <c r="G1541" s="4" t="inlineStr"/>
      <c r="H1541" s="4" t="inlineStr"/>
      <c r="I1541" s="5" t="n">
        <v>8.5</v>
      </c>
      <c r="J1541" s="6" t="n">
        <v>15</v>
      </c>
      <c r="K1541" s="7">
        <f>IF(I1541="","",I1541*(1+J1541/100))</f>
        <v/>
      </c>
      <c r="L1541" s="5" t="n">
        <v>130</v>
      </c>
      <c r="M1541" s="8">
        <f>IF(OR(L1541="",K1541="",L1541=0),"",
  (L1541-K1541)/L1541*100)</f>
        <v/>
      </c>
      <c r="N1541" s="14" t="n">
        <v>41</v>
      </c>
      <c r="O1541" s="4" t="inlineStr"/>
      <c r="P1541" s="4" t="inlineStr"/>
      <c r="Q1541" s="4" t="inlineStr"/>
      <c r="R1541" s="4" t="inlineStr">
        <is>
          <t>2026-03-12</t>
        </is>
      </c>
      <c r="S1541" s="4" t="inlineStr"/>
    </row>
    <row r="1542">
      <c r="A1542" s="10" t="inlineStr">
        <is>
          <t>F02013</t>
        </is>
      </c>
      <c r="B1542" s="10" t="inlineStr">
        <is>
          <t>F02013</t>
        </is>
      </c>
      <c r="C1542" s="10" t="inlineStr"/>
      <c r="D1542" s="10" t="inlineStr">
        <is>
          <t>6009647917621</t>
        </is>
      </c>
      <c r="E1542" s="10" t="inlineStr">
        <is>
          <t>CONTAINER  2TONE SQ 1400ML FORM</t>
        </is>
      </c>
      <c r="F1542" s="10" t="inlineStr"/>
      <c r="G1542" s="10" t="inlineStr"/>
      <c r="H1542" s="10" t="inlineStr"/>
      <c r="I1542" s="11" t="n">
        <v>15.5</v>
      </c>
      <c r="J1542" s="6" t="n">
        <v>15</v>
      </c>
      <c r="K1542" s="7">
        <f>IF(I1542="","",I1542*(1+J1542/100))</f>
        <v/>
      </c>
      <c r="L1542" s="12" t="inlineStr"/>
      <c r="M1542" s="8">
        <f>IF(OR(L1542="",K1542="",L1542=0),"",
  (L1542-K1542)/L1542*100)</f>
        <v/>
      </c>
      <c r="N1542" s="13" t="n">
        <v>97</v>
      </c>
      <c r="O1542" s="10" t="inlineStr"/>
      <c r="P1542" s="10" t="inlineStr"/>
      <c r="Q1542" s="10" t="inlineStr"/>
      <c r="R1542" s="10" t="inlineStr">
        <is>
          <t>2026-03-12</t>
        </is>
      </c>
      <c r="S1542" s="10" t="inlineStr"/>
    </row>
    <row r="1543">
      <c r="A1543" s="3" t="inlineStr">
        <is>
          <t>F02014</t>
        </is>
      </c>
      <c r="B1543" s="4" t="inlineStr">
        <is>
          <t>F02014</t>
        </is>
      </c>
      <c r="C1543" s="4" t="inlineStr">
        <is>
          <t>10104</t>
        </is>
      </c>
      <c r="D1543" s="4" t="inlineStr">
        <is>
          <t>6005912008773</t>
        </is>
      </c>
      <c r="E1543" s="3" t="inlineStr">
        <is>
          <t>JUG + LID PLASTIC 2LT FORM</t>
        </is>
      </c>
      <c r="F1543" s="4" t="inlineStr"/>
      <c r="G1543" s="4" t="inlineStr"/>
      <c r="H1543" s="4" t="inlineStr"/>
      <c r="I1543" s="5" t="n">
        <v>12.99</v>
      </c>
      <c r="J1543" s="6" t="n">
        <v>15</v>
      </c>
      <c r="K1543" s="7">
        <f>IF(I1543="","",I1543*(1+J1543/100))</f>
        <v/>
      </c>
      <c r="L1543" s="5" t="n">
        <v>130</v>
      </c>
      <c r="M1543" s="8">
        <f>IF(OR(L1543="",K1543="",L1543=0),"",
  (L1543-K1543)/L1543*100)</f>
        <v/>
      </c>
      <c r="N1543" s="14" t="n">
        <v>54</v>
      </c>
      <c r="O1543" s="4" t="inlineStr"/>
      <c r="P1543" s="4" t="inlineStr"/>
      <c r="Q1543" s="4" t="inlineStr"/>
      <c r="R1543" s="4" t="inlineStr">
        <is>
          <t>2026-03-12</t>
        </is>
      </c>
      <c r="S1543" s="4" t="inlineStr"/>
    </row>
    <row r="1544">
      <c r="A1544" s="10" t="inlineStr">
        <is>
          <t>F02015</t>
        </is>
      </c>
      <c r="B1544" s="10" t="inlineStr">
        <is>
          <t>F02015</t>
        </is>
      </c>
      <c r="C1544" s="10" t="inlineStr">
        <is>
          <t>10129</t>
        </is>
      </c>
      <c r="D1544" s="10" t="inlineStr">
        <is>
          <t>6005912003167</t>
        </is>
      </c>
      <c r="E1544" s="10" t="inlineStr">
        <is>
          <t>MICROWAVE COVER FORM</t>
        </is>
      </c>
      <c r="F1544" s="10" t="inlineStr"/>
      <c r="G1544" s="10" t="inlineStr"/>
      <c r="H1544" s="10" t="inlineStr"/>
      <c r="I1544" s="11" t="n">
        <v>12.5</v>
      </c>
      <c r="J1544" s="6" t="n">
        <v>15</v>
      </c>
      <c r="K1544" s="7">
        <f>IF(I1544="","",I1544*(1+J1544/100))</f>
        <v/>
      </c>
      <c r="L1544" s="11" t="n">
        <v>130</v>
      </c>
      <c r="M1544" s="8">
        <f>IF(OR(L1544="",K1544="",L1544=0),"",
  (L1544-K1544)/L1544*100)</f>
        <v/>
      </c>
      <c r="N1544" s="9" t="inlineStr"/>
      <c r="O1544" s="10" t="inlineStr"/>
      <c r="P1544" s="10" t="inlineStr"/>
      <c r="Q1544" s="10" t="inlineStr"/>
      <c r="R1544" s="10" t="inlineStr">
        <is>
          <t>2026-03-12</t>
        </is>
      </c>
      <c r="S1544" s="10" t="inlineStr"/>
    </row>
    <row r="1545">
      <c r="A1545" s="3" t="inlineStr">
        <is>
          <t>F02016</t>
        </is>
      </c>
      <c r="B1545" s="4" t="inlineStr">
        <is>
          <t>F02016</t>
        </is>
      </c>
      <c r="C1545" s="4" t="inlineStr">
        <is>
          <t>10122</t>
        </is>
      </c>
      <c r="D1545" s="4" t="inlineStr">
        <is>
          <t>606110165761</t>
        </is>
      </c>
      <c r="E1545" s="3" t="inlineStr">
        <is>
          <t>LUNCH BOX SET 10PC OTIMA-SNAP IT</t>
        </is>
      </c>
      <c r="F1545" s="4" t="inlineStr"/>
      <c r="G1545" s="4" t="inlineStr"/>
      <c r="H1545" s="4" t="inlineStr"/>
      <c r="I1545" s="5" t="n">
        <v>33.95</v>
      </c>
      <c r="J1545" s="6" t="n">
        <v>15</v>
      </c>
      <c r="K1545" s="7">
        <f>IF(I1545="","",I1545*(1+J1545/100))</f>
        <v/>
      </c>
      <c r="L1545" s="5" t="n">
        <v>220</v>
      </c>
      <c r="M1545" s="8">
        <f>IF(OR(L1545="",K1545="",L1545=0),"",
  (L1545-K1545)/L1545*100)</f>
        <v/>
      </c>
      <c r="N1545" s="14" t="n">
        <v>27</v>
      </c>
      <c r="O1545" s="4" t="inlineStr"/>
      <c r="P1545" s="4" t="inlineStr"/>
      <c r="Q1545" s="4" t="inlineStr"/>
      <c r="R1545" s="4" t="inlineStr">
        <is>
          <t>2026-03-12</t>
        </is>
      </c>
      <c r="S1545" s="4" t="inlineStr"/>
    </row>
    <row r="1546">
      <c r="A1546" s="10" t="inlineStr">
        <is>
          <t>F02017</t>
        </is>
      </c>
      <c r="B1546" s="10" t="inlineStr">
        <is>
          <t>F02017</t>
        </is>
      </c>
      <c r="C1546" s="10" t="inlineStr">
        <is>
          <t>10121</t>
        </is>
      </c>
      <c r="D1546" s="10" t="inlineStr">
        <is>
          <t>606110377041</t>
        </is>
      </c>
      <c r="E1546" s="10" t="inlineStr">
        <is>
          <t>LUNCH BOX SET 3PC OTIMA</t>
        </is>
      </c>
      <c r="F1546" s="10" t="inlineStr"/>
      <c r="G1546" s="10" t="inlineStr"/>
      <c r="H1546" s="10" t="inlineStr"/>
      <c r="I1546" s="11" t="n">
        <v>21</v>
      </c>
      <c r="J1546" s="6" t="n">
        <v>15</v>
      </c>
      <c r="K1546" s="7">
        <f>IF(I1546="","",I1546*(1+J1546/100))</f>
        <v/>
      </c>
      <c r="L1546" s="11" t="n">
        <v>140</v>
      </c>
      <c r="M1546" s="8">
        <f>IF(OR(L1546="",K1546="",L1546=0),"",
  (L1546-K1546)/L1546*100)</f>
        <v/>
      </c>
      <c r="N1546" s="13" t="n">
        <v>135</v>
      </c>
      <c r="O1546" s="10" t="inlineStr"/>
      <c r="P1546" s="10" t="inlineStr"/>
      <c r="Q1546" s="10" t="inlineStr"/>
      <c r="R1546" s="10" t="inlineStr">
        <is>
          <t>2026-03-12</t>
        </is>
      </c>
      <c r="S1546" s="10" t="inlineStr"/>
    </row>
    <row r="1547">
      <c r="A1547" s="3" t="inlineStr">
        <is>
          <t>F02018</t>
        </is>
      </c>
      <c r="B1547" s="4" t="inlineStr">
        <is>
          <t>F02018</t>
        </is>
      </c>
      <c r="C1547" s="4" t="inlineStr">
        <is>
          <t>9615</t>
        </is>
      </c>
      <c r="D1547" s="4" t="inlineStr">
        <is>
          <t>606110165822</t>
        </is>
      </c>
      <c r="E1547" s="3" t="inlineStr">
        <is>
          <t>LUNCH BOX SET 10PC OTIMA</t>
        </is>
      </c>
      <c r="F1547" s="4" t="inlineStr"/>
      <c r="G1547" s="4" t="inlineStr"/>
      <c r="H1547" s="4" t="inlineStr"/>
      <c r="I1547" s="5" t="n">
        <v>47.79</v>
      </c>
      <c r="J1547" s="6" t="n">
        <v>15</v>
      </c>
      <c r="K1547" s="7">
        <f>IF(I1547="","",I1547*(1+J1547/100))</f>
        <v/>
      </c>
      <c r="L1547" s="5" t="n">
        <v>280</v>
      </c>
      <c r="M1547" s="8">
        <f>IF(OR(L1547="",K1547="",L1547=0),"",
  (L1547-K1547)/L1547*100)</f>
        <v/>
      </c>
      <c r="N1547" s="14" t="n">
        <v>390</v>
      </c>
      <c r="O1547" s="4" t="inlineStr"/>
      <c r="P1547" s="4" t="inlineStr"/>
      <c r="Q1547" s="4" t="inlineStr"/>
      <c r="R1547" s="4" t="inlineStr">
        <is>
          <t>2026-03-12</t>
        </is>
      </c>
      <c r="S1547" s="4" t="inlineStr"/>
    </row>
    <row r="1548">
      <c r="A1548" s="10" t="inlineStr">
        <is>
          <t>F02019</t>
        </is>
      </c>
      <c r="B1548" s="10" t="inlineStr">
        <is>
          <t>F02019</t>
        </is>
      </c>
      <c r="C1548" s="10" t="inlineStr">
        <is>
          <t>10119</t>
        </is>
      </c>
      <c r="D1548" s="10" t="inlineStr">
        <is>
          <t>700083073945</t>
        </is>
      </c>
      <c r="E1548" s="10" t="inlineStr">
        <is>
          <t>CONTAINER 1.2LT RECT SNAPIT OTIMA</t>
        </is>
      </c>
      <c r="F1548" s="10" t="inlineStr"/>
      <c r="G1548" s="10" t="inlineStr"/>
      <c r="H1548" s="10" t="inlineStr"/>
      <c r="I1548" s="11" t="n">
        <v>8.5</v>
      </c>
      <c r="J1548" s="6" t="n">
        <v>15</v>
      </c>
      <c r="K1548" s="7">
        <f>IF(I1548="","",I1548*(1+J1548/100))</f>
        <v/>
      </c>
      <c r="L1548" s="11" t="n">
        <v>130</v>
      </c>
      <c r="M1548" s="8">
        <f>IF(OR(L1548="",K1548="",L1548=0),"",
  (L1548-K1548)/L1548*100)</f>
        <v/>
      </c>
      <c r="N1548" s="13" t="n">
        <v>869</v>
      </c>
      <c r="O1548" s="10" t="inlineStr"/>
      <c r="P1548" s="10" t="inlineStr"/>
      <c r="Q1548" s="10" t="inlineStr"/>
      <c r="R1548" s="10" t="inlineStr">
        <is>
          <t>2026-03-12</t>
        </is>
      </c>
      <c r="S1548" s="10" t="inlineStr"/>
    </row>
    <row r="1549">
      <c r="A1549" s="3" t="inlineStr">
        <is>
          <t>F02020</t>
        </is>
      </c>
      <c r="B1549" s="4" t="inlineStr">
        <is>
          <t>F02020</t>
        </is>
      </c>
      <c r="C1549" s="4" t="inlineStr">
        <is>
          <t>10118</t>
        </is>
      </c>
      <c r="D1549" s="4" t="inlineStr">
        <is>
          <t>700083612694</t>
        </is>
      </c>
      <c r="E1549" s="3" t="inlineStr">
        <is>
          <t>CONTAINER 600ML RECT SNAPIT OTIMA</t>
        </is>
      </c>
      <c r="F1549" s="4" t="inlineStr"/>
      <c r="G1549" s="4" t="inlineStr"/>
      <c r="H1549" s="4" t="inlineStr"/>
      <c r="I1549" s="5" t="n">
        <v>4.25</v>
      </c>
      <c r="J1549" s="6" t="n">
        <v>15</v>
      </c>
      <c r="K1549" s="7">
        <f>IF(I1549="","",I1549*(1+J1549/100))</f>
        <v/>
      </c>
      <c r="L1549" s="5" t="n">
        <v>130</v>
      </c>
      <c r="M1549" s="8">
        <f>IF(OR(L1549="",K1549="",L1549=0),"",
  (L1549-K1549)/L1549*100)</f>
        <v/>
      </c>
      <c r="N1549" s="14" t="n">
        <v>8</v>
      </c>
      <c r="O1549" s="4" t="inlineStr"/>
      <c r="P1549" s="4" t="inlineStr"/>
      <c r="Q1549" s="4" t="inlineStr"/>
      <c r="R1549" s="4" t="inlineStr">
        <is>
          <t>2026-03-12</t>
        </is>
      </c>
      <c r="S1549" s="4" t="inlineStr"/>
    </row>
    <row r="1550">
      <c r="A1550" s="10" t="inlineStr">
        <is>
          <t>F02021</t>
        </is>
      </c>
      <c r="B1550" s="10" t="inlineStr">
        <is>
          <t>F02021</t>
        </is>
      </c>
      <c r="C1550" s="10" t="inlineStr">
        <is>
          <t>10120</t>
        </is>
      </c>
      <c r="D1550" s="10" t="inlineStr">
        <is>
          <t>700083612700</t>
        </is>
      </c>
      <c r="E1550" s="10" t="inlineStr">
        <is>
          <t>CONTAINER 2.2LT RECT SNAPIT OTIMA</t>
        </is>
      </c>
      <c r="F1550" s="10" t="inlineStr"/>
      <c r="G1550" s="10" t="inlineStr"/>
      <c r="H1550" s="10" t="inlineStr"/>
      <c r="I1550" s="11" t="n">
        <v>12</v>
      </c>
      <c r="J1550" s="6" t="n">
        <v>15</v>
      </c>
      <c r="K1550" s="7">
        <f>IF(I1550="","",I1550*(1+J1550/100))</f>
        <v/>
      </c>
      <c r="L1550" s="11" t="n">
        <v>130</v>
      </c>
      <c r="M1550" s="8">
        <f>IF(OR(L1550="",K1550="",L1550=0),"",
  (L1550-K1550)/L1550*100)</f>
        <v/>
      </c>
      <c r="N1550" s="13" t="n">
        <v>41</v>
      </c>
      <c r="O1550" s="10" t="inlineStr"/>
      <c r="P1550" s="10" t="inlineStr"/>
      <c r="Q1550" s="10" t="inlineStr"/>
      <c r="R1550" s="10" t="inlineStr">
        <is>
          <t>2026-03-12</t>
        </is>
      </c>
      <c r="S1550" s="10" t="inlineStr"/>
    </row>
    <row r="1551">
      <c r="A1551" s="3" t="inlineStr">
        <is>
          <t>F02022</t>
        </is>
      </c>
      <c r="B1551" s="4" t="inlineStr">
        <is>
          <t>F02022</t>
        </is>
      </c>
      <c r="C1551" s="4" t="inlineStr">
        <is>
          <t>10105</t>
        </is>
      </c>
      <c r="D1551" s="4" t="inlineStr">
        <is>
          <t>700083448958</t>
        </is>
      </c>
      <c r="E1551" s="3" t="inlineStr">
        <is>
          <t>JUG PLASTIC 1.5LT OTIMA</t>
        </is>
      </c>
      <c r="F1551" s="4" t="inlineStr"/>
      <c r="G1551" s="4" t="inlineStr"/>
      <c r="H1551" s="4" t="inlineStr"/>
      <c r="I1551" s="5" t="n">
        <v>11.5</v>
      </c>
      <c r="J1551" s="6" t="n">
        <v>15</v>
      </c>
      <c r="K1551" s="7">
        <f>IF(I1551="","",I1551*(1+J1551/100))</f>
        <v/>
      </c>
      <c r="L1551" s="5" t="n">
        <v>130</v>
      </c>
      <c r="M1551" s="8">
        <f>IF(OR(L1551="",K1551="",L1551=0),"",
  (L1551-K1551)/L1551*100)</f>
        <v/>
      </c>
      <c r="N1551" s="9" t="inlineStr"/>
      <c r="O1551" s="4" t="inlineStr"/>
      <c r="P1551" s="4" t="inlineStr"/>
      <c r="Q1551" s="4" t="inlineStr"/>
      <c r="R1551" s="4" t="inlineStr">
        <is>
          <t>2026-03-12</t>
        </is>
      </c>
      <c r="S1551" s="4" t="inlineStr"/>
    </row>
    <row r="1552">
      <c r="A1552" s="10" t="inlineStr">
        <is>
          <t>F02023</t>
        </is>
      </c>
      <c r="B1552" s="10" t="inlineStr">
        <is>
          <t>F02023</t>
        </is>
      </c>
      <c r="C1552" s="10" t="inlineStr">
        <is>
          <t>10145</t>
        </is>
      </c>
      <c r="D1552" s="10" t="inlineStr">
        <is>
          <t>700083867667</t>
        </is>
      </c>
      <c r="E1552" s="10" t="inlineStr">
        <is>
          <t>PLATE PLASTIC 10PCS OTIMA</t>
        </is>
      </c>
      <c r="F1552" s="10" t="inlineStr"/>
      <c r="G1552" s="10" t="inlineStr"/>
      <c r="H1552" s="10" t="inlineStr"/>
      <c r="I1552" s="11" t="n">
        <v>32.5</v>
      </c>
      <c r="J1552" s="6" t="n">
        <v>15</v>
      </c>
      <c r="K1552" s="7">
        <f>IF(I1552="","",I1552*(1+J1552/100))</f>
        <v/>
      </c>
      <c r="L1552" s="11" t="n">
        <v>180</v>
      </c>
      <c r="M1552" s="8">
        <f>IF(OR(L1552="",K1552="",L1552=0),"",
  (L1552-K1552)/L1552*100)</f>
        <v/>
      </c>
      <c r="N1552" s="9" t="inlineStr"/>
      <c r="O1552" s="10" t="inlineStr"/>
      <c r="P1552" s="10" t="inlineStr"/>
      <c r="Q1552" s="10" t="inlineStr"/>
      <c r="R1552" s="10" t="inlineStr">
        <is>
          <t>2026-03-12</t>
        </is>
      </c>
      <c r="S1552" s="10" t="inlineStr"/>
    </row>
    <row r="1553">
      <c r="A1553" s="3" t="inlineStr">
        <is>
          <t>F02024</t>
        </is>
      </c>
      <c r="B1553" s="4" t="inlineStr">
        <is>
          <t>F02024</t>
        </is>
      </c>
      <c r="C1553" s="4" t="inlineStr">
        <is>
          <t>10132</t>
        </is>
      </c>
      <c r="D1553" s="4" t="inlineStr">
        <is>
          <t>781718508698</t>
        </is>
      </c>
      <c r="E1553" s="3" t="inlineStr">
        <is>
          <t>SPOON RICE PLASTIC 10PCS OTIMA</t>
        </is>
      </c>
      <c r="F1553" s="4" t="inlineStr"/>
      <c r="G1553" s="4" t="inlineStr"/>
      <c r="H1553" s="4" t="inlineStr"/>
      <c r="I1553" s="5" t="n">
        <v>16.95</v>
      </c>
      <c r="J1553" s="6" t="n">
        <v>15</v>
      </c>
      <c r="K1553" s="7">
        <f>IF(I1553="","",I1553*(1+J1553/100))</f>
        <v/>
      </c>
      <c r="L1553" s="5" t="n">
        <v>150</v>
      </c>
      <c r="M1553" s="8">
        <f>IF(OR(L1553="",K1553="",L1553=0),"",
  (L1553-K1553)/L1553*100)</f>
        <v/>
      </c>
      <c r="N1553" s="14" t="n">
        <v>49</v>
      </c>
      <c r="O1553" s="4" t="inlineStr"/>
      <c r="P1553" s="4" t="inlineStr"/>
      <c r="Q1553" s="4" t="inlineStr"/>
      <c r="R1553" s="4" t="inlineStr">
        <is>
          <t>2026-03-12</t>
        </is>
      </c>
      <c r="S1553" s="4" t="inlineStr"/>
    </row>
    <row r="1554">
      <c r="A1554" s="10" t="inlineStr">
        <is>
          <t>F02025</t>
        </is>
      </c>
      <c r="B1554" s="10" t="inlineStr">
        <is>
          <t>F02025</t>
        </is>
      </c>
      <c r="C1554" s="10" t="inlineStr"/>
      <c r="D1554" s="10" t="inlineStr">
        <is>
          <t>781718508858</t>
        </is>
      </c>
      <c r="E1554" s="10" t="inlineStr">
        <is>
          <t>TEA COFFEE SUGAR CANISTERS OTIMA</t>
        </is>
      </c>
      <c r="F1554" s="10" t="inlineStr"/>
      <c r="G1554" s="10" t="inlineStr"/>
      <c r="H1554" s="10" t="inlineStr"/>
      <c r="I1554" s="11" t="n">
        <v>20.5</v>
      </c>
      <c r="J1554" s="6" t="n">
        <v>15</v>
      </c>
      <c r="K1554" s="7">
        <f>IF(I1554="","",I1554*(1+J1554/100))</f>
        <v/>
      </c>
      <c r="L1554" s="12" t="inlineStr"/>
      <c r="M1554" s="8">
        <f>IF(OR(L1554="",K1554="",L1554=0),"",
  (L1554-K1554)/L1554*100)</f>
        <v/>
      </c>
      <c r="N1554" s="13" t="n">
        <v>32</v>
      </c>
      <c r="O1554" s="10" t="inlineStr"/>
      <c r="P1554" s="10" t="inlineStr"/>
      <c r="Q1554" s="10" t="inlineStr"/>
      <c r="R1554" s="10" t="inlineStr">
        <is>
          <t>2026-03-12</t>
        </is>
      </c>
      <c r="S1554" s="10" t="inlineStr"/>
    </row>
    <row r="1555">
      <c r="A1555" s="3" t="inlineStr">
        <is>
          <t>F02026</t>
        </is>
      </c>
      <c r="B1555" s="4" t="inlineStr">
        <is>
          <t>F02026</t>
        </is>
      </c>
      <c r="C1555" s="4" t="inlineStr"/>
      <c r="D1555" s="4" t="inlineStr">
        <is>
          <t>700083891389</t>
        </is>
      </c>
      <c r="E1555" s="3" t="inlineStr">
        <is>
          <t>WINE CUP PLASTIC 6PCS OTIMA</t>
        </is>
      </c>
      <c r="F1555" s="4" t="inlineStr"/>
      <c r="G1555" s="4" t="inlineStr"/>
      <c r="H1555" s="4" t="inlineStr"/>
      <c r="I1555" s="5" t="n">
        <v>22.5</v>
      </c>
      <c r="J1555" s="6" t="n">
        <v>15</v>
      </c>
      <c r="K1555" s="7">
        <f>IF(I1555="","",I1555*(1+J1555/100))</f>
        <v/>
      </c>
      <c r="L1555" s="12" t="inlineStr"/>
      <c r="M1555" s="8">
        <f>IF(OR(L1555="",K1555="",L1555=0),"",
  (L1555-K1555)/L1555*100)</f>
        <v/>
      </c>
      <c r="N1555" s="14" t="n">
        <v>24</v>
      </c>
      <c r="O1555" s="4" t="inlineStr"/>
      <c r="P1555" s="4" t="inlineStr"/>
      <c r="Q1555" s="4" t="inlineStr"/>
      <c r="R1555" s="4" t="inlineStr">
        <is>
          <t>2026-03-12</t>
        </is>
      </c>
      <c r="S1555" s="4" t="inlineStr"/>
    </row>
    <row r="1556">
      <c r="A1556" s="10" t="inlineStr">
        <is>
          <t>F02027</t>
        </is>
      </c>
      <c r="B1556" s="10" t="inlineStr">
        <is>
          <t>F02027</t>
        </is>
      </c>
      <c r="C1556" s="10" t="inlineStr"/>
      <c r="D1556" s="10" t="inlineStr">
        <is>
          <t>6009801733340</t>
        </is>
      </c>
      <c r="E1556" s="10" t="inlineStr">
        <is>
          <t>RAKE FAN PLASTIC ASSORTED</t>
        </is>
      </c>
      <c r="F1556" s="10" t="inlineStr"/>
      <c r="G1556" s="10" t="inlineStr"/>
      <c r="H1556" s="10" t="inlineStr"/>
      <c r="I1556" s="11" t="n">
        <v>14.3</v>
      </c>
      <c r="J1556" s="6" t="n">
        <v>15</v>
      </c>
      <c r="K1556" s="7">
        <f>IF(I1556="","",I1556*(1+J1556/100))</f>
        <v/>
      </c>
      <c r="L1556" s="12" t="inlineStr"/>
      <c r="M1556" s="8">
        <f>IF(OR(L1556="",K1556="",L1556=0),"",
  (L1556-K1556)/L1556*100)</f>
        <v/>
      </c>
      <c r="N1556" s="13" t="n">
        <v>540</v>
      </c>
      <c r="O1556" s="10" t="inlineStr"/>
      <c r="P1556" s="10" t="inlineStr"/>
      <c r="Q1556" s="10" t="inlineStr"/>
      <c r="R1556" s="10" t="inlineStr">
        <is>
          <t>2026-03-12</t>
        </is>
      </c>
      <c r="S1556" s="10" t="inlineStr"/>
    </row>
    <row r="1557">
      <c r="A1557" s="3" t="inlineStr">
        <is>
          <t>F02028</t>
        </is>
      </c>
      <c r="B1557" s="4" t="inlineStr">
        <is>
          <t>F02028</t>
        </is>
      </c>
      <c r="C1557" s="4" t="inlineStr"/>
      <c r="D1557" s="4" t="inlineStr">
        <is>
          <t>6009801733524</t>
        </is>
      </c>
      <c r="E1557" s="3" t="inlineStr">
        <is>
          <t>RAKE FAN PLASTIC GREEN LEAF</t>
        </is>
      </c>
      <c r="F1557" s="4" t="inlineStr"/>
      <c r="G1557" s="4" t="inlineStr"/>
      <c r="H1557" s="4" t="inlineStr"/>
      <c r="I1557" s="5" t="n">
        <v>20.25</v>
      </c>
      <c r="J1557" s="6" t="n">
        <v>15</v>
      </c>
      <c r="K1557" s="7">
        <f>IF(I1557="","",I1557*(1+J1557/100))</f>
        <v/>
      </c>
      <c r="L1557" s="12" t="inlineStr"/>
      <c r="M1557" s="8">
        <f>IF(OR(L1557="",K1557="",L1557=0),"",
  (L1557-K1557)/L1557*100)</f>
        <v/>
      </c>
      <c r="N1557" s="14" t="n">
        <v>53</v>
      </c>
      <c r="O1557" s="4" t="inlineStr"/>
      <c r="P1557" s="4" t="inlineStr"/>
      <c r="Q1557" s="4" t="inlineStr"/>
      <c r="R1557" s="4" t="inlineStr">
        <is>
          <t>2026-03-12</t>
        </is>
      </c>
      <c r="S1557" s="4" t="inlineStr"/>
    </row>
    <row r="1558">
      <c r="A1558" s="10" t="inlineStr">
        <is>
          <t>F02029</t>
        </is>
      </c>
      <c r="B1558" s="10" t="inlineStr">
        <is>
          <t>F02029</t>
        </is>
      </c>
      <c r="C1558" s="10" t="inlineStr"/>
      <c r="D1558" s="10" t="inlineStr">
        <is>
          <t>700371708146</t>
        </is>
      </c>
      <c r="E1558" s="10" t="inlineStr">
        <is>
          <t>TEA COFFEE SUGAR CANNISTER BG/OT</t>
        </is>
      </c>
      <c r="F1558" s="10" t="inlineStr"/>
      <c r="G1558" s="10" t="inlineStr"/>
      <c r="H1558" s="10" t="inlineStr"/>
      <c r="I1558" s="11" t="n">
        <v>19.95</v>
      </c>
      <c r="J1558" s="6" t="n">
        <v>15</v>
      </c>
      <c r="K1558" s="7">
        <f>IF(I1558="","",I1558*(1+J1558/100))</f>
        <v/>
      </c>
      <c r="L1558" s="12" t="inlineStr"/>
      <c r="M1558" s="8">
        <f>IF(OR(L1558="",K1558="",L1558=0),"",
  (L1558-K1558)/L1558*100)</f>
        <v/>
      </c>
      <c r="N1558" s="9" t="inlineStr"/>
      <c r="O1558" s="10" t="inlineStr"/>
      <c r="P1558" s="10" t="inlineStr"/>
      <c r="Q1558" s="10" t="inlineStr"/>
      <c r="R1558" s="10" t="inlineStr">
        <is>
          <t>2026-03-12</t>
        </is>
      </c>
      <c r="S1558" s="10" t="inlineStr"/>
    </row>
    <row r="1559">
      <c r="A1559" s="3" t="inlineStr">
        <is>
          <t>F02030</t>
        </is>
      </c>
      <c r="B1559" s="4" t="inlineStr">
        <is>
          <t>F02030</t>
        </is>
      </c>
      <c r="C1559" s="4" t="inlineStr">
        <is>
          <t>10172</t>
        </is>
      </c>
      <c r="D1559" s="4" t="inlineStr">
        <is>
          <t>700083656209</t>
        </is>
      </c>
      <c r="E1559" s="3" t="inlineStr">
        <is>
          <t>TOILET BRUSH + BOWL SET sqr/round</t>
        </is>
      </c>
      <c r="F1559" s="4" t="inlineStr"/>
      <c r="G1559" s="4" t="inlineStr"/>
      <c r="H1559" s="4" t="inlineStr"/>
      <c r="I1559" s="5" t="n">
        <v>19.95</v>
      </c>
      <c r="J1559" s="6" t="n">
        <v>15</v>
      </c>
      <c r="K1559" s="7">
        <f>IF(I1559="","",I1559*(1+J1559/100))</f>
        <v/>
      </c>
      <c r="L1559" s="5" t="n">
        <v>200</v>
      </c>
      <c r="M1559" s="8">
        <f>IF(OR(L1559="",K1559="",L1559=0),"",
  (L1559-K1559)/L1559*100)</f>
        <v/>
      </c>
      <c r="N1559" s="14" t="n">
        <v>7</v>
      </c>
      <c r="O1559" s="4" t="inlineStr"/>
      <c r="P1559" s="4" t="inlineStr"/>
      <c r="Q1559" s="4" t="inlineStr"/>
      <c r="R1559" s="4" t="inlineStr">
        <is>
          <t>2026-03-12</t>
        </is>
      </c>
      <c r="S1559" s="4" t="inlineStr"/>
    </row>
    <row r="1560">
      <c r="A1560" s="10" t="inlineStr">
        <is>
          <t>F02031</t>
        </is>
      </c>
      <c r="B1560" s="10" t="inlineStr">
        <is>
          <t>F02031</t>
        </is>
      </c>
      <c r="C1560" s="10" t="inlineStr">
        <is>
          <t>9846</t>
        </is>
      </c>
      <c r="D1560" s="10" t="inlineStr">
        <is>
          <t>6904567021741</t>
        </is>
      </c>
      <c r="E1560" s="10" t="inlineStr">
        <is>
          <t>HANGERS 20'S ASSRTD</t>
        </is>
      </c>
      <c r="F1560" s="10" t="inlineStr"/>
      <c r="G1560" s="10" t="inlineStr"/>
      <c r="H1560" s="10" t="inlineStr"/>
      <c r="I1560" s="11" t="n">
        <v>25.95</v>
      </c>
      <c r="J1560" s="6" t="n">
        <v>15</v>
      </c>
      <c r="K1560" s="7">
        <f>IF(I1560="","",I1560*(1+J1560/100))</f>
        <v/>
      </c>
      <c r="L1560" s="11" t="n">
        <v>170</v>
      </c>
      <c r="M1560" s="8">
        <f>IF(OR(L1560="",K1560="",L1560=0),"",
  (L1560-K1560)/L1560*100)</f>
        <v/>
      </c>
      <c r="N1560" s="13" t="n">
        <v>142</v>
      </c>
      <c r="O1560" s="10" t="inlineStr"/>
      <c r="P1560" s="10" t="inlineStr"/>
      <c r="Q1560" s="10" t="inlineStr"/>
      <c r="R1560" s="10" t="inlineStr">
        <is>
          <t>2026-03-12</t>
        </is>
      </c>
      <c r="S1560" s="10" t="inlineStr"/>
    </row>
    <row r="1561">
      <c r="A1561" s="3" t="inlineStr">
        <is>
          <t>F02032</t>
        </is>
      </c>
      <c r="B1561" s="4" t="inlineStr">
        <is>
          <t>F02032</t>
        </is>
      </c>
      <c r="C1561" s="4" t="inlineStr">
        <is>
          <t>10055</t>
        </is>
      </c>
      <c r="D1561" s="4" t="inlineStr">
        <is>
          <t>6001023114518</t>
        </is>
      </c>
      <c r="E1561" s="3" t="inlineStr">
        <is>
          <t>LAMP HOLDER BATTEN NYLON LOOSE</t>
        </is>
      </c>
      <c r="F1561" s="4" t="inlineStr"/>
      <c r="G1561" s="4" t="inlineStr"/>
      <c r="H1561" s="4" t="inlineStr"/>
      <c r="I1561" s="5" t="n">
        <v>2.79</v>
      </c>
      <c r="J1561" s="6" t="n">
        <v>15</v>
      </c>
      <c r="K1561" s="7">
        <f>IF(I1561="","",I1561*(1+J1561/100))</f>
        <v/>
      </c>
      <c r="L1561" s="5" t="n">
        <v>150</v>
      </c>
      <c r="M1561" s="8">
        <f>IF(OR(L1561="",K1561="",L1561=0),"",
  (L1561-K1561)/L1561*100)</f>
        <v/>
      </c>
      <c r="N1561" s="14" t="n">
        <v>696</v>
      </c>
      <c r="O1561" s="4" t="inlineStr"/>
      <c r="P1561" s="4" t="inlineStr"/>
      <c r="Q1561" s="4" t="inlineStr"/>
      <c r="R1561" s="4" t="inlineStr">
        <is>
          <t>2026-03-12</t>
        </is>
      </c>
      <c r="S1561" s="4" t="inlineStr"/>
    </row>
    <row r="1562">
      <c r="A1562" s="10" t="inlineStr">
        <is>
          <t>F02033</t>
        </is>
      </c>
      <c r="B1562" s="10" t="inlineStr">
        <is>
          <t>F02033</t>
        </is>
      </c>
      <c r="C1562" s="10" t="inlineStr">
        <is>
          <t>10045</t>
        </is>
      </c>
      <c r="D1562" s="10" t="inlineStr">
        <is>
          <t>6009704001386</t>
        </is>
      </c>
      <c r="E1562" s="10" t="inlineStr">
        <is>
          <t>MULTI PLUG 3X3 PIN R33 REDISSON</t>
        </is>
      </c>
      <c r="F1562" s="10" t="inlineStr"/>
      <c r="G1562" s="10" t="inlineStr"/>
      <c r="H1562" s="10" t="inlineStr"/>
      <c r="I1562" s="11" t="n">
        <v>51.5</v>
      </c>
      <c r="J1562" s="6" t="n">
        <v>15</v>
      </c>
      <c r="K1562" s="7">
        <f>IF(I1562="","",I1562*(1+J1562/100))</f>
        <v/>
      </c>
      <c r="L1562" s="11" t="n">
        <v>200</v>
      </c>
      <c r="M1562" s="8">
        <f>IF(OR(L1562="",K1562="",L1562=0),"",
  (L1562-K1562)/L1562*100)</f>
        <v/>
      </c>
      <c r="N1562" s="13" t="n">
        <v>322</v>
      </c>
      <c r="O1562" s="10" t="inlineStr"/>
      <c r="P1562" s="10" t="inlineStr"/>
      <c r="Q1562" s="10" t="inlineStr"/>
      <c r="R1562" s="10" t="inlineStr">
        <is>
          <t>2026-03-12</t>
        </is>
      </c>
      <c r="S1562" s="10" t="inlineStr"/>
    </row>
    <row r="1563">
      <c r="A1563" s="3" t="inlineStr">
        <is>
          <t>F02034</t>
        </is>
      </c>
      <c r="B1563" s="4" t="inlineStr">
        <is>
          <t>F02034</t>
        </is>
      </c>
      <c r="C1563" s="4" t="inlineStr">
        <is>
          <t>24632</t>
        </is>
      </c>
      <c r="D1563" s="4" t="inlineStr">
        <is>
          <t>6009704660989</t>
        </is>
      </c>
      <c r="E1563" s="3" t="inlineStr">
        <is>
          <t>EXTENSION CORD ± 3MTR</t>
        </is>
      </c>
      <c r="F1563" s="4" t="inlineStr"/>
      <c r="G1563" s="4" t="inlineStr"/>
      <c r="H1563" s="4" t="inlineStr"/>
      <c r="I1563" s="5" t="n">
        <v>24.95</v>
      </c>
      <c r="J1563" s="6" t="n">
        <v>15</v>
      </c>
      <c r="K1563" s="7">
        <f>IF(I1563="","",I1563*(1+J1563/100))</f>
        <v/>
      </c>
      <c r="L1563" s="5" t="n">
        <v>65</v>
      </c>
      <c r="M1563" s="8">
        <f>IF(OR(L1563="",K1563="",L1563=0),"",
  (L1563-K1563)/L1563*100)</f>
        <v/>
      </c>
      <c r="N1563" s="14" t="n">
        <v>282</v>
      </c>
      <c r="O1563" s="4" t="inlineStr"/>
      <c r="P1563" s="4" t="inlineStr"/>
      <c r="Q1563" s="4" t="inlineStr"/>
      <c r="R1563" s="4" t="inlineStr">
        <is>
          <t>2026-03-12</t>
        </is>
      </c>
      <c r="S1563" s="4" t="inlineStr"/>
    </row>
    <row r="1564">
      <c r="A1564" s="10" t="inlineStr">
        <is>
          <t>F02035</t>
        </is>
      </c>
      <c r="B1564" s="10" t="inlineStr">
        <is>
          <t>F02035</t>
        </is>
      </c>
      <c r="C1564" s="10" t="inlineStr">
        <is>
          <t>24636</t>
        </is>
      </c>
      <c r="D1564" s="10" t="inlineStr">
        <is>
          <t>6009704660910</t>
        </is>
      </c>
      <c r="E1564" s="10" t="inlineStr">
        <is>
          <t>EXTENSION CORD ± 15MTR</t>
        </is>
      </c>
      <c r="F1564" s="10" t="inlineStr"/>
      <c r="G1564" s="10" t="inlineStr"/>
      <c r="H1564" s="10" t="inlineStr"/>
      <c r="I1564" s="11" t="n">
        <v>57.95</v>
      </c>
      <c r="J1564" s="6" t="n">
        <v>15</v>
      </c>
      <c r="K1564" s="7">
        <f>IF(I1564="","",I1564*(1+J1564/100))</f>
        <v/>
      </c>
      <c r="L1564" s="11" t="n">
        <v>120</v>
      </c>
      <c r="M1564" s="8">
        <f>IF(OR(L1564="",K1564="",L1564=0),"",
  (L1564-K1564)/L1564*100)</f>
        <v/>
      </c>
      <c r="N1564" s="13" t="n">
        <v>211</v>
      </c>
      <c r="O1564" s="10" t="inlineStr"/>
      <c r="P1564" s="10" t="inlineStr"/>
      <c r="Q1564" s="10" t="inlineStr"/>
      <c r="R1564" s="10" t="inlineStr">
        <is>
          <t>2026-03-12</t>
        </is>
      </c>
      <c r="S1564" s="10" t="inlineStr"/>
    </row>
    <row r="1565">
      <c r="A1565" s="3" t="inlineStr">
        <is>
          <t>F02036</t>
        </is>
      </c>
      <c r="B1565" s="4" t="inlineStr">
        <is>
          <t>F02036</t>
        </is>
      </c>
      <c r="C1565" s="4" t="inlineStr">
        <is>
          <t>24638</t>
        </is>
      </c>
      <c r="D1565" s="4" t="inlineStr">
        <is>
          <t>6009704661207</t>
        </is>
      </c>
      <c r="E1565" s="3" t="inlineStr">
        <is>
          <t>EXTENSION CORD ± 20MTR</t>
        </is>
      </c>
      <c r="F1565" s="4" t="inlineStr"/>
      <c r="G1565" s="4" t="inlineStr"/>
      <c r="H1565" s="4" t="inlineStr"/>
      <c r="I1565" s="5" t="n">
        <v>71.95</v>
      </c>
      <c r="J1565" s="6" t="n">
        <v>15</v>
      </c>
      <c r="K1565" s="7">
        <f>IF(I1565="","",I1565*(1+J1565/100))</f>
        <v/>
      </c>
      <c r="L1565" s="5" t="n">
        <v>190</v>
      </c>
      <c r="M1565" s="8">
        <f>IF(OR(L1565="",K1565="",L1565=0),"",
  (L1565-K1565)/L1565*100)</f>
        <v/>
      </c>
      <c r="N1565" s="14" t="n">
        <v>169</v>
      </c>
      <c r="O1565" s="4" t="inlineStr"/>
      <c r="P1565" s="4" t="inlineStr"/>
      <c r="Q1565" s="4" t="inlineStr"/>
      <c r="R1565" s="4" t="inlineStr">
        <is>
          <t>2026-03-12</t>
        </is>
      </c>
      <c r="S1565" s="4" t="inlineStr"/>
    </row>
    <row r="1566">
      <c r="A1566" s="10" t="inlineStr">
        <is>
          <t>F02037</t>
        </is>
      </c>
      <c r="B1566" s="10" t="inlineStr">
        <is>
          <t>F02037</t>
        </is>
      </c>
      <c r="C1566" s="10" t="inlineStr">
        <is>
          <t>10044</t>
        </is>
      </c>
      <c r="D1566" s="10" t="inlineStr">
        <is>
          <t>6009704000815</t>
        </is>
      </c>
      <c r="E1566" s="10" t="inlineStr">
        <is>
          <t>JANUS COUPLER RUBBER DOUBLE REDISSON</t>
        </is>
      </c>
      <c r="F1566" s="10" t="inlineStr"/>
      <c r="G1566" s="10" t="inlineStr"/>
      <c r="H1566" s="10" t="inlineStr"/>
      <c r="I1566" s="11" t="n">
        <v>16.99</v>
      </c>
      <c r="J1566" s="6" t="n">
        <v>15</v>
      </c>
      <c r="K1566" s="7">
        <f>IF(I1566="","",I1566*(1+J1566/100))</f>
        <v/>
      </c>
      <c r="L1566" s="11" t="n">
        <v>155</v>
      </c>
      <c r="M1566" s="8">
        <f>IF(OR(L1566="",K1566="",L1566=0),"",
  (L1566-K1566)/L1566*100)</f>
        <v/>
      </c>
      <c r="N1566" s="13" t="n">
        <v>2004</v>
      </c>
      <c r="O1566" s="10" t="inlineStr"/>
      <c r="P1566" s="10" t="inlineStr"/>
      <c r="Q1566" s="10" t="inlineStr"/>
      <c r="R1566" s="10" t="inlineStr">
        <is>
          <t>2026-03-12</t>
        </is>
      </c>
      <c r="S1566" s="10" t="inlineStr"/>
    </row>
    <row r="1567">
      <c r="A1567" s="3" t="inlineStr">
        <is>
          <t>F02038</t>
        </is>
      </c>
      <c r="B1567" s="4" t="inlineStr">
        <is>
          <t>F02038</t>
        </is>
      </c>
      <c r="C1567" s="4" t="inlineStr">
        <is>
          <t>10039</t>
        </is>
      </c>
      <c r="D1567" s="4" t="inlineStr">
        <is>
          <t>6009704000075</t>
        </is>
      </c>
      <c r="E1567" s="3" t="inlineStr">
        <is>
          <t>ADAPTOR R19 2X3 PIN</t>
        </is>
      </c>
      <c r="F1567" s="4" t="inlineStr"/>
      <c r="G1567" s="4" t="inlineStr"/>
      <c r="H1567" s="4" t="inlineStr"/>
      <c r="I1567" s="5" t="n">
        <v>18.95</v>
      </c>
      <c r="J1567" s="6" t="n">
        <v>15</v>
      </c>
      <c r="K1567" s="7">
        <f>IF(I1567="","",I1567*(1+J1567/100))</f>
        <v/>
      </c>
      <c r="L1567" s="5" t="n">
        <v>50</v>
      </c>
      <c r="M1567" s="8">
        <f>IF(OR(L1567="",K1567="",L1567=0),"",
  (L1567-K1567)/L1567*100)</f>
        <v/>
      </c>
      <c r="N1567" s="14" t="n">
        <v>171</v>
      </c>
      <c r="O1567" s="4" t="inlineStr"/>
      <c r="P1567" s="4" t="inlineStr"/>
      <c r="Q1567" s="4" t="inlineStr"/>
      <c r="R1567" s="4" t="inlineStr">
        <is>
          <t>2026-03-12</t>
        </is>
      </c>
      <c r="S1567" s="4" t="inlineStr"/>
    </row>
    <row r="1568">
      <c r="A1568" s="10" t="inlineStr">
        <is>
          <t>F02039</t>
        </is>
      </c>
      <c r="B1568" s="10" t="inlineStr">
        <is>
          <t>F02039</t>
        </is>
      </c>
      <c r="C1568" s="10" t="inlineStr">
        <is>
          <t>9755</t>
        </is>
      </c>
      <c r="D1568" s="10" t="inlineStr">
        <is>
          <t>6009704000839</t>
        </is>
      </c>
      <c r="E1568" s="10" t="inlineStr">
        <is>
          <t>ADAPTOR 1X2 PIN SQ R17 REDISSON 5'S</t>
        </is>
      </c>
      <c r="F1568" s="10" t="inlineStr"/>
      <c r="G1568" s="10" t="inlineStr"/>
      <c r="H1568" s="10" t="inlineStr"/>
      <c r="I1568" s="11" t="n">
        <v>31.95</v>
      </c>
      <c r="J1568" s="6" t="n">
        <v>15</v>
      </c>
      <c r="K1568" s="7">
        <f>IF(I1568="","",I1568*(1+J1568/100))</f>
        <v/>
      </c>
      <c r="L1568" s="11" t="n">
        <v>79</v>
      </c>
      <c r="M1568" s="8">
        <f>IF(OR(L1568="",K1568="",L1568=0),"",
  (L1568-K1568)/L1568*100)</f>
        <v/>
      </c>
      <c r="N1568" s="13" t="n">
        <v>113</v>
      </c>
      <c r="O1568" s="10" t="inlineStr"/>
      <c r="P1568" s="10" t="inlineStr"/>
      <c r="Q1568" s="10" t="inlineStr"/>
      <c r="R1568" s="10" t="inlineStr">
        <is>
          <t>2026-03-12</t>
        </is>
      </c>
      <c r="S1568" s="10" t="inlineStr"/>
    </row>
    <row r="1569">
      <c r="A1569" s="3" t="inlineStr">
        <is>
          <t>F02040</t>
        </is>
      </c>
      <c r="B1569" s="4" t="inlineStr">
        <is>
          <t>F02040</t>
        </is>
      </c>
      <c r="C1569" s="4" t="inlineStr">
        <is>
          <t>10040</t>
        </is>
      </c>
      <c r="D1569" s="4" t="inlineStr">
        <is>
          <t>6009540430371</t>
        </is>
      </c>
      <c r="E1569" s="3" t="inlineStr">
        <is>
          <t>ADAPTOR 1X3 PIN  2X2 PIN R21 REDISSON</t>
        </is>
      </c>
      <c r="F1569" s="4" t="inlineStr"/>
      <c r="G1569" s="4" t="inlineStr"/>
      <c r="H1569" s="4" t="inlineStr"/>
      <c r="I1569" s="5" t="n">
        <v>19.95</v>
      </c>
      <c r="J1569" s="6" t="n">
        <v>15</v>
      </c>
      <c r="K1569" s="7">
        <f>IF(I1569="","",I1569*(1+J1569/100))</f>
        <v/>
      </c>
      <c r="L1569" s="5" t="n">
        <v>79</v>
      </c>
      <c r="M1569" s="8">
        <f>IF(OR(L1569="",K1569="",L1569=0),"",
  (L1569-K1569)/L1569*100)</f>
        <v/>
      </c>
      <c r="N1569" s="14" t="n">
        <v>170</v>
      </c>
      <c r="O1569" s="4" t="inlineStr"/>
      <c r="P1569" s="4" t="inlineStr"/>
      <c r="Q1569" s="4" t="inlineStr"/>
      <c r="R1569" s="4" t="inlineStr">
        <is>
          <t>2026-03-12</t>
        </is>
      </c>
      <c r="S1569" s="4" t="inlineStr"/>
    </row>
    <row r="1570">
      <c r="A1570" s="10" t="inlineStr">
        <is>
          <t>F02041</t>
        </is>
      </c>
      <c r="B1570" s="10" t="inlineStr">
        <is>
          <t>F02041</t>
        </is>
      </c>
      <c r="C1570" s="10" t="inlineStr">
        <is>
          <t>10035</t>
        </is>
      </c>
      <c r="D1570" s="10" t="inlineStr">
        <is>
          <t>6009704000822</t>
        </is>
      </c>
      <c r="E1570" s="10" t="inlineStr">
        <is>
          <t>ADAPTOR 1X2 PIN RND R16 REDISSON 5'S</t>
        </is>
      </c>
      <c r="F1570" s="10" t="inlineStr"/>
      <c r="G1570" s="10" t="inlineStr"/>
      <c r="H1570" s="10" t="inlineStr"/>
      <c r="I1570" s="11" t="n">
        <v>31.95</v>
      </c>
      <c r="J1570" s="6" t="n">
        <v>15</v>
      </c>
      <c r="K1570" s="7">
        <f>IF(I1570="","",I1570*(1+J1570/100))</f>
        <v/>
      </c>
      <c r="L1570" s="11" t="n">
        <v>79</v>
      </c>
      <c r="M1570" s="8">
        <f>IF(OR(L1570="",K1570="",L1570=0),"",
  (L1570-K1570)/L1570*100)</f>
        <v/>
      </c>
      <c r="N1570" s="13" t="n">
        <v>32</v>
      </c>
      <c r="O1570" s="10" t="inlineStr"/>
      <c r="P1570" s="10" t="inlineStr"/>
      <c r="Q1570" s="10" t="inlineStr"/>
      <c r="R1570" s="10" t="inlineStr">
        <is>
          <t>2026-03-12</t>
        </is>
      </c>
      <c r="S1570" s="10" t="inlineStr"/>
    </row>
    <row r="1571">
      <c r="A1571" s="3" t="inlineStr">
        <is>
          <t>F02042</t>
        </is>
      </c>
      <c r="B1571" s="4" t="inlineStr">
        <is>
          <t>F02042</t>
        </is>
      </c>
      <c r="C1571" s="4" t="inlineStr">
        <is>
          <t>10036</t>
        </is>
      </c>
      <c r="D1571" s="4" t="inlineStr">
        <is>
          <t>6009704001362</t>
        </is>
      </c>
      <c r="E1571" s="3" t="inlineStr">
        <is>
          <t>ADAPTOR 1X EURO - 1X SUKO R18 REDISSON 5</t>
        </is>
      </c>
      <c r="F1571" s="4" t="inlineStr"/>
      <c r="G1571" s="4" t="inlineStr"/>
      <c r="H1571" s="4" t="inlineStr"/>
      <c r="I1571" s="5" t="n">
        <v>43.95</v>
      </c>
      <c r="J1571" s="6" t="n">
        <v>15</v>
      </c>
      <c r="K1571" s="7">
        <f>IF(I1571="","",I1571*(1+J1571/100))</f>
        <v/>
      </c>
      <c r="L1571" s="5" t="n">
        <v>99</v>
      </c>
      <c r="M1571" s="8">
        <f>IF(OR(L1571="",K1571="",L1571=0),"",
  (L1571-K1571)/L1571*100)</f>
        <v/>
      </c>
      <c r="N1571" s="9" t="inlineStr"/>
      <c r="O1571" s="4" t="inlineStr"/>
      <c r="P1571" s="4" t="inlineStr"/>
      <c r="Q1571" s="4" t="inlineStr"/>
      <c r="R1571" s="4" t="inlineStr">
        <is>
          <t>2026-03-12</t>
        </is>
      </c>
      <c r="S1571" s="4" t="inlineStr"/>
    </row>
    <row r="1572">
      <c r="A1572" s="10" t="inlineStr">
        <is>
          <t>F02043</t>
        </is>
      </c>
      <c r="B1572" s="10" t="inlineStr">
        <is>
          <t>F02043</t>
        </is>
      </c>
      <c r="C1572" s="10" t="inlineStr">
        <is>
          <t>10047</t>
        </is>
      </c>
      <c r="D1572" s="10" t="inlineStr">
        <is>
          <t>6009704001423</t>
        </is>
      </c>
      <c r="E1572" s="10" t="inlineStr">
        <is>
          <t>MULTI PLUG 5WAY R35 REDISSON</t>
        </is>
      </c>
      <c r="F1572" s="10" t="inlineStr"/>
      <c r="G1572" s="10" t="inlineStr"/>
      <c r="H1572" s="10" t="inlineStr"/>
      <c r="I1572" s="11" t="n">
        <v>64.5</v>
      </c>
      <c r="J1572" s="6" t="n">
        <v>15</v>
      </c>
      <c r="K1572" s="7">
        <f>IF(I1572="","",I1572*(1+J1572/100))</f>
        <v/>
      </c>
      <c r="L1572" s="11" t="n">
        <v>220</v>
      </c>
      <c r="M1572" s="8">
        <f>IF(OR(L1572="",K1572="",L1572=0),"",
  (L1572-K1572)/L1572*100)</f>
        <v/>
      </c>
      <c r="N1572" s="13" t="n">
        <v>230</v>
      </c>
      <c r="O1572" s="10" t="inlineStr"/>
      <c r="P1572" s="10" t="inlineStr"/>
      <c r="Q1572" s="10" t="inlineStr"/>
      <c r="R1572" s="10" t="inlineStr">
        <is>
          <t>2026-03-12</t>
        </is>
      </c>
      <c r="S1572" s="10" t="inlineStr"/>
    </row>
    <row r="1573">
      <c r="A1573" s="3" t="inlineStr">
        <is>
          <t>F02044</t>
        </is>
      </c>
      <c r="B1573" s="4" t="inlineStr">
        <is>
          <t>F02044</t>
        </is>
      </c>
      <c r="C1573" s="4" t="inlineStr">
        <is>
          <t>10046</t>
        </is>
      </c>
      <c r="D1573" s="4" t="inlineStr">
        <is>
          <t>6009704001409</t>
        </is>
      </c>
      <c r="E1573" s="3" t="inlineStr">
        <is>
          <t>MULTI PLUG 4WAY R34 REDISSON</t>
        </is>
      </c>
      <c r="F1573" s="4" t="inlineStr"/>
      <c r="G1573" s="4" t="inlineStr"/>
      <c r="H1573" s="4" t="inlineStr"/>
      <c r="I1573" s="5" t="n">
        <v>57.95</v>
      </c>
      <c r="J1573" s="6" t="n">
        <v>15</v>
      </c>
      <c r="K1573" s="7">
        <f>IF(I1573="","",I1573*(1+J1573/100))</f>
        <v/>
      </c>
      <c r="L1573" s="5" t="n">
        <v>240</v>
      </c>
      <c r="M1573" s="8">
        <f>IF(OR(L1573="",K1573="",L1573=0),"",
  (L1573-K1573)/L1573*100)</f>
        <v/>
      </c>
      <c r="N1573" s="14" t="n">
        <v>107</v>
      </c>
      <c r="O1573" s="4" t="inlineStr"/>
      <c r="P1573" s="4" t="inlineStr"/>
      <c r="Q1573" s="4" t="inlineStr"/>
      <c r="R1573" s="4" t="inlineStr">
        <is>
          <t>2026-03-12</t>
        </is>
      </c>
      <c r="S1573" s="4" t="inlineStr"/>
    </row>
    <row r="1574">
      <c r="A1574" s="10" t="inlineStr">
        <is>
          <t>F02045</t>
        </is>
      </c>
      <c r="B1574" s="10" t="inlineStr">
        <is>
          <t>F02045</t>
        </is>
      </c>
      <c r="C1574" s="10" t="inlineStr">
        <is>
          <t>10041</t>
        </is>
      </c>
      <c r="D1574" s="10" t="inlineStr">
        <is>
          <t>6009704000082</t>
        </is>
      </c>
      <c r="E1574" s="10" t="inlineStr">
        <is>
          <t>ADAPTOR 3X3 PIN R20 REDISSON</t>
        </is>
      </c>
      <c r="F1574" s="10" t="inlineStr"/>
      <c r="G1574" s="10" t="inlineStr"/>
      <c r="H1574" s="10" t="inlineStr"/>
      <c r="I1574" s="11" t="n">
        <v>24.5</v>
      </c>
      <c r="J1574" s="6" t="n">
        <v>15</v>
      </c>
      <c r="K1574" s="7">
        <f>IF(I1574="","",I1574*(1+J1574/100))</f>
        <v/>
      </c>
      <c r="L1574" s="11" t="n">
        <v>80</v>
      </c>
      <c r="M1574" s="8">
        <f>IF(OR(L1574="",K1574="",L1574=0),"",
  (L1574-K1574)/L1574*100)</f>
        <v/>
      </c>
      <c r="N1574" s="13" t="n">
        <v>259</v>
      </c>
      <c r="O1574" s="10" t="inlineStr"/>
      <c r="P1574" s="10" t="inlineStr"/>
      <c r="Q1574" s="10" t="inlineStr"/>
      <c r="R1574" s="10" t="inlineStr">
        <is>
          <t>2026-03-12</t>
        </is>
      </c>
      <c r="S1574" s="10" t="inlineStr"/>
    </row>
    <row r="1575">
      <c r="A1575" s="3" t="inlineStr">
        <is>
          <t>F02046</t>
        </is>
      </c>
      <c r="B1575" s="4" t="inlineStr">
        <is>
          <t>F02046</t>
        </is>
      </c>
      <c r="C1575" s="4" t="inlineStr">
        <is>
          <t>10042</t>
        </is>
      </c>
      <c r="D1575" s="4" t="inlineStr">
        <is>
          <t>6009704000198</t>
        </is>
      </c>
      <c r="E1575" s="3" t="inlineStr">
        <is>
          <t>ADAPTOR 2X3 PIN 2X2 PIN MO6A REDISSON</t>
        </is>
      </c>
      <c r="F1575" s="4" t="inlineStr"/>
      <c r="G1575" s="4" t="inlineStr"/>
      <c r="H1575" s="4" t="inlineStr"/>
      <c r="I1575" s="5" t="n">
        <v>25.95</v>
      </c>
      <c r="J1575" s="6" t="n">
        <v>15</v>
      </c>
      <c r="K1575" s="7">
        <f>IF(I1575="","",I1575*(1+J1575/100))</f>
        <v/>
      </c>
      <c r="L1575" s="5" t="n">
        <v>200</v>
      </c>
      <c r="M1575" s="8">
        <f>IF(OR(L1575="",K1575="",L1575=0),"",
  (L1575-K1575)/L1575*100)</f>
        <v/>
      </c>
      <c r="N1575" s="14" t="n">
        <v>192</v>
      </c>
      <c r="O1575" s="4" t="inlineStr"/>
      <c r="P1575" s="4" t="inlineStr"/>
      <c r="Q1575" s="4" t="inlineStr"/>
      <c r="R1575" s="4" t="inlineStr">
        <is>
          <t>2026-03-12</t>
        </is>
      </c>
      <c r="S1575" s="4" t="inlineStr"/>
    </row>
    <row r="1576">
      <c r="A1576" s="10" t="inlineStr">
        <is>
          <t>F02047</t>
        </is>
      </c>
      <c r="B1576" s="10" t="inlineStr">
        <is>
          <t>F02047</t>
        </is>
      </c>
      <c r="C1576" s="10" t="inlineStr">
        <is>
          <t>10048</t>
        </is>
      </c>
      <c r="D1576" s="10" t="inlineStr">
        <is>
          <t>6009704000174</t>
        </is>
      </c>
      <c r="E1576" s="10" t="inlineStr">
        <is>
          <t>MULTI PLUG 9 WAY REDISSON</t>
        </is>
      </c>
      <c r="F1576" s="10" t="inlineStr"/>
      <c r="G1576" s="10" t="inlineStr"/>
      <c r="H1576" s="10" t="inlineStr"/>
      <c r="I1576" s="11" t="n">
        <v>78.5</v>
      </c>
      <c r="J1576" s="6" t="n">
        <v>15</v>
      </c>
      <c r="K1576" s="7">
        <f>IF(I1576="","",I1576*(1+J1576/100))</f>
        <v/>
      </c>
      <c r="L1576" s="11" t="n">
        <v>250</v>
      </c>
      <c r="M1576" s="8">
        <f>IF(OR(L1576="",K1576="",L1576=0),"",
  (L1576-K1576)/L1576*100)</f>
        <v/>
      </c>
      <c r="N1576" s="13" t="n">
        <v>83</v>
      </c>
      <c r="O1576" s="10" t="inlineStr"/>
      <c r="P1576" s="10" t="inlineStr"/>
      <c r="Q1576" s="10" t="inlineStr"/>
      <c r="R1576" s="10" t="inlineStr">
        <is>
          <t>2026-03-12</t>
        </is>
      </c>
      <c r="S1576" s="10" t="inlineStr"/>
    </row>
    <row r="1577">
      <c r="A1577" s="3" t="inlineStr">
        <is>
          <t>F02048</t>
        </is>
      </c>
      <c r="B1577" s="4" t="inlineStr">
        <is>
          <t>F02048</t>
        </is>
      </c>
      <c r="C1577" s="4" t="inlineStr">
        <is>
          <t>10053</t>
        </is>
      </c>
      <c r="D1577" s="4" t="inlineStr">
        <is>
          <t>6009624151451</t>
        </is>
      </c>
      <c r="E1577" s="3" t="inlineStr">
        <is>
          <t>LAMP HOLDER BATTEN BRASS LOOSE</t>
        </is>
      </c>
      <c r="F1577" s="4" t="inlineStr"/>
      <c r="G1577" s="4" t="inlineStr"/>
      <c r="H1577" s="4" t="inlineStr"/>
      <c r="I1577" s="5" t="n">
        <v>10.95</v>
      </c>
      <c r="J1577" s="6" t="n">
        <v>15</v>
      </c>
      <c r="K1577" s="7">
        <f>IF(I1577="","",I1577*(1+J1577/100))</f>
        <v/>
      </c>
      <c r="L1577" s="5" t="n">
        <v>170</v>
      </c>
      <c r="M1577" s="8">
        <f>IF(OR(L1577="",K1577="",L1577=0),"",
  (L1577-K1577)/L1577*100)</f>
        <v/>
      </c>
      <c r="N1577" s="14" t="n">
        <v>1244</v>
      </c>
      <c r="O1577" s="4" t="inlineStr"/>
      <c r="P1577" s="4" t="inlineStr"/>
      <c r="Q1577" s="4" t="inlineStr"/>
      <c r="R1577" s="4" t="inlineStr">
        <is>
          <t>2026-03-12</t>
        </is>
      </c>
      <c r="S1577" s="4" t="inlineStr"/>
    </row>
    <row r="1578">
      <c r="A1578" s="10" t="inlineStr">
        <is>
          <t>F02049</t>
        </is>
      </c>
      <c r="B1578" s="10" t="inlineStr">
        <is>
          <t>F02049</t>
        </is>
      </c>
      <c r="C1578" s="10" t="inlineStr"/>
      <c r="D1578" s="10" t="inlineStr">
        <is>
          <t>6971419772298</t>
        </is>
      </c>
      <c r="E1578" s="10" t="inlineStr">
        <is>
          <t>FLOOD LIGHT LED 200W TYSON</t>
        </is>
      </c>
      <c r="F1578" s="10" t="inlineStr"/>
      <c r="G1578" s="10" t="inlineStr"/>
      <c r="H1578" s="10" t="inlineStr"/>
      <c r="I1578" s="11" t="n">
        <v>439</v>
      </c>
      <c r="J1578" s="6" t="n">
        <v>15</v>
      </c>
      <c r="K1578" s="7">
        <f>IF(I1578="","",I1578*(1+J1578/100))</f>
        <v/>
      </c>
      <c r="L1578" s="12" t="inlineStr"/>
      <c r="M1578" s="8">
        <f>IF(OR(L1578="",K1578="",L1578=0),"",
  (L1578-K1578)/L1578*100)</f>
        <v/>
      </c>
      <c r="N1578" s="13" t="n">
        <v>54</v>
      </c>
      <c r="O1578" s="10" t="inlineStr"/>
      <c r="P1578" s="10" t="inlineStr"/>
      <c r="Q1578" s="10" t="inlineStr"/>
      <c r="R1578" s="10" t="inlineStr">
        <is>
          <t>2026-03-12</t>
        </is>
      </c>
      <c r="S1578" s="10" t="inlineStr"/>
    </row>
    <row r="1579">
      <c r="A1579" s="3" t="inlineStr">
        <is>
          <t>F02050</t>
        </is>
      </c>
      <c r="B1579" s="4" t="inlineStr">
        <is>
          <t>F02050</t>
        </is>
      </c>
      <c r="C1579" s="4" t="inlineStr"/>
      <c r="D1579" s="4" t="inlineStr">
        <is>
          <t>6971419772281</t>
        </is>
      </c>
      <c r="E1579" s="3" t="inlineStr">
        <is>
          <t>FLOOD LIGHT LED 100W TYSON</t>
        </is>
      </c>
      <c r="F1579" s="4" t="inlineStr"/>
      <c r="G1579" s="4" t="inlineStr"/>
      <c r="H1579" s="4" t="inlineStr"/>
      <c r="I1579" s="5" t="n">
        <v>199</v>
      </c>
      <c r="J1579" s="6" t="n">
        <v>15</v>
      </c>
      <c r="K1579" s="7">
        <f>IF(I1579="","",I1579*(1+J1579/100))</f>
        <v/>
      </c>
      <c r="L1579" s="12" t="inlineStr"/>
      <c r="M1579" s="8">
        <f>IF(OR(L1579="",K1579="",L1579=0),"",
  (L1579-K1579)/L1579*100)</f>
        <v/>
      </c>
      <c r="N1579" s="14" t="n">
        <v>80</v>
      </c>
      <c r="O1579" s="4" t="inlineStr"/>
      <c r="P1579" s="4" t="inlineStr"/>
      <c r="Q1579" s="4" t="inlineStr"/>
      <c r="R1579" s="4" t="inlineStr">
        <is>
          <t>2026-03-12</t>
        </is>
      </c>
      <c r="S1579" s="4" t="inlineStr"/>
    </row>
    <row r="1580">
      <c r="A1580" s="10" t="inlineStr">
        <is>
          <t>F02051</t>
        </is>
      </c>
      <c r="B1580" s="10" t="inlineStr">
        <is>
          <t>F02051</t>
        </is>
      </c>
      <c r="C1580" s="10" t="inlineStr"/>
      <c r="D1580" s="10" t="inlineStr">
        <is>
          <t>6971419772274</t>
        </is>
      </c>
      <c r="E1580" s="10" t="inlineStr">
        <is>
          <t>FLOOD LIGHT LED 50W TYSON</t>
        </is>
      </c>
      <c r="F1580" s="10" t="inlineStr"/>
      <c r="G1580" s="10" t="inlineStr"/>
      <c r="H1580" s="10" t="inlineStr"/>
      <c r="I1580" s="11" t="n">
        <v>112</v>
      </c>
      <c r="J1580" s="6" t="n">
        <v>15</v>
      </c>
      <c r="K1580" s="7">
        <f>IF(I1580="","",I1580*(1+J1580/100))</f>
        <v/>
      </c>
      <c r="L1580" s="12" t="inlineStr"/>
      <c r="M1580" s="8">
        <f>IF(OR(L1580="",K1580="",L1580=0),"",
  (L1580-K1580)/L1580*100)</f>
        <v/>
      </c>
      <c r="N1580" s="13" t="n">
        <v>93</v>
      </c>
      <c r="O1580" s="10" t="inlineStr"/>
      <c r="P1580" s="10" t="inlineStr"/>
      <c r="Q1580" s="10" t="inlineStr"/>
      <c r="R1580" s="10" t="inlineStr">
        <is>
          <t>2026-03-12</t>
        </is>
      </c>
      <c r="S1580" s="10" t="inlineStr"/>
    </row>
    <row r="1581">
      <c r="A1581" s="3" t="inlineStr">
        <is>
          <t>F02052</t>
        </is>
      </c>
      <c r="B1581" s="4" t="inlineStr">
        <is>
          <t>F02052</t>
        </is>
      </c>
      <c r="C1581" s="4" t="inlineStr"/>
      <c r="D1581" s="4" t="inlineStr">
        <is>
          <t>6971419772267</t>
        </is>
      </c>
      <c r="E1581" s="3" t="inlineStr">
        <is>
          <t>FLOOD LIGHT LED 30W TYSON</t>
        </is>
      </c>
      <c r="F1581" s="4" t="inlineStr"/>
      <c r="G1581" s="4" t="inlineStr"/>
      <c r="H1581" s="4" t="inlineStr"/>
      <c r="I1581" s="5" t="n">
        <v>79.95</v>
      </c>
      <c r="J1581" s="6" t="n">
        <v>15</v>
      </c>
      <c r="K1581" s="7">
        <f>IF(I1581="","",I1581*(1+J1581/100))</f>
        <v/>
      </c>
      <c r="L1581" s="12" t="inlineStr"/>
      <c r="M1581" s="8">
        <f>IF(OR(L1581="",K1581="",L1581=0),"",
  (L1581-K1581)/L1581*100)</f>
        <v/>
      </c>
      <c r="N1581" s="14" t="n">
        <v>91</v>
      </c>
      <c r="O1581" s="4" t="inlineStr"/>
      <c r="P1581" s="4" t="inlineStr"/>
      <c r="Q1581" s="4" t="inlineStr"/>
      <c r="R1581" s="4" t="inlineStr">
        <is>
          <t>2026-03-12</t>
        </is>
      </c>
      <c r="S1581" s="4" t="inlineStr"/>
    </row>
    <row r="1582">
      <c r="A1582" s="10" t="inlineStr">
        <is>
          <t>F02053</t>
        </is>
      </c>
      <c r="B1582" s="10" t="inlineStr">
        <is>
          <t>F02053</t>
        </is>
      </c>
      <c r="C1582" s="10" t="inlineStr"/>
      <c r="D1582" s="10" t="inlineStr">
        <is>
          <t>6971419772250</t>
        </is>
      </c>
      <c r="E1582" s="10" t="inlineStr">
        <is>
          <t>FLOOD LIGHT LED 20W TYSON</t>
        </is>
      </c>
      <c r="F1582" s="10" t="inlineStr"/>
      <c r="G1582" s="10" t="inlineStr"/>
      <c r="H1582" s="10" t="inlineStr"/>
      <c r="I1582" s="11" t="n">
        <v>60.5</v>
      </c>
      <c r="J1582" s="6" t="n">
        <v>15</v>
      </c>
      <c r="K1582" s="7">
        <f>IF(I1582="","",I1582*(1+J1582/100))</f>
        <v/>
      </c>
      <c r="L1582" s="12" t="inlineStr"/>
      <c r="M1582" s="8">
        <f>IF(OR(L1582="",K1582="",L1582=0),"",
  (L1582-K1582)/L1582*100)</f>
        <v/>
      </c>
      <c r="N1582" s="13" t="n">
        <v>84</v>
      </c>
      <c r="O1582" s="10" t="inlineStr"/>
      <c r="P1582" s="10" t="inlineStr"/>
      <c r="Q1582" s="10" t="inlineStr"/>
      <c r="R1582" s="10" t="inlineStr">
        <is>
          <t>2026-03-12</t>
        </is>
      </c>
      <c r="S1582" s="10" t="inlineStr"/>
    </row>
    <row r="1583">
      <c r="A1583" s="3" t="inlineStr">
        <is>
          <t>F02054</t>
        </is>
      </c>
      <c r="B1583" s="4" t="inlineStr">
        <is>
          <t>F02054</t>
        </is>
      </c>
      <c r="C1583" s="4" t="inlineStr"/>
      <c r="D1583" s="4" t="inlineStr">
        <is>
          <t>6971419775893</t>
        </is>
      </c>
      <c r="E1583" s="3" t="inlineStr">
        <is>
          <t>FLOOD LIGHT LED 10W TYSON</t>
        </is>
      </c>
      <c r="F1583" s="4" t="inlineStr"/>
      <c r="G1583" s="4" t="inlineStr"/>
      <c r="H1583" s="4" t="inlineStr"/>
      <c r="I1583" s="5" t="n">
        <v>40.5</v>
      </c>
      <c r="J1583" s="6" t="n">
        <v>15</v>
      </c>
      <c r="K1583" s="7">
        <f>IF(I1583="","",I1583*(1+J1583/100))</f>
        <v/>
      </c>
      <c r="L1583" s="12" t="inlineStr"/>
      <c r="M1583" s="8">
        <f>IF(OR(L1583="",K1583="",L1583=0),"",
  (L1583-K1583)/L1583*100)</f>
        <v/>
      </c>
      <c r="N1583" s="14" t="n">
        <v>46</v>
      </c>
      <c r="O1583" s="4" t="inlineStr"/>
      <c r="P1583" s="4" t="inlineStr"/>
      <c r="Q1583" s="4" t="inlineStr"/>
      <c r="R1583" s="4" t="inlineStr">
        <is>
          <t>2026-03-12</t>
        </is>
      </c>
      <c r="S1583" s="4" t="inlineStr"/>
    </row>
    <row r="1584">
      <c r="A1584" s="10" t="inlineStr">
        <is>
          <t>F02055</t>
        </is>
      </c>
      <c r="B1584" s="10" t="inlineStr">
        <is>
          <t>F02055</t>
        </is>
      </c>
      <c r="C1584" s="10" t="inlineStr"/>
      <c r="D1584" s="10" t="inlineStr">
        <is>
          <t>6971419770355</t>
        </is>
      </c>
      <c r="E1584" s="10" t="inlineStr">
        <is>
          <t>LAMP HOLDER GALLERY 6" PORC PIN B22 LOOS</t>
        </is>
      </c>
      <c r="F1584" s="10" t="inlineStr"/>
      <c r="G1584" s="10" t="inlineStr"/>
      <c r="H1584" s="10" t="inlineStr"/>
      <c r="I1584" s="11" t="n">
        <v>12.99</v>
      </c>
      <c r="J1584" s="6" t="n">
        <v>15</v>
      </c>
      <c r="K1584" s="7">
        <f>IF(I1584="","",I1584*(1+J1584/100))</f>
        <v/>
      </c>
      <c r="L1584" s="12" t="inlineStr"/>
      <c r="M1584" s="8">
        <f>IF(OR(L1584="",K1584="",L1584=0),"",
  (L1584-K1584)/L1584*100)</f>
        <v/>
      </c>
      <c r="N1584" s="13" t="n">
        <v>3</v>
      </c>
      <c r="O1584" s="10" t="inlineStr"/>
      <c r="P1584" s="10" t="inlineStr"/>
      <c r="Q1584" s="10" t="inlineStr"/>
      <c r="R1584" s="10" t="inlineStr">
        <is>
          <t>2026-03-12</t>
        </is>
      </c>
      <c r="S1584" s="10" t="inlineStr"/>
    </row>
    <row r="1585">
      <c r="A1585" s="3" t="inlineStr">
        <is>
          <t>F02056</t>
        </is>
      </c>
      <c r="B1585" s="4" t="inlineStr">
        <is>
          <t>F02056</t>
        </is>
      </c>
      <c r="C1585" s="4" t="inlineStr">
        <is>
          <t>10043</t>
        </is>
      </c>
      <c r="D1585" s="4" t="inlineStr">
        <is>
          <t>6971419770218</t>
        </is>
      </c>
      <c r="E1585" s="3" t="inlineStr">
        <is>
          <t>PLUG 3 PIN RUBBER TYSON</t>
        </is>
      </c>
      <c r="F1585" s="4" t="inlineStr"/>
      <c r="G1585" s="4" t="inlineStr"/>
      <c r="H1585" s="4" t="inlineStr"/>
      <c r="I1585" s="5" t="n">
        <v>10.79</v>
      </c>
      <c r="J1585" s="6" t="n">
        <v>15</v>
      </c>
      <c r="K1585" s="7">
        <f>IF(I1585="","",I1585*(1+J1585/100))</f>
        <v/>
      </c>
      <c r="L1585" s="5" t="n">
        <v>160</v>
      </c>
      <c r="M1585" s="8">
        <f>IF(OR(L1585="",K1585="",L1585=0),"",
  (L1585-K1585)/L1585*100)</f>
        <v/>
      </c>
      <c r="N1585" s="14" t="n">
        <v>2</v>
      </c>
      <c r="O1585" s="4" t="inlineStr"/>
      <c r="P1585" s="4" t="inlineStr"/>
      <c r="Q1585" s="4" t="inlineStr"/>
      <c r="R1585" s="4" t="inlineStr">
        <is>
          <t>2026-03-12</t>
        </is>
      </c>
      <c r="S1585" s="4" t="inlineStr"/>
    </row>
    <row r="1586">
      <c r="A1586" s="10" t="inlineStr">
        <is>
          <t>F02057</t>
        </is>
      </c>
      <c r="B1586" s="10" t="inlineStr">
        <is>
          <t>F02057</t>
        </is>
      </c>
      <c r="C1586" s="10" t="inlineStr">
        <is>
          <t>10087</t>
        </is>
      </c>
      <c r="D1586" s="10" t="inlineStr">
        <is>
          <t>6971419770584</t>
        </is>
      </c>
      <c r="E1586" s="10" t="inlineStr">
        <is>
          <t>GLOBE LED F POWER A60 5W B22 PIN TYSON 1</t>
        </is>
      </c>
      <c r="F1586" s="10" t="inlineStr"/>
      <c r="G1586" s="10" t="inlineStr"/>
      <c r="H1586" s="10" t="inlineStr"/>
      <c r="I1586" s="11" t="n">
        <v>79.95</v>
      </c>
      <c r="J1586" s="6" t="n">
        <v>15</v>
      </c>
      <c r="K1586" s="7">
        <f>IF(I1586="","",I1586*(1+J1586/100))</f>
        <v/>
      </c>
      <c r="L1586" s="11" t="n">
        <v>220</v>
      </c>
      <c r="M1586" s="8">
        <f>IF(OR(L1586="",K1586="",L1586=0),"",
  (L1586-K1586)/L1586*100)</f>
        <v/>
      </c>
      <c r="N1586" s="13" t="n">
        <v>238</v>
      </c>
      <c r="O1586" s="10" t="inlineStr"/>
      <c r="P1586" s="10" t="inlineStr"/>
      <c r="Q1586" s="10" t="inlineStr"/>
      <c r="R1586" s="10" t="inlineStr">
        <is>
          <t>2026-03-12</t>
        </is>
      </c>
      <c r="S1586" s="10" t="inlineStr"/>
    </row>
    <row r="1587">
      <c r="A1587" s="3" t="inlineStr">
        <is>
          <t>F02058</t>
        </is>
      </c>
      <c r="B1587" s="4" t="inlineStr">
        <is>
          <t>F02058</t>
        </is>
      </c>
      <c r="C1587" s="4" t="inlineStr">
        <is>
          <t>10264</t>
        </is>
      </c>
      <c r="D1587" s="4" t="inlineStr">
        <is>
          <t>6971419772052</t>
        </is>
      </c>
      <c r="E1587" s="3" t="inlineStr">
        <is>
          <t>GLOBE LED F A60 5W E27 SCREW TYSON 10s</t>
        </is>
      </c>
      <c r="F1587" s="4" t="inlineStr"/>
      <c r="G1587" s="4" t="inlineStr"/>
      <c r="H1587" s="4" t="inlineStr"/>
      <c r="I1587" s="5" t="n">
        <v>79.95</v>
      </c>
      <c r="J1587" s="6" t="n">
        <v>15</v>
      </c>
      <c r="K1587" s="7">
        <f>IF(I1587="","",I1587*(1+J1587/100))</f>
        <v/>
      </c>
      <c r="L1587" s="5" t="n">
        <v>250</v>
      </c>
      <c r="M1587" s="8">
        <f>IF(OR(L1587="",K1587="",L1587=0),"",
  (L1587-K1587)/L1587*100)</f>
        <v/>
      </c>
      <c r="N1587" s="14" t="n">
        <v>167</v>
      </c>
      <c r="O1587" s="4" t="inlineStr"/>
      <c r="P1587" s="4" t="inlineStr"/>
      <c r="Q1587" s="4" t="inlineStr"/>
      <c r="R1587" s="4" t="inlineStr">
        <is>
          <t>2026-03-12</t>
        </is>
      </c>
      <c r="S1587" s="4" t="inlineStr"/>
    </row>
    <row r="1588">
      <c r="A1588" s="10" t="inlineStr">
        <is>
          <t>F02059</t>
        </is>
      </c>
      <c r="B1588" s="10" t="inlineStr">
        <is>
          <t>F02059</t>
        </is>
      </c>
      <c r="C1588" s="10" t="inlineStr">
        <is>
          <t>10089</t>
        </is>
      </c>
      <c r="D1588" s="10" t="inlineStr">
        <is>
          <t>6971419770591</t>
        </is>
      </c>
      <c r="E1588" s="10" t="inlineStr">
        <is>
          <t>GLOBE LED F POWER A60 7W B22 PIN TYSON</t>
        </is>
      </c>
      <c r="F1588" s="10" t="inlineStr"/>
      <c r="G1588" s="10" t="inlineStr"/>
      <c r="H1588" s="10" t="inlineStr"/>
      <c r="I1588" s="11" t="n">
        <v>8.99</v>
      </c>
      <c r="J1588" s="6" t="n">
        <v>15</v>
      </c>
      <c r="K1588" s="7">
        <f>IF(I1588="","",I1588*(1+J1588/100))</f>
        <v/>
      </c>
      <c r="L1588" s="11" t="n">
        <v>30</v>
      </c>
      <c r="M1588" s="8">
        <f>IF(OR(L1588="",K1588="",L1588=0),"",
  (L1588-K1588)/L1588*100)</f>
        <v/>
      </c>
      <c r="N1588" s="13" t="n">
        <v>366</v>
      </c>
      <c r="O1588" s="10" t="inlineStr"/>
      <c r="P1588" s="10" t="inlineStr"/>
      <c r="Q1588" s="10" t="inlineStr"/>
      <c r="R1588" s="10" t="inlineStr">
        <is>
          <t>2026-03-12</t>
        </is>
      </c>
      <c r="S1588" s="10" t="inlineStr"/>
    </row>
    <row r="1589">
      <c r="A1589" s="3" t="inlineStr">
        <is>
          <t>F02060</t>
        </is>
      </c>
      <c r="B1589" s="4" t="inlineStr">
        <is>
          <t>F02060</t>
        </is>
      </c>
      <c r="C1589" s="4" t="inlineStr">
        <is>
          <t>10088</t>
        </is>
      </c>
      <c r="D1589" s="4" t="inlineStr">
        <is>
          <t>6971419772069</t>
        </is>
      </c>
      <c r="E1589" s="3" t="inlineStr">
        <is>
          <t>GLOBE LED FPOWER A60 7W E27 SCREW TYS 10</t>
        </is>
      </c>
      <c r="F1589" s="4" t="inlineStr"/>
      <c r="G1589" s="4" t="inlineStr"/>
      <c r="H1589" s="4" t="inlineStr"/>
      <c r="I1589" s="5" t="n">
        <v>89.95</v>
      </c>
      <c r="J1589" s="6" t="n">
        <v>15</v>
      </c>
      <c r="K1589" s="7">
        <f>IF(I1589="","",I1589*(1+J1589/100))</f>
        <v/>
      </c>
      <c r="L1589" s="5" t="n">
        <v>230</v>
      </c>
      <c r="M1589" s="8">
        <f>IF(OR(L1589="",K1589="",L1589=0),"",
  (L1589-K1589)/L1589*100)</f>
        <v/>
      </c>
      <c r="N1589" s="14" t="n">
        <v>361</v>
      </c>
      <c r="O1589" s="4" t="inlineStr"/>
      <c r="P1589" s="4" t="inlineStr"/>
      <c r="Q1589" s="4" t="inlineStr"/>
      <c r="R1589" s="4" t="inlineStr">
        <is>
          <t>2026-03-12</t>
        </is>
      </c>
      <c r="S1589" s="4" t="inlineStr"/>
    </row>
    <row r="1590">
      <c r="A1590" s="10" t="inlineStr">
        <is>
          <t>F02061</t>
        </is>
      </c>
      <c r="B1590" s="10" t="inlineStr">
        <is>
          <t>F02061</t>
        </is>
      </c>
      <c r="C1590" s="10" t="inlineStr">
        <is>
          <t>10265</t>
        </is>
      </c>
      <c r="D1590" s="10" t="inlineStr">
        <is>
          <t>6971419770607</t>
        </is>
      </c>
      <c r="E1590" s="10" t="inlineStr">
        <is>
          <t>GLOBE LED F A60 9W B22 PIN TYSON 10s</t>
        </is>
      </c>
      <c r="F1590" s="10" t="inlineStr"/>
      <c r="G1590" s="10" t="inlineStr"/>
      <c r="H1590" s="10" t="inlineStr"/>
      <c r="I1590" s="11" t="n">
        <v>102</v>
      </c>
      <c r="J1590" s="6" t="n">
        <v>15</v>
      </c>
      <c r="K1590" s="7">
        <f>IF(I1590="","",I1590*(1+J1590/100))</f>
        <v/>
      </c>
      <c r="L1590" s="11" t="n">
        <v>270</v>
      </c>
      <c r="M1590" s="8">
        <f>IF(OR(L1590="",K1590="",L1590=0),"",
  (L1590-K1590)/L1590*100)</f>
        <v/>
      </c>
      <c r="N1590" s="9" t="inlineStr"/>
      <c r="O1590" s="10" t="inlineStr"/>
      <c r="P1590" s="10" t="inlineStr"/>
      <c r="Q1590" s="10" t="inlineStr"/>
      <c r="R1590" s="10" t="inlineStr">
        <is>
          <t>2026-03-12</t>
        </is>
      </c>
      <c r="S1590" s="10" t="inlineStr"/>
    </row>
    <row r="1591">
      <c r="A1591" s="3" t="inlineStr">
        <is>
          <t>F02062</t>
        </is>
      </c>
      <c r="B1591" s="4" t="inlineStr">
        <is>
          <t>F02062</t>
        </is>
      </c>
      <c r="C1591" s="4" t="inlineStr">
        <is>
          <t>10090</t>
        </is>
      </c>
      <c r="D1591" s="4" t="inlineStr">
        <is>
          <t>6971419772076</t>
        </is>
      </c>
      <c r="E1591" s="3" t="inlineStr">
        <is>
          <t>GLOBE LED F POWER A60 9W E27 SCREW TYSON</t>
        </is>
      </c>
      <c r="F1591" s="4" t="inlineStr"/>
      <c r="G1591" s="4" t="inlineStr"/>
      <c r="H1591" s="4" t="inlineStr"/>
      <c r="I1591" s="5" t="n">
        <v>102</v>
      </c>
      <c r="J1591" s="6" t="n">
        <v>15</v>
      </c>
      <c r="K1591" s="7">
        <f>IF(I1591="","",I1591*(1+J1591/100))</f>
        <v/>
      </c>
      <c r="L1591" s="5" t="n">
        <v>295</v>
      </c>
      <c r="M1591" s="8">
        <f>IF(OR(L1591="",K1591="",L1591=0),"",
  (L1591-K1591)/L1591*100)</f>
        <v/>
      </c>
      <c r="N1591" s="14" t="n">
        <v>255</v>
      </c>
      <c r="O1591" s="4" t="inlineStr"/>
      <c r="P1591" s="4" t="inlineStr"/>
      <c r="Q1591" s="4" t="inlineStr"/>
      <c r="R1591" s="4" t="inlineStr">
        <is>
          <t>2026-03-12</t>
        </is>
      </c>
      <c r="S1591" s="4" t="inlineStr"/>
    </row>
    <row r="1592">
      <c r="A1592" s="10" t="inlineStr">
        <is>
          <t>F02063</t>
        </is>
      </c>
      <c r="B1592" s="10" t="inlineStr">
        <is>
          <t>F02063</t>
        </is>
      </c>
      <c r="C1592" s="10" t="inlineStr">
        <is>
          <t>10065</t>
        </is>
      </c>
      <c r="D1592" s="10" t="inlineStr">
        <is>
          <t>6971419770164</t>
        </is>
      </c>
      <c r="E1592" s="10" t="inlineStr">
        <is>
          <t>FLUORESCENT TUBE LAMP 16W 2PIN 2D</t>
        </is>
      </c>
      <c r="F1592" s="10" t="inlineStr"/>
      <c r="G1592" s="10" t="inlineStr"/>
      <c r="H1592" s="10" t="inlineStr"/>
      <c r="I1592" s="11" t="n">
        <v>22.95</v>
      </c>
      <c r="J1592" s="6" t="n">
        <v>15</v>
      </c>
      <c r="K1592" s="7">
        <f>IF(I1592="","",I1592*(1+J1592/100))</f>
        <v/>
      </c>
      <c r="L1592" s="11" t="n">
        <v>45</v>
      </c>
      <c r="M1592" s="8">
        <f>IF(OR(L1592="",K1592="",L1592=0),"",
  (L1592-K1592)/L1592*100)</f>
        <v/>
      </c>
      <c r="N1592" s="13" t="n">
        <v>1</v>
      </c>
      <c r="O1592" s="10" t="inlineStr"/>
      <c r="P1592" s="10" t="inlineStr"/>
      <c r="Q1592" s="10" t="inlineStr"/>
      <c r="R1592" s="10" t="inlineStr">
        <is>
          <t>2026-03-12</t>
        </is>
      </c>
      <c r="S1592" s="10" t="inlineStr"/>
    </row>
    <row r="1593">
      <c r="A1593" s="3" t="inlineStr">
        <is>
          <t>F02064</t>
        </is>
      </c>
      <c r="B1593" s="4" t="inlineStr">
        <is>
          <t>F02064</t>
        </is>
      </c>
      <c r="C1593" s="4" t="inlineStr">
        <is>
          <t>9999</t>
        </is>
      </c>
      <c r="D1593" s="4" t="inlineStr">
        <is>
          <t>6971419773257</t>
        </is>
      </c>
      <c r="E1593" s="3" t="inlineStr">
        <is>
          <t>C/BREAKER A10 DIN RAIL WHT RAYTRIC</t>
        </is>
      </c>
      <c r="F1593" s="4" t="inlineStr"/>
      <c r="G1593" s="4" t="inlineStr"/>
      <c r="H1593" s="4" t="inlineStr"/>
      <c r="I1593" s="5" t="n">
        <v>18.5</v>
      </c>
      <c r="J1593" s="6" t="n">
        <v>15</v>
      </c>
      <c r="K1593" s="7">
        <f>IF(I1593="","",I1593*(1+J1593/100))</f>
        <v/>
      </c>
      <c r="L1593" s="5" t="n">
        <v>140</v>
      </c>
      <c r="M1593" s="8">
        <f>IF(OR(L1593="",K1593="",L1593=0),"",
  (L1593-K1593)/L1593*100)</f>
        <v/>
      </c>
      <c r="N1593" s="14" t="n">
        <v>187</v>
      </c>
      <c r="O1593" s="4" t="inlineStr"/>
      <c r="P1593" s="4" t="inlineStr"/>
      <c r="Q1593" s="4" t="inlineStr"/>
      <c r="R1593" s="4" t="inlineStr">
        <is>
          <t>2026-03-12</t>
        </is>
      </c>
      <c r="S1593" s="4" t="inlineStr"/>
    </row>
    <row r="1594">
      <c r="A1594" s="10" t="inlineStr">
        <is>
          <t>F02065</t>
        </is>
      </c>
      <c r="B1594" s="10" t="inlineStr">
        <is>
          <t>F02065</t>
        </is>
      </c>
      <c r="C1594" s="10" t="inlineStr">
        <is>
          <t>10000</t>
        </is>
      </c>
      <c r="D1594" s="10" t="inlineStr">
        <is>
          <t>6971419773851</t>
        </is>
      </c>
      <c r="E1594" s="10" t="inlineStr">
        <is>
          <t>C/BREAKER A20 DIN RAIL WHT RAYTRIC</t>
        </is>
      </c>
      <c r="F1594" s="10" t="inlineStr"/>
      <c r="G1594" s="10" t="inlineStr"/>
      <c r="H1594" s="10" t="inlineStr"/>
      <c r="I1594" s="11" t="n">
        <v>18.5</v>
      </c>
      <c r="J1594" s="6" t="n">
        <v>15</v>
      </c>
      <c r="K1594" s="7">
        <f>IF(I1594="","",I1594*(1+J1594/100))</f>
        <v/>
      </c>
      <c r="L1594" s="11" t="n">
        <v>150</v>
      </c>
      <c r="M1594" s="8">
        <f>IF(OR(L1594="",K1594="",L1594=0),"",
  (L1594-K1594)/L1594*100)</f>
        <v/>
      </c>
      <c r="N1594" s="13" t="n">
        <v>109</v>
      </c>
      <c r="O1594" s="10" t="inlineStr"/>
      <c r="P1594" s="10" t="inlineStr"/>
      <c r="Q1594" s="10" t="inlineStr"/>
      <c r="R1594" s="10" t="inlineStr">
        <is>
          <t>2026-03-12</t>
        </is>
      </c>
      <c r="S1594" s="10" t="inlineStr"/>
    </row>
    <row r="1595">
      <c r="A1595" s="3" t="inlineStr">
        <is>
          <t>F02066</t>
        </is>
      </c>
      <c r="B1595" s="4" t="inlineStr">
        <is>
          <t>F02066</t>
        </is>
      </c>
      <c r="C1595" s="4" t="inlineStr">
        <is>
          <t>10001</t>
        </is>
      </c>
      <c r="D1595" s="4" t="inlineStr">
        <is>
          <t>6009655346017</t>
        </is>
      </c>
      <c r="E1595" s="3" t="inlineStr">
        <is>
          <t>C/BREAKER A25 DIN RAIL WHT RAYTRIC</t>
        </is>
      </c>
      <c r="F1595" s="4" t="inlineStr"/>
      <c r="G1595" s="4" t="inlineStr"/>
      <c r="H1595" s="4" t="inlineStr"/>
      <c r="I1595" s="5" t="n">
        <v>18.5</v>
      </c>
      <c r="J1595" s="6" t="n">
        <v>15</v>
      </c>
      <c r="K1595" s="7">
        <f>IF(I1595="","",I1595*(1+J1595/100))</f>
        <v/>
      </c>
      <c r="L1595" s="5" t="n">
        <v>160</v>
      </c>
      <c r="M1595" s="8">
        <f>IF(OR(L1595="",K1595="",L1595=0),"",
  (L1595-K1595)/L1595*100)</f>
        <v/>
      </c>
      <c r="N1595" s="14" t="n">
        <v>58</v>
      </c>
      <c r="O1595" s="4" t="inlineStr"/>
      <c r="P1595" s="4" t="inlineStr"/>
      <c r="Q1595" s="4" t="inlineStr"/>
      <c r="R1595" s="4" t="inlineStr">
        <is>
          <t>2026-03-12</t>
        </is>
      </c>
      <c r="S1595" s="4" t="inlineStr"/>
    </row>
    <row r="1596">
      <c r="A1596" s="10" t="inlineStr">
        <is>
          <t>F02067</t>
        </is>
      </c>
      <c r="B1596" s="10" t="inlineStr">
        <is>
          <t>F02067</t>
        </is>
      </c>
      <c r="C1596" s="10" t="inlineStr">
        <is>
          <t>10002</t>
        </is>
      </c>
      <c r="D1596" s="10" t="inlineStr">
        <is>
          <t>6971419773783</t>
        </is>
      </c>
      <c r="E1596" s="10" t="inlineStr">
        <is>
          <t>C/BREAKER A32 DIN RAIL WHT RAYTRIC</t>
        </is>
      </c>
      <c r="F1596" s="10" t="inlineStr"/>
      <c r="G1596" s="10" t="inlineStr"/>
      <c r="H1596" s="10" t="inlineStr"/>
      <c r="I1596" s="11" t="n">
        <v>19.95</v>
      </c>
      <c r="J1596" s="6" t="n">
        <v>15</v>
      </c>
      <c r="K1596" s="7">
        <f>IF(I1596="","",I1596*(1+J1596/100))</f>
        <v/>
      </c>
      <c r="L1596" s="11" t="n">
        <v>170</v>
      </c>
      <c r="M1596" s="8">
        <f>IF(OR(L1596="",K1596="",L1596=0),"",
  (L1596-K1596)/L1596*100)</f>
        <v/>
      </c>
      <c r="N1596" s="13" t="n">
        <v>68</v>
      </c>
      <c r="O1596" s="10" t="inlineStr"/>
      <c r="P1596" s="10" t="inlineStr"/>
      <c r="Q1596" s="10" t="inlineStr"/>
      <c r="R1596" s="10" t="inlineStr">
        <is>
          <t>2026-03-12</t>
        </is>
      </c>
      <c r="S1596" s="10" t="inlineStr"/>
    </row>
    <row r="1597">
      <c r="A1597" s="3" t="inlineStr">
        <is>
          <t>F02068</t>
        </is>
      </c>
      <c r="B1597" s="4" t="inlineStr">
        <is>
          <t>F02068</t>
        </is>
      </c>
      <c r="C1597" s="4" t="inlineStr">
        <is>
          <t>10003</t>
        </is>
      </c>
      <c r="D1597" s="4" t="inlineStr">
        <is>
          <t>6971419773554</t>
        </is>
      </c>
      <c r="E1597" s="3" t="inlineStr">
        <is>
          <t>C/BREAKER A40 DIN RAIL WHT RAYTRIC</t>
        </is>
      </c>
      <c r="F1597" s="4" t="inlineStr"/>
      <c r="G1597" s="4" t="inlineStr"/>
      <c r="H1597" s="4" t="inlineStr"/>
      <c r="I1597" s="5" t="n">
        <v>19.95</v>
      </c>
      <c r="J1597" s="6" t="n">
        <v>15</v>
      </c>
      <c r="K1597" s="7">
        <f>IF(I1597="","",I1597*(1+J1597/100))</f>
        <v/>
      </c>
      <c r="L1597" s="5" t="n">
        <v>145</v>
      </c>
      <c r="M1597" s="8">
        <f>IF(OR(L1597="",K1597="",L1597=0),"",
  (L1597-K1597)/L1597*100)</f>
        <v/>
      </c>
      <c r="N1597" s="14" t="n">
        <v>34</v>
      </c>
      <c r="O1597" s="4" t="inlineStr"/>
      <c r="P1597" s="4" t="inlineStr"/>
      <c r="Q1597" s="4" t="inlineStr"/>
      <c r="R1597" s="4" t="inlineStr">
        <is>
          <t>2026-03-12</t>
        </is>
      </c>
      <c r="S1597" s="4" t="inlineStr"/>
    </row>
    <row r="1598">
      <c r="A1598" s="10" t="inlineStr">
        <is>
          <t>F02069</t>
        </is>
      </c>
      <c r="B1598" s="10" t="inlineStr">
        <is>
          <t>F02069</t>
        </is>
      </c>
      <c r="C1598" s="10" t="inlineStr">
        <is>
          <t>10004</t>
        </is>
      </c>
      <c r="D1598" s="10" t="inlineStr">
        <is>
          <t>6971419773561</t>
        </is>
      </c>
      <c r="E1598" s="10" t="inlineStr">
        <is>
          <t>C/BREAKER A50 DIN RAIL WHT RAYTRIC</t>
        </is>
      </c>
      <c r="F1598" s="10" t="inlineStr"/>
      <c r="G1598" s="10" t="inlineStr"/>
      <c r="H1598" s="10" t="inlineStr"/>
      <c r="I1598" s="11" t="n">
        <v>19.95</v>
      </c>
      <c r="J1598" s="6" t="n">
        <v>15</v>
      </c>
      <c r="K1598" s="7">
        <f>IF(I1598="","",I1598*(1+J1598/100))</f>
        <v/>
      </c>
      <c r="L1598" s="11" t="n">
        <v>150</v>
      </c>
      <c r="M1598" s="8">
        <f>IF(OR(L1598="",K1598="",L1598=0),"",
  (L1598-K1598)/L1598*100)</f>
        <v/>
      </c>
      <c r="N1598" s="13" t="n">
        <v>148</v>
      </c>
      <c r="O1598" s="10" t="inlineStr"/>
      <c r="P1598" s="10" t="inlineStr"/>
      <c r="Q1598" s="10" t="inlineStr"/>
      <c r="R1598" s="10" t="inlineStr">
        <is>
          <t>2026-03-12</t>
        </is>
      </c>
      <c r="S1598" s="10" t="inlineStr"/>
    </row>
    <row r="1599">
      <c r="A1599" s="3" t="inlineStr">
        <is>
          <t>F02070</t>
        </is>
      </c>
      <c r="B1599" s="4" t="inlineStr">
        <is>
          <t>F02070</t>
        </is>
      </c>
      <c r="C1599" s="4" t="inlineStr"/>
      <c r="D1599" s="4" t="inlineStr">
        <is>
          <t>6971419773660</t>
        </is>
      </c>
      <c r="E1599" s="3" t="inlineStr">
        <is>
          <t>C/BREAKER A63 DIN RAIL WHT RAYTRIC</t>
        </is>
      </c>
      <c r="F1599" s="4" t="inlineStr"/>
      <c r="G1599" s="4" t="inlineStr"/>
      <c r="H1599" s="4" t="inlineStr"/>
      <c r="I1599" s="5" t="n">
        <v>19.95</v>
      </c>
      <c r="J1599" s="6" t="n">
        <v>15</v>
      </c>
      <c r="K1599" s="7">
        <f>IF(I1599="","",I1599*(1+J1599/100))</f>
        <v/>
      </c>
      <c r="L1599" s="12" t="inlineStr"/>
      <c r="M1599" s="8">
        <f>IF(OR(L1599="",K1599="",L1599=0),"",
  (L1599-K1599)/L1599*100)</f>
        <v/>
      </c>
      <c r="N1599" s="14" t="n">
        <v>75</v>
      </c>
      <c r="O1599" s="4" t="inlineStr"/>
      <c r="P1599" s="4" t="inlineStr"/>
      <c r="Q1599" s="4" t="inlineStr"/>
      <c r="R1599" s="4" t="inlineStr">
        <is>
          <t>2026-03-12</t>
        </is>
      </c>
      <c r="S1599" s="4" t="inlineStr"/>
    </row>
    <row r="1600">
      <c r="A1600" s="10" t="inlineStr">
        <is>
          <t>F02071</t>
        </is>
      </c>
      <c r="B1600" s="10" t="inlineStr">
        <is>
          <t>F02071</t>
        </is>
      </c>
      <c r="C1600" s="10" t="inlineStr">
        <is>
          <t>10067</t>
        </is>
      </c>
      <c r="D1600" s="10" t="inlineStr">
        <is>
          <t>6971419775459</t>
        </is>
      </c>
      <c r="E1600" s="10" t="inlineStr">
        <is>
          <t>EARTH LEAKAGE A63 2P DIN RAIL WHT RAYTRI</t>
        </is>
      </c>
      <c r="F1600" s="10" t="inlineStr"/>
      <c r="G1600" s="10" t="inlineStr"/>
      <c r="H1600" s="10" t="inlineStr"/>
      <c r="I1600" s="11" t="n">
        <v>128.95</v>
      </c>
      <c r="J1600" s="6" t="n">
        <v>15</v>
      </c>
      <c r="K1600" s="7">
        <f>IF(I1600="","",I1600*(1+J1600/100))</f>
        <v/>
      </c>
      <c r="L1600" s="11" t="n">
        <v>230</v>
      </c>
      <c r="M1600" s="8">
        <f>IF(OR(L1600="",K1600="",L1600=0),"",
  (L1600-K1600)/L1600*100)</f>
        <v/>
      </c>
      <c r="N1600" s="13" t="n">
        <v>101</v>
      </c>
      <c r="O1600" s="10" t="inlineStr"/>
      <c r="P1600" s="10" t="inlineStr"/>
      <c r="Q1600" s="10" t="inlineStr"/>
      <c r="R1600" s="10" t="inlineStr">
        <is>
          <t>2026-03-12</t>
        </is>
      </c>
      <c r="S1600" s="10" t="inlineStr"/>
    </row>
    <row r="1601">
      <c r="A1601" s="3" t="inlineStr">
        <is>
          <t>F02072</t>
        </is>
      </c>
      <c r="B1601" s="4" t="inlineStr">
        <is>
          <t>F02072</t>
        </is>
      </c>
      <c r="C1601" s="4" t="inlineStr">
        <is>
          <t>9895</t>
        </is>
      </c>
      <c r="D1601" s="4" t="inlineStr">
        <is>
          <t>6971419772229</t>
        </is>
      </c>
      <c r="E1601" s="3" t="inlineStr">
        <is>
          <t>C/BREAKER A10 MINI RAIL BLK RAYTRIC</t>
        </is>
      </c>
      <c r="F1601" s="4" t="inlineStr"/>
      <c r="G1601" s="4" t="inlineStr"/>
      <c r="H1601" s="4" t="inlineStr"/>
      <c r="I1601" s="5" t="n">
        <v>21.95</v>
      </c>
      <c r="J1601" s="6" t="n">
        <v>15</v>
      </c>
      <c r="K1601" s="7">
        <f>IF(I1601="","",I1601*(1+J1601/100))</f>
        <v/>
      </c>
      <c r="L1601" s="5" t="n">
        <v>135</v>
      </c>
      <c r="M1601" s="8">
        <f>IF(OR(L1601="",K1601="",L1601=0),"",
  (L1601-K1601)/L1601*100)</f>
        <v/>
      </c>
      <c r="N1601" s="14" t="n">
        <v>120</v>
      </c>
      <c r="O1601" s="4" t="inlineStr"/>
      <c r="P1601" s="4" t="inlineStr"/>
      <c r="Q1601" s="4" t="inlineStr"/>
      <c r="R1601" s="4" t="inlineStr">
        <is>
          <t>2026-03-12</t>
        </is>
      </c>
      <c r="S1601" s="4" t="inlineStr"/>
    </row>
    <row r="1602">
      <c r="A1602" s="10" t="inlineStr">
        <is>
          <t>F02073</t>
        </is>
      </c>
      <c r="B1602" s="10" t="inlineStr">
        <is>
          <t>F02073</t>
        </is>
      </c>
      <c r="C1602" s="10" t="inlineStr">
        <is>
          <t>9896</t>
        </is>
      </c>
      <c r="D1602" s="10" t="inlineStr">
        <is>
          <t>6971419777453</t>
        </is>
      </c>
      <c r="E1602" s="10" t="inlineStr">
        <is>
          <t>C/BREAKER A20 MINI RAIL BLK RAYTRIC</t>
        </is>
      </c>
      <c r="F1602" s="10" t="inlineStr"/>
      <c r="G1602" s="10" t="inlineStr"/>
      <c r="H1602" s="10" t="inlineStr"/>
      <c r="I1602" s="11" t="n">
        <v>21.95</v>
      </c>
      <c r="J1602" s="6" t="n">
        <v>15</v>
      </c>
      <c r="K1602" s="7">
        <f>IF(I1602="","",I1602*(1+J1602/100))</f>
        <v/>
      </c>
      <c r="L1602" s="11" t="n">
        <v>145</v>
      </c>
      <c r="M1602" s="8">
        <f>IF(OR(L1602="",K1602="",L1602=0),"",
  (L1602-K1602)/L1602*100)</f>
        <v/>
      </c>
      <c r="N1602" s="13" t="n">
        <v>61</v>
      </c>
      <c r="O1602" s="10" t="inlineStr"/>
      <c r="P1602" s="10" t="inlineStr"/>
      <c r="Q1602" s="10" t="inlineStr"/>
      <c r="R1602" s="10" t="inlineStr">
        <is>
          <t>2026-03-12</t>
        </is>
      </c>
      <c r="S1602" s="10" t="inlineStr"/>
    </row>
    <row r="1603">
      <c r="A1603" s="3" t="inlineStr">
        <is>
          <t>F02074</t>
        </is>
      </c>
      <c r="B1603" s="4" t="inlineStr">
        <is>
          <t>F02074</t>
        </is>
      </c>
      <c r="C1603" s="4" t="inlineStr">
        <is>
          <t>9897</t>
        </is>
      </c>
      <c r="D1603" s="4" t="inlineStr">
        <is>
          <t>6971419775473</t>
        </is>
      </c>
      <c r="E1603" s="3" t="inlineStr">
        <is>
          <t>C/BREAKER A25 MINI RAIL BLK RAYTRIC</t>
        </is>
      </c>
      <c r="F1603" s="4" t="inlineStr"/>
      <c r="G1603" s="4" t="inlineStr"/>
      <c r="H1603" s="4" t="inlineStr"/>
      <c r="I1603" s="5" t="n">
        <v>21.95</v>
      </c>
      <c r="J1603" s="6" t="n">
        <v>15</v>
      </c>
      <c r="K1603" s="7">
        <f>IF(I1603="","",I1603*(1+J1603/100))</f>
        <v/>
      </c>
      <c r="L1603" s="5" t="n">
        <v>155</v>
      </c>
      <c r="M1603" s="8">
        <f>IF(OR(L1603="",K1603="",L1603=0),"",
  (L1603-K1603)/L1603*100)</f>
        <v/>
      </c>
      <c r="N1603" s="14" t="n">
        <v>124</v>
      </c>
      <c r="O1603" s="4" t="inlineStr"/>
      <c r="P1603" s="4" t="inlineStr"/>
      <c r="Q1603" s="4" t="inlineStr"/>
      <c r="R1603" s="4" t="inlineStr">
        <is>
          <t>2026-03-12</t>
        </is>
      </c>
      <c r="S1603" s="4" t="inlineStr"/>
    </row>
    <row r="1604">
      <c r="A1604" s="10" t="inlineStr">
        <is>
          <t>F02075</t>
        </is>
      </c>
      <c r="B1604" s="10" t="inlineStr">
        <is>
          <t>F02075</t>
        </is>
      </c>
      <c r="C1604" s="10" t="inlineStr">
        <is>
          <t>9898</t>
        </is>
      </c>
      <c r="D1604" s="10" t="inlineStr">
        <is>
          <t>6971419777415</t>
        </is>
      </c>
      <c r="E1604" s="10" t="inlineStr">
        <is>
          <t>C/BREAKER A32 MINI RAIL BLK RAYTRIC</t>
        </is>
      </c>
      <c r="F1604" s="10" t="inlineStr"/>
      <c r="G1604" s="10" t="inlineStr"/>
      <c r="H1604" s="10" t="inlineStr"/>
      <c r="I1604" s="11" t="n">
        <v>21.95</v>
      </c>
      <c r="J1604" s="6" t="n">
        <v>15</v>
      </c>
      <c r="K1604" s="7">
        <f>IF(I1604="","",I1604*(1+J1604/100))</f>
        <v/>
      </c>
      <c r="L1604" s="11" t="n">
        <v>165</v>
      </c>
      <c r="M1604" s="8">
        <f>IF(OR(L1604="",K1604="",L1604=0),"",
  (L1604-K1604)/L1604*100)</f>
        <v/>
      </c>
      <c r="N1604" s="13" t="n">
        <v>52</v>
      </c>
      <c r="O1604" s="10" t="inlineStr"/>
      <c r="P1604" s="10" t="inlineStr"/>
      <c r="Q1604" s="10" t="inlineStr"/>
      <c r="R1604" s="10" t="inlineStr">
        <is>
          <t>2026-03-12</t>
        </is>
      </c>
      <c r="S1604" s="10" t="inlineStr"/>
    </row>
    <row r="1605">
      <c r="A1605" s="3" t="inlineStr">
        <is>
          <t>F02076</t>
        </is>
      </c>
      <c r="B1605" s="4" t="inlineStr">
        <is>
          <t>F02076</t>
        </is>
      </c>
      <c r="C1605" s="4" t="inlineStr">
        <is>
          <t>9899</t>
        </is>
      </c>
      <c r="D1605" s="4" t="inlineStr">
        <is>
          <t>6971419774179</t>
        </is>
      </c>
      <c r="E1605" s="3" t="inlineStr">
        <is>
          <t>C/BREAKER A40 MINI RAIL BLK RAYTRIC</t>
        </is>
      </c>
      <c r="F1605" s="4" t="inlineStr"/>
      <c r="G1605" s="4" t="inlineStr"/>
      <c r="H1605" s="4" t="inlineStr"/>
      <c r="I1605" s="5" t="n">
        <v>28.95</v>
      </c>
      <c r="J1605" s="6" t="n">
        <v>15</v>
      </c>
      <c r="K1605" s="7">
        <f>IF(I1605="","",I1605*(1+J1605/100))</f>
        <v/>
      </c>
      <c r="L1605" s="5" t="n">
        <v>175</v>
      </c>
      <c r="M1605" s="8">
        <f>IF(OR(L1605="",K1605="",L1605=0),"",
  (L1605-K1605)/L1605*100)</f>
        <v/>
      </c>
      <c r="N1605" s="14" t="n">
        <v>108</v>
      </c>
      <c r="O1605" s="4" t="inlineStr"/>
      <c r="P1605" s="4" t="inlineStr"/>
      <c r="Q1605" s="4" t="inlineStr"/>
      <c r="R1605" s="4" t="inlineStr">
        <is>
          <t>2026-03-12</t>
        </is>
      </c>
      <c r="S1605" s="4" t="inlineStr"/>
    </row>
    <row r="1606">
      <c r="A1606" s="10" t="inlineStr">
        <is>
          <t>F02077</t>
        </is>
      </c>
      <c r="B1606" s="10" t="inlineStr">
        <is>
          <t>F02077</t>
        </is>
      </c>
      <c r="C1606" s="10" t="inlineStr">
        <is>
          <t>9900</t>
        </is>
      </c>
      <c r="D1606" s="10" t="inlineStr">
        <is>
          <t>6971419777439</t>
        </is>
      </c>
      <c r="E1606" s="10" t="inlineStr">
        <is>
          <t>C/BREAKER A50 MINI RAIL BLK RAYTRIC</t>
        </is>
      </c>
      <c r="F1606" s="10" t="inlineStr"/>
      <c r="G1606" s="10" t="inlineStr"/>
      <c r="H1606" s="10" t="inlineStr"/>
      <c r="I1606" s="11" t="n">
        <v>28.95</v>
      </c>
      <c r="J1606" s="6" t="n">
        <v>15</v>
      </c>
      <c r="K1606" s="7">
        <f>IF(I1606="","",I1606*(1+J1606/100))</f>
        <v/>
      </c>
      <c r="L1606" s="11" t="n">
        <v>185</v>
      </c>
      <c r="M1606" s="8">
        <f>IF(OR(L1606="",K1606="",L1606=0),"",
  (L1606-K1606)/L1606*100)</f>
        <v/>
      </c>
      <c r="N1606" s="13" t="n">
        <v>109</v>
      </c>
      <c r="O1606" s="10" t="inlineStr"/>
      <c r="P1606" s="10" t="inlineStr"/>
      <c r="Q1606" s="10" t="inlineStr"/>
      <c r="R1606" s="10" t="inlineStr">
        <is>
          <t>2026-03-12</t>
        </is>
      </c>
      <c r="S1606" s="10" t="inlineStr"/>
    </row>
    <row r="1607">
      <c r="A1607" s="3" t="inlineStr">
        <is>
          <t>F02078</t>
        </is>
      </c>
      <c r="B1607" s="4" t="inlineStr">
        <is>
          <t>F02078</t>
        </is>
      </c>
      <c r="C1607" s="4" t="inlineStr">
        <is>
          <t>18789</t>
        </is>
      </c>
      <c r="D1607" s="4" t="inlineStr">
        <is>
          <t>6971419777361</t>
        </is>
      </c>
      <c r="E1607" s="3" t="inlineStr">
        <is>
          <t>C/BREAKER A63 MINI RAIL BLK RAYTRIC</t>
        </is>
      </c>
      <c r="F1607" s="4" t="inlineStr"/>
      <c r="G1607" s="4" t="inlineStr"/>
      <c r="H1607" s="4" t="inlineStr"/>
      <c r="I1607" s="5" t="n">
        <v>28.95</v>
      </c>
      <c r="J1607" s="6" t="n">
        <v>15</v>
      </c>
      <c r="K1607" s="7">
        <f>IF(I1607="","",I1607*(1+J1607/100))</f>
        <v/>
      </c>
      <c r="L1607" s="5" t="n">
        <v>185</v>
      </c>
      <c r="M1607" s="8">
        <f>IF(OR(L1607="",K1607="",L1607=0),"",
  (L1607-K1607)/L1607*100)</f>
        <v/>
      </c>
      <c r="N1607" s="14" t="n">
        <v>132</v>
      </c>
      <c r="O1607" s="4" t="inlineStr"/>
      <c r="P1607" s="4" t="inlineStr"/>
      <c r="Q1607" s="4" t="inlineStr"/>
      <c r="R1607" s="4" t="inlineStr">
        <is>
          <t>2026-03-12</t>
        </is>
      </c>
      <c r="S1607" s="4" t="inlineStr"/>
    </row>
    <row r="1608">
      <c r="A1608" s="10" t="inlineStr">
        <is>
          <t>F02079</t>
        </is>
      </c>
      <c r="B1608" s="10" t="inlineStr">
        <is>
          <t>F02079</t>
        </is>
      </c>
      <c r="C1608" s="10" t="inlineStr">
        <is>
          <t>10066</t>
        </is>
      </c>
      <c r="D1608" s="10" t="inlineStr">
        <is>
          <t>6971419773264</t>
        </is>
      </c>
      <c r="E1608" s="10" t="inlineStr">
        <is>
          <t>EARTH LEAKAGE A63 2P MINI RAIL BLK RAYTR</t>
        </is>
      </c>
      <c r="F1608" s="10" t="inlineStr"/>
      <c r="G1608" s="10" t="inlineStr"/>
      <c r="H1608" s="10" t="inlineStr"/>
      <c r="I1608" s="11" t="n">
        <v>149.95</v>
      </c>
      <c r="J1608" s="6" t="n">
        <v>15</v>
      </c>
      <c r="K1608" s="7">
        <f>IF(I1608="","",I1608*(1+J1608/100))</f>
        <v/>
      </c>
      <c r="L1608" s="11" t="n">
        <v>270</v>
      </c>
      <c r="M1608" s="8">
        <f>IF(OR(L1608="",K1608="",L1608=0),"",
  (L1608-K1608)/L1608*100)</f>
        <v/>
      </c>
      <c r="N1608" s="13" t="n">
        <v>132</v>
      </c>
      <c r="O1608" s="10" t="inlineStr"/>
      <c r="P1608" s="10" t="inlineStr"/>
      <c r="Q1608" s="10" t="inlineStr"/>
      <c r="R1608" s="10" t="inlineStr">
        <is>
          <t>2026-03-12</t>
        </is>
      </c>
      <c r="S1608" s="10" t="inlineStr"/>
    </row>
    <row r="1609">
      <c r="A1609" s="3" t="inlineStr">
        <is>
          <t>F02080</t>
        </is>
      </c>
      <c r="B1609" s="4" t="inlineStr">
        <is>
          <t>F02080</t>
        </is>
      </c>
      <c r="C1609" s="4" t="inlineStr">
        <is>
          <t>9578</t>
        </is>
      </c>
      <c r="D1609" s="4" t="inlineStr">
        <is>
          <t>6009540439275</t>
        </is>
      </c>
      <c r="E1609" s="3" t="inlineStr">
        <is>
          <t>ADAPTOR 1X3 PIN 2X2 PIN R09 REDISSON</t>
        </is>
      </c>
      <c r="F1609" s="4" t="inlineStr"/>
      <c r="G1609" s="4" t="inlineStr"/>
      <c r="H1609" s="4" t="inlineStr"/>
      <c r="I1609" s="5" t="n">
        <v>13.95</v>
      </c>
      <c r="J1609" s="6" t="n">
        <v>15</v>
      </c>
      <c r="K1609" s="7">
        <f>IF(I1609="","",I1609*(1+J1609/100))</f>
        <v/>
      </c>
      <c r="L1609" s="5" t="n">
        <v>170</v>
      </c>
      <c r="M1609" s="8">
        <f>IF(OR(L1609="",K1609="",L1609=0),"",
  (L1609-K1609)/L1609*100)</f>
        <v/>
      </c>
      <c r="N1609" s="14" t="n">
        <v>72</v>
      </c>
      <c r="O1609" s="4" t="inlineStr"/>
      <c r="P1609" s="4" t="inlineStr"/>
      <c r="Q1609" s="4" t="inlineStr"/>
      <c r="R1609" s="4" t="inlineStr">
        <is>
          <t>2026-03-12</t>
        </is>
      </c>
      <c r="S1609" s="4" t="inlineStr"/>
    </row>
    <row r="1610">
      <c r="A1610" s="10" t="inlineStr">
        <is>
          <t>F02081</t>
        </is>
      </c>
      <c r="B1610" s="10" t="inlineStr">
        <is>
          <t>F02081</t>
        </is>
      </c>
      <c r="C1610" s="10" t="inlineStr"/>
      <c r="D1610" s="10" t="inlineStr">
        <is>
          <t>6009540439305</t>
        </is>
      </c>
      <c r="E1610" s="10" t="inlineStr">
        <is>
          <t>ADAPTOR 3X2 PIN R24 REDISSON</t>
        </is>
      </c>
      <c r="F1610" s="10" t="inlineStr"/>
      <c r="G1610" s="10" t="inlineStr"/>
      <c r="H1610" s="10" t="inlineStr"/>
      <c r="I1610" s="11" t="n">
        <v>12.5</v>
      </c>
      <c r="J1610" s="6" t="n">
        <v>15</v>
      </c>
      <c r="K1610" s="7">
        <f>IF(I1610="","",I1610*(1+J1610/100))</f>
        <v/>
      </c>
      <c r="L1610" s="12" t="inlineStr"/>
      <c r="M1610" s="8">
        <f>IF(OR(L1610="",K1610="",L1610=0),"",
  (L1610-K1610)/L1610*100)</f>
        <v/>
      </c>
      <c r="N1610" s="13" t="n">
        <v>159</v>
      </c>
      <c r="O1610" s="10" t="inlineStr"/>
      <c r="P1610" s="10" t="inlineStr"/>
      <c r="Q1610" s="10" t="inlineStr"/>
      <c r="R1610" s="10" t="inlineStr">
        <is>
          <t>2026-03-12</t>
        </is>
      </c>
      <c r="S1610" s="10" t="inlineStr"/>
    </row>
    <row r="1611">
      <c r="A1611" s="3" t="inlineStr">
        <is>
          <t>F02082</t>
        </is>
      </c>
      <c r="B1611" s="4" t="inlineStr">
        <is>
          <t>F02082</t>
        </is>
      </c>
      <c r="C1611" s="4" t="inlineStr">
        <is>
          <t>32277</t>
        </is>
      </c>
      <c r="D1611" s="4" t="inlineStr">
        <is>
          <t>6009603041691</t>
        </is>
      </c>
      <c r="E1611" s="3" t="inlineStr">
        <is>
          <t>LAUNDRY BASKET LUCY RP</t>
        </is>
      </c>
      <c r="F1611" s="4" t="inlineStr"/>
      <c r="G1611" s="4" t="inlineStr"/>
      <c r="H1611" s="4" t="inlineStr"/>
      <c r="I1611" s="5" t="n">
        <v>23.95</v>
      </c>
      <c r="J1611" s="6" t="n">
        <v>15</v>
      </c>
      <c r="K1611" s="7">
        <f>IF(I1611="","",I1611*(1+J1611/100))</f>
        <v/>
      </c>
      <c r="L1611" s="12" t="inlineStr"/>
      <c r="M1611" s="8">
        <f>IF(OR(L1611="",K1611="",L1611=0),"",
  (L1611-K1611)/L1611*100)</f>
        <v/>
      </c>
      <c r="N1611" s="14" t="n">
        <v>319</v>
      </c>
      <c r="O1611" s="4" t="inlineStr"/>
      <c r="P1611" s="4" t="inlineStr"/>
      <c r="Q1611" s="4" t="inlineStr"/>
      <c r="R1611" s="4" t="inlineStr">
        <is>
          <t>2026-03-12</t>
        </is>
      </c>
      <c r="S1611" s="4" t="inlineStr"/>
    </row>
    <row r="1612">
      <c r="A1612" s="10" t="inlineStr">
        <is>
          <t>F02083</t>
        </is>
      </c>
      <c r="B1612" s="10" t="inlineStr">
        <is>
          <t>F02083</t>
        </is>
      </c>
      <c r="C1612" s="10" t="inlineStr">
        <is>
          <t>10163</t>
        </is>
      </c>
      <c r="D1612" s="10" t="inlineStr">
        <is>
          <t>6009693156746</t>
        </is>
      </c>
      <c r="E1612" s="10" t="inlineStr">
        <is>
          <t>STOOL BARSTOOL ASST COLOURS RP</t>
        </is>
      </c>
      <c r="F1612" s="10" t="inlineStr"/>
      <c r="G1612" s="10" t="inlineStr"/>
      <c r="H1612" s="10" t="inlineStr"/>
      <c r="I1612" s="11" t="n">
        <v>25.95</v>
      </c>
      <c r="J1612" s="6" t="n">
        <v>15</v>
      </c>
      <c r="K1612" s="7">
        <f>IF(I1612="","",I1612*(1+J1612/100))</f>
        <v/>
      </c>
      <c r="L1612" s="11" t="n">
        <v>80</v>
      </c>
      <c r="M1612" s="8">
        <f>IF(OR(L1612="",K1612="",L1612=0),"",
  (L1612-K1612)/L1612*100)</f>
        <v/>
      </c>
      <c r="N1612" s="13" t="n">
        <v>196</v>
      </c>
      <c r="O1612" s="10" t="inlineStr"/>
      <c r="P1612" s="10" t="inlineStr"/>
      <c r="Q1612" s="10" t="inlineStr"/>
      <c r="R1612" s="10" t="inlineStr">
        <is>
          <t>2026-03-12</t>
        </is>
      </c>
      <c r="S1612" s="10" t="inlineStr"/>
    </row>
    <row r="1613">
      <c r="A1613" s="3" t="inlineStr">
        <is>
          <t>F02084</t>
        </is>
      </c>
      <c r="B1613" s="4" t="inlineStr">
        <is>
          <t>F02084</t>
        </is>
      </c>
      <c r="C1613" s="4" t="inlineStr">
        <is>
          <t>24525</t>
        </is>
      </c>
      <c r="D1613" s="4" t="inlineStr">
        <is>
          <t>6009693156784</t>
        </is>
      </c>
      <c r="E1613" s="3" t="inlineStr">
        <is>
          <t>STOOL BARSTOOL BLK RP</t>
        </is>
      </c>
      <c r="F1613" s="4" t="inlineStr"/>
      <c r="G1613" s="4" t="inlineStr"/>
      <c r="H1613" s="4" t="inlineStr"/>
      <c r="I1613" s="5" t="n">
        <v>22.95</v>
      </c>
      <c r="J1613" s="6" t="n">
        <v>15</v>
      </c>
      <c r="K1613" s="7">
        <f>IF(I1613="","",I1613*(1+J1613/100))</f>
        <v/>
      </c>
      <c r="L1613" s="5" t="n">
        <v>42</v>
      </c>
      <c r="M1613" s="8">
        <f>IF(OR(L1613="",K1613="",L1613=0),"",
  (L1613-K1613)/L1613*100)</f>
        <v/>
      </c>
      <c r="N1613" s="14" t="n">
        <v>141</v>
      </c>
      <c r="O1613" s="4" t="inlineStr"/>
      <c r="P1613" s="4" t="inlineStr"/>
      <c r="Q1613" s="4" t="inlineStr"/>
      <c r="R1613" s="4" t="inlineStr">
        <is>
          <t>2026-03-12</t>
        </is>
      </c>
      <c r="S1613" s="4" t="inlineStr"/>
    </row>
    <row r="1614">
      <c r="A1614" s="10" t="inlineStr">
        <is>
          <t>F02085</t>
        </is>
      </c>
      <c r="B1614" s="10" t="inlineStr">
        <is>
          <t>F02085</t>
        </is>
      </c>
      <c r="C1614" s="10" t="inlineStr"/>
      <c r="D1614" s="10" t="inlineStr">
        <is>
          <t>6904567922154</t>
        </is>
      </c>
      <c r="E1614" s="10" t="inlineStr">
        <is>
          <t>DUST BIN PLASTIC 20LT RND RP</t>
        </is>
      </c>
      <c r="F1614" s="10" t="inlineStr"/>
      <c r="G1614" s="10" t="inlineStr"/>
      <c r="H1614" s="10" t="inlineStr"/>
      <c r="I1614" s="11" t="n">
        <v>21.95</v>
      </c>
      <c r="J1614" s="6" t="n">
        <v>15</v>
      </c>
      <c r="K1614" s="7">
        <f>IF(I1614="","",I1614*(1+J1614/100))</f>
        <v/>
      </c>
      <c r="L1614" s="12" t="inlineStr"/>
      <c r="M1614" s="8">
        <f>IF(OR(L1614="",K1614="",L1614=0),"",
  (L1614-K1614)/L1614*100)</f>
        <v/>
      </c>
      <c r="N1614" s="9" t="inlineStr"/>
      <c r="O1614" s="10" t="inlineStr"/>
      <c r="P1614" s="10" t="inlineStr"/>
      <c r="Q1614" s="10" t="inlineStr"/>
      <c r="R1614" s="10" t="inlineStr">
        <is>
          <t>2026-03-12</t>
        </is>
      </c>
      <c r="S1614" s="10" t="inlineStr"/>
    </row>
    <row r="1615">
      <c r="A1615" s="3" t="inlineStr">
        <is>
          <t>F02086</t>
        </is>
      </c>
      <c r="B1615" s="4" t="inlineStr">
        <is>
          <t>F02086</t>
        </is>
      </c>
      <c r="C1615" s="4" t="inlineStr"/>
      <c r="D1615" s="4" t="inlineStr">
        <is>
          <t>600960340400</t>
        </is>
      </c>
      <c r="E1615" s="3" t="inlineStr">
        <is>
          <t>DUST BIN PLASTIC 20LT SQ RP</t>
        </is>
      </c>
      <c r="F1615" s="4" t="inlineStr"/>
      <c r="G1615" s="4" t="inlineStr"/>
      <c r="H1615" s="4" t="inlineStr"/>
      <c r="I1615" s="5" t="n">
        <v>21.95</v>
      </c>
      <c r="J1615" s="6" t="n">
        <v>15</v>
      </c>
      <c r="K1615" s="7">
        <f>IF(I1615="","",I1615*(1+J1615/100))</f>
        <v/>
      </c>
      <c r="L1615" s="12" t="inlineStr"/>
      <c r="M1615" s="8">
        <f>IF(OR(L1615="",K1615="",L1615=0),"",
  (L1615-K1615)/L1615*100)</f>
        <v/>
      </c>
      <c r="N1615" s="9" t="inlineStr"/>
      <c r="O1615" s="4" t="inlineStr"/>
      <c r="P1615" s="4" t="inlineStr"/>
      <c r="Q1615" s="4" t="inlineStr"/>
      <c r="R1615" s="4" t="inlineStr">
        <is>
          <t>2026-03-12</t>
        </is>
      </c>
      <c r="S1615" s="4" t="inlineStr"/>
    </row>
    <row r="1616">
      <c r="A1616" s="10" t="inlineStr">
        <is>
          <t>F02087</t>
        </is>
      </c>
      <c r="B1616" s="10" t="inlineStr">
        <is>
          <t>F02087</t>
        </is>
      </c>
      <c r="C1616" s="10" t="inlineStr"/>
      <c r="D1616" s="10" t="inlineStr">
        <is>
          <t>6009705656912</t>
        </is>
      </c>
      <c r="E1616" s="10" t="inlineStr">
        <is>
          <t>SCOOTER KIDS</t>
        </is>
      </c>
      <c r="F1616" s="10" t="inlineStr"/>
      <c r="G1616" s="10" t="inlineStr"/>
      <c r="H1616" s="10" t="inlineStr"/>
      <c r="I1616" s="11" t="n">
        <v>99.95</v>
      </c>
      <c r="J1616" s="6" t="n">
        <v>15</v>
      </c>
      <c r="K1616" s="7">
        <f>IF(I1616="","",I1616*(1+J1616/100))</f>
        <v/>
      </c>
      <c r="L1616" s="12" t="inlineStr"/>
      <c r="M1616" s="8">
        <f>IF(OR(L1616="",K1616="",L1616=0),"",
  (L1616-K1616)/L1616*100)</f>
        <v/>
      </c>
      <c r="N1616" s="9" t="inlineStr"/>
      <c r="O1616" s="10" t="inlineStr"/>
      <c r="P1616" s="10" t="inlineStr"/>
      <c r="Q1616" s="10" t="inlineStr"/>
      <c r="R1616" s="10" t="inlineStr">
        <is>
          <t>2026-03-12</t>
        </is>
      </c>
      <c r="S1616" s="10" t="inlineStr"/>
    </row>
    <row r="1617">
      <c r="A1617" s="3" t="inlineStr">
        <is>
          <t>F02088</t>
        </is>
      </c>
      <c r="B1617" s="4" t="inlineStr">
        <is>
          <t>F02088</t>
        </is>
      </c>
      <c r="C1617" s="4" t="inlineStr"/>
      <c r="D1617" s="4" t="inlineStr"/>
      <c r="E1617" s="3" t="inlineStr">
        <is>
          <t>TUB ROPETUB PLASTIC 75LT RP</t>
        </is>
      </c>
      <c r="F1617" s="4" t="inlineStr"/>
      <c r="G1617" s="4" t="inlineStr"/>
      <c r="H1617" s="4" t="inlineStr"/>
      <c r="I1617" s="5" t="n">
        <v>46.5</v>
      </c>
      <c r="J1617" s="6" t="n">
        <v>15</v>
      </c>
      <c r="K1617" s="7">
        <f>IF(I1617="","",I1617*(1+J1617/100))</f>
        <v/>
      </c>
      <c r="L1617" s="12" t="inlineStr"/>
      <c r="M1617" s="8">
        <f>IF(OR(L1617="",K1617="",L1617=0),"",
  (L1617-K1617)/L1617*100)</f>
        <v/>
      </c>
      <c r="N1617" s="9" t="inlineStr"/>
      <c r="O1617" s="4" t="inlineStr"/>
      <c r="P1617" s="4" t="inlineStr"/>
      <c r="Q1617" s="4" t="inlineStr"/>
      <c r="R1617" s="4" t="inlineStr">
        <is>
          <t>2026-03-12</t>
        </is>
      </c>
      <c r="S1617" s="4" t="inlineStr"/>
    </row>
    <row r="1618">
      <c r="A1618" s="10" t="inlineStr">
        <is>
          <t>F02089</t>
        </is>
      </c>
      <c r="B1618" s="10" t="inlineStr">
        <is>
          <t>F02089</t>
        </is>
      </c>
      <c r="C1618" s="10" t="inlineStr"/>
      <c r="D1618" s="10" t="inlineStr">
        <is>
          <t>6009603047140</t>
        </is>
      </c>
      <c r="E1618" s="10" t="inlineStr">
        <is>
          <t>CHAIR KIDDIES ASSRT COLOUR RP</t>
        </is>
      </c>
      <c r="F1618" s="10" t="inlineStr"/>
      <c r="G1618" s="10" t="inlineStr"/>
      <c r="H1618" s="10" t="inlineStr"/>
      <c r="I1618" s="11" t="n">
        <v>18.35</v>
      </c>
      <c r="J1618" s="6" t="n">
        <v>15</v>
      </c>
      <c r="K1618" s="7">
        <f>IF(I1618="","",I1618*(1+J1618/100))</f>
        <v/>
      </c>
      <c r="L1618" s="12" t="inlineStr"/>
      <c r="M1618" s="8">
        <f>IF(OR(L1618="",K1618="",L1618=0),"",
  (L1618-K1618)/L1618*100)</f>
        <v/>
      </c>
      <c r="N1618" s="9" t="inlineStr"/>
      <c r="O1618" s="10" t="inlineStr"/>
      <c r="P1618" s="10" t="inlineStr"/>
      <c r="Q1618" s="10" t="inlineStr"/>
      <c r="R1618" s="10" t="inlineStr">
        <is>
          <t>2026-03-12</t>
        </is>
      </c>
      <c r="S1618" s="10" t="inlineStr"/>
    </row>
    <row r="1619">
      <c r="A1619" s="3" t="inlineStr">
        <is>
          <t>F02090</t>
        </is>
      </c>
      <c r="B1619" s="4" t="inlineStr">
        <is>
          <t>F02090</t>
        </is>
      </c>
      <c r="C1619" s="4" t="inlineStr">
        <is>
          <t>10156</t>
        </is>
      </c>
      <c r="D1619" s="4" t="inlineStr">
        <is>
          <t>6009603040776</t>
        </is>
      </c>
      <c r="E1619" s="3" t="inlineStr">
        <is>
          <t>DISH RACK PLASTIC SML RP</t>
        </is>
      </c>
      <c r="F1619" s="4" t="inlineStr"/>
      <c r="G1619" s="4" t="inlineStr"/>
      <c r="H1619" s="4" t="inlineStr"/>
      <c r="I1619" s="5" t="n">
        <v>18.5</v>
      </c>
      <c r="J1619" s="6" t="n">
        <v>15</v>
      </c>
      <c r="K1619" s="7">
        <f>IF(I1619="","",I1619*(1+J1619/100))</f>
        <v/>
      </c>
      <c r="L1619" s="5" t="n">
        <v>270</v>
      </c>
      <c r="M1619" s="8">
        <f>IF(OR(L1619="",K1619="",L1619=0),"",
  (L1619-K1619)/L1619*100)</f>
        <v/>
      </c>
      <c r="N1619" s="9" t="inlineStr"/>
      <c r="O1619" s="4" t="inlineStr"/>
      <c r="P1619" s="4" t="inlineStr"/>
      <c r="Q1619" s="4" t="inlineStr"/>
      <c r="R1619" s="4" t="inlineStr">
        <is>
          <t>2026-03-12</t>
        </is>
      </c>
      <c r="S1619" s="4" t="inlineStr"/>
    </row>
    <row r="1620">
      <c r="A1620" s="10" t="inlineStr">
        <is>
          <t>F02091</t>
        </is>
      </c>
      <c r="B1620" s="10" t="inlineStr">
        <is>
          <t>F02091</t>
        </is>
      </c>
      <c r="C1620" s="10" t="inlineStr"/>
      <c r="D1620" s="10" t="inlineStr">
        <is>
          <t>6009603040714</t>
        </is>
      </c>
      <c r="E1620" s="10" t="inlineStr">
        <is>
          <t>DISH RACK PLASTIC LRG RP</t>
        </is>
      </c>
      <c r="F1620" s="10" t="inlineStr"/>
      <c r="G1620" s="10" t="inlineStr"/>
      <c r="H1620" s="10" t="inlineStr"/>
      <c r="I1620" s="11" t="n">
        <v>21.3</v>
      </c>
      <c r="J1620" s="6" t="n">
        <v>15</v>
      </c>
      <c r="K1620" s="7">
        <f>IF(I1620="","",I1620*(1+J1620/100))</f>
        <v/>
      </c>
      <c r="L1620" s="12" t="inlineStr"/>
      <c r="M1620" s="8">
        <f>IF(OR(L1620="",K1620="",L1620=0),"",
  (L1620-K1620)/L1620*100)</f>
        <v/>
      </c>
      <c r="N1620" s="9" t="inlineStr"/>
      <c r="O1620" s="10" t="inlineStr"/>
      <c r="P1620" s="10" t="inlineStr"/>
      <c r="Q1620" s="10" t="inlineStr"/>
      <c r="R1620" s="10" t="inlineStr">
        <is>
          <t>2026-03-12</t>
        </is>
      </c>
      <c r="S1620" s="10" t="inlineStr"/>
    </row>
    <row r="1621">
      <c r="A1621" s="3" t="inlineStr">
        <is>
          <t>F02092</t>
        </is>
      </c>
      <c r="B1621" s="4" t="inlineStr">
        <is>
          <t>F02092</t>
        </is>
      </c>
      <c r="C1621" s="4" t="inlineStr">
        <is>
          <t>10159</t>
        </is>
      </c>
      <c r="D1621" s="4" t="inlineStr">
        <is>
          <t>6009603048727</t>
        </is>
      </c>
      <c r="E1621" s="3" t="inlineStr">
        <is>
          <t>VEG RACK ASSRT COLOURS RP</t>
        </is>
      </c>
      <c r="F1621" s="4" t="inlineStr"/>
      <c r="G1621" s="4" t="inlineStr"/>
      <c r="H1621" s="4" t="inlineStr"/>
      <c r="I1621" s="5" t="n">
        <v>48.45</v>
      </c>
      <c r="J1621" s="6" t="n">
        <v>15</v>
      </c>
      <c r="K1621" s="7">
        <f>IF(I1621="","",I1621*(1+J1621/100))</f>
        <v/>
      </c>
      <c r="L1621" s="5" t="n">
        <v>400</v>
      </c>
      <c r="M1621" s="8">
        <f>IF(OR(L1621="",K1621="",L1621=0),"",
  (L1621-K1621)/L1621*100)</f>
        <v/>
      </c>
      <c r="N1621" s="14" t="n">
        <v>3</v>
      </c>
      <c r="O1621" s="4" t="inlineStr"/>
      <c r="P1621" s="4" t="inlineStr"/>
      <c r="Q1621" s="4" t="inlineStr"/>
      <c r="R1621" s="4" t="inlineStr">
        <is>
          <t>2026-03-12</t>
        </is>
      </c>
      <c r="S1621" s="4" t="inlineStr"/>
    </row>
    <row r="1622">
      <c r="A1622" s="10" t="inlineStr">
        <is>
          <t>F02093</t>
        </is>
      </c>
      <c r="B1622" s="10" t="inlineStr">
        <is>
          <t>F02093</t>
        </is>
      </c>
      <c r="C1622" s="10" t="inlineStr">
        <is>
          <t>32273</t>
        </is>
      </c>
      <c r="D1622" s="10" t="inlineStr"/>
      <c r="E1622" s="10" t="inlineStr">
        <is>
          <t>LAUNDRY BASKET MENA - BG</t>
        </is>
      </c>
      <c r="F1622" s="10" t="inlineStr"/>
      <c r="G1622" s="10" t="inlineStr"/>
      <c r="H1622" s="10" t="inlineStr"/>
      <c r="I1622" s="11" t="n">
        <v>23.85</v>
      </c>
      <c r="J1622" s="6" t="n">
        <v>15</v>
      </c>
      <c r="K1622" s="7">
        <f>IF(I1622="","",I1622*(1+J1622/100))</f>
        <v/>
      </c>
      <c r="L1622" s="12" t="inlineStr"/>
      <c r="M1622" s="8">
        <f>IF(OR(L1622="",K1622="",L1622=0),"",
  (L1622-K1622)/L1622*100)</f>
        <v/>
      </c>
      <c r="N1622" s="13" t="n">
        <v>85</v>
      </c>
      <c r="O1622" s="10" t="inlineStr"/>
      <c r="P1622" s="10" t="inlineStr"/>
      <c r="Q1622" s="10" t="inlineStr"/>
      <c r="R1622" s="10" t="inlineStr">
        <is>
          <t>2026-03-12</t>
        </is>
      </c>
      <c r="S1622" s="10" t="inlineStr"/>
    </row>
    <row r="1623">
      <c r="A1623" s="3" t="inlineStr">
        <is>
          <t>F02094</t>
        </is>
      </c>
      <c r="B1623" s="4" t="inlineStr">
        <is>
          <t>F02094</t>
        </is>
      </c>
      <c r="C1623" s="4" t="inlineStr">
        <is>
          <t>11611</t>
        </is>
      </c>
      <c r="D1623" s="4" t="inlineStr">
        <is>
          <t>6009677615456</t>
        </is>
      </c>
      <c r="E1623" s="3" t="inlineStr">
        <is>
          <t>SPRAYER KNAPSACK 16LT</t>
        </is>
      </c>
      <c r="F1623" s="4" t="inlineStr"/>
      <c r="G1623" s="4" t="inlineStr"/>
      <c r="H1623" s="4" t="inlineStr"/>
      <c r="I1623" s="5" t="n">
        <v>239.95</v>
      </c>
      <c r="J1623" s="6" t="n">
        <v>15</v>
      </c>
      <c r="K1623" s="7">
        <f>IF(I1623="","",I1623*(1+J1623/100))</f>
        <v/>
      </c>
      <c r="L1623" s="5" t="n">
        <v>690</v>
      </c>
      <c r="M1623" s="8">
        <f>IF(OR(L1623="",K1623="",L1623=0),"",
  (L1623-K1623)/L1623*100)</f>
        <v/>
      </c>
      <c r="N1623" s="9" t="inlineStr"/>
      <c r="O1623" s="4" t="inlineStr"/>
      <c r="P1623" s="4" t="inlineStr"/>
      <c r="Q1623" s="4" t="inlineStr"/>
      <c r="R1623" s="4" t="inlineStr">
        <is>
          <t>2026-03-12</t>
        </is>
      </c>
      <c r="S1623" s="4" t="inlineStr"/>
    </row>
    <row r="1624">
      <c r="A1624" s="10" t="inlineStr">
        <is>
          <t>F02095</t>
        </is>
      </c>
      <c r="B1624" s="10" t="inlineStr">
        <is>
          <t>F02095</t>
        </is>
      </c>
      <c r="C1624" s="10" t="inlineStr">
        <is>
          <t>9517</t>
        </is>
      </c>
      <c r="D1624" s="10" t="inlineStr">
        <is>
          <t>6009704660439</t>
        </is>
      </c>
      <c r="E1624" s="10" t="inlineStr">
        <is>
          <t>EXTENSION CORD ± 5MTR</t>
        </is>
      </c>
      <c r="F1624" s="10" t="inlineStr"/>
      <c r="G1624" s="10" t="inlineStr"/>
      <c r="H1624" s="10" t="inlineStr"/>
      <c r="I1624" s="11" t="n">
        <v>32.95</v>
      </c>
      <c r="J1624" s="6" t="n">
        <v>15</v>
      </c>
      <c r="K1624" s="7">
        <f>IF(I1624="","",I1624*(1+J1624/100))</f>
        <v/>
      </c>
      <c r="L1624" s="11" t="n">
        <v>160</v>
      </c>
      <c r="M1624" s="8">
        <f>IF(OR(L1624="",K1624="",L1624=0),"",
  (L1624-K1624)/L1624*100)</f>
        <v/>
      </c>
      <c r="N1624" s="13" t="n">
        <v>99</v>
      </c>
      <c r="O1624" s="10" t="inlineStr"/>
      <c r="P1624" s="10" t="inlineStr"/>
      <c r="Q1624" s="10" t="inlineStr"/>
      <c r="R1624" s="10" t="inlineStr">
        <is>
          <t>2026-03-12</t>
        </is>
      </c>
      <c r="S1624" s="10" t="inlineStr"/>
    </row>
    <row r="1625">
      <c r="A1625" s="3" t="inlineStr">
        <is>
          <t>F02096</t>
        </is>
      </c>
      <c r="B1625" s="4" t="inlineStr">
        <is>
          <t>F02096</t>
        </is>
      </c>
      <c r="C1625" s="4" t="inlineStr">
        <is>
          <t>9579</t>
        </is>
      </c>
      <c r="D1625" s="4" t="inlineStr">
        <is>
          <t>6009540430128</t>
        </is>
      </c>
      <c r="E1625" s="3" t="inlineStr">
        <is>
          <t>MULTI PLUG + SWITCH 7WAY REDISSON</t>
        </is>
      </c>
      <c r="F1625" s="4" t="inlineStr"/>
      <c r="G1625" s="4" t="inlineStr"/>
      <c r="H1625" s="4" t="inlineStr"/>
      <c r="I1625" s="5" t="n">
        <v>90</v>
      </c>
      <c r="J1625" s="6" t="n">
        <v>15</v>
      </c>
      <c r="K1625" s="7">
        <f>IF(I1625="","",I1625*(1+J1625/100))</f>
        <v/>
      </c>
      <c r="L1625" s="5" t="n">
        <v>155</v>
      </c>
      <c r="M1625" s="8">
        <f>IF(OR(L1625="",K1625="",L1625=0),"",
  (L1625-K1625)/L1625*100)</f>
        <v/>
      </c>
      <c r="N1625" s="14" t="n">
        <v>156</v>
      </c>
      <c r="O1625" s="4" t="inlineStr"/>
      <c r="P1625" s="4" t="inlineStr"/>
      <c r="Q1625" s="4" t="inlineStr"/>
      <c r="R1625" s="4" t="inlineStr">
        <is>
          <t>2026-03-12</t>
        </is>
      </c>
      <c r="S1625" s="4" t="inlineStr"/>
    </row>
    <row r="1626">
      <c r="A1626" s="10" t="inlineStr">
        <is>
          <t>F02097</t>
        </is>
      </c>
      <c r="B1626" s="10" t="inlineStr">
        <is>
          <t>F02097</t>
        </is>
      </c>
      <c r="C1626" s="10" t="inlineStr">
        <is>
          <t>10058</t>
        </is>
      </c>
      <c r="D1626" s="10" t="inlineStr">
        <is>
          <t>6009540430135</t>
        </is>
      </c>
      <c r="E1626" s="10" t="inlineStr">
        <is>
          <t>MULTI PLUG + SWITCH 9WAY REDISSON</t>
        </is>
      </c>
      <c r="F1626" s="10" t="inlineStr"/>
      <c r="G1626" s="10" t="inlineStr"/>
      <c r="H1626" s="10" t="inlineStr"/>
      <c r="I1626" s="11" t="n">
        <v>107.95</v>
      </c>
      <c r="J1626" s="6" t="n">
        <v>15</v>
      </c>
      <c r="K1626" s="7">
        <f>IF(I1626="","",I1626*(1+J1626/100))</f>
        <v/>
      </c>
      <c r="L1626" s="11" t="n">
        <v>260</v>
      </c>
      <c r="M1626" s="8">
        <f>IF(OR(L1626="",K1626="",L1626=0),"",
  (L1626-K1626)/L1626*100)</f>
        <v/>
      </c>
      <c r="N1626" s="13" t="n">
        <v>168</v>
      </c>
      <c r="O1626" s="10" t="inlineStr"/>
      <c r="P1626" s="10" t="inlineStr"/>
      <c r="Q1626" s="10" t="inlineStr"/>
      <c r="R1626" s="10" t="inlineStr">
        <is>
          <t>2026-03-12</t>
        </is>
      </c>
      <c r="S1626" s="10" t="inlineStr"/>
    </row>
    <row r="1627">
      <c r="A1627" s="3" t="inlineStr">
        <is>
          <t>F02098</t>
        </is>
      </c>
      <c r="B1627" s="4" t="inlineStr">
        <is>
          <t>F02098</t>
        </is>
      </c>
      <c r="C1627" s="4" t="inlineStr">
        <is>
          <t>9534</t>
        </is>
      </c>
      <c r="D1627" s="4" t="inlineStr">
        <is>
          <t>6009540430142</t>
        </is>
      </c>
      <c r="E1627" s="3" t="inlineStr">
        <is>
          <t>MULTI PLUG + SWITCH 11WAY REDISSON</t>
        </is>
      </c>
      <c r="F1627" s="4" t="inlineStr"/>
      <c r="G1627" s="4" t="inlineStr"/>
      <c r="H1627" s="4" t="inlineStr"/>
      <c r="I1627" s="5" t="n">
        <v>133.95</v>
      </c>
      <c r="J1627" s="6" t="n">
        <v>15</v>
      </c>
      <c r="K1627" s="7">
        <f>IF(I1627="","",I1627*(1+J1627/100))</f>
        <v/>
      </c>
      <c r="L1627" s="5" t="n">
        <v>295</v>
      </c>
      <c r="M1627" s="8">
        <f>IF(OR(L1627="",K1627="",L1627=0),"",
  (L1627-K1627)/L1627*100)</f>
        <v/>
      </c>
      <c r="N1627" s="14" t="n">
        <v>103</v>
      </c>
      <c r="O1627" s="4" t="inlineStr"/>
      <c r="P1627" s="4" t="inlineStr"/>
      <c r="Q1627" s="4" t="inlineStr"/>
      <c r="R1627" s="4" t="inlineStr">
        <is>
          <t>2026-03-12</t>
        </is>
      </c>
      <c r="S1627" s="4" t="inlineStr"/>
    </row>
    <row r="1628">
      <c r="A1628" s="10" t="inlineStr">
        <is>
          <t>F02099</t>
        </is>
      </c>
      <c r="B1628" s="10" t="inlineStr">
        <is>
          <t>F02099</t>
        </is>
      </c>
      <c r="C1628" s="10" t="inlineStr"/>
      <c r="D1628" s="10" t="inlineStr">
        <is>
          <t>6007771002480</t>
        </is>
      </c>
      <c r="E1628" s="10" t="inlineStr">
        <is>
          <t>VEG DISH 16CM 3'S NW</t>
        </is>
      </c>
      <c r="F1628" s="10" t="inlineStr"/>
      <c r="G1628" s="10" t="inlineStr"/>
      <c r="H1628" s="10" t="inlineStr"/>
      <c r="I1628" s="11" t="n">
        <v>104.95</v>
      </c>
      <c r="J1628" s="6" t="n">
        <v>15</v>
      </c>
      <c r="K1628" s="7">
        <f>IF(I1628="","",I1628*(1+J1628/100))</f>
        <v/>
      </c>
      <c r="L1628" s="12" t="inlineStr"/>
      <c r="M1628" s="8">
        <f>IF(OR(L1628="",K1628="",L1628=0),"",
  (L1628-K1628)/L1628*100)</f>
        <v/>
      </c>
      <c r="N1628" s="9" t="inlineStr"/>
      <c r="O1628" s="10" t="inlineStr"/>
      <c r="P1628" s="10" t="inlineStr"/>
      <c r="Q1628" s="10" t="inlineStr"/>
      <c r="R1628" s="10" t="inlineStr">
        <is>
          <t>2026-03-12</t>
        </is>
      </c>
      <c r="S1628" s="10" t="inlineStr"/>
    </row>
    <row r="1629">
      <c r="A1629" s="3" t="inlineStr">
        <is>
          <t>F02100</t>
        </is>
      </c>
      <c r="B1629" s="4" t="inlineStr">
        <is>
          <t>F02100</t>
        </is>
      </c>
      <c r="C1629" s="4" t="inlineStr"/>
      <c r="D1629" s="4" t="inlineStr">
        <is>
          <t>6007771000349</t>
        </is>
      </c>
      <c r="E1629" s="3" t="inlineStr">
        <is>
          <t>VEG DISH 18CM 3'S NW</t>
        </is>
      </c>
      <c r="F1629" s="4" t="inlineStr"/>
      <c r="G1629" s="4" t="inlineStr"/>
      <c r="H1629" s="4" t="inlineStr"/>
      <c r="I1629" s="5" t="n">
        <v>114.5</v>
      </c>
      <c r="J1629" s="6" t="n">
        <v>15</v>
      </c>
      <c r="K1629" s="7">
        <f>IF(I1629="","",I1629*(1+J1629/100))</f>
        <v/>
      </c>
      <c r="L1629" s="12" t="inlineStr"/>
      <c r="M1629" s="8">
        <f>IF(OR(L1629="",K1629="",L1629=0),"",
  (L1629-K1629)/L1629*100)</f>
        <v/>
      </c>
      <c r="N1629" s="9" t="inlineStr"/>
      <c r="O1629" s="4" t="inlineStr"/>
      <c r="P1629" s="4" t="inlineStr"/>
      <c r="Q1629" s="4" t="inlineStr"/>
      <c r="R1629" s="4" t="inlineStr">
        <is>
          <t>2026-03-12</t>
        </is>
      </c>
      <c r="S1629" s="4" t="inlineStr"/>
    </row>
    <row r="1630">
      <c r="A1630" s="10" t="inlineStr">
        <is>
          <t>F02101</t>
        </is>
      </c>
      <c r="B1630" s="10" t="inlineStr">
        <is>
          <t>F02101</t>
        </is>
      </c>
      <c r="C1630" s="10" t="inlineStr"/>
      <c r="D1630" s="10" t="inlineStr">
        <is>
          <t>6007771000363</t>
        </is>
      </c>
      <c r="E1630" s="10" t="inlineStr">
        <is>
          <t>VEG DISH 20CM 3'S NW</t>
        </is>
      </c>
      <c r="F1630" s="10" t="inlineStr"/>
      <c r="G1630" s="10" t="inlineStr"/>
      <c r="H1630" s="10" t="inlineStr"/>
      <c r="I1630" s="11" t="n">
        <v>131.95</v>
      </c>
      <c r="J1630" s="6" t="n">
        <v>15</v>
      </c>
      <c r="K1630" s="7">
        <f>IF(I1630="","",I1630*(1+J1630/100))</f>
        <v/>
      </c>
      <c r="L1630" s="12" t="inlineStr"/>
      <c r="M1630" s="8">
        <f>IF(OR(L1630="",K1630="",L1630=0),"",
  (L1630-K1630)/L1630*100)</f>
        <v/>
      </c>
      <c r="N1630" s="9" t="inlineStr"/>
      <c r="O1630" s="10" t="inlineStr"/>
      <c r="P1630" s="10" t="inlineStr"/>
      <c r="Q1630" s="10" t="inlineStr"/>
      <c r="R1630" s="10" t="inlineStr">
        <is>
          <t>2026-03-12</t>
        </is>
      </c>
      <c r="S1630" s="10" t="inlineStr"/>
    </row>
    <row r="1631">
      <c r="A1631" s="3" t="inlineStr">
        <is>
          <t>F02102</t>
        </is>
      </c>
      <c r="B1631" s="4" t="inlineStr">
        <is>
          <t>F02102</t>
        </is>
      </c>
      <c r="C1631" s="4" t="inlineStr"/>
      <c r="D1631" s="4" t="inlineStr"/>
      <c r="E1631" s="3" t="inlineStr">
        <is>
          <t>BILLY CAN 16CM NW</t>
        </is>
      </c>
      <c r="F1631" s="4" t="inlineStr"/>
      <c r="G1631" s="4" t="inlineStr"/>
      <c r="H1631" s="4" t="inlineStr"/>
      <c r="I1631" s="5" t="n">
        <v>63.95</v>
      </c>
      <c r="J1631" s="6" t="n">
        <v>15</v>
      </c>
      <c r="K1631" s="7">
        <f>IF(I1631="","",I1631*(1+J1631/100))</f>
        <v/>
      </c>
      <c r="L1631" s="12" t="inlineStr"/>
      <c r="M1631" s="8">
        <f>IF(OR(L1631="",K1631="",L1631=0),"",
  (L1631-K1631)/L1631*100)</f>
        <v/>
      </c>
      <c r="N1631" s="9" t="inlineStr"/>
      <c r="O1631" s="4" t="inlineStr"/>
      <c r="P1631" s="4" t="inlineStr"/>
      <c r="Q1631" s="4" t="inlineStr"/>
      <c r="R1631" s="4" t="inlineStr">
        <is>
          <t>2026-03-12</t>
        </is>
      </c>
      <c r="S1631" s="4" t="inlineStr"/>
    </row>
    <row r="1632">
      <c r="A1632" s="10" t="inlineStr">
        <is>
          <t>F02103</t>
        </is>
      </c>
      <c r="B1632" s="10" t="inlineStr">
        <is>
          <t>F02103</t>
        </is>
      </c>
      <c r="C1632" s="10" t="inlineStr"/>
      <c r="D1632" s="10" t="inlineStr"/>
      <c r="E1632" s="10" t="inlineStr">
        <is>
          <t>BILLY CAN 18CM NW</t>
        </is>
      </c>
      <c r="F1632" s="10" t="inlineStr"/>
      <c r="G1632" s="10" t="inlineStr"/>
      <c r="H1632" s="10" t="inlineStr"/>
      <c r="I1632" s="11" t="n">
        <v>83.95</v>
      </c>
      <c r="J1632" s="6" t="n">
        <v>15</v>
      </c>
      <c r="K1632" s="7">
        <f>IF(I1632="","",I1632*(1+J1632/100))</f>
        <v/>
      </c>
      <c r="L1632" s="12" t="inlineStr"/>
      <c r="M1632" s="8">
        <f>IF(OR(L1632="",K1632="",L1632=0),"",
  (L1632-K1632)/L1632*100)</f>
        <v/>
      </c>
      <c r="N1632" s="9" t="inlineStr"/>
      <c r="O1632" s="10" t="inlineStr"/>
      <c r="P1632" s="10" t="inlineStr"/>
      <c r="Q1632" s="10" t="inlineStr"/>
      <c r="R1632" s="10" t="inlineStr">
        <is>
          <t>2026-03-12</t>
        </is>
      </c>
      <c r="S1632" s="10" t="inlineStr"/>
    </row>
    <row r="1633">
      <c r="A1633" s="3" t="inlineStr">
        <is>
          <t>F02104</t>
        </is>
      </c>
      <c r="B1633" s="4" t="inlineStr">
        <is>
          <t>F02104</t>
        </is>
      </c>
      <c r="C1633" s="4" t="inlineStr"/>
      <c r="D1633" s="4" t="inlineStr">
        <is>
          <t>6007771000714</t>
        </is>
      </c>
      <c r="E1633" s="3" t="inlineStr">
        <is>
          <t>KETTLES ALUMINIUM 2.5LT 18CM BV</t>
        </is>
      </c>
      <c r="F1633" s="4" t="inlineStr"/>
      <c r="G1633" s="4" t="inlineStr"/>
      <c r="H1633" s="4" t="inlineStr"/>
      <c r="I1633" s="5" t="n">
        <v>63.95</v>
      </c>
      <c r="J1633" s="6" t="n">
        <v>15</v>
      </c>
      <c r="K1633" s="7">
        <f>IF(I1633="","",I1633*(1+J1633/100))</f>
        <v/>
      </c>
      <c r="L1633" s="12" t="inlineStr"/>
      <c r="M1633" s="8">
        <f>IF(OR(L1633="",K1633="",L1633=0),"",
  (L1633-K1633)/L1633*100)</f>
        <v/>
      </c>
      <c r="N1633" s="9" t="inlineStr"/>
      <c r="O1633" s="4" t="inlineStr"/>
      <c r="P1633" s="4" t="inlineStr"/>
      <c r="Q1633" s="4" t="inlineStr"/>
      <c r="R1633" s="4" t="inlineStr">
        <is>
          <t>2026-03-12</t>
        </is>
      </c>
      <c r="S1633" s="4" t="inlineStr"/>
    </row>
    <row r="1634">
      <c r="A1634" s="10" t="inlineStr">
        <is>
          <t>F02105</t>
        </is>
      </c>
      <c r="B1634" s="10" t="inlineStr">
        <is>
          <t>F02105</t>
        </is>
      </c>
      <c r="C1634" s="10" t="inlineStr"/>
      <c r="D1634" s="10" t="inlineStr">
        <is>
          <t>6007771000721</t>
        </is>
      </c>
      <c r="E1634" s="10" t="inlineStr">
        <is>
          <t>KETTLES ALUMINIUM 3.5LT 20CM BV</t>
        </is>
      </c>
      <c r="F1634" s="10" t="inlineStr"/>
      <c r="G1634" s="10" t="inlineStr"/>
      <c r="H1634" s="10" t="inlineStr"/>
      <c r="I1634" s="11" t="n">
        <v>77.5</v>
      </c>
      <c r="J1634" s="6" t="n">
        <v>15</v>
      </c>
      <c r="K1634" s="7">
        <f>IF(I1634="","",I1634*(1+J1634/100))</f>
        <v/>
      </c>
      <c r="L1634" s="12" t="inlineStr"/>
      <c r="M1634" s="8">
        <f>IF(OR(L1634="",K1634="",L1634=0),"",
  (L1634-K1634)/L1634*100)</f>
        <v/>
      </c>
      <c r="N1634" s="9" t="inlineStr"/>
      <c r="O1634" s="10" t="inlineStr"/>
      <c r="P1634" s="10" t="inlineStr"/>
      <c r="Q1634" s="10" t="inlineStr"/>
      <c r="R1634" s="10" t="inlineStr">
        <is>
          <t>2026-03-12</t>
        </is>
      </c>
      <c r="S1634" s="10" t="inlineStr"/>
    </row>
    <row r="1635">
      <c r="A1635" s="3" t="inlineStr">
        <is>
          <t>F02106</t>
        </is>
      </c>
      <c r="B1635" s="4" t="inlineStr">
        <is>
          <t>F02106</t>
        </is>
      </c>
      <c r="C1635" s="4" t="inlineStr"/>
      <c r="D1635" s="4" t="inlineStr">
        <is>
          <t>694114515104</t>
        </is>
      </c>
      <c r="E1635" s="3" t="inlineStr">
        <is>
          <t>KETTLES ALUMINIUM 10LT 28CM BV</t>
        </is>
      </c>
      <c r="F1635" s="4" t="inlineStr"/>
      <c r="G1635" s="4" t="inlineStr"/>
      <c r="H1635" s="4" t="inlineStr"/>
      <c r="I1635" s="5" t="n">
        <v>164.95</v>
      </c>
      <c r="J1635" s="6" t="n">
        <v>15</v>
      </c>
      <c r="K1635" s="7">
        <f>IF(I1635="","",I1635*(1+J1635/100))</f>
        <v/>
      </c>
      <c r="L1635" s="12" t="inlineStr"/>
      <c r="M1635" s="8">
        <f>IF(OR(L1635="",K1635="",L1635=0),"",
  (L1635-K1635)/L1635*100)</f>
        <v/>
      </c>
      <c r="N1635" s="9" t="inlineStr"/>
      <c r="O1635" s="4" t="inlineStr"/>
      <c r="P1635" s="4" t="inlineStr"/>
      <c r="Q1635" s="4" t="inlineStr"/>
      <c r="R1635" s="4" t="inlineStr">
        <is>
          <t>2026-03-12</t>
        </is>
      </c>
      <c r="S1635" s="4" t="inlineStr"/>
    </row>
    <row r="1636">
      <c r="A1636" s="10" t="inlineStr">
        <is>
          <t>F02107</t>
        </is>
      </c>
      <c r="B1636" s="10" t="inlineStr">
        <is>
          <t>F02107</t>
        </is>
      </c>
      <c r="C1636" s="10" t="inlineStr"/>
      <c r="D1636" s="10" t="inlineStr">
        <is>
          <t>6007771001070</t>
        </is>
      </c>
      <c r="E1636" s="10" t="inlineStr">
        <is>
          <t>KETTLE ENAMEL CREAM 3.5LT BV</t>
        </is>
      </c>
      <c r="F1636" s="10" t="inlineStr"/>
      <c r="G1636" s="10" t="inlineStr"/>
      <c r="H1636" s="10" t="inlineStr"/>
      <c r="I1636" s="11" t="n">
        <v>189.95</v>
      </c>
      <c r="J1636" s="6" t="n">
        <v>15</v>
      </c>
      <c r="K1636" s="7">
        <f>IF(I1636="","",I1636*(1+J1636/100))</f>
        <v/>
      </c>
      <c r="L1636" s="12" t="inlineStr"/>
      <c r="M1636" s="8">
        <f>IF(OR(L1636="",K1636="",L1636=0),"",
  (L1636-K1636)/L1636*100)</f>
        <v/>
      </c>
      <c r="N1636" s="9" t="inlineStr"/>
      <c r="O1636" s="10" t="inlineStr"/>
      <c r="P1636" s="10" t="inlineStr"/>
      <c r="Q1636" s="10" t="inlineStr"/>
      <c r="R1636" s="10" t="inlineStr">
        <is>
          <t>2026-03-12</t>
        </is>
      </c>
      <c r="S1636" s="10" t="inlineStr"/>
    </row>
    <row r="1637">
      <c r="A1637" s="3" t="inlineStr">
        <is>
          <t>F02108</t>
        </is>
      </c>
      <c r="B1637" s="4" t="inlineStr">
        <is>
          <t>F02108</t>
        </is>
      </c>
      <c r="C1637" s="4" t="inlineStr"/>
      <c r="D1637" s="4" t="inlineStr">
        <is>
          <t>6007771000196</t>
        </is>
      </c>
      <c r="E1637" s="3" t="inlineStr">
        <is>
          <t>BOWLS CASH ENAMEL 16CM 6'S NW</t>
        </is>
      </c>
      <c r="F1637" s="4" t="inlineStr"/>
      <c r="G1637" s="4" t="inlineStr"/>
      <c r="H1637" s="4" t="inlineStr"/>
      <c r="I1637" s="5" t="n">
        <v>67.95</v>
      </c>
      <c r="J1637" s="6" t="n">
        <v>15</v>
      </c>
      <c r="K1637" s="7">
        <f>IF(I1637="","",I1637*(1+J1637/100))</f>
        <v/>
      </c>
      <c r="L1637" s="12" t="inlineStr"/>
      <c r="M1637" s="8">
        <f>IF(OR(L1637="",K1637="",L1637=0),"",
  (L1637-K1637)/L1637*100)</f>
        <v/>
      </c>
      <c r="N1637" s="9" t="inlineStr"/>
      <c r="O1637" s="4" t="inlineStr"/>
      <c r="P1637" s="4" t="inlineStr"/>
      <c r="Q1637" s="4" t="inlineStr"/>
      <c r="R1637" s="4" t="inlineStr">
        <is>
          <t>2026-03-12</t>
        </is>
      </c>
      <c r="S1637" s="4" t="inlineStr"/>
    </row>
    <row r="1638">
      <c r="A1638" s="10" t="inlineStr">
        <is>
          <t>F02109</t>
        </is>
      </c>
      <c r="B1638" s="10" t="inlineStr">
        <is>
          <t>F02109</t>
        </is>
      </c>
      <c r="C1638" s="10" t="inlineStr"/>
      <c r="D1638" s="10" t="inlineStr">
        <is>
          <t>6007771000219</t>
        </is>
      </c>
      <c r="E1638" s="10" t="inlineStr">
        <is>
          <t>BOWLS CASH ENAMEL 18CM 6'S NW</t>
        </is>
      </c>
      <c r="F1638" s="10" t="inlineStr"/>
      <c r="G1638" s="10" t="inlineStr"/>
      <c r="H1638" s="10" t="inlineStr"/>
      <c r="I1638" s="11" t="n">
        <v>77.5</v>
      </c>
      <c r="J1638" s="6" t="n">
        <v>15</v>
      </c>
      <c r="K1638" s="7">
        <f>IF(I1638="","",I1638*(1+J1638/100))</f>
        <v/>
      </c>
      <c r="L1638" s="12" t="inlineStr"/>
      <c r="M1638" s="8">
        <f>IF(OR(L1638="",K1638="",L1638=0),"",
  (L1638-K1638)/L1638*100)</f>
        <v/>
      </c>
      <c r="N1638" s="9" t="inlineStr"/>
      <c r="O1638" s="10" t="inlineStr"/>
      <c r="P1638" s="10" t="inlineStr"/>
      <c r="Q1638" s="10" t="inlineStr"/>
      <c r="R1638" s="10" t="inlineStr">
        <is>
          <t>2026-03-12</t>
        </is>
      </c>
      <c r="S1638" s="10" t="inlineStr"/>
    </row>
    <row r="1639">
      <c r="A1639" s="3" t="inlineStr">
        <is>
          <t>F02110</t>
        </is>
      </c>
      <c r="B1639" s="4" t="inlineStr">
        <is>
          <t>F02110</t>
        </is>
      </c>
      <c r="C1639" s="4" t="inlineStr"/>
      <c r="D1639" s="4" t="inlineStr"/>
      <c r="E1639" s="3" t="inlineStr">
        <is>
          <t>BOWLS CASH ENAMEL 20CM 6'S NW</t>
        </is>
      </c>
      <c r="F1639" s="4" t="inlineStr"/>
      <c r="G1639" s="4" t="inlineStr"/>
      <c r="H1639" s="4" t="inlineStr"/>
      <c r="I1639" s="5" t="n">
        <v>83.5</v>
      </c>
      <c r="J1639" s="6" t="n">
        <v>15</v>
      </c>
      <c r="K1639" s="7">
        <f>IF(I1639="","",I1639*(1+J1639/100))</f>
        <v/>
      </c>
      <c r="L1639" s="12" t="inlineStr"/>
      <c r="M1639" s="8">
        <f>IF(OR(L1639="",K1639="",L1639=0),"",
  (L1639-K1639)/L1639*100)</f>
        <v/>
      </c>
      <c r="N1639" s="9" t="inlineStr"/>
      <c r="O1639" s="4" t="inlineStr"/>
      <c r="P1639" s="4" t="inlineStr"/>
      <c r="Q1639" s="4" t="inlineStr"/>
      <c r="R1639" s="4" t="inlineStr">
        <is>
          <t>2026-03-12</t>
        </is>
      </c>
      <c r="S1639" s="4" t="inlineStr"/>
    </row>
    <row r="1640">
      <c r="A1640" s="10" t="inlineStr">
        <is>
          <t>F02111</t>
        </is>
      </c>
      <c r="B1640" s="10" t="inlineStr">
        <is>
          <t>F02111</t>
        </is>
      </c>
      <c r="C1640" s="10" t="inlineStr"/>
      <c r="D1640" s="10" t="inlineStr">
        <is>
          <t>6007771000073</t>
        </is>
      </c>
      <c r="E1640" s="10" t="inlineStr">
        <is>
          <t>PLATE SOUP ENAMEL 22CM 6'S NW</t>
        </is>
      </c>
      <c r="F1640" s="10" t="inlineStr"/>
      <c r="G1640" s="10" t="inlineStr"/>
      <c r="H1640" s="10" t="inlineStr"/>
      <c r="I1640" s="11" t="n">
        <v>61.95</v>
      </c>
      <c r="J1640" s="6" t="n">
        <v>15</v>
      </c>
      <c r="K1640" s="7">
        <f>IF(I1640="","",I1640*(1+J1640/100))</f>
        <v/>
      </c>
      <c r="L1640" s="12" t="inlineStr"/>
      <c r="M1640" s="8">
        <f>IF(OR(L1640="",K1640="",L1640=0),"",
  (L1640-K1640)/L1640*100)</f>
        <v/>
      </c>
      <c r="N1640" s="9" t="inlineStr"/>
      <c r="O1640" s="10" t="inlineStr"/>
      <c r="P1640" s="10" t="inlineStr"/>
      <c r="Q1640" s="10" t="inlineStr"/>
      <c r="R1640" s="10" t="inlineStr">
        <is>
          <t>2026-03-12</t>
        </is>
      </c>
      <c r="S1640" s="10" t="inlineStr"/>
    </row>
    <row r="1641">
      <c r="A1641" s="3" t="inlineStr">
        <is>
          <t>F02112</t>
        </is>
      </c>
      <c r="B1641" s="4" t="inlineStr">
        <is>
          <t>F02112</t>
        </is>
      </c>
      <c r="C1641" s="4" t="inlineStr"/>
      <c r="D1641" s="4" t="inlineStr">
        <is>
          <t>6007771000097</t>
        </is>
      </c>
      <c r="E1641" s="3" t="inlineStr">
        <is>
          <t>PLATE SOUP ENAMEL 24CM 6'S NW</t>
        </is>
      </c>
      <c r="F1641" s="4" t="inlineStr"/>
      <c r="G1641" s="4" t="inlineStr"/>
      <c r="H1641" s="4" t="inlineStr"/>
      <c r="I1641" s="5" t="n">
        <v>74.75</v>
      </c>
      <c r="J1641" s="6" t="n">
        <v>15</v>
      </c>
      <c r="K1641" s="7">
        <f>IF(I1641="","",I1641*(1+J1641/100))</f>
        <v/>
      </c>
      <c r="L1641" s="12" t="inlineStr"/>
      <c r="M1641" s="8">
        <f>IF(OR(L1641="",K1641="",L1641=0),"",
  (L1641-K1641)/L1641*100)</f>
        <v/>
      </c>
      <c r="N1641" s="9" t="inlineStr"/>
      <c r="O1641" s="4" t="inlineStr"/>
      <c r="P1641" s="4" t="inlineStr"/>
      <c r="Q1641" s="4" t="inlineStr"/>
      <c r="R1641" s="4" t="inlineStr">
        <is>
          <t>2026-03-12</t>
        </is>
      </c>
      <c r="S1641" s="4" t="inlineStr"/>
    </row>
    <row r="1642">
      <c r="A1642" s="10" t="inlineStr">
        <is>
          <t>F02113</t>
        </is>
      </c>
      <c r="B1642" s="10" t="inlineStr">
        <is>
          <t>F02113</t>
        </is>
      </c>
      <c r="C1642" s="10" t="inlineStr"/>
      <c r="D1642" s="10" t="inlineStr">
        <is>
          <t>6007771000356</t>
        </is>
      </c>
      <c r="E1642" s="10" t="inlineStr">
        <is>
          <t>BASIN ENAMEL 30CM NW</t>
        </is>
      </c>
      <c r="F1642" s="10" t="inlineStr"/>
      <c r="G1642" s="10" t="inlineStr"/>
      <c r="H1642" s="10" t="inlineStr"/>
      <c r="I1642" s="11" t="n">
        <v>25.25</v>
      </c>
      <c r="J1642" s="6" t="n">
        <v>15</v>
      </c>
      <c r="K1642" s="7">
        <f>IF(I1642="","",I1642*(1+J1642/100))</f>
        <v/>
      </c>
      <c r="L1642" s="12" t="inlineStr"/>
      <c r="M1642" s="8">
        <f>IF(OR(L1642="",K1642="",L1642=0),"",
  (L1642-K1642)/L1642*100)</f>
        <v/>
      </c>
      <c r="N1642" s="9" t="inlineStr"/>
      <c r="O1642" s="10" t="inlineStr"/>
      <c r="P1642" s="10" t="inlineStr"/>
      <c r="Q1642" s="10" t="inlineStr"/>
      <c r="R1642" s="10" t="inlineStr">
        <is>
          <t>2026-03-12</t>
        </is>
      </c>
      <c r="S1642" s="10" t="inlineStr"/>
    </row>
    <row r="1643">
      <c r="A1643" s="3" t="inlineStr">
        <is>
          <t>F02114</t>
        </is>
      </c>
      <c r="B1643" s="4" t="inlineStr">
        <is>
          <t>F02114</t>
        </is>
      </c>
      <c r="C1643" s="4" t="inlineStr"/>
      <c r="D1643" s="4" t="inlineStr">
        <is>
          <t>6007771000387</t>
        </is>
      </c>
      <c r="E1643" s="3" t="inlineStr">
        <is>
          <t>BASIN ENAMEL 40CM NW</t>
        </is>
      </c>
      <c r="F1643" s="4" t="inlineStr"/>
      <c r="G1643" s="4" t="inlineStr"/>
      <c r="H1643" s="4" t="inlineStr"/>
      <c r="I1643" s="5" t="n">
        <v>48.5</v>
      </c>
      <c r="J1643" s="6" t="n">
        <v>15</v>
      </c>
      <c r="K1643" s="7">
        <f>IF(I1643="","",I1643*(1+J1643/100))</f>
        <v/>
      </c>
      <c r="L1643" s="12" t="inlineStr"/>
      <c r="M1643" s="8">
        <f>IF(OR(L1643="",K1643="",L1643=0),"",
  (L1643-K1643)/L1643*100)</f>
        <v/>
      </c>
      <c r="N1643" s="9" t="inlineStr"/>
      <c r="O1643" s="4" t="inlineStr"/>
      <c r="P1643" s="4" t="inlineStr"/>
      <c r="Q1643" s="4" t="inlineStr"/>
      <c r="R1643" s="4" t="inlineStr">
        <is>
          <t>2026-03-12</t>
        </is>
      </c>
      <c r="S1643" s="4" t="inlineStr"/>
    </row>
    <row r="1644">
      <c r="A1644" s="10" t="inlineStr">
        <is>
          <t>F02115</t>
        </is>
      </c>
      <c r="B1644" s="10" t="inlineStr">
        <is>
          <t>F02115</t>
        </is>
      </c>
      <c r="C1644" s="10" t="inlineStr"/>
      <c r="D1644" s="10" t="inlineStr">
        <is>
          <t>6007771000394</t>
        </is>
      </c>
      <c r="E1644" s="10" t="inlineStr">
        <is>
          <t>BASIN ENAMEL 45CM NW</t>
        </is>
      </c>
      <c r="F1644" s="10" t="inlineStr"/>
      <c r="G1644" s="10" t="inlineStr"/>
      <c r="H1644" s="10" t="inlineStr"/>
      <c r="I1644" s="11" t="n">
        <v>62.95</v>
      </c>
      <c r="J1644" s="6" t="n">
        <v>15</v>
      </c>
      <c r="K1644" s="7">
        <f>IF(I1644="","",I1644*(1+J1644/100))</f>
        <v/>
      </c>
      <c r="L1644" s="12" t="inlineStr"/>
      <c r="M1644" s="8">
        <f>IF(OR(L1644="",K1644="",L1644=0),"",
  (L1644-K1644)/L1644*100)</f>
        <v/>
      </c>
      <c r="N1644" s="9" t="inlineStr"/>
      <c r="O1644" s="10" t="inlineStr"/>
      <c r="P1644" s="10" t="inlineStr"/>
      <c r="Q1644" s="10" t="inlineStr"/>
      <c r="R1644" s="10" t="inlineStr">
        <is>
          <t>2026-03-12</t>
        </is>
      </c>
      <c r="S1644" s="10" t="inlineStr"/>
    </row>
    <row r="1645">
      <c r="A1645" s="3" t="inlineStr">
        <is>
          <t>F02116</t>
        </is>
      </c>
      <c r="B1645" s="4" t="inlineStr">
        <is>
          <t>F02116</t>
        </is>
      </c>
      <c r="C1645" s="4" t="inlineStr"/>
      <c r="D1645" s="4" t="inlineStr">
        <is>
          <t>6007771000400</t>
        </is>
      </c>
      <c r="E1645" s="3" t="inlineStr">
        <is>
          <t>BASIN ENAMEL 50CM NW</t>
        </is>
      </c>
      <c r="F1645" s="4" t="inlineStr"/>
      <c r="G1645" s="4" t="inlineStr"/>
      <c r="H1645" s="4" t="inlineStr"/>
      <c r="I1645" s="5" t="n">
        <v>77.59999999999999</v>
      </c>
      <c r="J1645" s="6" t="n">
        <v>15</v>
      </c>
      <c r="K1645" s="7">
        <f>IF(I1645="","",I1645*(1+J1645/100))</f>
        <v/>
      </c>
      <c r="L1645" s="12" t="inlineStr"/>
      <c r="M1645" s="8">
        <f>IF(OR(L1645="",K1645="",L1645=0),"",
  (L1645-K1645)/L1645*100)</f>
        <v/>
      </c>
      <c r="N1645" s="9" t="inlineStr"/>
      <c r="O1645" s="4" t="inlineStr"/>
      <c r="P1645" s="4" t="inlineStr"/>
      <c r="Q1645" s="4" t="inlineStr"/>
      <c r="R1645" s="4" t="inlineStr">
        <is>
          <t>2026-03-12</t>
        </is>
      </c>
      <c r="S1645" s="4" t="inlineStr"/>
    </row>
    <row r="1646">
      <c r="A1646" s="10" t="inlineStr">
        <is>
          <t>F02117</t>
        </is>
      </c>
      <c r="B1646" s="10" t="inlineStr">
        <is>
          <t>F02117</t>
        </is>
      </c>
      <c r="C1646" s="10" t="inlineStr"/>
      <c r="D1646" s="10" t="inlineStr">
        <is>
          <t>6007771000417</t>
        </is>
      </c>
      <c r="E1646" s="10" t="inlineStr">
        <is>
          <t>BASIN ENAMEL 60CM NW</t>
        </is>
      </c>
      <c r="F1646" s="10" t="inlineStr"/>
      <c r="G1646" s="10" t="inlineStr"/>
      <c r="H1646" s="10" t="inlineStr"/>
      <c r="I1646" s="11" t="n">
        <v>135.75</v>
      </c>
      <c r="J1646" s="6" t="n">
        <v>15</v>
      </c>
      <c r="K1646" s="7">
        <f>IF(I1646="","",I1646*(1+J1646/100))</f>
        <v/>
      </c>
      <c r="L1646" s="12" t="inlineStr"/>
      <c r="M1646" s="8">
        <f>IF(OR(L1646="",K1646="",L1646=0),"",
  (L1646-K1646)/L1646*100)</f>
        <v/>
      </c>
      <c r="N1646" s="9" t="inlineStr"/>
      <c r="O1646" s="10" t="inlineStr"/>
      <c r="P1646" s="10" t="inlineStr"/>
      <c r="Q1646" s="10" t="inlineStr"/>
      <c r="R1646" s="10" t="inlineStr">
        <is>
          <t>2026-03-12</t>
        </is>
      </c>
      <c r="S1646" s="10" t="inlineStr"/>
    </row>
    <row r="1647">
      <c r="A1647" s="3" t="inlineStr">
        <is>
          <t>F02118</t>
        </is>
      </c>
      <c r="B1647" s="4" t="inlineStr">
        <is>
          <t>F02118</t>
        </is>
      </c>
      <c r="C1647" s="4" t="inlineStr"/>
      <c r="D1647" s="4" t="inlineStr">
        <is>
          <t>6007771000424</t>
        </is>
      </c>
      <c r="E1647" s="3" t="inlineStr">
        <is>
          <t>BASIN ENAMEL 70CM NW</t>
        </is>
      </c>
      <c r="F1647" s="4" t="inlineStr"/>
      <c r="G1647" s="4" t="inlineStr"/>
      <c r="H1647" s="4" t="inlineStr"/>
      <c r="I1647" s="5" t="n">
        <v>180.5</v>
      </c>
      <c r="J1647" s="6" t="n">
        <v>15</v>
      </c>
      <c r="K1647" s="7">
        <f>IF(I1647="","",I1647*(1+J1647/100))</f>
        <v/>
      </c>
      <c r="L1647" s="12" t="inlineStr"/>
      <c r="M1647" s="8">
        <f>IF(OR(L1647="",K1647="",L1647=0),"",
  (L1647-K1647)/L1647*100)</f>
        <v/>
      </c>
      <c r="N1647" s="9" t="inlineStr"/>
      <c r="O1647" s="4" t="inlineStr"/>
      <c r="P1647" s="4" t="inlineStr"/>
      <c r="Q1647" s="4" t="inlineStr"/>
      <c r="R1647" s="4" t="inlineStr">
        <is>
          <t>2026-03-12</t>
        </is>
      </c>
      <c r="S1647" s="4" t="inlineStr"/>
    </row>
    <row r="1648">
      <c r="A1648" s="10" t="inlineStr">
        <is>
          <t>F02119</t>
        </is>
      </c>
      <c r="B1648" s="10" t="inlineStr">
        <is>
          <t>F02119</t>
        </is>
      </c>
      <c r="C1648" s="10" t="inlineStr"/>
      <c r="D1648" s="10" t="inlineStr">
        <is>
          <t>6007771000011</t>
        </is>
      </c>
      <c r="E1648" s="10" t="inlineStr">
        <is>
          <t>MUG ENAMEL 8CM 12'S NW</t>
        </is>
      </c>
      <c r="F1648" s="10" t="inlineStr"/>
      <c r="G1648" s="10" t="inlineStr"/>
      <c r="H1648" s="10" t="inlineStr"/>
      <c r="I1648" s="11" t="n">
        <v>67.95</v>
      </c>
      <c r="J1648" s="6" t="n">
        <v>15</v>
      </c>
      <c r="K1648" s="7">
        <f>IF(I1648="","",I1648*(1+J1648/100))</f>
        <v/>
      </c>
      <c r="L1648" s="12" t="inlineStr"/>
      <c r="M1648" s="8">
        <f>IF(OR(L1648="",K1648="",L1648=0),"",
  (L1648-K1648)/L1648*100)</f>
        <v/>
      </c>
      <c r="N1648" s="9" t="inlineStr"/>
      <c r="O1648" s="10" t="inlineStr"/>
      <c r="P1648" s="10" t="inlineStr"/>
      <c r="Q1648" s="10" t="inlineStr"/>
      <c r="R1648" s="10" t="inlineStr">
        <is>
          <t>2026-03-12</t>
        </is>
      </c>
      <c r="S1648" s="10" t="inlineStr"/>
    </row>
    <row r="1649">
      <c r="A1649" s="3" t="inlineStr">
        <is>
          <t>F02120</t>
        </is>
      </c>
      <c r="B1649" s="4" t="inlineStr">
        <is>
          <t>F02120</t>
        </is>
      </c>
      <c r="C1649" s="4" t="inlineStr"/>
      <c r="D1649" s="4" t="inlineStr">
        <is>
          <t>6007771000035</t>
        </is>
      </c>
      <c r="E1649" s="3" t="inlineStr">
        <is>
          <t>MUG ENAMEL 10CM 6'S NW</t>
        </is>
      </c>
      <c r="F1649" s="4" t="inlineStr"/>
      <c r="G1649" s="4" t="inlineStr"/>
      <c r="H1649" s="4" t="inlineStr"/>
      <c r="I1649" s="5" t="n">
        <v>126.95</v>
      </c>
      <c r="J1649" s="6" t="n">
        <v>15</v>
      </c>
      <c r="K1649" s="7">
        <f>IF(I1649="","",I1649*(1+J1649/100))</f>
        <v/>
      </c>
      <c r="L1649" s="12" t="inlineStr"/>
      <c r="M1649" s="8">
        <f>IF(OR(L1649="",K1649="",L1649=0),"",
  (L1649-K1649)/L1649*100)</f>
        <v/>
      </c>
      <c r="N1649" s="9" t="inlineStr"/>
      <c r="O1649" s="4" t="inlineStr"/>
      <c r="P1649" s="4" t="inlineStr"/>
      <c r="Q1649" s="4" t="inlineStr"/>
      <c r="R1649" s="4" t="inlineStr">
        <is>
          <t>2026-03-12</t>
        </is>
      </c>
      <c r="S1649" s="4" t="inlineStr"/>
    </row>
    <row r="1650">
      <c r="A1650" s="10" t="inlineStr">
        <is>
          <t>F02121</t>
        </is>
      </c>
      <c r="B1650" s="10" t="inlineStr">
        <is>
          <t>F02121</t>
        </is>
      </c>
      <c r="C1650" s="10" t="inlineStr"/>
      <c r="D1650" s="10" t="inlineStr">
        <is>
          <t>6007771000370</t>
        </is>
      </c>
      <c r="E1650" s="10" t="inlineStr">
        <is>
          <t>BASIN ENAMEL 34CM NW</t>
        </is>
      </c>
      <c r="F1650" s="10" t="inlineStr"/>
      <c r="G1650" s="10" t="inlineStr"/>
      <c r="H1650" s="10" t="inlineStr"/>
      <c r="I1650" s="11" t="n">
        <v>34.95</v>
      </c>
      <c r="J1650" s="6" t="n">
        <v>15</v>
      </c>
      <c r="K1650" s="7">
        <f>IF(I1650="","",I1650*(1+J1650/100))</f>
        <v/>
      </c>
      <c r="L1650" s="12" t="inlineStr"/>
      <c r="M1650" s="8">
        <f>IF(OR(L1650="",K1650="",L1650=0),"",
  (L1650-K1650)/L1650*100)</f>
        <v/>
      </c>
      <c r="N1650" s="9" t="inlineStr"/>
      <c r="O1650" s="10" t="inlineStr"/>
      <c r="P1650" s="10" t="inlineStr"/>
      <c r="Q1650" s="10" t="inlineStr"/>
      <c r="R1650" s="10" t="inlineStr">
        <is>
          <t>2026-03-12</t>
        </is>
      </c>
      <c r="S1650" s="10" t="inlineStr"/>
    </row>
    <row r="1651">
      <c r="A1651" s="3" t="inlineStr">
        <is>
          <t>F02122</t>
        </is>
      </c>
      <c r="B1651" s="4" t="inlineStr">
        <is>
          <t>F02122</t>
        </is>
      </c>
      <c r="C1651" s="4" t="inlineStr"/>
      <c r="D1651" s="4" t="inlineStr">
        <is>
          <t>6007771001148</t>
        </is>
      </c>
      <c r="E1651" s="3" t="inlineStr">
        <is>
          <t>BOWL CASH ENAMEL 22CM 6'S NW</t>
        </is>
      </c>
      <c r="F1651" s="4" t="inlineStr"/>
      <c r="G1651" s="4" t="inlineStr"/>
      <c r="H1651" s="4" t="inlineStr"/>
      <c r="I1651" s="5" t="n">
        <v>106.95</v>
      </c>
      <c r="J1651" s="6" t="n">
        <v>15</v>
      </c>
      <c r="K1651" s="7">
        <f>IF(I1651="","",I1651*(1+J1651/100))</f>
        <v/>
      </c>
      <c r="L1651" s="12" t="inlineStr"/>
      <c r="M1651" s="8">
        <f>IF(OR(L1651="",K1651="",L1651=0),"",
  (L1651-K1651)/L1651*100)</f>
        <v/>
      </c>
      <c r="N1651" s="9" t="inlineStr"/>
      <c r="O1651" s="4" t="inlineStr"/>
      <c r="P1651" s="4" t="inlineStr"/>
      <c r="Q1651" s="4" t="inlineStr"/>
      <c r="R1651" s="4" t="inlineStr">
        <is>
          <t>2026-03-12</t>
        </is>
      </c>
      <c r="S1651" s="4" t="inlineStr"/>
    </row>
    <row r="1652">
      <c r="A1652" s="10" t="inlineStr">
        <is>
          <t>F02123</t>
        </is>
      </c>
      <c r="B1652" s="10" t="inlineStr">
        <is>
          <t>F02123</t>
        </is>
      </c>
      <c r="C1652" s="10" t="inlineStr"/>
      <c r="D1652" s="10" t="inlineStr">
        <is>
          <t>6002600000989</t>
        </is>
      </c>
      <c r="E1652" s="10" t="inlineStr">
        <is>
          <t>PLATE RICE ENAMEL 22CM 6'S NW</t>
        </is>
      </c>
      <c r="F1652" s="10" t="inlineStr"/>
      <c r="G1652" s="10" t="inlineStr"/>
      <c r="H1652" s="10" t="inlineStr"/>
      <c r="I1652" s="11" t="n">
        <v>66.95</v>
      </c>
      <c r="J1652" s="6" t="n">
        <v>15</v>
      </c>
      <c r="K1652" s="7">
        <f>IF(I1652="","",I1652*(1+J1652/100))</f>
        <v/>
      </c>
      <c r="L1652" s="12" t="inlineStr"/>
      <c r="M1652" s="8">
        <f>IF(OR(L1652="",K1652="",L1652=0),"",
  (L1652-K1652)/L1652*100)</f>
        <v/>
      </c>
      <c r="N1652" s="9" t="inlineStr"/>
      <c r="O1652" s="10" t="inlineStr"/>
      <c r="P1652" s="10" t="inlineStr"/>
      <c r="Q1652" s="10" t="inlineStr"/>
      <c r="R1652" s="10" t="inlineStr">
        <is>
          <t>2026-03-12</t>
        </is>
      </c>
      <c r="S1652" s="10" t="inlineStr"/>
    </row>
    <row r="1653">
      <c r="A1653" s="3" t="inlineStr">
        <is>
          <t>F02124</t>
        </is>
      </c>
      <c r="B1653" s="4" t="inlineStr">
        <is>
          <t>F02124</t>
        </is>
      </c>
      <c r="C1653" s="4" t="inlineStr"/>
      <c r="D1653" s="4" t="inlineStr"/>
      <c r="E1653" s="3" t="inlineStr">
        <is>
          <t>PLATE RICE ENAMEL 24CM 6'S NW</t>
        </is>
      </c>
      <c r="F1653" s="4" t="inlineStr"/>
      <c r="G1653" s="4" t="inlineStr"/>
      <c r="H1653" s="4" t="inlineStr"/>
      <c r="I1653" s="5" t="n">
        <v>92.95</v>
      </c>
      <c r="J1653" s="6" t="n">
        <v>15</v>
      </c>
      <c r="K1653" s="7">
        <f>IF(I1653="","",I1653*(1+J1653/100))</f>
        <v/>
      </c>
      <c r="L1653" s="12" t="inlineStr"/>
      <c r="M1653" s="8">
        <f>IF(OR(L1653="",K1653="",L1653=0),"",
  (L1653-K1653)/L1653*100)</f>
        <v/>
      </c>
      <c r="N1653" s="9" t="inlineStr"/>
      <c r="O1653" s="4" t="inlineStr"/>
      <c r="P1653" s="4" t="inlineStr"/>
      <c r="Q1653" s="4" t="inlineStr"/>
      <c r="R1653" s="4" t="inlineStr">
        <is>
          <t>2026-03-12</t>
        </is>
      </c>
      <c r="S1653" s="4" t="inlineStr"/>
    </row>
    <row r="1654">
      <c r="A1654" s="10" t="inlineStr">
        <is>
          <t>F02125</t>
        </is>
      </c>
      <c r="B1654" s="10" t="inlineStr">
        <is>
          <t>F02125</t>
        </is>
      </c>
      <c r="C1654" s="10" t="inlineStr"/>
      <c r="D1654" s="10" t="inlineStr">
        <is>
          <t>6002600003294</t>
        </is>
      </c>
      <c r="E1654" s="10" t="inlineStr">
        <is>
          <t>TEAPOT 1LT CREAM KANGO</t>
        </is>
      </c>
      <c r="F1654" s="10" t="inlineStr"/>
      <c r="G1654" s="10" t="inlineStr"/>
      <c r="H1654" s="10" t="inlineStr"/>
      <c r="I1654" s="11" t="n">
        <v>96.95</v>
      </c>
      <c r="J1654" s="6" t="n">
        <v>15</v>
      </c>
      <c r="K1654" s="7">
        <f>IF(I1654="","",I1654*(1+J1654/100))</f>
        <v/>
      </c>
      <c r="L1654" s="12" t="inlineStr"/>
      <c r="M1654" s="8">
        <f>IF(OR(L1654="",K1654="",L1654=0),"",
  (L1654-K1654)/L1654*100)</f>
        <v/>
      </c>
      <c r="N1654" s="9" t="inlineStr"/>
      <c r="O1654" s="10" t="inlineStr"/>
      <c r="P1654" s="10" t="inlineStr"/>
      <c r="Q1654" s="10" t="inlineStr"/>
      <c r="R1654" s="10" t="inlineStr">
        <is>
          <t>2026-03-12</t>
        </is>
      </c>
      <c r="S1654" s="10" t="inlineStr"/>
    </row>
    <row r="1655">
      <c r="A1655" s="3" t="inlineStr">
        <is>
          <t>F02126</t>
        </is>
      </c>
      <c r="B1655" s="4" t="inlineStr">
        <is>
          <t>F02126</t>
        </is>
      </c>
      <c r="C1655" s="4" t="inlineStr"/>
      <c r="D1655" s="4" t="inlineStr">
        <is>
          <t>6002600001399</t>
        </is>
      </c>
      <c r="E1655" s="3" t="inlineStr">
        <is>
          <t>TEAPOT 2.25LT CREAM KANGO</t>
        </is>
      </c>
      <c r="F1655" s="4" t="inlineStr"/>
      <c r="G1655" s="4" t="inlineStr"/>
      <c r="H1655" s="4" t="inlineStr"/>
      <c r="I1655" s="5" t="n">
        <v>135.95</v>
      </c>
      <c r="J1655" s="6" t="n">
        <v>15</v>
      </c>
      <c r="K1655" s="7">
        <f>IF(I1655="","",I1655*(1+J1655/100))</f>
        <v/>
      </c>
      <c r="L1655" s="12" t="inlineStr"/>
      <c r="M1655" s="8">
        <f>IF(OR(L1655="",K1655="",L1655=0),"",
  (L1655-K1655)/L1655*100)</f>
        <v/>
      </c>
      <c r="N1655" s="9" t="inlineStr"/>
      <c r="O1655" s="4" t="inlineStr"/>
      <c r="P1655" s="4" t="inlineStr"/>
      <c r="Q1655" s="4" t="inlineStr"/>
      <c r="R1655" s="4" t="inlineStr">
        <is>
          <t>2026-03-12</t>
        </is>
      </c>
      <c r="S1655" s="4" t="inlineStr"/>
    </row>
    <row r="1656">
      <c r="A1656" s="10" t="inlineStr">
        <is>
          <t>F02127</t>
        </is>
      </c>
      <c r="B1656" s="10" t="inlineStr">
        <is>
          <t>F02127</t>
        </is>
      </c>
      <c r="C1656" s="10" t="inlineStr"/>
      <c r="D1656" s="10" t="inlineStr">
        <is>
          <t>6002600001382</t>
        </is>
      </c>
      <c r="E1656" s="10" t="inlineStr">
        <is>
          <t>TEAPOT 3.5LT CREAM KANGO</t>
        </is>
      </c>
      <c r="F1656" s="10" t="inlineStr"/>
      <c r="G1656" s="10" t="inlineStr"/>
      <c r="H1656" s="10" t="inlineStr"/>
      <c r="I1656" s="11" t="n">
        <v>155.95</v>
      </c>
      <c r="J1656" s="6" t="n">
        <v>15</v>
      </c>
      <c r="K1656" s="7">
        <f>IF(I1656="","",I1656*(1+J1656/100))</f>
        <v/>
      </c>
      <c r="L1656" s="12" t="inlineStr"/>
      <c r="M1656" s="8">
        <f>IF(OR(L1656="",K1656="",L1656=0),"",
  (L1656-K1656)/L1656*100)</f>
        <v/>
      </c>
      <c r="N1656" s="9" t="inlineStr"/>
      <c r="O1656" s="10" t="inlineStr"/>
      <c r="P1656" s="10" t="inlineStr"/>
      <c r="Q1656" s="10" t="inlineStr"/>
      <c r="R1656" s="10" t="inlineStr">
        <is>
          <t>2026-03-12</t>
        </is>
      </c>
      <c r="S1656" s="10" t="inlineStr"/>
    </row>
    <row r="1657">
      <c r="A1657" s="3" t="inlineStr">
        <is>
          <t>F02128</t>
        </is>
      </c>
      <c r="B1657" s="4" t="inlineStr">
        <is>
          <t>F02128</t>
        </is>
      </c>
      <c r="C1657" s="4" t="inlineStr"/>
      <c r="D1657" s="4" t="inlineStr">
        <is>
          <t>6002600001481</t>
        </is>
      </c>
      <c r="E1657" s="3" t="inlineStr">
        <is>
          <t>VEG DISH 16CM 3'S KANGO</t>
        </is>
      </c>
      <c r="F1657" s="4" t="inlineStr"/>
      <c r="G1657" s="4" t="inlineStr"/>
      <c r="H1657" s="4" t="inlineStr"/>
      <c r="I1657" s="5" t="n">
        <v>96.95</v>
      </c>
      <c r="J1657" s="6" t="n">
        <v>15</v>
      </c>
      <c r="K1657" s="7">
        <f>IF(I1657="","",I1657*(1+J1657/100))</f>
        <v/>
      </c>
      <c r="L1657" s="12" t="inlineStr"/>
      <c r="M1657" s="8">
        <f>IF(OR(L1657="",K1657="",L1657=0),"",
  (L1657-K1657)/L1657*100)</f>
        <v/>
      </c>
      <c r="N1657" s="9" t="inlineStr"/>
      <c r="O1657" s="4" t="inlineStr"/>
      <c r="P1657" s="4" t="inlineStr"/>
      <c r="Q1657" s="4" t="inlineStr"/>
      <c r="R1657" s="4" t="inlineStr">
        <is>
          <t>2026-03-12</t>
        </is>
      </c>
      <c r="S1657" s="4" t="inlineStr"/>
    </row>
    <row r="1658">
      <c r="A1658" s="10" t="inlineStr">
        <is>
          <t>F02129</t>
        </is>
      </c>
      <c r="B1658" s="10" t="inlineStr">
        <is>
          <t>F02129</t>
        </is>
      </c>
      <c r="C1658" s="10" t="inlineStr"/>
      <c r="D1658" s="10" t="inlineStr">
        <is>
          <t>6002600001467</t>
        </is>
      </c>
      <c r="E1658" s="10" t="inlineStr">
        <is>
          <t>VEG DISH 18CM 3'S KANGO</t>
        </is>
      </c>
      <c r="F1658" s="10" t="inlineStr"/>
      <c r="G1658" s="10" t="inlineStr"/>
      <c r="H1658" s="10" t="inlineStr"/>
      <c r="I1658" s="11" t="n">
        <v>107.95</v>
      </c>
      <c r="J1658" s="6" t="n">
        <v>15</v>
      </c>
      <c r="K1658" s="7">
        <f>IF(I1658="","",I1658*(1+J1658/100))</f>
        <v/>
      </c>
      <c r="L1658" s="12" t="inlineStr"/>
      <c r="M1658" s="8">
        <f>IF(OR(L1658="",K1658="",L1658=0),"",
  (L1658-K1658)/L1658*100)</f>
        <v/>
      </c>
      <c r="N1658" s="9" t="inlineStr"/>
      <c r="O1658" s="10" t="inlineStr"/>
      <c r="P1658" s="10" t="inlineStr"/>
      <c r="Q1658" s="10" t="inlineStr"/>
      <c r="R1658" s="10" t="inlineStr">
        <is>
          <t>2026-03-12</t>
        </is>
      </c>
      <c r="S1658" s="10" t="inlineStr"/>
    </row>
    <row r="1659">
      <c r="A1659" s="3" t="inlineStr">
        <is>
          <t>F02130</t>
        </is>
      </c>
      <c r="B1659" s="4" t="inlineStr">
        <is>
          <t>F02130</t>
        </is>
      </c>
      <c r="C1659" s="4" t="inlineStr"/>
      <c r="D1659" s="4" t="inlineStr">
        <is>
          <t>6002600001498</t>
        </is>
      </c>
      <c r="E1659" s="3" t="inlineStr">
        <is>
          <t>VEG DISH 20CM 3'S KANGO</t>
        </is>
      </c>
      <c r="F1659" s="4" t="inlineStr"/>
      <c r="G1659" s="4" t="inlineStr"/>
      <c r="H1659" s="4" t="inlineStr"/>
      <c r="I1659" s="5" t="n">
        <v>131.95</v>
      </c>
      <c r="J1659" s="6" t="n">
        <v>15</v>
      </c>
      <c r="K1659" s="7">
        <f>IF(I1659="","",I1659*(1+J1659/100))</f>
        <v/>
      </c>
      <c r="L1659" s="12" t="inlineStr"/>
      <c r="M1659" s="8">
        <f>IF(OR(L1659="",K1659="",L1659=0),"",
  (L1659-K1659)/L1659*100)</f>
        <v/>
      </c>
      <c r="N1659" s="9" t="inlineStr"/>
      <c r="O1659" s="4" t="inlineStr"/>
      <c r="P1659" s="4" t="inlineStr"/>
      <c r="Q1659" s="4" t="inlineStr"/>
      <c r="R1659" s="4" t="inlineStr">
        <is>
          <t>2026-03-12</t>
        </is>
      </c>
      <c r="S1659" s="4" t="inlineStr"/>
    </row>
    <row r="1660">
      <c r="A1660" s="10" t="inlineStr">
        <is>
          <t>F02131</t>
        </is>
      </c>
      <c r="B1660" s="10" t="inlineStr">
        <is>
          <t>F02131</t>
        </is>
      </c>
      <c r="C1660" s="10" t="inlineStr"/>
      <c r="D1660" s="10" t="inlineStr">
        <is>
          <t>6002600000224</t>
        </is>
      </c>
      <c r="E1660" s="10" t="inlineStr">
        <is>
          <t>BILLY CAN 16CM KANGO</t>
        </is>
      </c>
      <c r="F1660" s="10" t="inlineStr"/>
      <c r="G1660" s="10" t="inlineStr"/>
      <c r="H1660" s="10" t="inlineStr"/>
      <c r="I1660" s="11" t="n">
        <v>58.25</v>
      </c>
      <c r="J1660" s="6" t="n">
        <v>15</v>
      </c>
      <c r="K1660" s="7">
        <f>IF(I1660="","",I1660*(1+J1660/100))</f>
        <v/>
      </c>
      <c r="L1660" s="12" t="inlineStr"/>
      <c r="M1660" s="8">
        <f>IF(OR(L1660="",K1660="",L1660=0),"",
  (L1660-K1660)/L1660*100)</f>
        <v/>
      </c>
      <c r="N1660" s="9" t="inlineStr"/>
      <c r="O1660" s="10" t="inlineStr"/>
      <c r="P1660" s="10" t="inlineStr"/>
      <c r="Q1660" s="10" t="inlineStr"/>
      <c r="R1660" s="10" t="inlineStr">
        <is>
          <t>2026-03-12</t>
        </is>
      </c>
      <c r="S1660" s="10" t="inlineStr"/>
    </row>
    <row r="1661">
      <c r="A1661" s="3" t="inlineStr">
        <is>
          <t>F02132</t>
        </is>
      </c>
      <c r="B1661" s="4" t="inlineStr">
        <is>
          <t>F02132</t>
        </is>
      </c>
      <c r="C1661" s="4" t="inlineStr"/>
      <c r="D1661" s="4" t="inlineStr">
        <is>
          <t>6002600000217</t>
        </is>
      </c>
      <c r="E1661" s="3" t="inlineStr">
        <is>
          <t>BILLY CAN 18CM KANGO</t>
        </is>
      </c>
      <c r="F1661" s="4" t="inlineStr"/>
      <c r="G1661" s="4" t="inlineStr"/>
      <c r="H1661" s="4" t="inlineStr"/>
      <c r="I1661" s="5" t="n">
        <v>77.95</v>
      </c>
      <c r="J1661" s="6" t="n">
        <v>15</v>
      </c>
      <c r="K1661" s="7">
        <f>IF(I1661="","",I1661*(1+J1661/100))</f>
        <v/>
      </c>
      <c r="L1661" s="12" t="inlineStr"/>
      <c r="M1661" s="8">
        <f>IF(OR(L1661="",K1661="",L1661=0),"",
  (L1661-K1661)/L1661*100)</f>
        <v/>
      </c>
      <c r="N1661" s="9" t="inlineStr"/>
      <c r="O1661" s="4" t="inlineStr"/>
      <c r="P1661" s="4" t="inlineStr"/>
      <c r="Q1661" s="4" t="inlineStr"/>
      <c r="R1661" s="4" t="inlineStr">
        <is>
          <t>2026-03-12</t>
        </is>
      </c>
      <c r="S1661" s="4" t="inlineStr"/>
    </row>
    <row r="1662">
      <c r="A1662" s="10" t="inlineStr">
        <is>
          <t>F02133</t>
        </is>
      </c>
      <c r="B1662" s="10" t="inlineStr">
        <is>
          <t>F02133</t>
        </is>
      </c>
      <c r="C1662" s="10" t="inlineStr"/>
      <c r="D1662" s="10" t="inlineStr">
        <is>
          <t>6002600000026</t>
        </is>
      </c>
      <c r="E1662" s="10" t="inlineStr">
        <is>
          <t>KETTLE 3.5LT ALUMINUM KANGO</t>
        </is>
      </c>
      <c r="F1662" s="10" t="inlineStr"/>
      <c r="G1662" s="10" t="inlineStr"/>
      <c r="H1662" s="10" t="inlineStr"/>
      <c r="I1662" s="11" t="n">
        <v>84.5</v>
      </c>
      <c r="J1662" s="6" t="n">
        <v>15</v>
      </c>
      <c r="K1662" s="7">
        <f>IF(I1662="","",I1662*(1+J1662/100))</f>
        <v/>
      </c>
      <c r="L1662" s="12" t="inlineStr"/>
      <c r="M1662" s="8">
        <f>IF(OR(L1662="",K1662="",L1662=0),"",
  (L1662-K1662)/L1662*100)</f>
        <v/>
      </c>
      <c r="N1662" s="9" t="inlineStr"/>
      <c r="O1662" s="10" t="inlineStr"/>
      <c r="P1662" s="10" t="inlineStr"/>
      <c r="Q1662" s="10" t="inlineStr"/>
      <c r="R1662" s="10" t="inlineStr">
        <is>
          <t>2026-03-12</t>
        </is>
      </c>
      <c r="S1662" s="10" t="inlineStr"/>
    </row>
    <row r="1663">
      <c r="A1663" s="3" t="inlineStr">
        <is>
          <t>F02134</t>
        </is>
      </c>
      <c r="B1663" s="4" t="inlineStr">
        <is>
          <t>F02134</t>
        </is>
      </c>
      <c r="C1663" s="4" t="inlineStr"/>
      <c r="D1663" s="4" t="inlineStr">
        <is>
          <t>6002600000019</t>
        </is>
      </c>
      <c r="E1663" s="3" t="inlineStr">
        <is>
          <t>KETTLE 5LT ALUMINUM KANGO</t>
        </is>
      </c>
      <c r="F1663" s="4" t="inlineStr"/>
      <c r="G1663" s="4" t="inlineStr"/>
      <c r="H1663" s="4" t="inlineStr"/>
      <c r="I1663" s="5" t="n">
        <v>93.95</v>
      </c>
      <c r="J1663" s="6" t="n">
        <v>15</v>
      </c>
      <c r="K1663" s="7">
        <f>IF(I1663="","",I1663*(1+J1663/100))</f>
        <v/>
      </c>
      <c r="L1663" s="12" t="inlineStr"/>
      <c r="M1663" s="8">
        <f>IF(OR(L1663="",K1663="",L1663=0),"",
  (L1663-K1663)/L1663*100)</f>
        <v/>
      </c>
      <c r="N1663" s="9" t="inlineStr"/>
      <c r="O1663" s="4" t="inlineStr"/>
      <c r="P1663" s="4" t="inlineStr"/>
      <c r="Q1663" s="4" t="inlineStr"/>
      <c r="R1663" s="4" t="inlineStr">
        <is>
          <t>2026-03-12</t>
        </is>
      </c>
      <c r="S1663" s="4" t="inlineStr"/>
    </row>
    <row r="1664">
      <c r="A1664" s="10" t="inlineStr">
        <is>
          <t>F02135</t>
        </is>
      </c>
      <c r="B1664" s="10" t="inlineStr">
        <is>
          <t>F02135</t>
        </is>
      </c>
      <c r="C1664" s="10" t="inlineStr"/>
      <c r="D1664" s="10" t="inlineStr">
        <is>
          <t>6002600000699</t>
        </is>
      </c>
      <c r="E1664" s="10" t="inlineStr">
        <is>
          <t>FRYING PAN 23CM ALUMINUM KANGO</t>
        </is>
      </c>
      <c r="F1664" s="10" t="inlineStr"/>
      <c r="G1664" s="10" t="inlineStr"/>
      <c r="H1664" s="10" t="inlineStr"/>
      <c r="I1664" s="11" t="n">
        <v>30</v>
      </c>
      <c r="J1664" s="6" t="n">
        <v>15</v>
      </c>
      <c r="K1664" s="7">
        <f>IF(I1664="","",I1664*(1+J1664/100))</f>
        <v/>
      </c>
      <c r="L1664" s="12" t="inlineStr"/>
      <c r="M1664" s="8">
        <f>IF(OR(L1664="",K1664="",L1664=0),"",
  (L1664-K1664)/L1664*100)</f>
        <v/>
      </c>
      <c r="N1664" s="9" t="inlineStr"/>
      <c r="O1664" s="10" t="inlineStr"/>
      <c r="P1664" s="10" t="inlineStr"/>
      <c r="Q1664" s="10" t="inlineStr"/>
      <c r="R1664" s="10" t="inlineStr">
        <is>
          <t>2026-03-12</t>
        </is>
      </c>
      <c r="S1664" s="10" t="inlineStr"/>
    </row>
    <row r="1665">
      <c r="A1665" s="3" t="inlineStr">
        <is>
          <t>F02136</t>
        </is>
      </c>
      <c r="B1665" s="4" t="inlineStr">
        <is>
          <t>F02136</t>
        </is>
      </c>
      <c r="C1665" s="4" t="inlineStr"/>
      <c r="D1665" s="4" t="inlineStr">
        <is>
          <t>6002600003300</t>
        </is>
      </c>
      <c r="E1665" s="3" t="inlineStr">
        <is>
          <t>KETTLE 3.5LT ENAMEL CREAM KANGO</t>
        </is>
      </c>
      <c r="F1665" s="4" t="inlineStr"/>
      <c r="G1665" s="4" t="inlineStr"/>
      <c r="H1665" s="4" t="inlineStr"/>
      <c r="I1665" s="5" t="n">
        <v>174.95</v>
      </c>
      <c r="J1665" s="6" t="n">
        <v>15</v>
      </c>
      <c r="K1665" s="7">
        <f>IF(I1665="","",I1665*(1+J1665/100))</f>
        <v/>
      </c>
      <c r="L1665" s="12" t="inlineStr"/>
      <c r="M1665" s="8">
        <f>IF(OR(L1665="",K1665="",L1665=0),"",
  (L1665-K1665)/L1665*100)</f>
        <v/>
      </c>
      <c r="N1665" s="9" t="inlineStr"/>
      <c r="O1665" s="4" t="inlineStr"/>
      <c r="P1665" s="4" t="inlineStr"/>
      <c r="Q1665" s="4" t="inlineStr"/>
      <c r="R1665" s="4" t="inlineStr">
        <is>
          <t>2026-03-12</t>
        </is>
      </c>
      <c r="S1665" s="4" t="inlineStr"/>
    </row>
    <row r="1666">
      <c r="A1666" s="10" t="inlineStr">
        <is>
          <t>F02137</t>
        </is>
      </c>
      <c r="B1666" s="10" t="inlineStr">
        <is>
          <t>F02137</t>
        </is>
      </c>
      <c r="C1666" s="10" t="inlineStr"/>
      <c r="D1666" s="10" t="inlineStr">
        <is>
          <t>6002600008343</t>
        </is>
      </c>
      <c r="E1666" s="10" t="inlineStr">
        <is>
          <t>KETTLE 4.5LT ENAMEL CREAM KANGO</t>
        </is>
      </c>
      <c r="F1666" s="10" t="inlineStr"/>
      <c r="G1666" s="10" t="inlineStr"/>
      <c r="H1666" s="10" t="inlineStr"/>
      <c r="I1666" s="11" t="n">
        <v>190</v>
      </c>
      <c r="J1666" s="6" t="n">
        <v>15</v>
      </c>
      <c r="K1666" s="7">
        <f>IF(I1666="","",I1666*(1+J1666/100))</f>
        <v/>
      </c>
      <c r="L1666" s="12" t="inlineStr"/>
      <c r="M1666" s="8">
        <f>IF(OR(L1666="",K1666="",L1666=0),"",
  (L1666-K1666)/L1666*100)</f>
        <v/>
      </c>
      <c r="N1666" s="9" t="inlineStr"/>
      <c r="O1666" s="10" t="inlineStr"/>
      <c r="P1666" s="10" t="inlineStr"/>
      <c r="Q1666" s="10" t="inlineStr"/>
      <c r="R1666" s="10" t="inlineStr">
        <is>
          <t>2026-03-12</t>
        </is>
      </c>
      <c r="S1666" s="10" t="inlineStr"/>
    </row>
    <row r="1667">
      <c r="A1667" s="3" t="inlineStr">
        <is>
          <t>F02138</t>
        </is>
      </c>
      <c r="B1667" s="4" t="inlineStr">
        <is>
          <t>F02138</t>
        </is>
      </c>
      <c r="C1667" s="4" t="inlineStr"/>
      <c r="D1667" s="4" t="inlineStr">
        <is>
          <t>6002600008350</t>
        </is>
      </c>
      <c r="E1667" s="3" t="inlineStr">
        <is>
          <t>KETTLE 6.8LT ENAMEL CREAM KANGO</t>
        </is>
      </c>
      <c r="F1667" s="4" t="inlineStr"/>
      <c r="G1667" s="4" t="inlineStr"/>
      <c r="H1667" s="4" t="inlineStr"/>
      <c r="I1667" s="5" t="n">
        <v>271.95</v>
      </c>
      <c r="J1667" s="6" t="n">
        <v>15</v>
      </c>
      <c r="K1667" s="7">
        <f>IF(I1667="","",I1667*(1+J1667/100))</f>
        <v/>
      </c>
      <c r="L1667" s="12" t="inlineStr"/>
      <c r="M1667" s="8">
        <f>IF(OR(L1667="",K1667="",L1667=0),"",
  (L1667-K1667)/L1667*100)</f>
        <v/>
      </c>
      <c r="N1667" s="9" t="inlineStr"/>
      <c r="O1667" s="4" t="inlineStr"/>
      <c r="P1667" s="4" t="inlineStr"/>
      <c r="Q1667" s="4" t="inlineStr"/>
      <c r="R1667" s="4" t="inlineStr">
        <is>
          <t>2026-03-12</t>
        </is>
      </c>
      <c r="S1667" s="4" t="inlineStr"/>
    </row>
    <row r="1668">
      <c r="A1668" s="10" t="inlineStr">
        <is>
          <t>F02139</t>
        </is>
      </c>
      <c r="B1668" s="10" t="inlineStr">
        <is>
          <t>F02139</t>
        </is>
      </c>
      <c r="C1668" s="10" t="inlineStr"/>
      <c r="D1668" s="10" t="inlineStr">
        <is>
          <t>6002600000330</t>
        </is>
      </c>
      <c r="E1668" s="10" t="inlineStr">
        <is>
          <t>BOWL CASH ENAMEL 14CM 6'S KANGO</t>
        </is>
      </c>
      <c r="F1668" s="10" t="inlineStr"/>
      <c r="G1668" s="10" t="inlineStr"/>
      <c r="H1668" s="10" t="inlineStr"/>
      <c r="I1668" s="11" t="n">
        <v>62.95</v>
      </c>
      <c r="J1668" s="6" t="n">
        <v>15</v>
      </c>
      <c r="K1668" s="7">
        <f>IF(I1668="","",I1668*(1+J1668/100))</f>
        <v/>
      </c>
      <c r="L1668" s="12" t="inlineStr"/>
      <c r="M1668" s="8">
        <f>IF(OR(L1668="",K1668="",L1668=0),"",
  (L1668-K1668)/L1668*100)</f>
        <v/>
      </c>
      <c r="N1668" s="9" t="inlineStr"/>
      <c r="O1668" s="10" t="inlineStr"/>
      <c r="P1668" s="10" t="inlineStr"/>
      <c r="Q1668" s="10" t="inlineStr"/>
      <c r="R1668" s="10" t="inlineStr">
        <is>
          <t>2026-03-12</t>
        </is>
      </c>
      <c r="S1668" s="10" t="inlineStr"/>
    </row>
    <row r="1669">
      <c r="A1669" s="3" t="inlineStr">
        <is>
          <t>F02140</t>
        </is>
      </c>
      <c r="B1669" s="4" t="inlineStr">
        <is>
          <t>F02140</t>
        </is>
      </c>
      <c r="C1669" s="4" t="inlineStr"/>
      <c r="D1669" s="4" t="inlineStr">
        <is>
          <t>6002600000347</t>
        </is>
      </c>
      <c r="E1669" s="3" t="inlineStr">
        <is>
          <t>BOWL CASH ENAMEL 16CM 6'S KANGO</t>
        </is>
      </c>
      <c r="F1669" s="4" t="inlineStr"/>
      <c r="G1669" s="4" t="inlineStr"/>
      <c r="H1669" s="4" t="inlineStr"/>
      <c r="I1669" s="5" t="n">
        <v>67.95</v>
      </c>
      <c r="J1669" s="6" t="n">
        <v>15</v>
      </c>
      <c r="K1669" s="7">
        <f>IF(I1669="","",I1669*(1+J1669/100))</f>
        <v/>
      </c>
      <c r="L1669" s="12" t="inlineStr"/>
      <c r="M1669" s="8">
        <f>IF(OR(L1669="",K1669="",L1669=0),"",
  (L1669-K1669)/L1669*100)</f>
        <v/>
      </c>
      <c r="N1669" s="9" t="inlineStr"/>
      <c r="O1669" s="4" t="inlineStr"/>
      <c r="P1669" s="4" t="inlineStr"/>
      <c r="Q1669" s="4" t="inlineStr"/>
      <c r="R1669" s="4" t="inlineStr">
        <is>
          <t>2026-03-12</t>
        </is>
      </c>
      <c r="S1669" s="4" t="inlineStr"/>
    </row>
    <row r="1670">
      <c r="A1670" s="10" t="inlineStr">
        <is>
          <t>F02141</t>
        </is>
      </c>
      <c r="B1670" s="10" t="inlineStr">
        <is>
          <t>F02141</t>
        </is>
      </c>
      <c r="C1670" s="10" t="inlineStr"/>
      <c r="D1670" s="10" t="inlineStr">
        <is>
          <t>6002600000286</t>
        </is>
      </c>
      <c r="E1670" s="10" t="inlineStr">
        <is>
          <t>BOWL CASH ENAMEL 18CM 6'S KANGO</t>
        </is>
      </c>
      <c r="F1670" s="10" t="inlineStr"/>
      <c r="G1670" s="10" t="inlineStr"/>
      <c r="H1670" s="10" t="inlineStr"/>
      <c r="I1670" s="11" t="n">
        <v>77.95</v>
      </c>
      <c r="J1670" s="6" t="n">
        <v>15</v>
      </c>
      <c r="K1670" s="7">
        <f>IF(I1670="","",I1670*(1+J1670/100))</f>
        <v/>
      </c>
      <c r="L1670" s="12" t="inlineStr"/>
      <c r="M1670" s="8">
        <f>IF(OR(L1670="",K1670="",L1670=0),"",
  (L1670-K1670)/L1670*100)</f>
        <v/>
      </c>
      <c r="N1670" s="9" t="inlineStr"/>
      <c r="O1670" s="10" t="inlineStr"/>
      <c r="P1670" s="10" t="inlineStr"/>
      <c r="Q1670" s="10" t="inlineStr"/>
      <c r="R1670" s="10" t="inlineStr">
        <is>
          <t>2026-03-12</t>
        </is>
      </c>
      <c r="S1670" s="10" t="inlineStr"/>
    </row>
    <row r="1671">
      <c r="A1671" s="3" t="inlineStr">
        <is>
          <t>F02142</t>
        </is>
      </c>
      <c r="B1671" s="4" t="inlineStr">
        <is>
          <t>F02142</t>
        </is>
      </c>
      <c r="C1671" s="4" t="inlineStr"/>
      <c r="D1671" s="4" t="inlineStr">
        <is>
          <t>6002600000316</t>
        </is>
      </c>
      <c r="E1671" s="3" t="inlineStr">
        <is>
          <t>BOWL CASH ENAMEL 20CM 6'S KANGO</t>
        </is>
      </c>
      <c r="F1671" s="4" t="inlineStr"/>
      <c r="G1671" s="4" t="inlineStr"/>
      <c r="H1671" s="4" t="inlineStr"/>
      <c r="I1671" s="5" t="n">
        <v>87.95</v>
      </c>
      <c r="J1671" s="6" t="n">
        <v>15</v>
      </c>
      <c r="K1671" s="7">
        <f>IF(I1671="","",I1671*(1+J1671/100))</f>
        <v/>
      </c>
      <c r="L1671" s="12" t="inlineStr"/>
      <c r="M1671" s="8">
        <f>IF(OR(L1671="",K1671="",L1671=0),"",
  (L1671-K1671)/L1671*100)</f>
        <v/>
      </c>
      <c r="N1671" s="9" t="inlineStr"/>
      <c r="O1671" s="4" t="inlineStr"/>
      <c r="P1671" s="4" t="inlineStr"/>
      <c r="Q1671" s="4" t="inlineStr"/>
      <c r="R1671" s="4" t="inlineStr">
        <is>
          <t>2026-03-12</t>
        </is>
      </c>
      <c r="S1671" s="4" t="inlineStr"/>
    </row>
    <row r="1672">
      <c r="A1672" s="10" t="inlineStr">
        <is>
          <t>F02143</t>
        </is>
      </c>
      <c r="B1672" s="10" t="inlineStr">
        <is>
          <t>F02143</t>
        </is>
      </c>
      <c r="C1672" s="10" t="inlineStr"/>
      <c r="D1672" s="10" t="inlineStr">
        <is>
          <t>6002600022004</t>
        </is>
      </c>
      <c r="E1672" s="10" t="inlineStr">
        <is>
          <t>BOWL CASH + LID ENAMEL 18CM 3'S KANGO</t>
        </is>
      </c>
      <c r="F1672" s="10" t="inlineStr"/>
      <c r="G1672" s="10" t="inlineStr"/>
      <c r="H1672" s="10" t="inlineStr"/>
      <c r="I1672" s="11" t="n">
        <v>92.95</v>
      </c>
      <c r="J1672" s="6" t="n">
        <v>15</v>
      </c>
      <c r="K1672" s="7">
        <f>IF(I1672="","",I1672*(1+J1672/100))</f>
        <v/>
      </c>
      <c r="L1672" s="12" t="inlineStr"/>
      <c r="M1672" s="8">
        <f>IF(OR(L1672="",K1672="",L1672=0),"",
  (L1672-K1672)/L1672*100)</f>
        <v/>
      </c>
      <c r="N1672" s="9" t="inlineStr"/>
      <c r="O1672" s="10" t="inlineStr"/>
      <c r="P1672" s="10" t="inlineStr"/>
      <c r="Q1672" s="10" t="inlineStr"/>
      <c r="R1672" s="10" t="inlineStr">
        <is>
          <t>2026-03-12</t>
        </is>
      </c>
      <c r="S1672" s="10" t="inlineStr"/>
    </row>
    <row r="1673">
      <c r="A1673" s="3" t="inlineStr">
        <is>
          <t>F02144</t>
        </is>
      </c>
      <c r="B1673" s="4" t="inlineStr">
        <is>
          <t>F02144</t>
        </is>
      </c>
      <c r="C1673" s="4" t="inlineStr"/>
      <c r="D1673" s="4" t="inlineStr">
        <is>
          <t>6002600000958</t>
        </is>
      </c>
      <c r="E1673" s="3" t="inlineStr">
        <is>
          <t>PLATE RICE ENAMEL 21CM 6'S KANGO</t>
        </is>
      </c>
      <c r="F1673" s="4" t="inlineStr"/>
      <c r="G1673" s="4" t="inlineStr"/>
      <c r="H1673" s="4" t="inlineStr"/>
      <c r="I1673" s="5" t="n">
        <v>65.95</v>
      </c>
      <c r="J1673" s="6" t="n">
        <v>15</v>
      </c>
      <c r="K1673" s="7">
        <f>IF(I1673="","",I1673*(1+J1673/100))</f>
        <v/>
      </c>
      <c r="L1673" s="12" t="inlineStr"/>
      <c r="M1673" s="8">
        <f>IF(OR(L1673="",K1673="",L1673=0),"",
  (L1673-K1673)/L1673*100)</f>
        <v/>
      </c>
      <c r="N1673" s="9" t="inlineStr"/>
      <c r="O1673" s="4" t="inlineStr"/>
      <c r="P1673" s="4" t="inlineStr"/>
      <c r="Q1673" s="4" t="inlineStr"/>
      <c r="R1673" s="4" t="inlineStr">
        <is>
          <t>2026-03-12</t>
        </is>
      </c>
      <c r="S1673" s="4" t="inlineStr"/>
    </row>
    <row r="1674">
      <c r="A1674" s="10" t="inlineStr">
        <is>
          <t>F02145</t>
        </is>
      </c>
      <c r="B1674" s="10" t="inlineStr">
        <is>
          <t>F02145</t>
        </is>
      </c>
      <c r="C1674" s="10" t="inlineStr"/>
      <c r="D1674" s="10" t="inlineStr">
        <is>
          <t>6002600001108</t>
        </is>
      </c>
      <c r="E1674" s="10" t="inlineStr">
        <is>
          <t>PLATE SOUP ENAMEL 22CM 6'S KANGO</t>
        </is>
      </c>
      <c r="F1674" s="10" t="inlineStr"/>
      <c r="G1674" s="10" t="inlineStr"/>
      <c r="H1674" s="10" t="inlineStr"/>
      <c r="I1674" s="11" t="n">
        <v>67.95</v>
      </c>
      <c r="J1674" s="6" t="n">
        <v>15</v>
      </c>
      <c r="K1674" s="7">
        <f>IF(I1674="","",I1674*(1+J1674/100))</f>
        <v/>
      </c>
      <c r="L1674" s="12" t="inlineStr"/>
      <c r="M1674" s="8">
        <f>IF(OR(L1674="",K1674="",L1674=0),"",
  (L1674-K1674)/L1674*100)</f>
        <v/>
      </c>
      <c r="N1674" s="9" t="inlineStr"/>
      <c r="O1674" s="10" t="inlineStr"/>
      <c r="P1674" s="10" t="inlineStr"/>
      <c r="Q1674" s="10" t="inlineStr"/>
      <c r="R1674" s="10" t="inlineStr">
        <is>
          <t>2026-03-12</t>
        </is>
      </c>
      <c r="S1674" s="10" t="inlineStr"/>
    </row>
    <row r="1675">
      <c r="A1675" s="3" t="inlineStr">
        <is>
          <t>F02146</t>
        </is>
      </c>
      <c r="B1675" s="4" t="inlineStr">
        <is>
          <t>F02146</t>
        </is>
      </c>
      <c r="C1675" s="4" t="inlineStr"/>
      <c r="D1675" s="4" t="inlineStr">
        <is>
          <t>6002600001078</t>
        </is>
      </c>
      <c r="E1675" s="3" t="inlineStr">
        <is>
          <t>PLATE SOUP ENAMEL 24CM 6'S KANGO</t>
        </is>
      </c>
      <c r="F1675" s="4" t="inlineStr"/>
      <c r="G1675" s="4" t="inlineStr"/>
      <c r="H1675" s="4" t="inlineStr"/>
      <c r="I1675" s="5" t="n">
        <v>77.95</v>
      </c>
      <c r="J1675" s="6" t="n">
        <v>15</v>
      </c>
      <c r="K1675" s="7">
        <f>IF(I1675="","",I1675*(1+J1675/100))</f>
        <v/>
      </c>
      <c r="L1675" s="12" t="inlineStr"/>
      <c r="M1675" s="8">
        <f>IF(OR(L1675="",K1675="",L1675=0),"",
  (L1675-K1675)/L1675*100)</f>
        <v/>
      </c>
      <c r="N1675" s="9" t="inlineStr"/>
      <c r="O1675" s="4" t="inlineStr"/>
      <c r="P1675" s="4" t="inlineStr"/>
      <c r="Q1675" s="4" t="inlineStr"/>
      <c r="R1675" s="4" t="inlineStr">
        <is>
          <t>2026-03-12</t>
        </is>
      </c>
      <c r="S1675" s="4" t="inlineStr"/>
    </row>
    <row r="1676">
      <c r="A1676" s="10" t="inlineStr">
        <is>
          <t>F02147</t>
        </is>
      </c>
      <c r="B1676" s="10" t="inlineStr">
        <is>
          <t>F02147</t>
        </is>
      </c>
      <c r="C1676" s="10" t="inlineStr"/>
      <c r="D1676" s="10" t="inlineStr">
        <is>
          <t>6002600000743</t>
        </is>
      </c>
      <c r="E1676" s="10" t="inlineStr">
        <is>
          <t>BASIN ENAMEL 30CM KANGO</t>
        </is>
      </c>
      <c r="F1676" s="10" t="inlineStr"/>
      <c r="G1676" s="10" t="inlineStr"/>
      <c r="H1676" s="10" t="inlineStr"/>
      <c r="I1676" s="11" t="n">
        <v>25.1</v>
      </c>
      <c r="J1676" s="6" t="n">
        <v>15</v>
      </c>
      <c r="K1676" s="7">
        <f>IF(I1676="","",I1676*(1+J1676/100))</f>
        <v/>
      </c>
      <c r="L1676" s="12" t="inlineStr"/>
      <c r="M1676" s="8">
        <f>IF(OR(L1676="",K1676="",L1676=0),"",
  (L1676-K1676)/L1676*100)</f>
        <v/>
      </c>
      <c r="N1676" s="9" t="inlineStr"/>
      <c r="O1676" s="10" t="inlineStr"/>
      <c r="P1676" s="10" t="inlineStr"/>
      <c r="Q1676" s="10" t="inlineStr"/>
      <c r="R1676" s="10" t="inlineStr">
        <is>
          <t>2026-03-12</t>
        </is>
      </c>
      <c r="S1676" s="10" t="inlineStr"/>
    </row>
    <row r="1677">
      <c r="A1677" s="3" t="inlineStr">
        <is>
          <t>F02148</t>
        </is>
      </c>
      <c r="B1677" s="4" t="inlineStr">
        <is>
          <t>F02148</t>
        </is>
      </c>
      <c r="C1677" s="4" t="inlineStr"/>
      <c r="D1677" s="4" t="inlineStr">
        <is>
          <t>6002600000743</t>
        </is>
      </c>
      <c r="E1677" s="3" t="inlineStr">
        <is>
          <t>BASIN ENAMEL 40CM KANGO</t>
        </is>
      </c>
      <c r="F1677" s="4" t="inlineStr"/>
      <c r="G1677" s="4" t="inlineStr"/>
      <c r="H1677" s="4" t="inlineStr"/>
      <c r="I1677" s="5" t="n">
        <v>50.95</v>
      </c>
      <c r="J1677" s="6" t="n">
        <v>15</v>
      </c>
      <c r="K1677" s="7">
        <f>IF(I1677="","",I1677*(1+J1677/100))</f>
        <v/>
      </c>
      <c r="L1677" s="12" t="inlineStr"/>
      <c r="M1677" s="8">
        <f>IF(OR(L1677="",K1677="",L1677=0),"",
  (L1677-K1677)/L1677*100)</f>
        <v/>
      </c>
      <c r="N1677" s="9" t="inlineStr"/>
      <c r="O1677" s="4" t="inlineStr"/>
      <c r="P1677" s="4" t="inlineStr"/>
      <c r="Q1677" s="4" t="inlineStr"/>
      <c r="R1677" s="4" t="inlineStr">
        <is>
          <t>2026-03-12</t>
        </is>
      </c>
      <c r="S1677" s="4" t="inlineStr"/>
    </row>
    <row r="1678">
      <c r="A1678" s="10" t="inlineStr">
        <is>
          <t>F02149</t>
        </is>
      </c>
      <c r="B1678" s="10" t="inlineStr">
        <is>
          <t>F02149</t>
        </is>
      </c>
      <c r="C1678" s="10" t="inlineStr"/>
      <c r="D1678" s="10" t="inlineStr">
        <is>
          <t>6002600000736</t>
        </is>
      </c>
      <c r="E1678" s="10" t="inlineStr">
        <is>
          <t>BASIN ENAMEL 45CM KANGO</t>
        </is>
      </c>
      <c r="F1678" s="10" t="inlineStr"/>
      <c r="G1678" s="10" t="inlineStr"/>
      <c r="H1678" s="10" t="inlineStr"/>
      <c r="I1678" s="11" t="n">
        <v>62.95</v>
      </c>
      <c r="J1678" s="6" t="n">
        <v>15</v>
      </c>
      <c r="K1678" s="7">
        <f>IF(I1678="","",I1678*(1+J1678/100))</f>
        <v/>
      </c>
      <c r="L1678" s="12" t="inlineStr"/>
      <c r="M1678" s="8">
        <f>IF(OR(L1678="",K1678="",L1678=0),"",
  (L1678-K1678)/L1678*100)</f>
        <v/>
      </c>
      <c r="N1678" s="9" t="inlineStr"/>
      <c r="O1678" s="10" t="inlineStr"/>
      <c r="P1678" s="10" t="inlineStr"/>
      <c r="Q1678" s="10" t="inlineStr"/>
      <c r="R1678" s="10" t="inlineStr">
        <is>
          <t>2026-03-12</t>
        </is>
      </c>
      <c r="S1678" s="10" t="inlineStr"/>
    </row>
    <row r="1679">
      <c r="A1679" s="3" t="inlineStr">
        <is>
          <t>F02150</t>
        </is>
      </c>
      <c r="B1679" s="4" t="inlineStr">
        <is>
          <t>F02150</t>
        </is>
      </c>
      <c r="C1679" s="4" t="inlineStr"/>
      <c r="D1679" s="4" t="inlineStr">
        <is>
          <t>6002600024831</t>
        </is>
      </c>
      <c r="E1679" s="3" t="inlineStr">
        <is>
          <t>BASIN ENAMEL 60CM KANGO</t>
        </is>
      </c>
      <c r="F1679" s="4" t="inlineStr"/>
      <c r="G1679" s="4" t="inlineStr"/>
      <c r="H1679" s="4" t="inlineStr"/>
      <c r="I1679" s="5" t="n">
        <v>128.95</v>
      </c>
      <c r="J1679" s="6" t="n">
        <v>15</v>
      </c>
      <c r="K1679" s="7">
        <f>IF(I1679="","",I1679*(1+J1679/100))</f>
        <v/>
      </c>
      <c r="L1679" s="12" t="inlineStr"/>
      <c r="M1679" s="8">
        <f>IF(OR(L1679="",K1679="",L1679=0),"",
  (L1679-K1679)/L1679*100)</f>
        <v/>
      </c>
      <c r="N1679" s="9" t="inlineStr"/>
      <c r="O1679" s="4" t="inlineStr"/>
      <c r="P1679" s="4" t="inlineStr"/>
      <c r="Q1679" s="4" t="inlineStr"/>
      <c r="R1679" s="4" t="inlineStr">
        <is>
          <t>2026-03-12</t>
        </is>
      </c>
      <c r="S1679" s="4" t="inlineStr"/>
    </row>
    <row r="1680">
      <c r="A1680" s="10" t="inlineStr">
        <is>
          <t>F02151</t>
        </is>
      </c>
      <c r="B1680" s="10" t="inlineStr">
        <is>
          <t>F02151</t>
        </is>
      </c>
      <c r="C1680" s="10" t="inlineStr"/>
      <c r="D1680" s="10" t="inlineStr">
        <is>
          <t>6002600000620</t>
        </is>
      </c>
      <c r="E1680" s="10" t="inlineStr">
        <is>
          <t>FOOD DISH 16CM 3'S KANGO</t>
        </is>
      </c>
      <c r="F1680" s="10" t="inlineStr"/>
      <c r="G1680" s="10" t="inlineStr"/>
      <c r="H1680" s="10" t="inlineStr"/>
      <c r="I1680" s="11" t="n">
        <v>92.95</v>
      </c>
      <c r="J1680" s="6" t="n">
        <v>15</v>
      </c>
      <c r="K1680" s="7">
        <f>IF(I1680="","",I1680*(1+J1680/100))</f>
        <v/>
      </c>
      <c r="L1680" s="12" t="inlineStr"/>
      <c r="M1680" s="8">
        <f>IF(OR(L1680="",K1680="",L1680=0),"",
  (L1680-K1680)/L1680*100)</f>
        <v/>
      </c>
      <c r="N1680" s="9" t="inlineStr"/>
      <c r="O1680" s="10" t="inlineStr"/>
      <c r="P1680" s="10" t="inlineStr"/>
      <c r="Q1680" s="10" t="inlineStr"/>
      <c r="R1680" s="10" t="inlineStr">
        <is>
          <t>2026-03-12</t>
        </is>
      </c>
      <c r="S1680" s="10" t="inlineStr"/>
    </row>
    <row r="1681">
      <c r="A1681" s="3" t="inlineStr">
        <is>
          <t>F02152</t>
        </is>
      </c>
      <c r="B1681" s="4" t="inlineStr">
        <is>
          <t>F02152</t>
        </is>
      </c>
      <c r="C1681" s="4" t="inlineStr"/>
      <c r="D1681" s="4" t="inlineStr">
        <is>
          <t>6002600000637</t>
        </is>
      </c>
      <c r="E1681" s="3" t="inlineStr">
        <is>
          <t>FOOD DISH 18CM 3'S KANGO</t>
        </is>
      </c>
      <c r="F1681" s="4" t="inlineStr"/>
      <c r="G1681" s="4" t="inlineStr"/>
      <c r="H1681" s="4" t="inlineStr"/>
      <c r="I1681" s="5" t="n">
        <v>103.95</v>
      </c>
      <c r="J1681" s="6" t="n">
        <v>15</v>
      </c>
      <c r="K1681" s="7">
        <f>IF(I1681="","",I1681*(1+J1681/100))</f>
        <v/>
      </c>
      <c r="L1681" s="12" t="inlineStr"/>
      <c r="M1681" s="8">
        <f>IF(OR(L1681="",K1681="",L1681=0),"",
  (L1681-K1681)/L1681*100)</f>
        <v/>
      </c>
      <c r="N1681" s="9" t="inlineStr"/>
      <c r="O1681" s="4" t="inlineStr"/>
      <c r="P1681" s="4" t="inlineStr"/>
      <c r="Q1681" s="4" t="inlineStr"/>
      <c r="R1681" s="4" t="inlineStr">
        <is>
          <t>2026-03-12</t>
        </is>
      </c>
      <c r="S1681" s="4" t="inlineStr"/>
    </row>
    <row r="1682">
      <c r="A1682" s="10" t="inlineStr">
        <is>
          <t>F02153</t>
        </is>
      </c>
      <c r="B1682" s="10" t="inlineStr">
        <is>
          <t>F02153</t>
        </is>
      </c>
      <c r="C1682" s="10" t="inlineStr"/>
      <c r="D1682" s="10" t="inlineStr">
        <is>
          <t>6002600000644</t>
        </is>
      </c>
      <c r="E1682" s="10" t="inlineStr">
        <is>
          <t>FOOD DISH 20CM 3'S KANGO</t>
        </is>
      </c>
      <c r="F1682" s="10" t="inlineStr"/>
      <c r="G1682" s="10" t="inlineStr"/>
      <c r="H1682" s="10" t="inlineStr"/>
      <c r="I1682" s="11" t="n">
        <v>117.95</v>
      </c>
      <c r="J1682" s="6" t="n">
        <v>15</v>
      </c>
      <c r="K1682" s="7">
        <f>IF(I1682="","",I1682*(1+J1682/100))</f>
        <v/>
      </c>
      <c r="L1682" s="12" t="inlineStr"/>
      <c r="M1682" s="8">
        <f>IF(OR(L1682="",K1682="",L1682=0),"",
  (L1682-K1682)/L1682*100)</f>
        <v/>
      </c>
      <c r="N1682" s="9" t="inlineStr"/>
      <c r="O1682" s="10" t="inlineStr"/>
      <c r="P1682" s="10" t="inlineStr"/>
      <c r="Q1682" s="10" t="inlineStr"/>
      <c r="R1682" s="10" t="inlineStr">
        <is>
          <t>2026-03-12</t>
        </is>
      </c>
      <c r="S1682" s="10" t="inlineStr"/>
    </row>
    <row r="1683">
      <c r="A1683" s="3" t="inlineStr">
        <is>
          <t>F02154</t>
        </is>
      </c>
      <c r="B1683" s="4" t="inlineStr">
        <is>
          <t>F02154</t>
        </is>
      </c>
      <c r="C1683" s="4" t="inlineStr"/>
      <c r="D1683" s="4" t="inlineStr">
        <is>
          <t>6002600024848</t>
        </is>
      </c>
      <c r="E1683" s="3" t="inlineStr">
        <is>
          <t>BASIN ENAMEL 50CM KANGO</t>
        </is>
      </c>
      <c r="F1683" s="4" t="inlineStr"/>
      <c r="G1683" s="4" t="inlineStr"/>
      <c r="H1683" s="4" t="inlineStr"/>
      <c r="I1683" s="5" t="n">
        <v>84.95</v>
      </c>
      <c r="J1683" s="6" t="n">
        <v>15</v>
      </c>
      <c r="K1683" s="7">
        <f>IF(I1683="","",I1683*(1+J1683/100))</f>
        <v/>
      </c>
      <c r="L1683" s="12" t="inlineStr"/>
      <c r="M1683" s="8">
        <f>IF(OR(L1683="",K1683="",L1683=0),"",
  (L1683-K1683)/L1683*100)</f>
        <v/>
      </c>
      <c r="N1683" s="9" t="inlineStr"/>
      <c r="O1683" s="4" t="inlineStr"/>
      <c r="P1683" s="4" t="inlineStr"/>
      <c r="Q1683" s="4" t="inlineStr"/>
      <c r="R1683" s="4" t="inlineStr">
        <is>
          <t>2026-03-12</t>
        </is>
      </c>
      <c r="S1683" s="4" t="inlineStr"/>
    </row>
    <row r="1684">
      <c r="A1684" s="10" t="inlineStr">
        <is>
          <t>F02155</t>
        </is>
      </c>
      <c r="B1684" s="10" t="inlineStr">
        <is>
          <t>F02155</t>
        </is>
      </c>
      <c r="C1684" s="10" t="inlineStr"/>
      <c r="D1684" s="10" t="inlineStr">
        <is>
          <t>6002600024824</t>
        </is>
      </c>
      <c r="E1684" s="10" t="inlineStr">
        <is>
          <t>BASIN ENAMEL 70CM KANGO</t>
        </is>
      </c>
      <c r="F1684" s="10" t="inlineStr"/>
      <c r="G1684" s="10" t="inlineStr"/>
      <c r="H1684" s="10" t="inlineStr"/>
      <c r="I1684" s="11" t="n">
        <v>164.95</v>
      </c>
      <c r="J1684" s="6" t="n">
        <v>15</v>
      </c>
      <c r="K1684" s="7">
        <f>IF(I1684="","",I1684*(1+J1684/100))</f>
        <v/>
      </c>
      <c r="L1684" s="12" t="inlineStr"/>
      <c r="M1684" s="8">
        <f>IF(OR(L1684="",K1684="",L1684=0),"",
  (L1684-K1684)/L1684*100)</f>
        <v/>
      </c>
      <c r="N1684" s="9" t="inlineStr"/>
      <c r="O1684" s="10" t="inlineStr"/>
      <c r="P1684" s="10" t="inlineStr"/>
      <c r="Q1684" s="10" t="inlineStr"/>
      <c r="R1684" s="10" t="inlineStr">
        <is>
          <t>2026-03-12</t>
        </is>
      </c>
      <c r="S1684" s="10" t="inlineStr"/>
    </row>
    <row r="1685">
      <c r="A1685" s="3" t="inlineStr">
        <is>
          <t>F02156</t>
        </is>
      </c>
      <c r="B1685" s="4" t="inlineStr">
        <is>
          <t>F02156</t>
        </is>
      </c>
      <c r="C1685" s="4" t="inlineStr"/>
      <c r="D1685" s="4" t="inlineStr">
        <is>
          <t>6009800322514</t>
        </is>
      </c>
      <c r="E1685" s="3" t="inlineStr">
        <is>
          <t>BROOM SUPER DELUXE METAL CLIP</t>
        </is>
      </c>
      <c r="F1685" s="4" t="inlineStr"/>
      <c r="G1685" s="4" t="inlineStr"/>
      <c r="H1685" s="4" t="inlineStr"/>
      <c r="I1685" s="5" t="n">
        <v>44.95</v>
      </c>
      <c r="J1685" s="6" t="n">
        <v>15</v>
      </c>
      <c r="K1685" s="7">
        <f>IF(I1685="","",I1685*(1+J1685/100))</f>
        <v/>
      </c>
      <c r="L1685" s="12" t="inlineStr"/>
      <c r="M1685" s="8">
        <f>IF(OR(L1685="",K1685="",L1685=0),"",
  (L1685-K1685)/L1685*100)</f>
        <v/>
      </c>
      <c r="N1685" s="14" t="n">
        <v>66</v>
      </c>
      <c r="O1685" s="4" t="inlineStr"/>
      <c r="P1685" s="4" t="inlineStr"/>
      <c r="Q1685" s="4" t="inlineStr"/>
      <c r="R1685" s="4" t="inlineStr">
        <is>
          <t>2026-03-12</t>
        </is>
      </c>
      <c r="S1685" s="4" t="inlineStr"/>
    </row>
    <row r="1686">
      <c r="A1686" s="10" t="inlineStr">
        <is>
          <t>F02157</t>
        </is>
      </c>
      <c r="B1686" s="10" t="inlineStr">
        <is>
          <t>F02157</t>
        </is>
      </c>
      <c r="C1686" s="10" t="inlineStr">
        <is>
          <t>32138</t>
        </is>
      </c>
      <c r="D1686" s="10" t="inlineStr">
        <is>
          <t>6002220102735</t>
        </is>
      </c>
      <c r="E1686" s="10" t="inlineStr">
        <is>
          <t>CANDLE HOLDER - METAL</t>
        </is>
      </c>
      <c r="F1686" s="10" t="inlineStr"/>
      <c r="G1686" s="10" t="inlineStr"/>
      <c r="H1686" s="10" t="inlineStr"/>
      <c r="I1686" s="11" t="n">
        <v>7.79</v>
      </c>
      <c r="J1686" s="6" t="n">
        <v>15</v>
      </c>
      <c r="K1686" s="7">
        <f>IF(I1686="","",I1686*(1+J1686/100))</f>
        <v/>
      </c>
      <c r="L1686" s="12" t="inlineStr"/>
      <c r="M1686" s="8">
        <f>IF(OR(L1686="",K1686="",L1686=0),"",
  (L1686-K1686)/L1686*100)</f>
        <v/>
      </c>
      <c r="N1686" s="13" t="n">
        <v>350</v>
      </c>
      <c r="O1686" s="10" t="inlineStr"/>
      <c r="P1686" s="10" t="inlineStr"/>
      <c r="Q1686" s="10" t="inlineStr"/>
      <c r="R1686" s="10" t="inlineStr">
        <is>
          <t>2026-03-12</t>
        </is>
      </c>
      <c r="S1686" s="10" t="inlineStr"/>
    </row>
    <row r="1687">
      <c r="A1687" s="3" t="inlineStr">
        <is>
          <t>F02158</t>
        </is>
      </c>
      <c r="B1687" s="4" t="inlineStr">
        <is>
          <t>F02158</t>
        </is>
      </c>
      <c r="C1687" s="4" t="inlineStr"/>
      <c r="D1687" s="4" t="inlineStr"/>
      <c r="E1687" s="3" t="inlineStr">
        <is>
          <t>LIGHT LED CEILING 18W CIRCLE  TYSON</t>
        </is>
      </c>
      <c r="F1687" s="4" t="inlineStr"/>
      <c r="G1687" s="4" t="inlineStr"/>
      <c r="H1687" s="4" t="inlineStr"/>
      <c r="I1687" s="5" t="n">
        <v>85.95</v>
      </c>
      <c r="J1687" s="6" t="n">
        <v>15</v>
      </c>
      <c r="K1687" s="7">
        <f>IF(I1687="","",I1687*(1+J1687/100))</f>
        <v/>
      </c>
      <c r="L1687" s="12" t="inlineStr"/>
      <c r="M1687" s="8">
        <f>IF(OR(L1687="",K1687="",L1687=0),"",
  (L1687-K1687)/L1687*100)</f>
        <v/>
      </c>
      <c r="N1687" s="14" t="n">
        <v>11</v>
      </c>
      <c r="O1687" s="4" t="inlineStr"/>
      <c r="P1687" s="4" t="inlineStr"/>
      <c r="Q1687" s="4" t="inlineStr"/>
      <c r="R1687" s="4" t="inlineStr">
        <is>
          <t>2026-03-12</t>
        </is>
      </c>
      <c r="S1687" s="4" t="inlineStr"/>
    </row>
    <row r="1688">
      <c r="A1688" s="10" t="inlineStr">
        <is>
          <t>F02159</t>
        </is>
      </c>
      <c r="B1688" s="10" t="inlineStr">
        <is>
          <t>F02159</t>
        </is>
      </c>
      <c r="C1688" s="10" t="inlineStr"/>
      <c r="D1688" s="10" t="inlineStr"/>
      <c r="E1688" s="10" t="inlineStr">
        <is>
          <t>LIGHT LED CEILING 18W DIAMOND TYSON</t>
        </is>
      </c>
      <c r="F1688" s="10" t="inlineStr"/>
      <c r="G1688" s="10" t="inlineStr"/>
      <c r="H1688" s="10" t="inlineStr"/>
      <c r="I1688" s="11" t="n">
        <v>85.95</v>
      </c>
      <c r="J1688" s="6" t="n">
        <v>15</v>
      </c>
      <c r="K1688" s="7">
        <f>IF(I1688="","",I1688*(1+J1688/100))</f>
        <v/>
      </c>
      <c r="L1688" s="12" t="inlineStr"/>
      <c r="M1688" s="8">
        <f>IF(OR(L1688="",K1688="",L1688=0),"",
  (L1688-K1688)/L1688*100)</f>
        <v/>
      </c>
      <c r="N1688" s="13" t="n">
        <v>17</v>
      </c>
      <c r="O1688" s="10" t="inlineStr"/>
      <c r="P1688" s="10" t="inlineStr"/>
      <c r="Q1688" s="10" t="inlineStr"/>
      <c r="R1688" s="10" t="inlineStr">
        <is>
          <t>2026-03-12</t>
        </is>
      </c>
      <c r="S1688" s="10" t="inlineStr"/>
    </row>
    <row r="1689">
      <c r="A1689" s="3" t="inlineStr">
        <is>
          <t>F02160</t>
        </is>
      </c>
      <c r="B1689" s="4" t="inlineStr">
        <is>
          <t>F02160</t>
        </is>
      </c>
      <c r="C1689" s="4" t="inlineStr"/>
      <c r="D1689" s="4" t="inlineStr"/>
      <c r="E1689" s="3" t="inlineStr">
        <is>
          <t>LIGHT LED CEILING 18W GEOMETRY TYSON</t>
        </is>
      </c>
      <c r="F1689" s="4" t="inlineStr"/>
      <c r="G1689" s="4" t="inlineStr"/>
      <c r="H1689" s="4" t="inlineStr"/>
      <c r="I1689" s="5" t="n">
        <v>85.95</v>
      </c>
      <c r="J1689" s="6" t="n">
        <v>15</v>
      </c>
      <c r="K1689" s="7">
        <f>IF(I1689="","",I1689*(1+J1689/100))</f>
        <v/>
      </c>
      <c r="L1689" s="12" t="inlineStr"/>
      <c r="M1689" s="8">
        <f>IF(OR(L1689="",K1689="",L1689=0),"",
  (L1689-K1689)/L1689*100)</f>
        <v/>
      </c>
      <c r="N1689" s="9" t="inlineStr"/>
      <c r="O1689" s="4" t="inlineStr"/>
      <c r="P1689" s="4" t="inlineStr"/>
      <c r="Q1689" s="4" t="inlineStr"/>
      <c r="R1689" s="4" t="inlineStr">
        <is>
          <t>2026-03-12</t>
        </is>
      </c>
      <c r="S1689" s="4" t="inlineStr"/>
    </row>
    <row r="1690">
      <c r="A1690" s="10" t="inlineStr">
        <is>
          <t>F02161</t>
        </is>
      </c>
      <c r="B1690" s="10" t="inlineStr">
        <is>
          <t>F02161</t>
        </is>
      </c>
      <c r="C1690" s="10" t="inlineStr">
        <is>
          <t>12844</t>
        </is>
      </c>
      <c r="D1690" s="10" t="inlineStr"/>
      <c r="E1690" s="10" t="inlineStr">
        <is>
          <t>LIGHT LED CEILING 18W SKY NEW TYSON</t>
        </is>
      </c>
      <c r="F1690" s="10" t="inlineStr"/>
      <c r="G1690" s="10" t="inlineStr"/>
      <c r="H1690" s="10" t="inlineStr"/>
      <c r="I1690" s="11" t="n">
        <v>85.95</v>
      </c>
      <c r="J1690" s="6" t="n">
        <v>15</v>
      </c>
      <c r="K1690" s="7">
        <f>IF(I1690="","",I1690*(1+J1690/100))</f>
        <v/>
      </c>
      <c r="L1690" s="11" t="n">
        <v>350</v>
      </c>
      <c r="M1690" s="8">
        <f>IF(OR(L1690="",K1690="",L1690=0),"",
  (L1690-K1690)/L1690*100)</f>
        <v/>
      </c>
      <c r="N1690" s="13" t="n">
        <v>61</v>
      </c>
      <c r="O1690" s="10" t="inlineStr"/>
      <c r="P1690" s="10" t="inlineStr"/>
      <c r="Q1690" s="10" t="inlineStr"/>
      <c r="R1690" s="10" t="inlineStr">
        <is>
          <t>2026-03-12</t>
        </is>
      </c>
      <c r="S1690" s="10" t="inlineStr"/>
    </row>
    <row r="1691">
      <c r="A1691" s="3" t="inlineStr">
        <is>
          <t>F02162</t>
        </is>
      </c>
      <c r="B1691" s="4" t="inlineStr">
        <is>
          <t>F02162</t>
        </is>
      </c>
      <c r="C1691" s="4" t="inlineStr">
        <is>
          <t>12752</t>
        </is>
      </c>
      <c r="D1691" s="4" t="inlineStr"/>
      <c r="E1691" s="3" t="inlineStr">
        <is>
          <t>LIGHT LED CEILING 18W SPRAY TYSON</t>
        </is>
      </c>
      <c r="F1691" s="4" t="inlineStr"/>
      <c r="G1691" s="4" t="inlineStr"/>
      <c r="H1691" s="4" t="inlineStr"/>
      <c r="I1691" s="5" t="n">
        <v>85.95</v>
      </c>
      <c r="J1691" s="6" t="n">
        <v>15</v>
      </c>
      <c r="K1691" s="7">
        <f>IF(I1691="","",I1691*(1+J1691/100))</f>
        <v/>
      </c>
      <c r="L1691" s="5" t="n">
        <v>350</v>
      </c>
      <c r="M1691" s="8">
        <f>IF(OR(L1691="",K1691="",L1691=0),"",
  (L1691-K1691)/L1691*100)</f>
        <v/>
      </c>
      <c r="N1691" s="14" t="n">
        <v>23</v>
      </c>
      <c r="O1691" s="4" t="inlineStr"/>
      <c r="P1691" s="4" t="inlineStr"/>
      <c r="Q1691" s="4" t="inlineStr"/>
      <c r="R1691" s="4" t="inlineStr">
        <is>
          <t>2026-03-12</t>
        </is>
      </c>
      <c r="S1691" s="4" t="inlineStr"/>
    </row>
    <row r="1692">
      <c r="A1692" s="10" t="inlineStr">
        <is>
          <t>F02163</t>
        </is>
      </c>
      <c r="B1692" s="10" t="inlineStr">
        <is>
          <t>F02163</t>
        </is>
      </c>
      <c r="C1692" s="10" t="inlineStr"/>
      <c r="D1692" s="10" t="inlineStr"/>
      <c r="E1692" s="10" t="inlineStr">
        <is>
          <t>LIGHT LED CEILING 18W SQUARE NEW TYSON</t>
        </is>
      </c>
      <c r="F1692" s="10" t="inlineStr"/>
      <c r="G1692" s="10" t="inlineStr"/>
      <c r="H1692" s="10" t="inlineStr"/>
      <c r="I1692" s="11" t="n">
        <v>85.95</v>
      </c>
      <c r="J1692" s="6" t="n">
        <v>15</v>
      </c>
      <c r="K1692" s="7">
        <f>IF(I1692="","",I1692*(1+J1692/100))</f>
        <v/>
      </c>
      <c r="L1692" s="12" t="inlineStr"/>
      <c r="M1692" s="8">
        <f>IF(OR(L1692="",K1692="",L1692=0),"",
  (L1692-K1692)/L1692*100)</f>
        <v/>
      </c>
      <c r="N1692" s="13" t="n">
        <v>48</v>
      </c>
      <c r="O1692" s="10" t="inlineStr"/>
      <c r="P1692" s="10" t="inlineStr"/>
      <c r="Q1692" s="10" t="inlineStr"/>
      <c r="R1692" s="10" t="inlineStr">
        <is>
          <t>2026-03-12</t>
        </is>
      </c>
      <c r="S1692" s="10" t="inlineStr"/>
    </row>
    <row r="1693">
      <c r="A1693" s="3" t="inlineStr">
        <is>
          <t>F02164</t>
        </is>
      </c>
      <c r="B1693" s="4" t="inlineStr">
        <is>
          <t>F02164</t>
        </is>
      </c>
      <c r="C1693" s="4" t="inlineStr"/>
      <c r="D1693" s="4" t="inlineStr"/>
      <c r="E1693" s="3" t="inlineStr">
        <is>
          <t>LIGHT LED CEILING 24W BUBBLE TYSON</t>
        </is>
      </c>
      <c r="F1693" s="4" t="inlineStr"/>
      <c r="G1693" s="4" t="inlineStr"/>
      <c r="H1693" s="4" t="inlineStr"/>
      <c r="I1693" s="5" t="n">
        <v>85.95</v>
      </c>
      <c r="J1693" s="6" t="n">
        <v>15</v>
      </c>
      <c r="K1693" s="7">
        <f>IF(I1693="","",I1693*(1+J1693/100))</f>
        <v/>
      </c>
      <c r="L1693" s="12" t="inlineStr"/>
      <c r="M1693" s="8">
        <f>IF(OR(L1693="",K1693="",L1693=0),"",
  (L1693-K1693)/L1693*100)</f>
        <v/>
      </c>
      <c r="N1693" s="9" t="inlineStr"/>
      <c r="O1693" s="4" t="inlineStr"/>
      <c r="P1693" s="4" t="inlineStr"/>
      <c r="Q1693" s="4" t="inlineStr"/>
      <c r="R1693" s="4" t="inlineStr">
        <is>
          <t>2026-03-12</t>
        </is>
      </c>
      <c r="S1693" s="4" t="inlineStr"/>
    </row>
    <row r="1694">
      <c r="A1694" s="10" t="inlineStr">
        <is>
          <t>F02165</t>
        </is>
      </c>
      <c r="B1694" s="10" t="inlineStr">
        <is>
          <t>F02165</t>
        </is>
      </c>
      <c r="C1694" s="10" t="inlineStr"/>
      <c r="D1694" s="10" t="inlineStr"/>
      <c r="E1694" s="10" t="inlineStr">
        <is>
          <t>LIGHT LED CEILING 24W DIAMOND TYSON</t>
        </is>
      </c>
      <c r="F1694" s="10" t="inlineStr"/>
      <c r="G1694" s="10" t="inlineStr"/>
      <c r="H1694" s="10" t="inlineStr"/>
      <c r="I1694" s="11" t="n">
        <v>100</v>
      </c>
      <c r="J1694" s="6" t="n">
        <v>15</v>
      </c>
      <c r="K1694" s="7">
        <f>IF(I1694="","",I1694*(1+J1694/100))</f>
        <v/>
      </c>
      <c r="L1694" s="12" t="inlineStr"/>
      <c r="M1694" s="8">
        <f>IF(OR(L1694="",K1694="",L1694=0),"",
  (L1694-K1694)/L1694*100)</f>
        <v/>
      </c>
      <c r="N1694" s="9" t="inlineStr"/>
      <c r="O1694" s="10" t="inlineStr"/>
      <c r="P1694" s="10" t="inlineStr"/>
      <c r="Q1694" s="10" t="inlineStr"/>
      <c r="R1694" s="10" t="inlineStr">
        <is>
          <t>2026-03-12</t>
        </is>
      </c>
      <c r="S1694" s="10" t="inlineStr"/>
    </row>
    <row r="1695">
      <c r="A1695" s="3" t="inlineStr">
        <is>
          <t>F02166</t>
        </is>
      </c>
      <c r="B1695" s="4" t="inlineStr">
        <is>
          <t>F02166</t>
        </is>
      </c>
      <c r="C1695" s="4" t="inlineStr"/>
      <c r="D1695" s="4" t="inlineStr"/>
      <c r="E1695" s="3" t="inlineStr">
        <is>
          <t>LIGHT LED CEILING 24W SKY NEW TYSON</t>
        </is>
      </c>
      <c r="F1695" s="4" t="inlineStr"/>
      <c r="G1695" s="4" t="inlineStr"/>
      <c r="H1695" s="4" t="inlineStr"/>
      <c r="I1695" s="5" t="n">
        <v>100</v>
      </c>
      <c r="J1695" s="6" t="n">
        <v>15</v>
      </c>
      <c r="K1695" s="7">
        <f>IF(I1695="","",I1695*(1+J1695/100))</f>
        <v/>
      </c>
      <c r="L1695" s="12" t="inlineStr"/>
      <c r="M1695" s="8">
        <f>IF(OR(L1695="",K1695="",L1695=0),"",
  (L1695-K1695)/L1695*100)</f>
        <v/>
      </c>
      <c r="N1695" s="14" t="n">
        <v>33</v>
      </c>
      <c r="O1695" s="4" t="inlineStr"/>
      <c r="P1695" s="4" t="inlineStr"/>
      <c r="Q1695" s="4" t="inlineStr"/>
      <c r="R1695" s="4" t="inlineStr">
        <is>
          <t>2026-03-12</t>
        </is>
      </c>
      <c r="S1695" s="4" t="inlineStr"/>
    </row>
    <row r="1696">
      <c r="A1696" s="10" t="inlineStr">
        <is>
          <t>F02167</t>
        </is>
      </c>
      <c r="B1696" s="10" t="inlineStr">
        <is>
          <t>F02167</t>
        </is>
      </c>
      <c r="C1696" s="10" t="inlineStr"/>
      <c r="D1696" s="10" t="inlineStr"/>
      <c r="E1696" s="10" t="inlineStr">
        <is>
          <t>LIGHT LED CEILING 24W SPACE TYSON</t>
        </is>
      </c>
      <c r="F1696" s="10" t="inlineStr"/>
      <c r="G1696" s="10" t="inlineStr"/>
      <c r="H1696" s="10" t="inlineStr"/>
      <c r="I1696" s="11" t="n">
        <v>100</v>
      </c>
      <c r="J1696" s="6" t="n">
        <v>15</v>
      </c>
      <c r="K1696" s="7">
        <f>IF(I1696="","",I1696*(1+J1696/100))</f>
        <v/>
      </c>
      <c r="L1696" s="12" t="inlineStr"/>
      <c r="M1696" s="8">
        <f>IF(OR(L1696="",K1696="",L1696=0),"",
  (L1696-K1696)/L1696*100)</f>
        <v/>
      </c>
      <c r="N1696" s="13" t="n">
        <v>8</v>
      </c>
      <c r="O1696" s="10" t="inlineStr"/>
      <c r="P1696" s="10" t="inlineStr"/>
      <c r="Q1696" s="10" t="inlineStr"/>
      <c r="R1696" s="10" t="inlineStr">
        <is>
          <t>2026-03-12</t>
        </is>
      </c>
      <c r="S1696" s="10" t="inlineStr"/>
    </row>
    <row r="1697">
      <c r="A1697" s="3" t="inlineStr">
        <is>
          <t>F02168</t>
        </is>
      </c>
      <c r="B1697" s="4" t="inlineStr">
        <is>
          <t>F02168</t>
        </is>
      </c>
      <c r="C1697" s="4" t="inlineStr"/>
      <c r="D1697" s="4" t="inlineStr"/>
      <c r="E1697" s="3" t="inlineStr">
        <is>
          <t>LIGHT LED CEILING 24W SPRAY TYSON</t>
        </is>
      </c>
      <c r="F1697" s="4" t="inlineStr"/>
      <c r="G1697" s="4" t="inlineStr"/>
      <c r="H1697" s="4" t="inlineStr"/>
      <c r="I1697" s="5" t="n">
        <v>100</v>
      </c>
      <c r="J1697" s="6" t="n">
        <v>15</v>
      </c>
      <c r="K1697" s="7">
        <f>IF(I1697="","",I1697*(1+J1697/100))</f>
        <v/>
      </c>
      <c r="L1697" s="12" t="inlineStr"/>
      <c r="M1697" s="8">
        <f>IF(OR(L1697="",K1697="",L1697=0),"",
  (L1697-K1697)/L1697*100)</f>
        <v/>
      </c>
      <c r="N1697" s="9" t="inlineStr"/>
      <c r="O1697" s="4" t="inlineStr"/>
      <c r="P1697" s="4" t="inlineStr"/>
      <c r="Q1697" s="4" t="inlineStr"/>
      <c r="R1697" s="4" t="inlineStr">
        <is>
          <t>2026-03-12</t>
        </is>
      </c>
      <c r="S1697" s="4" t="inlineStr"/>
    </row>
    <row r="1698">
      <c r="A1698" s="10" t="inlineStr">
        <is>
          <t>F02169</t>
        </is>
      </c>
      <c r="B1698" s="10" t="inlineStr">
        <is>
          <t>F02169</t>
        </is>
      </c>
      <c r="C1698" s="10" t="inlineStr"/>
      <c r="D1698" s="10" t="inlineStr"/>
      <c r="E1698" s="10" t="inlineStr">
        <is>
          <t>LIGHT LED CEILING 24W CIRCLE  TYSON</t>
        </is>
      </c>
      <c r="F1698" s="10" t="inlineStr"/>
      <c r="G1698" s="10" t="inlineStr"/>
      <c r="H1698" s="10" t="inlineStr"/>
      <c r="I1698" s="11" t="n">
        <v>100</v>
      </c>
      <c r="J1698" s="6" t="n">
        <v>15</v>
      </c>
      <c r="K1698" s="7">
        <f>IF(I1698="","",I1698*(1+J1698/100))</f>
        <v/>
      </c>
      <c r="L1698" s="12" t="inlineStr"/>
      <c r="M1698" s="8">
        <f>IF(OR(L1698="",K1698="",L1698=0),"",
  (L1698-K1698)/L1698*100)</f>
        <v/>
      </c>
      <c r="N1698" s="13" t="n">
        <v>62</v>
      </c>
      <c r="O1698" s="10" t="inlineStr"/>
      <c r="P1698" s="10" t="inlineStr"/>
      <c r="Q1698" s="10" t="inlineStr"/>
      <c r="R1698" s="10" t="inlineStr">
        <is>
          <t>2026-03-12</t>
        </is>
      </c>
      <c r="S1698" s="10" t="inlineStr"/>
    </row>
    <row r="1699">
      <c r="A1699" s="3" t="inlineStr">
        <is>
          <t>F02170</t>
        </is>
      </c>
      <c r="B1699" s="4" t="inlineStr">
        <is>
          <t>F02170</t>
        </is>
      </c>
      <c r="C1699" s="4" t="inlineStr"/>
      <c r="D1699" s="4" t="inlineStr"/>
      <c r="E1699" s="3" t="inlineStr">
        <is>
          <t>LIGHT LED CEILING 24W SQUARE NEW TYSON</t>
        </is>
      </c>
      <c r="F1699" s="4" t="inlineStr"/>
      <c r="G1699" s="4" t="inlineStr"/>
      <c r="H1699" s="4" t="inlineStr"/>
      <c r="I1699" s="5" t="n">
        <v>100</v>
      </c>
      <c r="J1699" s="6" t="n">
        <v>15</v>
      </c>
      <c r="K1699" s="7">
        <f>IF(I1699="","",I1699*(1+J1699/100))</f>
        <v/>
      </c>
      <c r="L1699" s="12" t="inlineStr"/>
      <c r="M1699" s="8">
        <f>IF(OR(L1699="",K1699="",L1699=0),"",
  (L1699-K1699)/L1699*100)</f>
        <v/>
      </c>
      <c r="N1699" s="14" t="n">
        <v>33</v>
      </c>
      <c r="O1699" s="4" t="inlineStr"/>
      <c r="P1699" s="4" t="inlineStr"/>
      <c r="Q1699" s="4" t="inlineStr"/>
      <c r="R1699" s="4" t="inlineStr">
        <is>
          <t>2026-03-12</t>
        </is>
      </c>
      <c r="S1699" s="4" t="inlineStr"/>
    </row>
    <row r="1700">
      <c r="A1700" s="10" t="inlineStr">
        <is>
          <t>F02171</t>
        </is>
      </c>
      <c r="B1700" s="10" t="inlineStr">
        <is>
          <t>F02171</t>
        </is>
      </c>
      <c r="C1700" s="10" t="inlineStr"/>
      <c r="D1700" s="10" t="inlineStr"/>
      <c r="E1700" s="10" t="inlineStr">
        <is>
          <t>LED CEILING FITTING 28W CL090401</t>
        </is>
      </c>
      <c r="F1700" s="10" t="inlineStr"/>
      <c r="G1700" s="10" t="inlineStr"/>
      <c r="H1700" s="10" t="inlineStr"/>
      <c r="I1700" s="11" t="n">
        <v>189.95</v>
      </c>
      <c r="J1700" s="6" t="n">
        <v>15</v>
      </c>
      <c r="K1700" s="7">
        <f>IF(I1700="","",I1700*(1+J1700/100))</f>
        <v/>
      </c>
      <c r="L1700" s="12" t="inlineStr"/>
      <c r="M1700" s="8">
        <f>IF(OR(L1700="",K1700="",L1700=0),"",
  (L1700-K1700)/L1700*100)</f>
        <v/>
      </c>
      <c r="N1700" s="9" t="inlineStr"/>
      <c r="O1700" s="10" t="inlineStr"/>
      <c r="P1700" s="10" t="inlineStr"/>
      <c r="Q1700" s="10" t="inlineStr"/>
      <c r="R1700" s="10" t="inlineStr">
        <is>
          <t>2026-03-12</t>
        </is>
      </c>
      <c r="S1700" s="10" t="inlineStr"/>
    </row>
    <row r="1701">
      <c r="A1701" s="3" t="inlineStr">
        <is>
          <t>F02172</t>
        </is>
      </c>
      <c r="B1701" s="4" t="inlineStr">
        <is>
          <t>F02172</t>
        </is>
      </c>
      <c r="C1701" s="4" t="inlineStr"/>
      <c r="D1701" s="4" t="inlineStr"/>
      <c r="E1701" s="3" t="inlineStr">
        <is>
          <t>LED CEILING FITTING 28W CL090402</t>
        </is>
      </c>
      <c r="F1701" s="4" t="inlineStr"/>
      <c r="G1701" s="4" t="inlineStr"/>
      <c r="H1701" s="4" t="inlineStr"/>
      <c r="I1701" s="5" t="n">
        <v>189.95</v>
      </c>
      <c r="J1701" s="6" t="n">
        <v>15</v>
      </c>
      <c r="K1701" s="7">
        <f>IF(I1701="","",I1701*(1+J1701/100))</f>
        <v/>
      </c>
      <c r="L1701" s="12" t="inlineStr"/>
      <c r="M1701" s="8">
        <f>IF(OR(L1701="",K1701="",L1701=0),"",
  (L1701-K1701)/L1701*100)</f>
        <v/>
      </c>
      <c r="N1701" s="9" t="inlineStr"/>
      <c r="O1701" s="4" t="inlineStr"/>
      <c r="P1701" s="4" t="inlineStr"/>
      <c r="Q1701" s="4" t="inlineStr"/>
      <c r="R1701" s="4" t="inlineStr">
        <is>
          <t>2026-03-12</t>
        </is>
      </c>
      <c r="S1701" s="4" t="inlineStr"/>
    </row>
    <row r="1702">
      <c r="A1702" s="10" t="inlineStr">
        <is>
          <t>F02173</t>
        </is>
      </c>
      <c r="B1702" s="10" t="inlineStr">
        <is>
          <t>F02173</t>
        </is>
      </c>
      <c r="C1702" s="10" t="inlineStr"/>
      <c r="D1702" s="10" t="inlineStr"/>
      <c r="E1702" s="10" t="inlineStr">
        <is>
          <t>LED CEILING FITTING 28W CL090403</t>
        </is>
      </c>
      <c r="F1702" s="10" t="inlineStr"/>
      <c r="G1702" s="10" t="inlineStr"/>
      <c r="H1702" s="10" t="inlineStr"/>
      <c r="I1702" s="11" t="n">
        <v>189.95</v>
      </c>
      <c r="J1702" s="6" t="n">
        <v>15</v>
      </c>
      <c r="K1702" s="7">
        <f>IF(I1702="","",I1702*(1+J1702/100))</f>
        <v/>
      </c>
      <c r="L1702" s="12" t="inlineStr"/>
      <c r="M1702" s="8">
        <f>IF(OR(L1702="",K1702="",L1702=0),"",
  (L1702-K1702)/L1702*100)</f>
        <v/>
      </c>
      <c r="N1702" s="9" t="inlineStr"/>
      <c r="O1702" s="10" t="inlineStr"/>
      <c r="P1702" s="10" t="inlineStr"/>
      <c r="Q1702" s="10" t="inlineStr"/>
      <c r="R1702" s="10" t="inlineStr">
        <is>
          <t>2026-03-12</t>
        </is>
      </c>
      <c r="S1702" s="10" t="inlineStr"/>
    </row>
    <row r="1703">
      <c r="A1703" s="3" t="inlineStr">
        <is>
          <t>F02174</t>
        </is>
      </c>
      <c r="B1703" s="4" t="inlineStr">
        <is>
          <t>F02174</t>
        </is>
      </c>
      <c r="C1703" s="4" t="inlineStr"/>
      <c r="D1703" s="4" t="inlineStr"/>
      <c r="E1703" s="3" t="inlineStr">
        <is>
          <t>LED CEILING FITTING 28W CL090404</t>
        </is>
      </c>
      <c r="F1703" s="4" t="inlineStr"/>
      <c r="G1703" s="4" t="inlineStr"/>
      <c r="H1703" s="4" t="inlineStr"/>
      <c r="I1703" s="5" t="n">
        <v>189.95</v>
      </c>
      <c r="J1703" s="6" t="n">
        <v>15</v>
      </c>
      <c r="K1703" s="7">
        <f>IF(I1703="","",I1703*(1+J1703/100))</f>
        <v/>
      </c>
      <c r="L1703" s="12" t="inlineStr"/>
      <c r="M1703" s="8">
        <f>IF(OR(L1703="",K1703="",L1703=0),"",
  (L1703-K1703)/L1703*100)</f>
        <v/>
      </c>
      <c r="N1703" s="9" t="inlineStr"/>
      <c r="O1703" s="4" t="inlineStr"/>
      <c r="P1703" s="4" t="inlineStr"/>
      <c r="Q1703" s="4" t="inlineStr"/>
      <c r="R1703" s="4" t="inlineStr">
        <is>
          <t>2026-03-12</t>
        </is>
      </c>
      <c r="S1703" s="4" t="inlineStr"/>
    </row>
    <row r="1704">
      <c r="A1704" s="10" t="inlineStr">
        <is>
          <t>F02175</t>
        </is>
      </c>
      <c r="B1704" s="10" t="inlineStr">
        <is>
          <t>F02175</t>
        </is>
      </c>
      <c r="C1704" s="10" t="inlineStr"/>
      <c r="D1704" s="10" t="inlineStr"/>
      <c r="E1704" s="10" t="inlineStr">
        <is>
          <t>LED CEILING FITTING 28W CL0904028W</t>
        </is>
      </c>
      <c r="F1704" s="10" t="inlineStr"/>
      <c r="G1704" s="10" t="inlineStr"/>
      <c r="H1704" s="10" t="inlineStr"/>
      <c r="I1704" s="11" t="n">
        <v>189.95</v>
      </c>
      <c r="J1704" s="6" t="n">
        <v>15</v>
      </c>
      <c r="K1704" s="7">
        <f>IF(I1704="","",I1704*(1+J1704/100))</f>
        <v/>
      </c>
      <c r="L1704" s="12" t="inlineStr"/>
      <c r="M1704" s="8">
        <f>IF(OR(L1704="",K1704="",L1704=0),"",
  (L1704-K1704)/L1704*100)</f>
        <v/>
      </c>
      <c r="N1704" s="9" t="inlineStr"/>
      <c r="O1704" s="10" t="inlineStr"/>
      <c r="P1704" s="10" t="inlineStr"/>
      <c r="Q1704" s="10" t="inlineStr"/>
      <c r="R1704" s="10" t="inlineStr">
        <is>
          <t>2026-03-12</t>
        </is>
      </c>
      <c r="S1704" s="10" t="inlineStr"/>
    </row>
    <row r="1705">
      <c r="A1705" s="3" t="inlineStr">
        <is>
          <t>F02176</t>
        </is>
      </c>
      <c r="B1705" s="4" t="inlineStr">
        <is>
          <t>F02176</t>
        </is>
      </c>
      <c r="C1705" s="4" t="inlineStr"/>
      <c r="D1705" s="4" t="inlineStr"/>
      <c r="E1705" s="3" t="inlineStr">
        <is>
          <t>LED CEILING FITTING 28W CL09040G</t>
        </is>
      </c>
      <c r="F1705" s="4" t="inlineStr"/>
      <c r="G1705" s="4" t="inlineStr"/>
      <c r="H1705" s="4" t="inlineStr"/>
      <c r="I1705" s="5" t="n">
        <v>189.95</v>
      </c>
      <c r="J1705" s="6" t="n">
        <v>15</v>
      </c>
      <c r="K1705" s="7">
        <f>IF(I1705="","",I1705*(1+J1705/100))</f>
        <v/>
      </c>
      <c r="L1705" s="12" t="inlineStr"/>
      <c r="M1705" s="8">
        <f>IF(OR(L1705="",K1705="",L1705=0),"",
  (L1705-K1705)/L1705*100)</f>
        <v/>
      </c>
      <c r="N1705" s="9" t="inlineStr"/>
      <c r="O1705" s="4" t="inlineStr"/>
      <c r="P1705" s="4" t="inlineStr"/>
      <c r="Q1705" s="4" t="inlineStr"/>
      <c r="R1705" s="4" t="inlineStr">
        <is>
          <t>2026-03-12</t>
        </is>
      </c>
      <c r="S1705" s="4" t="inlineStr"/>
    </row>
    <row r="1706">
      <c r="A1706" s="10" t="inlineStr">
        <is>
          <t>F02177</t>
        </is>
      </c>
      <c r="B1706" s="10" t="inlineStr">
        <is>
          <t>F02177</t>
        </is>
      </c>
      <c r="C1706" s="10" t="inlineStr">
        <is>
          <t>18932</t>
        </is>
      </c>
      <c r="D1706" s="10" t="inlineStr"/>
      <c r="E1706" s="10" t="inlineStr">
        <is>
          <t>LIGHT LED GLASS CEILING FIT 2X E27 TCL01</t>
        </is>
      </c>
      <c r="F1706" s="10" t="inlineStr"/>
      <c r="G1706" s="10" t="inlineStr"/>
      <c r="H1706" s="10" t="inlineStr"/>
      <c r="I1706" s="11" t="n">
        <v>77.95</v>
      </c>
      <c r="J1706" s="6" t="n">
        <v>15</v>
      </c>
      <c r="K1706" s="7">
        <f>IF(I1706="","",I1706*(1+J1706/100))</f>
        <v/>
      </c>
      <c r="L1706" s="11" t="n">
        <v>280</v>
      </c>
      <c r="M1706" s="8">
        <f>IF(OR(L1706="",K1706="",L1706=0),"",
  (L1706-K1706)/L1706*100)</f>
        <v/>
      </c>
      <c r="N1706" s="13" t="n">
        <v>17</v>
      </c>
      <c r="O1706" s="10" t="inlineStr"/>
      <c r="P1706" s="10" t="inlineStr"/>
      <c r="Q1706" s="10" t="inlineStr"/>
      <c r="R1706" s="10" t="inlineStr">
        <is>
          <t>2026-03-12</t>
        </is>
      </c>
      <c r="S1706" s="10" t="inlineStr"/>
    </row>
    <row r="1707">
      <c r="A1707" s="3" t="inlineStr">
        <is>
          <t>F02178</t>
        </is>
      </c>
      <c r="B1707" s="4" t="inlineStr">
        <is>
          <t>F02178</t>
        </is>
      </c>
      <c r="C1707" s="4" t="inlineStr"/>
      <c r="D1707" s="4" t="inlineStr"/>
      <c r="E1707" s="3" t="inlineStr">
        <is>
          <t>LIGHT GLAS CEILING FIT 2 X E27 TCL02</t>
        </is>
      </c>
      <c r="F1707" s="4" t="inlineStr"/>
      <c r="G1707" s="4" t="inlineStr"/>
      <c r="H1707" s="4" t="inlineStr"/>
      <c r="I1707" s="5" t="n">
        <v>77.95</v>
      </c>
      <c r="J1707" s="6" t="n">
        <v>15</v>
      </c>
      <c r="K1707" s="7">
        <f>IF(I1707="","",I1707*(1+J1707/100))</f>
        <v/>
      </c>
      <c r="L1707" s="12" t="inlineStr"/>
      <c r="M1707" s="8">
        <f>IF(OR(L1707="",K1707="",L1707=0),"",
  (L1707-K1707)/L1707*100)</f>
        <v/>
      </c>
      <c r="N1707" s="14" t="n">
        <v>4</v>
      </c>
      <c r="O1707" s="4" t="inlineStr"/>
      <c r="P1707" s="4" t="inlineStr"/>
      <c r="Q1707" s="4" t="inlineStr"/>
      <c r="R1707" s="4" t="inlineStr">
        <is>
          <t>2026-03-12</t>
        </is>
      </c>
      <c r="S1707" s="4" t="inlineStr"/>
    </row>
    <row r="1708">
      <c r="A1708" s="10" t="inlineStr">
        <is>
          <t>F02179</t>
        </is>
      </c>
      <c r="B1708" s="10" t="inlineStr">
        <is>
          <t>F02179</t>
        </is>
      </c>
      <c r="C1708" s="10" t="inlineStr"/>
      <c r="D1708" s="10" t="inlineStr"/>
      <c r="E1708" s="10" t="inlineStr">
        <is>
          <t>LIGHT LED GLASS CEILING FIT 2X E27 TCL03</t>
        </is>
      </c>
      <c r="F1708" s="10" t="inlineStr"/>
      <c r="G1708" s="10" t="inlineStr"/>
      <c r="H1708" s="10" t="inlineStr"/>
      <c r="I1708" s="11" t="n">
        <v>77.95</v>
      </c>
      <c r="J1708" s="6" t="n">
        <v>15</v>
      </c>
      <c r="K1708" s="7">
        <f>IF(I1708="","",I1708*(1+J1708/100))</f>
        <v/>
      </c>
      <c r="L1708" s="12" t="inlineStr"/>
      <c r="M1708" s="8">
        <f>IF(OR(L1708="",K1708="",L1708=0),"",
  (L1708-K1708)/L1708*100)</f>
        <v/>
      </c>
      <c r="N1708" s="13" t="n">
        <v>7</v>
      </c>
      <c r="O1708" s="10" t="inlineStr"/>
      <c r="P1708" s="10" t="inlineStr"/>
      <c r="Q1708" s="10" t="inlineStr"/>
      <c r="R1708" s="10" t="inlineStr">
        <is>
          <t>2026-03-12</t>
        </is>
      </c>
      <c r="S1708" s="10" t="inlineStr"/>
    </row>
    <row r="1709">
      <c r="A1709" s="3" t="inlineStr">
        <is>
          <t>F02180</t>
        </is>
      </c>
      <c r="B1709" s="4" t="inlineStr">
        <is>
          <t>F02180</t>
        </is>
      </c>
      <c r="C1709" s="4" t="inlineStr">
        <is>
          <t>18933</t>
        </is>
      </c>
      <c r="D1709" s="4" t="inlineStr"/>
      <c r="E1709" s="3" t="inlineStr">
        <is>
          <t>LIGHT LED GLAS CEILING FIT  2X E27 TCL04</t>
        </is>
      </c>
      <c r="F1709" s="4" t="inlineStr"/>
      <c r="G1709" s="4" t="inlineStr"/>
      <c r="H1709" s="4" t="inlineStr"/>
      <c r="I1709" s="5" t="n">
        <v>77.95</v>
      </c>
      <c r="J1709" s="6" t="n">
        <v>15</v>
      </c>
      <c r="K1709" s="7">
        <f>IF(I1709="","",I1709*(1+J1709/100))</f>
        <v/>
      </c>
      <c r="L1709" s="5" t="n">
        <v>280</v>
      </c>
      <c r="M1709" s="8">
        <f>IF(OR(L1709="",K1709="",L1709=0),"",
  (L1709-K1709)/L1709*100)</f>
        <v/>
      </c>
      <c r="N1709" s="14" t="n">
        <v>40</v>
      </c>
      <c r="O1709" s="4" t="inlineStr"/>
      <c r="P1709" s="4" t="inlineStr"/>
      <c r="Q1709" s="4" t="inlineStr"/>
      <c r="R1709" s="4" t="inlineStr">
        <is>
          <t>2026-03-12</t>
        </is>
      </c>
      <c r="S1709" s="4" t="inlineStr"/>
    </row>
    <row r="1710">
      <c r="A1710" s="10" t="inlineStr">
        <is>
          <t>F02181</t>
        </is>
      </c>
      <c r="B1710" s="10" t="inlineStr">
        <is>
          <t>F02181</t>
        </is>
      </c>
      <c r="C1710" s="10" t="inlineStr"/>
      <c r="D1710" s="10" t="inlineStr"/>
      <c r="E1710" s="10" t="inlineStr">
        <is>
          <t>LIGHT LED GLAS CEILING FIT 2 X E27 TCL05</t>
        </is>
      </c>
      <c r="F1710" s="10" t="inlineStr"/>
      <c r="G1710" s="10" t="inlineStr"/>
      <c r="H1710" s="10" t="inlineStr"/>
      <c r="I1710" s="11" t="n">
        <v>77.95</v>
      </c>
      <c r="J1710" s="6" t="n">
        <v>15</v>
      </c>
      <c r="K1710" s="7">
        <f>IF(I1710="","",I1710*(1+J1710/100))</f>
        <v/>
      </c>
      <c r="L1710" s="12" t="inlineStr"/>
      <c r="M1710" s="8">
        <f>IF(OR(L1710="",K1710="",L1710=0),"",
  (L1710-K1710)/L1710*100)</f>
        <v/>
      </c>
      <c r="N1710" s="13" t="n">
        <v>43</v>
      </c>
      <c r="O1710" s="10" t="inlineStr"/>
      <c r="P1710" s="10" t="inlineStr"/>
      <c r="Q1710" s="10" t="inlineStr"/>
      <c r="R1710" s="10" t="inlineStr">
        <is>
          <t>2026-03-12</t>
        </is>
      </c>
      <c r="S1710" s="10" t="inlineStr"/>
    </row>
    <row r="1711">
      <c r="A1711" s="3" t="inlineStr">
        <is>
          <t>F02182</t>
        </is>
      </c>
      <c r="B1711" s="4" t="inlineStr">
        <is>
          <t>F02182</t>
        </is>
      </c>
      <c r="C1711" s="4" t="inlineStr"/>
      <c r="D1711" s="4" t="inlineStr"/>
      <c r="E1711" s="3" t="inlineStr">
        <is>
          <t>BOWL CASH + LID ENAMEL 16CM 3'S KANGO</t>
        </is>
      </c>
      <c r="F1711" s="4" t="inlineStr"/>
      <c r="G1711" s="4" t="inlineStr"/>
      <c r="H1711" s="4" t="inlineStr"/>
      <c r="I1711" s="5" t="n">
        <v>85.95</v>
      </c>
      <c r="J1711" s="6" t="n">
        <v>15</v>
      </c>
      <c r="K1711" s="7">
        <f>IF(I1711="","",I1711*(1+J1711/100))</f>
        <v/>
      </c>
      <c r="L1711" s="12" t="inlineStr"/>
      <c r="M1711" s="8">
        <f>IF(OR(L1711="",K1711="",L1711=0),"",
  (L1711-K1711)/L1711*100)</f>
        <v/>
      </c>
      <c r="N1711" s="9" t="inlineStr"/>
      <c r="O1711" s="4" t="inlineStr"/>
      <c r="P1711" s="4" t="inlineStr"/>
      <c r="Q1711" s="4" t="inlineStr"/>
      <c r="R1711" s="4" t="inlineStr">
        <is>
          <t>2026-03-12</t>
        </is>
      </c>
      <c r="S1711" s="4" t="inlineStr"/>
    </row>
    <row r="1712">
      <c r="A1712" s="10" t="inlineStr">
        <is>
          <t>F02183</t>
        </is>
      </c>
      <c r="B1712" s="10" t="inlineStr">
        <is>
          <t>F02183</t>
        </is>
      </c>
      <c r="C1712" s="10" t="inlineStr"/>
      <c r="D1712" s="10" t="inlineStr">
        <is>
          <t>6009677011719</t>
        </is>
      </c>
      <c r="E1712" s="10" t="inlineStr">
        <is>
          <t>A-LM001 - PVC WALL &amp; CEILING LAMINATION</t>
        </is>
      </c>
      <c r="F1712" s="10" t="inlineStr"/>
      <c r="G1712" s="10" t="inlineStr"/>
      <c r="H1712" s="10" t="inlineStr"/>
      <c r="I1712" s="11" t="n">
        <v>1</v>
      </c>
      <c r="J1712" s="6" t="n">
        <v>15</v>
      </c>
      <c r="K1712" s="7">
        <f>IF(I1712="","",I1712*(1+J1712/100))</f>
        <v/>
      </c>
      <c r="L1712" s="12" t="inlineStr"/>
      <c r="M1712" s="8">
        <f>IF(OR(L1712="",K1712="",L1712=0),"",
  (L1712-K1712)/L1712*100)</f>
        <v/>
      </c>
      <c r="N1712" s="9" t="inlineStr"/>
      <c r="O1712" s="10" t="inlineStr"/>
      <c r="P1712" s="10" t="inlineStr"/>
      <c r="Q1712" s="10" t="inlineStr"/>
      <c r="R1712" s="10" t="inlineStr">
        <is>
          <t>2026-03-12</t>
        </is>
      </c>
      <c r="S1712" s="10" t="inlineStr"/>
    </row>
    <row r="1713">
      <c r="A1713" s="3" t="inlineStr">
        <is>
          <t>F02184</t>
        </is>
      </c>
      <c r="B1713" s="4" t="inlineStr">
        <is>
          <t>F02184</t>
        </is>
      </c>
      <c r="C1713" s="4" t="inlineStr"/>
      <c r="D1713" s="4" t="inlineStr">
        <is>
          <t>6009677011726</t>
        </is>
      </c>
      <c r="E1713" s="3" t="inlineStr">
        <is>
          <t>A-LM002 - PVC WALL &amp; CEILING LAMINATION</t>
        </is>
      </c>
      <c r="F1713" s="4" t="inlineStr"/>
      <c r="G1713" s="4" t="inlineStr"/>
      <c r="H1713" s="4" t="inlineStr"/>
      <c r="I1713" s="5" t="n">
        <v>1</v>
      </c>
      <c r="J1713" s="6" t="n">
        <v>15</v>
      </c>
      <c r="K1713" s="7">
        <f>IF(I1713="","",I1713*(1+J1713/100))</f>
        <v/>
      </c>
      <c r="L1713" s="12" t="inlineStr"/>
      <c r="M1713" s="8">
        <f>IF(OR(L1713="",K1713="",L1713=0),"",
  (L1713-K1713)/L1713*100)</f>
        <v/>
      </c>
      <c r="N1713" s="9" t="inlineStr"/>
      <c r="O1713" s="4" t="inlineStr"/>
      <c r="P1713" s="4" t="inlineStr"/>
      <c r="Q1713" s="4" t="inlineStr"/>
      <c r="R1713" s="4" t="inlineStr">
        <is>
          <t>2026-03-12</t>
        </is>
      </c>
      <c r="S1713" s="4" t="inlineStr"/>
    </row>
    <row r="1714">
      <c r="A1714" s="10" t="inlineStr">
        <is>
          <t>F02185</t>
        </is>
      </c>
      <c r="B1714" s="10" t="inlineStr">
        <is>
          <t>F02185</t>
        </is>
      </c>
      <c r="C1714" s="10" t="inlineStr"/>
      <c r="D1714" s="10" t="inlineStr">
        <is>
          <t>6009677011733</t>
        </is>
      </c>
      <c r="E1714" s="10" t="inlineStr">
        <is>
          <t>A-LM003 - PVC WALL &amp; CEILING LAMINATION</t>
        </is>
      </c>
      <c r="F1714" s="10" t="inlineStr"/>
      <c r="G1714" s="10" t="inlineStr"/>
      <c r="H1714" s="10" t="inlineStr"/>
      <c r="I1714" s="11" t="n">
        <v>1</v>
      </c>
      <c r="J1714" s="6" t="n">
        <v>15</v>
      </c>
      <c r="K1714" s="7">
        <f>IF(I1714="","",I1714*(1+J1714/100))</f>
        <v/>
      </c>
      <c r="L1714" s="12" t="inlineStr"/>
      <c r="M1714" s="8">
        <f>IF(OR(L1714="",K1714="",L1714=0),"",
  (L1714-K1714)/L1714*100)</f>
        <v/>
      </c>
      <c r="N1714" s="9" t="inlineStr"/>
      <c r="O1714" s="10" t="inlineStr"/>
      <c r="P1714" s="10" t="inlineStr"/>
      <c r="Q1714" s="10" t="inlineStr"/>
      <c r="R1714" s="10" t="inlineStr">
        <is>
          <t>2026-03-12</t>
        </is>
      </c>
      <c r="S1714" s="10" t="inlineStr"/>
    </row>
    <row r="1715">
      <c r="A1715" s="3" t="inlineStr">
        <is>
          <t>F02186</t>
        </is>
      </c>
      <c r="B1715" s="4" t="inlineStr">
        <is>
          <t>F02186</t>
        </is>
      </c>
      <c r="C1715" s="4" t="inlineStr"/>
      <c r="D1715" s="4" t="inlineStr">
        <is>
          <t>6009677011740</t>
        </is>
      </c>
      <c r="E1715" s="3" t="inlineStr">
        <is>
          <t>A-LM004 - PVC WALL &amp; CEILING LAMINATION</t>
        </is>
      </c>
      <c r="F1715" s="4" t="inlineStr"/>
      <c r="G1715" s="4" t="inlineStr"/>
      <c r="H1715" s="4" t="inlineStr"/>
      <c r="I1715" s="5" t="n">
        <v>1</v>
      </c>
      <c r="J1715" s="6" t="n">
        <v>15</v>
      </c>
      <c r="K1715" s="7">
        <f>IF(I1715="","",I1715*(1+J1715/100))</f>
        <v/>
      </c>
      <c r="L1715" s="12" t="inlineStr"/>
      <c r="M1715" s="8">
        <f>IF(OR(L1715="",K1715="",L1715=0),"",
  (L1715-K1715)/L1715*100)</f>
        <v/>
      </c>
      <c r="N1715" s="9" t="inlineStr"/>
      <c r="O1715" s="4" t="inlineStr"/>
      <c r="P1715" s="4" t="inlineStr"/>
      <c r="Q1715" s="4" t="inlineStr"/>
      <c r="R1715" s="4" t="inlineStr">
        <is>
          <t>2026-03-12</t>
        </is>
      </c>
      <c r="S1715" s="4" t="inlineStr"/>
    </row>
    <row r="1716">
      <c r="A1716" s="10" t="inlineStr">
        <is>
          <t>F02187</t>
        </is>
      </c>
      <c r="B1716" s="10" t="inlineStr">
        <is>
          <t>F02187</t>
        </is>
      </c>
      <c r="C1716" s="10" t="inlineStr"/>
      <c r="D1716" s="10" t="inlineStr">
        <is>
          <t>6009677011757</t>
        </is>
      </c>
      <c r="E1716" s="10" t="inlineStr">
        <is>
          <t>A-LM005 - PVC WALL &amp; CEILING LAMINATION</t>
        </is>
      </c>
      <c r="F1716" s="10" t="inlineStr"/>
      <c r="G1716" s="10" t="inlineStr"/>
      <c r="H1716" s="10" t="inlineStr"/>
      <c r="I1716" s="11" t="n">
        <v>1</v>
      </c>
      <c r="J1716" s="6" t="n">
        <v>15</v>
      </c>
      <c r="K1716" s="7">
        <f>IF(I1716="","",I1716*(1+J1716/100))</f>
        <v/>
      </c>
      <c r="L1716" s="12" t="inlineStr"/>
      <c r="M1716" s="8">
        <f>IF(OR(L1716="",K1716="",L1716=0),"",
  (L1716-K1716)/L1716*100)</f>
        <v/>
      </c>
      <c r="N1716" s="9" t="inlineStr"/>
      <c r="O1716" s="10" t="inlineStr"/>
      <c r="P1716" s="10" t="inlineStr"/>
      <c r="Q1716" s="10" t="inlineStr"/>
      <c r="R1716" s="10" t="inlineStr">
        <is>
          <t>2026-03-12</t>
        </is>
      </c>
      <c r="S1716" s="10" t="inlineStr"/>
    </row>
    <row r="1717">
      <c r="A1717" s="3" t="inlineStr">
        <is>
          <t>F02188</t>
        </is>
      </c>
      <c r="B1717" s="4" t="inlineStr">
        <is>
          <t>F02188</t>
        </is>
      </c>
      <c r="C1717" s="4" t="inlineStr"/>
      <c r="D1717" s="4" t="inlineStr">
        <is>
          <t>6009677011764</t>
        </is>
      </c>
      <c r="E1717" s="3" t="inlineStr">
        <is>
          <t>A-LM006 - PVC WALL &amp; CEILING LAMINATION</t>
        </is>
      </c>
      <c r="F1717" s="4" t="inlineStr"/>
      <c r="G1717" s="4" t="inlineStr"/>
      <c r="H1717" s="4" t="inlineStr"/>
      <c r="I1717" s="5" t="n">
        <v>1</v>
      </c>
      <c r="J1717" s="6" t="n">
        <v>15</v>
      </c>
      <c r="K1717" s="7">
        <f>IF(I1717="","",I1717*(1+J1717/100))</f>
        <v/>
      </c>
      <c r="L1717" s="12" t="inlineStr"/>
      <c r="M1717" s="8">
        <f>IF(OR(L1717="",K1717="",L1717=0),"",
  (L1717-K1717)/L1717*100)</f>
        <v/>
      </c>
      <c r="N1717" s="9" t="inlineStr"/>
      <c r="O1717" s="4" t="inlineStr"/>
      <c r="P1717" s="4" t="inlineStr"/>
      <c r="Q1717" s="4" t="inlineStr"/>
      <c r="R1717" s="4" t="inlineStr">
        <is>
          <t>2026-03-12</t>
        </is>
      </c>
      <c r="S1717" s="4" t="inlineStr"/>
    </row>
    <row r="1718">
      <c r="A1718" s="10" t="inlineStr">
        <is>
          <t>F02189</t>
        </is>
      </c>
      <c r="B1718" s="10" t="inlineStr">
        <is>
          <t>F02189</t>
        </is>
      </c>
      <c r="C1718" s="10" t="inlineStr"/>
      <c r="D1718" s="10" t="inlineStr">
        <is>
          <t>6009624151208</t>
        </is>
      </c>
      <c r="E1718" s="10" t="inlineStr">
        <is>
          <t>LM-037 - PVC WALL &amp; CEILING LAMINATION</t>
        </is>
      </c>
      <c r="F1718" s="10" t="inlineStr"/>
      <c r="G1718" s="10" t="inlineStr"/>
      <c r="H1718" s="10" t="inlineStr"/>
      <c r="I1718" s="11" t="n">
        <v>895</v>
      </c>
      <c r="J1718" s="6" t="n">
        <v>15</v>
      </c>
      <c r="K1718" s="7">
        <f>IF(I1718="","",I1718*(1+J1718/100))</f>
        <v/>
      </c>
      <c r="L1718" s="12" t="inlineStr"/>
      <c r="M1718" s="8">
        <f>IF(OR(L1718="",K1718="",L1718=0),"",
  (L1718-K1718)/L1718*100)</f>
        <v/>
      </c>
      <c r="N1718" s="9" t="inlineStr"/>
      <c r="O1718" s="10" t="inlineStr"/>
      <c r="P1718" s="10" t="inlineStr"/>
      <c r="Q1718" s="10" t="inlineStr"/>
      <c r="R1718" s="10" t="inlineStr">
        <is>
          <t>2026-03-12</t>
        </is>
      </c>
      <c r="S1718" s="10" t="inlineStr"/>
    </row>
    <row r="1719">
      <c r="A1719" s="3" t="inlineStr">
        <is>
          <t>F02190</t>
        </is>
      </c>
      <c r="B1719" s="4" t="inlineStr">
        <is>
          <t>F02190</t>
        </is>
      </c>
      <c r="C1719" s="4" t="inlineStr"/>
      <c r="D1719" s="4" t="inlineStr">
        <is>
          <t>6009677011788</t>
        </is>
      </c>
      <c r="E1719" s="3" t="inlineStr">
        <is>
          <t>A-LM008 - PVC WALL &amp; CEILING LAMINATION</t>
        </is>
      </c>
      <c r="F1719" s="4" t="inlineStr"/>
      <c r="G1719" s="4" t="inlineStr"/>
      <c r="H1719" s="4" t="inlineStr"/>
      <c r="I1719" s="5" t="n">
        <v>1</v>
      </c>
      <c r="J1719" s="6" t="n">
        <v>15</v>
      </c>
      <c r="K1719" s="7">
        <f>IF(I1719="","",I1719*(1+J1719/100))</f>
        <v/>
      </c>
      <c r="L1719" s="12" t="inlineStr"/>
      <c r="M1719" s="8">
        <f>IF(OR(L1719="",K1719="",L1719=0),"",
  (L1719-K1719)/L1719*100)</f>
        <v/>
      </c>
      <c r="N1719" s="9" t="inlineStr"/>
      <c r="O1719" s="4" t="inlineStr"/>
      <c r="P1719" s="4" t="inlineStr"/>
      <c r="Q1719" s="4" t="inlineStr"/>
      <c r="R1719" s="4" t="inlineStr">
        <is>
          <t>2026-03-12</t>
        </is>
      </c>
      <c r="S1719" s="4" t="inlineStr"/>
    </row>
    <row r="1720">
      <c r="A1720" s="10" t="inlineStr">
        <is>
          <t>F02191</t>
        </is>
      </c>
      <c r="B1720" s="10" t="inlineStr">
        <is>
          <t>F02191</t>
        </is>
      </c>
      <c r="C1720" s="10" t="inlineStr"/>
      <c r="D1720" s="10" t="inlineStr">
        <is>
          <t>6009677011795</t>
        </is>
      </c>
      <c r="E1720" s="10" t="inlineStr">
        <is>
          <t>A-LM009 - PVC WALL &amp; CEILING LAMINATION</t>
        </is>
      </c>
      <c r="F1720" s="10" t="inlineStr"/>
      <c r="G1720" s="10" t="inlineStr"/>
      <c r="H1720" s="10" t="inlineStr"/>
      <c r="I1720" s="11" t="n">
        <v>1</v>
      </c>
      <c r="J1720" s="6" t="n">
        <v>15</v>
      </c>
      <c r="K1720" s="7">
        <f>IF(I1720="","",I1720*(1+J1720/100))</f>
        <v/>
      </c>
      <c r="L1720" s="12" t="inlineStr"/>
      <c r="M1720" s="8">
        <f>IF(OR(L1720="",K1720="",L1720=0),"",
  (L1720-K1720)/L1720*100)</f>
        <v/>
      </c>
      <c r="N1720" s="9" t="inlineStr"/>
      <c r="O1720" s="10" t="inlineStr"/>
      <c r="P1720" s="10" t="inlineStr"/>
      <c r="Q1720" s="10" t="inlineStr"/>
      <c r="R1720" s="10" t="inlineStr">
        <is>
          <t>2026-03-12</t>
        </is>
      </c>
      <c r="S1720" s="10" t="inlineStr"/>
    </row>
    <row r="1721">
      <c r="A1721" s="3" t="inlineStr">
        <is>
          <t>F02192</t>
        </is>
      </c>
      <c r="B1721" s="4" t="inlineStr">
        <is>
          <t>F02192</t>
        </is>
      </c>
      <c r="C1721" s="4" t="inlineStr"/>
      <c r="D1721" s="4" t="inlineStr">
        <is>
          <t>6009677012822</t>
        </is>
      </c>
      <c r="E1721" s="3" t="inlineStr">
        <is>
          <t>A-LM010 - PVC WALL &amp; CEILING LAMINATION</t>
        </is>
      </c>
      <c r="F1721" s="4" t="inlineStr"/>
      <c r="G1721" s="4" t="inlineStr"/>
      <c r="H1721" s="4" t="inlineStr"/>
      <c r="I1721" s="5" t="n">
        <v>1</v>
      </c>
      <c r="J1721" s="6" t="n">
        <v>15</v>
      </c>
      <c r="K1721" s="7">
        <f>IF(I1721="","",I1721*(1+J1721/100))</f>
        <v/>
      </c>
      <c r="L1721" s="12" t="inlineStr"/>
      <c r="M1721" s="8">
        <f>IF(OR(L1721="",K1721="",L1721=0),"",
  (L1721-K1721)/L1721*100)</f>
        <v/>
      </c>
      <c r="N1721" s="9" t="inlineStr"/>
      <c r="O1721" s="4" t="inlineStr"/>
      <c r="P1721" s="4" t="inlineStr"/>
      <c r="Q1721" s="4" t="inlineStr"/>
      <c r="R1721" s="4" t="inlineStr">
        <is>
          <t>2026-03-12</t>
        </is>
      </c>
      <c r="S1721" s="4" t="inlineStr"/>
    </row>
    <row r="1722">
      <c r="A1722" s="10" t="inlineStr">
        <is>
          <t>F02193</t>
        </is>
      </c>
      <c r="B1722" s="10" t="inlineStr">
        <is>
          <t>F02193</t>
        </is>
      </c>
      <c r="C1722" s="10" t="inlineStr"/>
      <c r="D1722" s="10" t="inlineStr">
        <is>
          <t>6009624155077</t>
        </is>
      </c>
      <c r="E1722" s="10" t="inlineStr">
        <is>
          <t>LM-088 - PVC WALL &amp; CEILING LAMINATION</t>
        </is>
      </c>
      <c r="F1722" s="10" t="inlineStr"/>
      <c r="G1722" s="10" t="inlineStr"/>
      <c r="H1722" s="10" t="inlineStr"/>
      <c r="I1722" s="11" t="n">
        <v>899</v>
      </c>
      <c r="J1722" s="6" t="n">
        <v>15</v>
      </c>
      <c r="K1722" s="7">
        <f>IF(I1722="","",I1722*(1+J1722/100))</f>
        <v/>
      </c>
      <c r="L1722" s="12" t="inlineStr"/>
      <c r="M1722" s="8">
        <f>IF(OR(L1722="",K1722="",L1722=0),"",
  (L1722-K1722)/L1722*100)</f>
        <v/>
      </c>
      <c r="N1722" s="13" t="n">
        <v>1</v>
      </c>
      <c r="O1722" s="10" t="inlineStr"/>
      <c r="P1722" s="10" t="inlineStr"/>
      <c r="Q1722" s="10" t="inlineStr"/>
      <c r="R1722" s="10" t="inlineStr">
        <is>
          <t>2026-03-12</t>
        </is>
      </c>
      <c r="S1722" s="10" t="inlineStr"/>
    </row>
    <row r="1723">
      <c r="A1723" s="3" t="inlineStr">
        <is>
          <t>F02194</t>
        </is>
      </c>
      <c r="B1723" s="4" t="inlineStr">
        <is>
          <t>F02194</t>
        </is>
      </c>
      <c r="C1723" s="4" t="inlineStr"/>
      <c r="D1723" s="4" t="inlineStr">
        <is>
          <t>6009624151192</t>
        </is>
      </c>
      <c r="E1723" s="3" t="inlineStr">
        <is>
          <t>LM-192 - PVC WALL &amp; CEILING LAMINATION</t>
        </is>
      </c>
      <c r="F1723" s="4" t="inlineStr"/>
      <c r="G1723" s="4" t="inlineStr"/>
      <c r="H1723" s="4" t="inlineStr"/>
      <c r="I1723" s="5" t="n">
        <v>899</v>
      </c>
      <c r="J1723" s="6" t="n">
        <v>15</v>
      </c>
      <c r="K1723" s="7">
        <f>IF(I1723="","",I1723*(1+J1723/100))</f>
        <v/>
      </c>
      <c r="L1723" s="12" t="inlineStr"/>
      <c r="M1723" s="8">
        <f>IF(OR(L1723="",K1723="",L1723=0),"",
  (L1723-K1723)/L1723*100)</f>
        <v/>
      </c>
      <c r="N1723" s="9" t="inlineStr"/>
      <c r="O1723" s="4" t="inlineStr"/>
      <c r="P1723" s="4" t="inlineStr"/>
      <c r="Q1723" s="4" t="inlineStr"/>
      <c r="R1723" s="4" t="inlineStr">
        <is>
          <t>2026-03-12</t>
        </is>
      </c>
      <c r="S1723" s="4" t="inlineStr"/>
    </row>
    <row r="1724">
      <c r="A1724" s="10" t="inlineStr">
        <is>
          <t>F02195</t>
        </is>
      </c>
      <c r="B1724" s="10" t="inlineStr">
        <is>
          <t>F02195</t>
        </is>
      </c>
      <c r="C1724" s="10" t="inlineStr"/>
      <c r="D1724" s="10" t="inlineStr">
        <is>
          <t>6009677016004</t>
        </is>
      </c>
      <c r="E1724" s="10" t="inlineStr">
        <is>
          <t>CLIP TOOL P/P 28MM (2) (CT28)</t>
        </is>
      </c>
      <c r="F1724" s="10" t="inlineStr"/>
      <c r="G1724" s="10" t="inlineStr"/>
      <c r="H1724" s="10" t="inlineStr"/>
      <c r="I1724" s="11" t="n">
        <v>1</v>
      </c>
      <c r="J1724" s="6" t="n">
        <v>15</v>
      </c>
      <c r="K1724" s="7">
        <f>IF(I1724="","",I1724*(1+J1724/100))</f>
        <v/>
      </c>
      <c r="L1724" s="12" t="inlineStr"/>
      <c r="M1724" s="8">
        <f>IF(OR(L1724="",K1724="",L1724=0),"",
  (L1724-K1724)/L1724*100)</f>
        <v/>
      </c>
      <c r="N1724" s="9" t="inlineStr"/>
      <c r="O1724" s="10" t="inlineStr"/>
      <c r="P1724" s="10" t="inlineStr"/>
      <c r="Q1724" s="10" t="inlineStr"/>
      <c r="R1724" s="10" t="inlineStr">
        <is>
          <t>2026-03-12</t>
        </is>
      </c>
      <c r="S1724" s="10" t="inlineStr"/>
    </row>
    <row r="1725">
      <c r="A1725" s="3" t="inlineStr">
        <is>
          <t>F02196</t>
        </is>
      </c>
      <c r="B1725" s="4" t="inlineStr">
        <is>
          <t>F02196</t>
        </is>
      </c>
      <c r="C1725" s="4" t="inlineStr"/>
      <c r="D1725" s="4" t="inlineStr">
        <is>
          <t>6934614080223</t>
        </is>
      </c>
      <c r="E1725" s="3" t="inlineStr">
        <is>
          <t>HEAT ELEMENT FOR WATER - SMALL</t>
        </is>
      </c>
      <c r="F1725" s="4" t="inlineStr"/>
      <c r="G1725" s="4" t="inlineStr"/>
      <c r="H1725" s="4" t="inlineStr"/>
      <c r="I1725" s="5" t="n">
        <v>24.95</v>
      </c>
      <c r="J1725" s="6" t="n">
        <v>15</v>
      </c>
      <c r="K1725" s="7">
        <f>IF(I1725="","",I1725*(1+J1725/100))</f>
        <v/>
      </c>
      <c r="L1725" s="12" t="inlineStr"/>
      <c r="M1725" s="8">
        <f>IF(OR(L1725="",K1725="",L1725=0),"",
  (L1725-K1725)/L1725*100)</f>
        <v/>
      </c>
      <c r="N1725" s="9" t="inlineStr"/>
      <c r="O1725" s="4" t="inlineStr"/>
      <c r="P1725" s="4" t="inlineStr"/>
      <c r="Q1725" s="4" t="inlineStr"/>
      <c r="R1725" s="4" t="inlineStr">
        <is>
          <t>2026-03-12</t>
        </is>
      </c>
      <c r="S1725" s="4" t="inlineStr"/>
    </row>
    <row r="1726">
      <c r="A1726" s="10" t="inlineStr">
        <is>
          <t>F02197</t>
        </is>
      </c>
      <c r="B1726" s="10" t="inlineStr">
        <is>
          <t>F02197</t>
        </is>
      </c>
      <c r="C1726" s="10" t="inlineStr"/>
      <c r="D1726" s="10" t="inlineStr">
        <is>
          <t>6934614080230</t>
        </is>
      </c>
      <c r="E1726" s="10" t="inlineStr">
        <is>
          <t>HEAT ELEMENT FOR WATER - LARGE</t>
        </is>
      </c>
      <c r="F1726" s="10" t="inlineStr"/>
      <c r="G1726" s="10" t="inlineStr"/>
      <c r="H1726" s="10" t="inlineStr"/>
      <c r="I1726" s="11" t="n">
        <v>34.95</v>
      </c>
      <c r="J1726" s="6" t="n">
        <v>15</v>
      </c>
      <c r="K1726" s="7">
        <f>IF(I1726="","",I1726*(1+J1726/100))</f>
        <v/>
      </c>
      <c r="L1726" s="12" t="inlineStr"/>
      <c r="M1726" s="8">
        <f>IF(OR(L1726="",K1726="",L1726=0),"",
  (L1726-K1726)/L1726*100)</f>
        <v/>
      </c>
      <c r="N1726" s="9" t="inlineStr"/>
      <c r="O1726" s="10" t="inlineStr"/>
      <c r="P1726" s="10" t="inlineStr"/>
      <c r="Q1726" s="10" t="inlineStr"/>
      <c r="R1726" s="10" t="inlineStr">
        <is>
          <t>2026-03-12</t>
        </is>
      </c>
      <c r="S1726" s="10" t="inlineStr"/>
    </row>
    <row r="1727">
      <c r="A1727" s="3" t="inlineStr">
        <is>
          <t>F02198</t>
        </is>
      </c>
      <c r="B1727" s="4" t="inlineStr">
        <is>
          <t>F02198</t>
        </is>
      </c>
      <c r="C1727" s="4" t="inlineStr"/>
      <c r="D1727" s="4" t="inlineStr"/>
      <c r="E1727" s="3" t="inlineStr">
        <is>
          <t>WP21 PVC PANEL (25X8X2.95M) BOX (10)</t>
        </is>
      </c>
      <c r="F1727" s="4" t="inlineStr"/>
      <c r="G1727" s="4" t="inlineStr"/>
      <c r="H1727" s="4" t="inlineStr"/>
      <c r="I1727" s="5" t="n">
        <v>895</v>
      </c>
      <c r="J1727" s="6" t="n">
        <v>15</v>
      </c>
      <c r="K1727" s="7">
        <f>IF(I1727="","",I1727*(1+J1727/100))</f>
        <v/>
      </c>
      <c r="L1727" s="12" t="inlineStr"/>
      <c r="M1727" s="8">
        <f>IF(OR(L1727="",K1727="",L1727=0),"",
  (L1727-K1727)/L1727*100)</f>
        <v/>
      </c>
      <c r="N1727" s="9" t="inlineStr"/>
      <c r="O1727" s="4" t="inlineStr"/>
      <c r="P1727" s="4" t="inlineStr"/>
      <c r="Q1727" s="4" t="inlineStr"/>
      <c r="R1727" s="4" t="inlineStr">
        <is>
          <t>2026-03-12</t>
        </is>
      </c>
      <c r="S1727" s="4" t="inlineStr"/>
    </row>
    <row r="1728">
      <c r="A1728" s="10" t="inlineStr">
        <is>
          <t>F02199</t>
        </is>
      </c>
      <c r="B1728" s="10" t="inlineStr">
        <is>
          <t>F02199</t>
        </is>
      </c>
      <c r="C1728" s="10" t="inlineStr"/>
      <c r="D1728" s="10" t="inlineStr"/>
      <c r="E1728" s="10" t="inlineStr">
        <is>
          <t>BUCKET 9LT WITH HANDLE</t>
        </is>
      </c>
      <c r="F1728" s="10" t="inlineStr"/>
      <c r="G1728" s="10" t="inlineStr"/>
      <c r="H1728" s="10" t="inlineStr"/>
      <c r="I1728" s="11" t="n">
        <v>7.5</v>
      </c>
      <c r="J1728" s="6" t="n">
        <v>15</v>
      </c>
      <c r="K1728" s="7">
        <f>IF(I1728="","",I1728*(1+J1728/100))</f>
        <v/>
      </c>
      <c r="L1728" s="12" t="inlineStr"/>
      <c r="M1728" s="8">
        <f>IF(OR(L1728="",K1728="",L1728=0),"",
  (L1728-K1728)/L1728*100)</f>
        <v/>
      </c>
      <c r="N1728" s="9" t="inlineStr"/>
      <c r="O1728" s="10" t="inlineStr"/>
      <c r="P1728" s="10" t="inlineStr"/>
      <c r="Q1728" s="10" t="inlineStr"/>
      <c r="R1728" s="10" t="inlineStr">
        <is>
          <t>2026-03-12</t>
        </is>
      </c>
      <c r="S1728" s="10" t="inlineStr"/>
    </row>
    <row r="1729">
      <c r="A1729" s="3" t="inlineStr">
        <is>
          <t>F02200</t>
        </is>
      </c>
      <c r="B1729" s="4" t="inlineStr">
        <is>
          <t>F02200</t>
        </is>
      </c>
      <c r="C1729" s="4" t="inlineStr"/>
      <c r="D1729" s="4" t="inlineStr"/>
      <c r="E1729" s="3" t="inlineStr">
        <is>
          <t>PALLET  PP-STRAP 12MMX2000M</t>
        </is>
      </c>
      <c r="F1729" s="4" t="inlineStr"/>
      <c r="G1729" s="4" t="inlineStr"/>
      <c r="H1729" s="4" t="inlineStr"/>
      <c r="I1729" s="5" t="n">
        <v>339</v>
      </c>
      <c r="J1729" s="6" t="n">
        <v>15</v>
      </c>
      <c r="K1729" s="7">
        <f>IF(I1729="","",I1729*(1+J1729/100))</f>
        <v/>
      </c>
      <c r="L1729" s="12" t="inlineStr"/>
      <c r="M1729" s="8">
        <f>IF(OR(L1729="",K1729="",L1729=0),"",
  (L1729-K1729)/L1729*100)</f>
        <v/>
      </c>
      <c r="N1729" s="14" t="n">
        <v>11</v>
      </c>
      <c r="O1729" s="4" t="inlineStr"/>
      <c r="P1729" s="4" t="inlineStr"/>
      <c r="Q1729" s="4" t="inlineStr"/>
      <c r="R1729" s="4" t="inlineStr">
        <is>
          <t>2026-03-12</t>
        </is>
      </c>
      <c r="S1729" s="4" t="inlineStr"/>
    </row>
    <row r="1730">
      <c r="A1730" s="10" t="inlineStr">
        <is>
          <t>F02201</t>
        </is>
      </c>
      <c r="B1730" s="10" t="inlineStr">
        <is>
          <t>F02201</t>
        </is>
      </c>
      <c r="C1730" s="10" t="inlineStr">
        <is>
          <t>9982</t>
        </is>
      </c>
      <c r="D1730" s="10" t="inlineStr">
        <is>
          <t>6004049006737</t>
        </is>
      </c>
      <c r="E1730" s="10" t="inlineStr">
        <is>
          <t>HAMMER SKUTCH PLASTIC HANDLE FORGED</t>
        </is>
      </c>
      <c r="F1730" s="10" t="inlineStr"/>
      <c r="G1730" s="10" t="inlineStr"/>
      <c r="H1730" s="10" t="inlineStr"/>
      <c r="I1730" s="11" t="n">
        <v>83.95</v>
      </c>
      <c r="J1730" s="6" t="n">
        <v>15</v>
      </c>
      <c r="K1730" s="7">
        <f>IF(I1730="","",I1730*(1+J1730/100))</f>
        <v/>
      </c>
      <c r="L1730" s="11" t="n">
        <v>290</v>
      </c>
      <c r="M1730" s="8">
        <f>IF(OR(L1730="",K1730="",L1730=0),"",
  (L1730-K1730)/L1730*100)</f>
        <v/>
      </c>
      <c r="N1730" s="13" t="n">
        <v>193</v>
      </c>
      <c r="O1730" s="10" t="inlineStr"/>
      <c r="P1730" s="10" t="inlineStr"/>
      <c r="Q1730" s="10" t="inlineStr"/>
      <c r="R1730" s="10" t="inlineStr">
        <is>
          <t>2026-03-12</t>
        </is>
      </c>
      <c r="S1730" s="10" t="inlineStr"/>
    </row>
    <row r="1731">
      <c r="A1731" s="3" t="inlineStr">
        <is>
          <t>F02202</t>
        </is>
      </c>
      <c r="B1731" s="4" t="inlineStr">
        <is>
          <t>F02202</t>
        </is>
      </c>
      <c r="C1731" s="4" t="inlineStr">
        <is>
          <t>9983</t>
        </is>
      </c>
      <c r="D1731" s="4" t="inlineStr">
        <is>
          <t>6009624153387</t>
        </is>
      </c>
      <c r="E1731" s="3" t="inlineStr">
        <is>
          <t>HAMMER ROOFING PLASTIC HANDLE FORGED</t>
        </is>
      </c>
      <c r="F1731" s="4" t="inlineStr"/>
      <c r="G1731" s="4" t="inlineStr"/>
      <c r="H1731" s="4" t="inlineStr"/>
      <c r="I1731" s="5" t="n">
        <v>62.95</v>
      </c>
      <c r="J1731" s="6" t="n">
        <v>15</v>
      </c>
      <c r="K1731" s="7">
        <f>IF(I1731="","",I1731*(1+J1731/100))</f>
        <v/>
      </c>
      <c r="L1731" s="5" t="n">
        <v>260</v>
      </c>
      <c r="M1731" s="8">
        <f>IF(OR(L1731="",K1731="",L1731=0),"",
  (L1731-K1731)/L1731*100)</f>
        <v/>
      </c>
      <c r="N1731" s="14" t="n">
        <v>269</v>
      </c>
      <c r="O1731" s="4" t="inlineStr"/>
      <c r="P1731" s="4" t="inlineStr"/>
      <c r="Q1731" s="4" t="inlineStr"/>
      <c r="R1731" s="4" t="inlineStr">
        <is>
          <t>2026-03-12</t>
        </is>
      </c>
      <c r="S1731" s="4" t="inlineStr"/>
    </row>
    <row r="1732">
      <c r="A1732" s="10" t="inlineStr">
        <is>
          <t>F02203</t>
        </is>
      </c>
      <c r="B1732" s="10" t="inlineStr">
        <is>
          <t>F02203</t>
        </is>
      </c>
      <c r="C1732" s="10" t="inlineStr"/>
      <c r="D1732" s="10" t="inlineStr">
        <is>
          <t>6001005002352</t>
        </is>
      </c>
      <c r="E1732" s="10" t="inlineStr">
        <is>
          <t>HAMMER SPRING FORGED</t>
        </is>
      </c>
      <c r="F1732" s="10" t="inlineStr"/>
      <c r="G1732" s="10" t="inlineStr"/>
      <c r="H1732" s="10" t="inlineStr"/>
      <c r="I1732" s="11" t="n">
        <v>39.95</v>
      </c>
      <c r="J1732" s="6" t="n">
        <v>15</v>
      </c>
      <c r="K1732" s="7">
        <f>IF(I1732="","",I1732*(1+J1732/100))</f>
        <v/>
      </c>
      <c r="L1732" s="12" t="inlineStr"/>
      <c r="M1732" s="8">
        <f>IF(OR(L1732="",K1732="",L1732=0),"",
  (L1732-K1732)/L1732*100)</f>
        <v/>
      </c>
      <c r="N1732" s="13" t="n">
        <v>45</v>
      </c>
      <c r="O1732" s="10" t="inlineStr"/>
      <c r="P1732" s="10" t="inlineStr"/>
      <c r="Q1732" s="10" t="inlineStr"/>
      <c r="R1732" s="10" t="inlineStr">
        <is>
          <t>2026-03-12</t>
        </is>
      </c>
      <c r="S1732" s="10" t="inlineStr"/>
    </row>
    <row r="1733">
      <c r="A1733" s="3" t="inlineStr">
        <is>
          <t>F02204</t>
        </is>
      </c>
      <c r="B1733" s="4" t="inlineStr">
        <is>
          <t>F02204</t>
        </is>
      </c>
      <c r="C1733" s="4" t="inlineStr">
        <is>
          <t>9980</t>
        </is>
      </c>
      <c r="D1733" s="4" t="inlineStr">
        <is>
          <t>6001023122261</t>
        </is>
      </c>
      <c r="E1733" s="3" t="inlineStr">
        <is>
          <t>GLOVE PVC RED 10.5'</t>
        </is>
      </c>
      <c r="F1733" s="4" t="inlineStr"/>
      <c r="G1733" s="4" t="inlineStr"/>
      <c r="H1733" s="4" t="inlineStr"/>
      <c r="I1733" s="5" t="n">
        <v>13.95</v>
      </c>
      <c r="J1733" s="6" t="n">
        <v>15</v>
      </c>
      <c r="K1733" s="7">
        <f>IF(I1733="","",I1733*(1+J1733/100))</f>
        <v/>
      </c>
      <c r="L1733" s="5" t="n">
        <v>110</v>
      </c>
      <c r="M1733" s="8">
        <f>IF(OR(L1733="",K1733="",L1733=0),"",
  (L1733-K1733)/L1733*100)</f>
        <v/>
      </c>
      <c r="N1733" s="14" t="n">
        <v>1374</v>
      </c>
      <c r="O1733" s="4" t="inlineStr"/>
      <c r="P1733" s="4" t="inlineStr"/>
      <c r="Q1733" s="4" t="inlineStr"/>
      <c r="R1733" s="4" t="inlineStr">
        <is>
          <t>2026-03-12</t>
        </is>
      </c>
      <c r="S1733" s="4" t="inlineStr"/>
    </row>
    <row r="1734">
      <c r="A1734" s="10" t="inlineStr">
        <is>
          <t>F02205</t>
        </is>
      </c>
      <c r="B1734" s="10" t="inlineStr">
        <is>
          <t>F02205</t>
        </is>
      </c>
      <c r="C1734" s="10" t="inlineStr">
        <is>
          <t>18370</t>
        </is>
      </c>
      <c r="D1734" s="10" t="inlineStr">
        <is>
          <t>6904567922178</t>
        </is>
      </c>
      <c r="E1734" s="10" t="inlineStr">
        <is>
          <t>GLOVE PVC RED 14'</t>
        </is>
      </c>
      <c r="F1734" s="10" t="inlineStr"/>
      <c r="G1734" s="10" t="inlineStr"/>
      <c r="H1734" s="10" t="inlineStr"/>
      <c r="I1734" s="11" t="n">
        <v>21.95</v>
      </c>
      <c r="J1734" s="6" t="n">
        <v>15</v>
      </c>
      <c r="K1734" s="7">
        <f>IF(I1734="","",I1734*(1+J1734/100))</f>
        <v/>
      </c>
      <c r="L1734" s="11" t="n">
        <v>160</v>
      </c>
      <c r="M1734" s="8">
        <f>IF(OR(L1734="",K1734="",L1734=0),"",
  (L1734-K1734)/L1734*100)</f>
        <v/>
      </c>
      <c r="N1734" s="13" t="n">
        <v>403</v>
      </c>
      <c r="O1734" s="10" t="inlineStr"/>
      <c r="P1734" s="10" t="inlineStr"/>
      <c r="Q1734" s="10" t="inlineStr"/>
      <c r="R1734" s="10" t="inlineStr">
        <is>
          <t>2026-03-12</t>
        </is>
      </c>
      <c r="S1734" s="10" t="inlineStr"/>
    </row>
    <row r="1735">
      <c r="A1735" s="3" t="inlineStr">
        <is>
          <t>F02206</t>
        </is>
      </c>
      <c r="B1735" s="4" t="inlineStr">
        <is>
          <t>F02206</t>
        </is>
      </c>
      <c r="C1735" s="4" t="inlineStr"/>
      <c r="D1735" s="4" t="inlineStr">
        <is>
          <t>6009677010217</t>
        </is>
      </c>
      <c r="E1735" s="3" t="inlineStr">
        <is>
          <t>PVC GLOVE COMAREX 10.5'</t>
        </is>
      </c>
      <c r="F1735" s="4" t="inlineStr"/>
      <c r="G1735" s="4" t="inlineStr"/>
      <c r="H1735" s="4" t="inlineStr"/>
      <c r="I1735" s="5" t="n">
        <v>1</v>
      </c>
      <c r="J1735" s="6" t="n">
        <v>15</v>
      </c>
      <c r="K1735" s="7">
        <f>IF(I1735="","",I1735*(1+J1735/100))</f>
        <v/>
      </c>
      <c r="L1735" s="12" t="inlineStr"/>
      <c r="M1735" s="8">
        <f>IF(OR(L1735="",K1735="",L1735=0),"",
  (L1735-K1735)/L1735*100)</f>
        <v/>
      </c>
      <c r="N1735" s="9" t="inlineStr"/>
      <c r="O1735" s="4" t="inlineStr"/>
      <c r="P1735" s="4" t="inlineStr"/>
      <c r="Q1735" s="4" t="inlineStr"/>
      <c r="R1735" s="4" t="inlineStr">
        <is>
          <t>2026-03-12</t>
        </is>
      </c>
      <c r="S1735" s="4" t="inlineStr"/>
    </row>
    <row r="1736">
      <c r="A1736" s="10" t="inlineStr">
        <is>
          <t>F02207</t>
        </is>
      </c>
      <c r="B1736" s="10" t="inlineStr">
        <is>
          <t>F02207</t>
        </is>
      </c>
      <c r="C1736" s="10" t="inlineStr">
        <is>
          <t>31920</t>
        </is>
      </c>
      <c r="D1736" s="10" t="inlineStr">
        <is>
          <t>6001023155665</t>
        </is>
      </c>
      <c r="E1736" s="10" t="inlineStr">
        <is>
          <t>CUTTING DISC STEEL 115X1MM/1.2MM</t>
        </is>
      </c>
      <c r="F1736" s="10" t="inlineStr"/>
      <c r="G1736" s="10" t="inlineStr"/>
      <c r="H1736" s="10" t="inlineStr"/>
      <c r="I1736" s="11" t="n">
        <v>3.49</v>
      </c>
      <c r="J1736" s="6" t="n">
        <v>15</v>
      </c>
      <c r="K1736" s="7">
        <f>IF(I1736="","",I1736*(1+J1736/100))</f>
        <v/>
      </c>
      <c r="L1736" s="11" t="n">
        <v>30</v>
      </c>
      <c r="M1736" s="8">
        <f>IF(OR(L1736="",K1736="",L1736=0),"",
  (L1736-K1736)/L1736*100)</f>
        <v/>
      </c>
      <c r="N1736" s="13" t="n">
        <v>16387</v>
      </c>
      <c r="O1736" s="10" t="inlineStr"/>
      <c r="P1736" s="10" t="inlineStr"/>
      <c r="Q1736" s="10" t="inlineStr"/>
      <c r="R1736" s="10" t="inlineStr">
        <is>
          <t>2026-03-12</t>
        </is>
      </c>
      <c r="S1736" s="10" t="inlineStr"/>
    </row>
    <row r="1737">
      <c r="A1737" s="3" t="inlineStr">
        <is>
          <t>F02208</t>
        </is>
      </c>
      <c r="B1737" s="4" t="inlineStr">
        <is>
          <t>F02208</t>
        </is>
      </c>
      <c r="C1737" s="4" t="inlineStr">
        <is>
          <t>10021</t>
        </is>
      </c>
      <c r="D1737" s="4" t="inlineStr">
        <is>
          <t>6009677010224</t>
        </is>
      </c>
      <c r="E1737" s="3" t="inlineStr">
        <is>
          <t>CUTTING DISC DIAMOND BLADE TURBO 115MM</t>
        </is>
      </c>
      <c r="F1737" s="4" t="inlineStr"/>
      <c r="G1737" s="4" t="inlineStr"/>
      <c r="H1737" s="4" t="inlineStr"/>
      <c r="I1737" s="5" t="n">
        <v>26.5</v>
      </c>
      <c r="J1737" s="6" t="n">
        <v>15</v>
      </c>
      <c r="K1737" s="7">
        <f>IF(I1737="","",I1737*(1+J1737/100))</f>
        <v/>
      </c>
      <c r="L1737" s="5" t="n">
        <v>99</v>
      </c>
      <c r="M1737" s="8">
        <f>IF(OR(L1737="",K1737="",L1737=0),"",
  (L1737-K1737)/L1737*100)</f>
        <v/>
      </c>
      <c r="N1737" s="14" t="n">
        <v>202</v>
      </c>
      <c r="O1737" s="4" t="inlineStr"/>
      <c r="P1737" s="4" t="inlineStr"/>
      <c r="Q1737" s="4" t="inlineStr"/>
      <c r="R1737" s="4" t="inlineStr">
        <is>
          <t>2026-03-12</t>
        </is>
      </c>
      <c r="S1737" s="4" t="inlineStr"/>
    </row>
    <row r="1738">
      <c r="A1738" s="10" t="inlineStr">
        <is>
          <t>F02209</t>
        </is>
      </c>
      <c r="B1738" s="10" t="inlineStr">
        <is>
          <t>F02209</t>
        </is>
      </c>
      <c r="C1738" s="10" t="inlineStr">
        <is>
          <t>10022</t>
        </is>
      </c>
      <c r="D1738" s="10" t="inlineStr">
        <is>
          <t>6009665751979</t>
        </is>
      </c>
      <c r="E1738" s="10" t="inlineStr">
        <is>
          <t>CUTTING DISC DIAMOND BLADE  TURBO 230MM</t>
        </is>
      </c>
      <c r="F1738" s="10" t="inlineStr"/>
      <c r="G1738" s="10" t="inlineStr"/>
      <c r="H1738" s="10" t="inlineStr"/>
      <c r="I1738" s="11" t="n">
        <v>77.95</v>
      </c>
      <c r="J1738" s="6" t="n">
        <v>15</v>
      </c>
      <c r="K1738" s="7">
        <f>IF(I1738="","",I1738*(1+J1738/100))</f>
        <v/>
      </c>
      <c r="L1738" s="11" t="n">
        <v>199</v>
      </c>
      <c r="M1738" s="8">
        <f>IF(OR(L1738="",K1738="",L1738=0),"",
  (L1738-K1738)/L1738*100)</f>
        <v/>
      </c>
      <c r="N1738" s="13" t="n">
        <v>288</v>
      </c>
      <c r="O1738" s="10" t="inlineStr"/>
      <c r="P1738" s="10" t="inlineStr"/>
      <c r="Q1738" s="10" t="inlineStr"/>
      <c r="R1738" s="10" t="inlineStr">
        <is>
          <t>2026-03-12</t>
        </is>
      </c>
      <c r="S1738" s="10" t="inlineStr"/>
    </row>
    <row r="1739">
      <c r="A1739" s="3" t="inlineStr">
        <is>
          <t>F02210</t>
        </is>
      </c>
      <c r="B1739" s="4" t="inlineStr">
        <is>
          <t>F02210</t>
        </is>
      </c>
      <c r="C1739" s="4" t="inlineStr">
        <is>
          <t>18422</t>
        </is>
      </c>
      <c r="D1739" s="4" t="inlineStr">
        <is>
          <t>6009665751986</t>
        </is>
      </c>
      <c r="E1739" s="3" t="inlineStr">
        <is>
          <t>MEASURING TAPE CARDED 7.5M - RUBBER</t>
        </is>
      </c>
      <c r="F1739" s="4" t="inlineStr"/>
      <c r="G1739" s="4" t="inlineStr"/>
      <c r="H1739" s="4" t="inlineStr"/>
      <c r="I1739" s="5" t="n">
        <v>26.95</v>
      </c>
      <c r="J1739" s="6" t="n">
        <v>15</v>
      </c>
      <c r="K1739" s="7">
        <f>IF(I1739="","",I1739*(1+J1739/100))</f>
        <v/>
      </c>
      <c r="L1739" s="5" t="n">
        <v>180</v>
      </c>
      <c r="M1739" s="8">
        <f>IF(OR(L1739="",K1739="",L1739=0),"",
  (L1739-K1739)/L1739*100)</f>
        <v/>
      </c>
      <c r="N1739" s="14" t="n">
        <v>118</v>
      </c>
      <c r="O1739" s="4" t="inlineStr"/>
      <c r="P1739" s="4" t="inlineStr"/>
      <c r="Q1739" s="4" t="inlineStr"/>
      <c r="R1739" s="4" t="inlineStr">
        <is>
          <t>2026-03-12</t>
        </is>
      </c>
      <c r="S1739" s="4" t="inlineStr"/>
    </row>
    <row r="1740">
      <c r="A1740" s="10" t="inlineStr">
        <is>
          <t>F02211</t>
        </is>
      </c>
      <c r="B1740" s="10" t="inlineStr">
        <is>
          <t>F02211</t>
        </is>
      </c>
      <c r="C1740" s="10" t="inlineStr">
        <is>
          <t>9936</t>
        </is>
      </c>
      <c r="D1740" s="10" t="inlineStr">
        <is>
          <t>6009665751993</t>
        </is>
      </c>
      <c r="E1740" s="10" t="inlineStr">
        <is>
          <t>TROWEL PLAIN WOODEN HANDLE</t>
        </is>
      </c>
      <c r="F1740" s="10" t="inlineStr"/>
      <c r="G1740" s="10" t="inlineStr"/>
      <c r="H1740" s="10" t="inlineStr"/>
      <c r="I1740" s="11" t="n">
        <v>32.95</v>
      </c>
      <c r="J1740" s="6" t="n">
        <v>15</v>
      </c>
      <c r="K1740" s="7">
        <f>IF(I1740="","",I1740*(1+J1740/100))</f>
        <v/>
      </c>
      <c r="L1740" s="11" t="n">
        <v>160</v>
      </c>
      <c r="M1740" s="8">
        <f>IF(OR(L1740="",K1740="",L1740=0),"",
  (L1740-K1740)/L1740*100)</f>
        <v/>
      </c>
      <c r="N1740" s="13" t="n">
        <v>9</v>
      </c>
      <c r="O1740" s="10" t="inlineStr"/>
      <c r="P1740" s="10" t="inlineStr"/>
      <c r="Q1740" s="10" t="inlineStr"/>
      <c r="R1740" s="10" t="inlineStr">
        <is>
          <t>2026-03-12</t>
        </is>
      </c>
      <c r="S1740" s="10" t="inlineStr"/>
    </row>
    <row r="1741">
      <c r="A1741" s="3" t="inlineStr">
        <is>
          <t>F02212</t>
        </is>
      </c>
      <c r="B1741" s="4" t="inlineStr">
        <is>
          <t>F02212</t>
        </is>
      </c>
      <c r="C1741" s="4" t="inlineStr">
        <is>
          <t>10249</t>
        </is>
      </c>
      <c r="D1741" s="4" t="inlineStr">
        <is>
          <t>6009665750446</t>
        </is>
      </c>
      <c r="E1741" s="3" t="inlineStr">
        <is>
          <t>RIVET -HAND RIVET 250MM</t>
        </is>
      </c>
      <c r="F1741" s="4" t="inlineStr"/>
      <c r="G1741" s="4" t="inlineStr"/>
      <c r="H1741" s="4" t="inlineStr"/>
      <c r="I1741" s="5" t="n">
        <v>48.95</v>
      </c>
      <c r="J1741" s="6" t="n">
        <v>15</v>
      </c>
      <c r="K1741" s="7">
        <f>IF(I1741="","",I1741*(1+J1741/100))</f>
        <v/>
      </c>
      <c r="L1741" s="5" t="n">
        <v>200</v>
      </c>
      <c r="M1741" s="8">
        <f>IF(OR(L1741="",K1741="",L1741=0),"",
  (L1741-K1741)/L1741*100)</f>
        <v/>
      </c>
      <c r="N1741" s="14" t="n">
        <v>89</v>
      </c>
      <c r="O1741" s="4" t="inlineStr"/>
      <c r="P1741" s="4" t="inlineStr"/>
      <c r="Q1741" s="4" t="inlineStr"/>
      <c r="R1741" s="4" t="inlineStr">
        <is>
          <t>2026-03-12</t>
        </is>
      </c>
      <c r="S1741" s="4" t="inlineStr"/>
    </row>
    <row r="1742">
      <c r="A1742" s="10" t="inlineStr">
        <is>
          <t>F02213</t>
        </is>
      </c>
      <c r="B1742" s="10" t="inlineStr">
        <is>
          <t>F02213</t>
        </is>
      </c>
      <c r="C1742" s="10" t="inlineStr">
        <is>
          <t>9958</t>
        </is>
      </c>
      <c r="D1742" s="10" t="inlineStr">
        <is>
          <t>6009665750453</t>
        </is>
      </c>
      <c r="E1742" s="10" t="inlineStr">
        <is>
          <t>PLIER WATER PUMP 250MM</t>
        </is>
      </c>
      <c r="F1742" s="10" t="inlineStr"/>
      <c r="G1742" s="10" t="inlineStr"/>
      <c r="H1742" s="10" t="inlineStr"/>
      <c r="I1742" s="11" t="n">
        <v>62.95</v>
      </c>
      <c r="J1742" s="6" t="n">
        <v>15</v>
      </c>
      <c r="K1742" s="7">
        <f>IF(I1742="","",I1742*(1+J1742/100))</f>
        <v/>
      </c>
      <c r="L1742" s="11" t="n">
        <v>250</v>
      </c>
      <c r="M1742" s="8">
        <f>IF(OR(L1742="",K1742="",L1742=0),"",
  (L1742-K1742)/L1742*100)</f>
        <v/>
      </c>
      <c r="N1742" s="13" t="n">
        <v>10</v>
      </c>
      <c r="O1742" s="10" t="inlineStr"/>
      <c r="P1742" s="10" t="inlineStr"/>
      <c r="Q1742" s="10" t="inlineStr"/>
      <c r="R1742" s="10" t="inlineStr">
        <is>
          <t>2026-03-12</t>
        </is>
      </c>
      <c r="S1742" s="10" t="inlineStr"/>
    </row>
    <row r="1743">
      <c r="A1743" s="3" t="inlineStr">
        <is>
          <t>F02214</t>
        </is>
      </c>
      <c r="B1743" s="4" t="inlineStr">
        <is>
          <t>F02214</t>
        </is>
      </c>
      <c r="C1743" s="4" t="inlineStr">
        <is>
          <t>9954</t>
        </is>
      </c>
      <c r="D1743" s="4" t="inlineStr">
        <is>
          <t>6005573000642</t>
        </is>
      </c>
      <c r="E1743" s="3" t="inlineStr">
        <is>
          <t>PLIER TOWER PINCER 230MM</t>
        </is>
      </c>
      <c r="F1743" s="4" t="inlineStr"/>
      <c r="G1743" s="4" t="inlineStr"/>
      <c r="H1743" s="4" t="inlineStr"/>
      <c r="I1743" s="5" t="n">
        <v>33.95</v>
      </c>
      <c r="J1743" s="6" t="n">
        <v>15</v>
      </c>
      <c r="K1743" s="7">
        <f>IF(I1743="","",I1743*(1+J1743/100))</f>
        <v/>
      </c>
      <c r="L1743" s="5" t="n">
        <v>200</v>
      </c>
      <c r="M1743" s="8">
        <f>IF(OR(L1743="",K1743="",L1743=0),"",
  (L1743-K1743)/L1743*100)</f>
        <v/>
      </c>
      <c r="N1743" s="14" t="n">
        <v>190</v>
      </c>
      <c r="O1743" s="4" t="inlineStr"/>
      <c r="P1743" s="4" t="inlineStr"/>
      <c r="Q1743" s="4" t="inlineStr"/>
      <c r="R1743" s="4" t="inlineStr">
        <is>
          <t>2026-03-12</t>
        </is>
      </c>
      <c r="S1743" s="4" t="inlineStr"/>
    </row>
    <row r="1744">
      <c r="A1744" s="10" t="inlineStr">
        <is>
          <t>F02215</t>
        </is>
      </c>
      <c r="B1744" s="10" t="inlineStr">
        <is>
          <t>F02215</t>
        </is>
      </c>
      <c r="C1744" s="10" t="inlineStr">
        <is>
          <t>9957</t>
        </is>
      </c>
      <c r="D1744" s="10" t="inlineStr">
        <is>
          <t>6005573000648</t>
        </is>
      </c>
      <c r="E1744" s="10" t="inlineStr">
        <is>
          <t>PLIER LOCKING 250MM</t>
        </is>
      </c>
      <c r="F1744" s="10" t="inlineStr"/>
      <c r="G1744" s="10" t="inlineStr"/>
      <c r="H1744" s="10" t="inlineStr"/>
      <c r="I1744" s="11" t="n">
        <v>49.95</v>
      </c>
      <c r="J1744" s="6" t="n">
        <v>15</v>
      </c>
      <c r="K1744" s="7">
        <f>IF(I1744="","",I1744*(1+J1744/100))</f>
        <v/>
      </c>
      <c r="L1744" s="11" t="n">
        <v>220</v>
      </c>
      <c r="M1744" s="8">
        <f>IF(OR(L1744="",K1744="",L1744=0),"",
  (L1744-K1744)/L1744*100)</f>
        <v/>
      </c>
      <c r="N1744" s="13" t="n">
        <v>199</v>
      </c>
      <c r="O1744" s="10" t="inlineStr"/>
      <c r="P1744" s="10" t="inlineStr"/>
      <c r="Q1744" s="10" t="inlineStr"/>
      <c r="R1744" s="10" t="inlineStr">
        <is>
          <t>2026-03-12</t>
        </is>
      </c>
      <c r="S1744" s="10" t="inlineStr"/>
    </row>
    <row r="1745">
      <c r="A1745" s="3" t="inlineStr">
        <is>
          <t>F02216</t>
        </is>
      </c>
      <c r="B1745" s="4" t="inlineStr">
        <is>
          <t>F02216</t>
        </is>
      </c>
      <c r="C1745" s="4" t="inlineStr">
        <is>
          <t>9969</t>
        </is>
      </c>
      <c r="D1745" s="4" t="inlineStr">
        <is>
          <t>6001930304897</t>
        </is>
      </c>
      <c r="E1745" s="3" t="inlineStr">
        <is>
          <t>HACKSAW JUNIOR</t>
        </is>
      </c>
      <c r="F1745" s="4" t="inlineStr"/>
      <c r="G1745" s="4" t="inlineStr"/>
      <c r="H1745" s="4" t="inlineStr"/>
      <c r="I1745" s="5" t="n">
        <v>12.95</v>
      </c>
      <c r="J1745" s="6" t="n">
        <v>15</v>
      </c>
      <c r="K1745" s="7">
        <f>IF(I1745="","",I1745*(1+J1745/100))</f>
        <v/>
      </c>
      <c r="L1745" s="5" t="n">
        <v>180</v>
      </c>
      <c r="M1745" s="8">
        <f>IF(OR(L1745="",K1745="",L1745=0),"",
  (L1745-K1745)/L1745*100)</f>
        <v/>
      </c>
      <c r="N1745" s="14" t="n">
        <v>436</v>
      </c>
      <c r="O1745" s="4" t="inlineStr"/>
      <c r="P1745" s="4" t="inlineStr"/>
      <c r="Q1745" s="4" t="inlineStr"/>
      <c r="R1745" s="4" t="inlineStr">
        <is>
          <t>2026-03-12</t>
        </is>
      </c>
      <c r="S1745" s="4" t="inlineStr"/>
    </row>
    <row r="1746">
      <c r="A1746" s="10" t="inlineStr">
        <is>
          <t>F02217</t>
        </is>
      </c>
      <c r="B1746" s="10" t="inlineStr">
        <is>
          <t>F02217</t>
        </is>
      </c>
      <c r="C1746" s="10" t="inlineStr">
        <is>
          <t>9968</t>
        </is>
      </c>
      <c r="D1746" s="10" t="inlineStr">
        <is>
          <t>6001427670320</t>
        </is>
      </c>
      <c r="E1746" s="10" t="inlineStr">
        <is>
          <t>HACKSAW SQUARE TUBE FRAME 300MM</t>
        </is>
      </c>
      <c r="F1746" s="10" t="inlineStr"/>
      <c r="G1746" s="10" t="inlineStr"/>
      <c r="H1746" s="10" t="inlineStr"/>
      <c r="I1746" s="11" t="n">
        <v>28.95</v>
      </c>
      <c r="J1746" s="6" t="n">
        <v>15</v>
      </c>
      <c r="K1746" s="7">
        <f>IF(I1746="","",I1746*(1+J1746/100))</f>
        <v/>
      </c>
      <c r="L1746" s="11" t="n">
        <v>250</v>
      </c>
      <c r="M1746" s="8">
        <f>IF(OR(L1746="",K1746="",L1746=0),"",
  (L1746-K1746)/L1746*100)</f>
        <v/>
      </c>
      <c r="N1746" s="13" t="n">
        <v>220</v>
      </c>
      <c r="O1746" s="10" t="inlineStr"/>
      <c r="P1746" s="10" t="inlineStr"/>
      <c r="Q1746" s="10" t="inlineStr"/>
      <c r="R1746" s="10" t="inlineStr">
        <is>
          <t>2026-03-12</t>
        </is>
      </c>
      <c r="S1746" s="10" t="inlineStr"/>
    </row>
    <row r="1747">
      <c r="A1747" s="3" t="inlineStr">
        <is>
          <t>F02218</t>
        </is>
      </c>
      <c r="B1747" s="4" t="inlineStr">
        <is>
          <t>F02218</t>
        </is>
      </c>
      <c r="C1747" s="4" t="inlineStr"/>
      <c r="D1747" s="4" t="inlineStr">
        <is>
          <t>6001427654306</t>
        </is>
      </c>
      <c r="E1747" s="3" t="inlineStr">
        <is>
          <t>RATCHET TIE DOWN 10M x5CM H/DUTY</t>
        </is>
      </c>
      <c r="F1747" s="4" t="inlineStr"/>
      <c r="G1747" s="4" t="inlineStr"/>
      <c r="H1747" s="4" t="inlineStr"/>
      <c r="I1747" s="5" t="n">
        <v>179</v>
      </c>
      <c r="J1747" s="6" t="n">
        <v>15</v>
      </c>
      <c r="K1747" s="7">
        <f>IF(I1747="","",I1747*(1+J1747/100))</f>
        <v/>
      </c>
      <c r="L1747" s="12" t="inlineStr"/>
      <c r="M1747" s="8">
        <f>IF(OR(L1747="",K1747="",L1747=0),"",
  (L1747-K1747)/L1747*100)</f>
        <v/>
      </c>
      <c r="N1747" s="14" t="n">
        <v>325</v>
      </c>
      <c r="O1747" s="4" t="inlineStr"/>
      <c r="P1747" s="4" t="inlineStr"/>
      <c r="Q1747" s="4" t="inlineStr"/>
      <c r="R1747" s="4" t="inlineStr">
        <is>
          <t>2026-03-12</t>
        </is>
      </c>
      <c r="S1747" s="4" t="inlineStr"/>
    </row>
    <row r="1748">
      <c r="A1748" s="10" t="inlineStr">
        <is>
          <t>F02219</t>
        </is>
      </c>
      <c r="B1748" s="10" t="inlineStr">
        <is>
          <t>F02219</t>
        </is>
      </c>
      <c r="C1748" s="10" t="inlineStr">
        <is>
          <t>9987</t>
        </is>
      </c>
      <c r="D1748" s="10" t="inlineStr">
        <is>
          <t>6904567901036</t>
        </is>
      </c>
      <c r="E1748" s="10" t="inlineStr">
        <is>
          <t>UTILITY KNIFE SNAP OFF 18MM ECONO</t>
        </is>
      </c>
      <c r="F1748" s="10" t="inlineStr"/>
      <c r="G1748" s="10" t="inlineStr"/>
      <c r="H1748" s="10" t="inlineStr"/>
      <c r="I1748" s="11" t="n">
        <v>8.5</v>
      </c>
      <c r="J1748" s="6" t="n">
        <v>15</v>
      </c>
      <c r="K1748" s="7">
        <f>IF(I1748="","",I1748*(1+J1748/100))</f>
        <v/>
      </c>
      <c r="L1748" s="11" t="n">
        <v>130</v>
      </c>
      <c r="M1748" s="8">
        <f>IF(OR(L1748="",K1748="",L1748=0),"",
  (L1748-K1748)/L1748*100)</f>
        <v/>
      </c>
      <c r="N1748" s="13" t="n">
        <v>1069</v>
      </c>
      <c r="O1748" s="10" t="inlineStr"/>
      <c r="P1748" s="10" t="inlineStr"/>
      <c r="Q1748" s="10" t="inlineStr"/>
      <c r="R1748" s="10" t="inlineStr">
        <is>
          <t>2026-03-12</t>
        </is>
      </c>
      <c r="S1748" s="10" t="inlineStr"/>
    </row>
    <row r="1749">
      <c r="A1749" s="3" t="inlineStr">
        <is>
          <t>F02220</t>
        </is>
      </c>
      <c r="B1749" s="4" t="inlineStr">
        <is>
          <t>F02220</t>
        </is>
      </c>
      <c r="C1749" s="4" t="inlineStr">
        <is>
          <t>9938</t>
        </is>
      </c>
      <c r="D1749" s="4" t="inlineStr">
        <is>
          <t>6904567027118</t>
        </is>
      </c>
      <c r="E1749" s="3" t="inlineStr">
        <is>
          <t>SCRAPER 1"TPR HANDLE</t>
        </is>
      </c>
      <c r="F1749" s="4" t="inlineStr"/>
      <c r="G1749" s="4" t="inlineStr"/>
      <c r="H1749" s="4" t="inlineStr"/>
      <c r="I1749" s="5" t="n">
        <v>8.949999999999999</v>
      </c>
      <c r="J1749" s="6" t="n">
        <v>15</v>
      </c>
      <c r="K1749" s="7">
        <f>IF(I1749="","",I1749*(1+J1749/100))</f>
        <v/>
      </c>
      <c r="L1749" s="5" t="n">
        <v>190</v>
      </c>
      <c r="M1749" s="8">
        <f>IF(OR(L1749="",K1749="",L1749=0),"",
  (L1749-K1749)/L1749*100)</f>
        <v/>
      </c>
      <c r="N1749" s="9" t="inlineStr"/>
      <c r="O1749" s="4" t="inlineStr"/>
      <c r="P1749" s="4" t="inlineStr"/>
      <c r="Q1749" s="4" t="inlineStr"/>
      <c r="R1749" s="4" t="inlineStr">
        <is>
          <t>2026-03-12</t>
        </is>
      </c>
      <c r="S1749" s="4" t="inlineStr"/>
    </row>
    <row r="1750">
      <c r="A1750" s="10" t="inlineStr">
        <is>
          <t>F02221</t>
        </is>
      </c>
      <c r="B1750" s="10" t="inlineStr">
        <is>
          <t>F02221</t>
        </is>
      </c>
      <c r="C1750" s="10" t="inlineStr">
        <is>
          <t>9939</t>
        </is>
      </c>
      <c r="D1750" s="10" t="inlineStr">
        <is>
          <t>6905467911509</t>
        </is>
      </c>
      <c r="E1750" s="10" t="inlineStr">
        <is>
          <t>SCRAPER 5"TPR HANDLE</t>
        </is>
      </c>
      <c r="F1750" s="10" t="inlineStr"/>
      <c r="G1750" s="10" t="inlineStr"/>
      <c r="H1750" s="10" t="inlineStr"/>
      <c r="I1750" s="11" t="n">
        <v>10.5</v>
      </c>
      <c r="J1750" s="6" t="n">
        <v>15</v>
      </c>
      <c r="K1750" s="7">
        <f>IF(I1750="","",I1750*(1+J1750/100))</f>
        <v/>
      </c>
      <c r="L1750" s="11" t="n">
        <v>180</v>
      </c>
      <c r="M1750" s="8">
        <f>IF(OR(L1750="",K1750="",L1750=0),"",
  (L1750-K1750)/L1750*100)</f>
        <v/>
      </c>
      <c r="N1750" s="13" t="n">
        <v>2</v>
      </c>
      <c r="O1750" s="10" t="inlineStr"/>
      <c r="P1750" s="10" t="inlineStr"/>
      <c r="Q1750" s="10" t="inlineStr"/>
      <c r="R1750" s="10" t="inlineStr">
        <is>
          <t>2026-03-12</t>
        </is>
      </c>
      <c r="S1750" s="10" t="inlineStr"/>
    </row>
    <row r="1751">
      <c r="A1751" s="3" t="inlineStr">
        <is>
          <t>F02222</t>
        </is>
      </c>
      <c r="B1751" s="4" t="inlineStr">
        <is>
          <t>F02222</t>
        </is>
      </c>
      <c r="C1751" s="4" t="inlineStr">
        <is>
          <t>9797</t>
        </is>
      </c>
      <c r="D1751" s="4" t="inlineStr">
        <is>
          <t>6001334281084</t>
        </is>
      </c>
      <c r="E1751" s="3" t="inlineStr">
        <is>
          <t>WALL SCRAPPER TPR HANDLE 6''</t>
        </is>
      </c>
      <c r="F1751" s="4" t="inlineStr"/>
      <c r="G1751" s="4" t="inlineStr"/>
      <c r="H1751" s="4" t="inlineStr"/>
      <c r="I1751" s="5" t="n">
        <v>12.5</v>
      </c>
      <c r="J1751" s="6" t="n">
        <v>15</v>
      </c>
      <c r="K1751" s="7">
        <f>IF(I1751="","",I1751*(1+J1751/100))</f>
        <v/>
      </c>
      <c r="L1751" s="5" t="n">
        <v>190</v>
      </c>
      <c r="M1751" s="8">
        <f>IF(OR(L1751="",K1751="",L1751=0),"",
  (L1751-K1751)/L1751*100)</f>
        <v/>
      </c>
      <c r="N1751" s="9" t="inlineStr"/>
      <c r="O1751" s="4" t="inlineStr"/>
      <c r="P1751" s="4" t="inlineStr"/>
      <c r="Q1751" s="4" t="inlineStr"/>
      <c r="R1751" s="4" t="inlineStr">
        <is>
          <t>2026-03-12</t>
        </is>
      </c>
      <c r="S1751" s="4" t="inlineStr"/>
    </row>
    <row r="1752">
      <c r="A1752" s="10" t="inlineStr">
        <is>
          <t>F02223</t>
        </is>
      </c>
      <c r="B1752" s="10" t="inlineStr">
        <is>
          <t>F02223</t>
        </is>
      </c>
      <c r="C1752" s="10" t="inlineStr">
        <is>
          <t>20646</t>
        </is>
      </c>
      <c r="D1752" s="10" t="inlineStr">
        <is>
          <t>6001334182336</t>
        </is>
      </c>
      <c r="E1752" s="10" t="inlineStr">
        <is>
          <t>SCREWDRIVER ELECTRICIAN 5.0X125MM</t>
        </is>
      </c>
      <c r="F1752" s="10" t="inlineStr"/>
      <c r="G1752" s="10" t="inlineStr"/>
      <c r="H1752" s="10" t="inlineStr"/>
      <c r="I1752" s="11" t="n">
        <v>18.95</v>
      </c>
      <c r="J1752" s="6" t="n">
        <v>15</v>
      </c>
      <c r="K1752" s="7">
        <f>IF(I1752="","",I1752*(1+J1752/100))</f>
        <v/>
      </c>
      <c r="L1752" s="11" t="n">
        <v>50</v>
      </c>
      <c r="M1752" s="8">
        <f>IF(OR(L1752="",K1752="",L1752=0),"",
  (L1752-K1752)/L1752*100)</f>
        <v/>
      </c>
      <c r="N1752" s="9" t="inlineStr"/>
      <c r="O1752" s="10" t="inlineStr"/>
      <c r="P1752" s="10" t="inlineStr"/>
      <c r="Q1752" s="10" t="inlineStr"/>
      <c r="R1752" s="10" t="inlineStr">
        <is>
          <t>2026-03-12</t>
        </is>
      </c>
      <c r="S1752" s="10" t="inlineStr"/>
    </row>
    <row r="1753">
      <c r="A1753" s="3" t="inlineStr">
        <is>
          <t>F02224</t>
        </is>
      </c>
      <c r="B1753" s="4" t="inlineStr">
        <is>
          <t>F02224</t>
        </is>
      </c>
      <c r="C1753" s="4" t="inlineStr">
        <is>
          <t>20750</t>
        </is>
      </c>
      <c r="D1753" s="4" t="inlineStr">
        <is>
          <t>6001334190147</t>
        </is>
      </c>
      <c r="E1753" s="3" t="inlineStr">
        <is>
          <t>CHALK LINE PLASTIC PLUS CHALK  15m</t>
        </is>
      </c>
      <c r="F1753" s="4" t="inlineStr"/>
      <c r="G1753" s="4" t="inlineStr"/>
      <c r="H1753" s="4" t="inlineStr"/>
      <c r="I1753" s="5" t="n">
        <v>27.95</v>
      </c>
      <c r="J1753" s="6" t="n">
        <v>15</v>
      </c>
      <c r="K1753" s="7">
        <f>IF(I1753="","",I1753*(1+J1753/100))</f>
        <v/>
      </c>
      <c r="L1753" s="5" t="n">
        <v>120</v>
      </c>
      <c r="M1753" s="8">
        <f>IF(OR(L1753="",K1753="",L1753=0),"",
  (L1753-K1753)/L1753*100)</f>
        <v/>
      </c>
      <c r="N1753" s="14" t="n">
        <v>4</v>
      </c>
      <c r="O1753" s="4" t="inlineStr"/>
      <c r="P1753" s="4" t="inlineStr"/>
      <c r="Q1753" s="4" t="inlineStr"/>
      <c r="R1753" s="4" t="inlineStr">
        <is>
          <t>2026-03-12</t>
        </is>
      </c>
      <c r="S1753" s="4" t="inlineStr"/>
    </row>
    <row r="1754">
      <c r="A1754" s="10" t="inlineStr">
        <is>
          <t>F02225</t>
        </is>
      </c>
      <c r="B1754" s="10" t="inlineStr">
        <is>
          <t>F02225</t>
        </is>
      </c>
      <c r="C1754" s="10" t="inlineStr"/>
      <c r="D1754" s="10" t="inlineStr">
        <is>
          <t>6001334196555</t>
        </is>
      </c>
      <c r="E1754" s="10" t="inlineStr">
        <is>
          <t>HEX KEY SET 9 PCS</t>
        </is>
      </c>
      <c r="F1754" s="10" t="inlineStr"/>
      <c r="G1754" s="10" t="inlineStr"/>
      <c r="H1754" s="10" t="inlineStr"/>
      <c r="I1754" s="11" t="n">
        <v>13.5</v>
      </c>
      <c r="J1754" s="6" t="n">
        <v>15</v>
      </c>
      <c r="K1754" s="7">
        <f>IF(I1754="","",I1754*(1+J1754/100))</f>
        <v/>
      </c>
      <c r="L1754" s="12" t="inlineStr"/>
      <c r="M1754" s="8">
        <f>IF(OR(L1754="",K1754="",L1754=0),"",
  (L1754-K1754)/L1754*100)</f>
        <v/>
      </c>
      <c r="N1754" s="13" t="n">
        <v>112</v>
      </c>
      <c r="O1754" s="10" t="inlineStr"/>
      <c r="P1754" s="10" t="inlineStr"/>
      <c r="Q1754" s="10" t="inlineStr"/>
      <c r="R1754" s="10" t="inlineStr">
        <is>
          <t>2026-03-12</t>
        </is>
      </c>
      <c r="S1754" s="10" t="inlineStr"/>
    </row>
    <row r="1755">
      <c r="A1755" s="3" t="inlineStr">
        <is>
          <t>F02226</t>
        </is>
      </c>
      <c r="B1755" s="4" t="inlineStr">
        <is>
          <t>F02226</t>
        </is>
      </c>
      <c r="C1755" s="4" t="inlineStr">
        <is>
          <t>9971</t>
        </is>
      </c>
      <c r="D1755" s="4" t="inlineStr">
        <is>
          <t>6001339216666</t>
        </is>
      </c>
      <c r="E1755" s="3" t="inlineStr">
        <is>
          <t>BLADES HACKSAW FLEXIBLE 10's (18T 300MM)</t>
        </is>
      </c>
      <c r="F1755" s="4" t="inlineStr"/>
      <c r="G1755" s="4" t="inlineStr"/>
      <c r="H1755" s="4" t="inlineStr"/>
      <c r="I1755" s="5" t="n">
        <v>39.9</v>
      </c>
      <c r="J1755" s="6" t="n">
        <v>15</v>
      </c>
      <c r="K1755" s="7">
        <f>IF(I1755="","",I1755*(1+J1755/100))</f>
        <v/>
      </c>
      <c r="L1755" s="5" t="n">
        <v>250</v>
      </c>
      <c r="M1755" s="8">
        <f>IF(OR(L1755="",K1755="",L1755=0),"",
  (L1755-K1755)/L1755*100)</f>
        <v/>
      </c>
      <c r="N1755" s="14" t="n">
        <v>421</v>
      </c>
      <c r="O1755" s="4" t="inlineStr"/>
      <c r="P1755" s="4" t="inlineStr"/>
      <c r="Q1755" s="4" t="inlineStr"/>
      <c r="R1755" s="4" t="inlineStr">
        <is>
          <t>2026-03-12</t>
        </is>
      </c>
      <c r="S1755" s="4" t="inlineStr"/>
    </row>
    <row r="1756">
      <c r="A1756" s="10" t="inlineStr">
        <is>
          <t>F02227</t>
        </is>
      </c>
      <c r="B1756" s="10" t="inlineStr">
        <is>
          <t>F02227</t>
        </is>
      </c>
      <c r="C1756" s="10" t="inlineStr">
        <is>
          <t>20644</t>
        </is>
      </c>
      <c r="D1756" s="10" t="inlineStr">
        <is>
          <t>6009677013072</t>
        </is>
      </c>
      <c r="E1756" s="10" t="inlineStr">
        <is>
          <t>WRENCH ADJUSTABLE 8''</t>
        </is>
      </c>
      <c r="F1756" s="10" t="inlineStr"/>
      <c r="G1756" s="10" t="inlineStr"/>
      <c r="H1756" s="10" t="inlineStr"/>
      <c r="I1756" s="11" t="n">
        <v>41.95</v>
      </c>
      <c r="J1756" s="6" t="n">
        <v>15</v>
      </c>
      <c r="K1756" s="7">
        <f>IF(I1756="","",I1756*(1+J1756/100))</f>
        <v/>
      </c>
      <c r="L1756" s="11" t="n">
        <v>210</v>
      </c>
      <c r="M1756" s="8">
        <f>IF(OR(L1756="",K1756="",L1756=0),"",
  (L1756-K1756)/L1756*100)</f>
        <v/>
      </c>
      <c r="N1756" s="13" t="n">
        <v>112</v>
      </c>
      <c r="O1756" s="10" t="inlineStr"/>
      <c r="P1756" s="10" t="inlineStr"/>
      <c r="Q1756" s="10" t="inlineStr"/>
      <c r="R1756" s="10" t="inlineStr">
        <is>
          <t>2026-03-12</t>
        </is>
      </c>
      <c r="S1756" s="10" t="inlineStr"/>
    </row>
    <row r="1757">
      <c r="A1757" s="3" t="inlineStr">
        <is>
          <t>F02228</t>
        </is>
      </c>
      <c r="B1757" s="4" t="inlineStr">
        <is>
          <t>F02228</t>
        </is>
      </c>
      <c r="C1757" s="4" t="inlineStr">
        <is>
          <t>20645</t>
        </is>
      </c>
      <c r="D1757" s="4" t="inlineStr">
        <is>
          <t>6009677013065</t>
        </is>
      </c>
      <c r="E1757" s="3" t="inlineStr">
        <is>
          <t>WRENCH ADJUSTABLE 10''</t>
        </is>
      </c>
      <c r="F1757" s="4" t="inlineStr"/>
      <c r="G1757" s="4" t="inlineStr"/>
      <c r="H1757" s="4" t="inlineStr"/>
      <c r="I1757" s="5" t="n">
        <v>52.95</v>
      </c>
      <c r="J1757" s="6" t="n">
        <v>15</v>
      </c>
      <c r="K1757" s="7">
        <f>IF(I1757="","",I1757*(1+J1757/100))</f>
        <v/>
      </c>
      <c r="L1757" s="5" t="n">
        <v>290</v>
      </c>
      <c r="M1757" s="8">
        <f>IF(OR(L1757="",K1757="",L1757=0),"",
  (L1757-K1757)/L1757*100)</f>
        <v/>
      </c>
      <c r="N1757" s="14" t="n">
        <v>62</v>
      </c>
      <c r="O1757" s="4" t="inlineStr"/>
      <c r="P1757" s="4" t="inlineStr"/>
      <c r="Q1757" s="4" t="inlineStr"/>
      <c r="R1757" s="4" t="inlineStr">
        <is>
          <t>2026-03-12</t>
        </is>
      </c>
      <c r="S1757" s="4" t="inlineStr"/>
    </row>
    <row r="1758">
      <c r="A1758" s="10" t="inlineStr">
        <is>
          <t>F02229</t>
        </is>
      </c>
      <c r="B1758" s="10" t="inlineStr">
        <is>
          <t>F02229</t>
        </is>
      </c>
      <c r="C1758" s="10" t="inlineStr">
        <is>
          <t>20643</t>
        </is>
      </c>
      <c r="D1758" s="10" t="inlineStr">
        <is>
          <t>6009677013085</t>
        </is>
      </c>
      <c r="E1758" s="10" t="inlineStr">
        <is>
          <t>WRENCH  ADJUSTABLE 12''</t>
        </is>
      </c>
      <c r="F1758" s="10" t="inlineStr"/>
      <c r="G1758" s="10" t="inlineStr"/>
      <c r="H1758" s="10" t="inlineStr"/>
      <c r="I1758" s="11" t="n">
        <v>64.95</v>
      </c>
      <c r="J1758" s="6" t="n">
        <v>15</v>
      </c>
      <c r="K1758" s="7">
        <f>IF(I1758="","",I1758*(1+J1758/100))</f>
        <v/>
      </c>
      <c r="L1758" s="11" t="n">
        <v>125</v>
      </c>
      <c r="M1758" s="8">
        <f>IF(OR(L1758="",K1758="",L1758=0),"",
  (L1758-K1758)/L1758*100)</f>
        <v/>
      </c>
      <c r="N1758" s="13" t="n">
        <v>381</v>
      </c>
      <c r="O1758" s="10" t="inlineStr"/>
      <c r="P1758" s="10" t="inlineStr"/>
      <c r="Q1758" s="10" t="inlineStr"/>
      <c r="R1758" s="10" t="inlineStr">
        <is>
          <t>2026-03-12</t>
        </is>
      </c>
      <c r="S1758" s="10" t="inlineStr"/>
    </row>
    <row r="1759">
      <c r="A1759" s="3" t="inlineStr">
        <is>
          <t>F02230</t>
        </is>
      </c>
      <c r="B1759" s="4" t="inlineStr">
        <is>
          <t>F02230</t>
        </is>
      </c>
      <c r="C1759" s="4" t="inlineStr">
        <is>
          <t>11621</t>
        </is>
      </c>
      <c r="D1759" s="4" t="inlineStr">
        <is>
          <t>6001334247882</t>
        </is>
      </c>
      <c r="E1759" s="3" t="inlineStr">
        <is>
          <t>CHISEL WOOD  PLASTIC HANDLE 6MM</t>
        </is>
      </c>
      <c r="F1759" s="4" t="inlineStr"/>
      <c r="G1759" s="4" t="inlineStr"/>
      <c r="H1759" s="4" t="inlineStr"/>
      <c r="I1759" s="5" t="n">
        <v>23.95</v>
      </c>
      <c r="J1759" s="6" t="n">
        <v>15</v>
      </c>
      <c r="K1759" s="7">
        <f>IF(I1759="","",I1759*(1+J1759/100))</f>
        <v/>
      </c>
      <c r="L1759" s="5" t="n">
        <v>130</v>
      </c>
      <c r="M1759" s="8">
        <f>IF(OR(L1759="",K1759="",L1759=0),"",
  (L1759-K1759)/L1759*100)</f>
        <v/>
      </c>
      <c r="N1759" s="14" t="n">
        <v>199</v>
      </c>
      <c r="O1759" s="4" t="inlineStr"/>
      <c r="P1759" s="4" t="inlineStr"/>
      <c r="Q1759" s="4" t="inlineStr"/>
      <c r="R1759" s="4" t="inlineStr">
        <is>
          <t>2026-03-12</t>
        </is>
      </c>
      <c r="S1759" s="4" t="inlineStr"/>
    </row>
    <row r="1760">
      <c r="A1760" s="10" t="inlineStr">
        <is>
          <t>F02231</t>
        </is>
      </c>
      <c r="B1760" s="10" t="inlineStr">
        <is>
          <t>F02231</t>
        </is>
      </c>
      <c r="C1760" s="10" t="inlineStr">
        <is>
          <t>11622</t>
        </is>
      </c>
      <c r="D1760" s="10" t="inlineStr">
        <is>
          <t>6001347281095</t>
        </is>
      </c>
      <c r="E1760" s="10" t="inlineStr">
        <is>
          <t>CHISEL WOOD  PLASTIC HANDLE 12MM</t>
        </is>
      </c>
      <c r="F1760" s="10" t="inlineStr"/>
      <c r="G1760" s="10" t="inlineStr"/>
      <c r="H1760" s="10" t="inlineStr"/>
      <c r="I1760" s="11" t="n">
        <v>26.95</v>
      </c>
      <c r="J1760" s="6" t="n">
        <v>15</v>
      </c>
      <c r="K1760" s="7">
        <f>IF(I1760="","",I1760*(1+J1760/100))</f>
        <v/>
      </c>
      <c r="L1760" s="11" t="n">
        <v>180</v>
      </c>
      <c r="M1760" s="8">
        <f>IF(OR(L1760="",K1760="",L1760=0),"",
  (L1760-K1760)/L1760*100)</f>
        <v/>
      </c>
      <c r="N1760" s="13" t="n">
        <v>165</v>
      </c>
      <c r="O1760" s="10" t="inlineStr"/>
      <c r="P1760" s="10" t="inlineStr"/>
      <c r="Q1760" s="10" t="inlineStr"/>
      <c r="R1760" s="10" t="inlineStr">
        <is>
          <t>2026-03-12</t>
        </is>
      </c>
      <c r="S1760" s="10" t="inlineStr"/>
    </row>
    <row r="1761">
      <c r="A1761" s="3" t="inlineStr">
        <is>
          <t>F02232</t>
        </is>
      </c>
      <c r="B1761" s="4" t="inlineStr">
        <is>
          <t>F02232</t>
        </is>
      </c>
      <c r="C1761" s="4" t="inlineStr">
        <is>
          <t>11623</t>
        </is>
      </c>
      <c r="D1761" s="4" t="inlineStr">
        <is>
          <t>6001347172355</t>
        </is>
      </c>
      <c r="E1761" s="3" t="inlineStr">
        <is>
          <t>CHISEL WOOD PLASTIC HANDLE 24MM</t>
        </is>
      </c>
      <c r="F1761" s="4" t="inlineStr"/>
      <c r="G1761" s="4" t="inlineStr"/>
      <c r="H1761" s="4" t="inlineStr"/>
      <c r="I1761" s="5" t="n">
        <v>31.95</v>
      </c>
      <c r="J1761" s="6" t="n">
        <v>15</v>
      </c>
      <c r="K1761" s="7">
        <f>IF(I1761="","",I1761*(1+J1761/100))</f>
        <v/>
      </c>
      <c r="L1761" s="5" t="n">
        <v>190</v>
      </c>
      <c r="M1761" s="8">
        <f>IF(OR(L1761="",K1761="",L1761=0),"",
  (L1761-K1761)/L1761*100)</f>
        <v/>
      </c>
      <c r="N1761" s="14" t="n">
        <v>63</v>
      </c>
      <c r="O1761" s="4" t="inlineStr"/>
      <c r="P1761" s="4" t="inlineStr"/>
      <c r="Q1761" s="4" t="inlineStr"/>
      <c r="R1761" s="4" t="inlineStr">
        <is>
          <t>2026-03-12</t>
        </is>
      </c>
      <c r="S1761" s="4" t="inlineStr"/>
    </row>
    <row r="1762">
      <c r="A1762" s="10" t="inlineStr">
        <is>
          <t>F02233</t>
        </is>
      </c>
      <c r="B1762" s="10" t="inlineStr">
        <is>
          <t>F02233</t>
        </is>
      </c>
      <c r="C1762" s="10" t="inlineStr">
        <is>
          <t>18462</t>
        </is>
      </c>
      <c r="D1762" s="10" t="inlineStr">
        <is>
          <t>6001347193749</t>
        </is>
      </c>
      <c r="E1762" s="10" t="inlineStr">
        <is>
          <t>BRICK LAYING TROWEL 6'' WOOD HANDLE</t>
        </is>
      </c>
      <c r="F1762" s="10" t="inlineStr"/>
      <c r="G1762" s="10" t="inlineStr"/>
      <c r="H1762" s="10" t="inlineStr"/>
      <c r="I1762" s="11" t="n">
        <v>15.95</v>
      </c>
      <c r="J1762" s="6" t="n">
        <v>15</v>
      </c>
      <c r="K1762" s="7">
        <f>IF(I1762="","",I1762*(1+J1762/100))</f>
        <v/>
      </c>
      <c r="L1762" s="11" t="n">
        <v>170</v>
      </c>
      <c r="M1762" s="8">
        <f>IF(OR(L1762="",K1762="",L1762=0),"",
  (L1762-K1762)/L1762*100)</f>
        <v/>
      </c>
      <c r="N1762" s="13" t="n">
        <v>285</v>
      </c>
      <c r="O1762" s="10" t="inlineStr"/>
      <c r="P1762" s="10" t="inlineStr"/>
      <c r="Q1762" s="10" t="inlineStr"/>
      <c r="R1762" s="10" t="inlineStr">
        <is>
          <t>2026-03-12</t>
        </is>
      </c>
      <c r="S1762" s="10" t="inlineStr"/>
    </row>
    <row r="1763">
      <c r="A1763" s="3" t="inlineStr">
        <is>
          <t>F02234</t>
        </is>
      </c>
      <c r="B1763" s="4" t="inlineStr">
        <is>
          <t>F02234</t>
        </is>
      </c>
      <c r="C1763" s="4" t="inlineStr">
        <is>
          <t>18463</t>
        </is>
      </c>
      <c r="D1763" s="4" t="inlineStr">
        <is>
          <t>6001347198751</t>
        </is>
      </c>
      <c r="E1763" s="3" t="inlineStr">
        <is>
          <t>BRICK LAYING TROWEL 10' WOOD HANDLE '</t>
        </is>
      </c>
      <c r="F1763" s="4" t="inlineStr"/>
      <c r="G1763" s="4" t="inlineStr"/>
      <c r="H1763" s="4" t="inlineStr"/>
      <c r="I1763" s="5" t="n">
        <v>27.95</v>
      </c>
      <c r="J1763" s="6" t="n">
        <v>15</v>
      </c>
      <c r="K1763" s="7">
        <f>IF(I1763="","",I1763*(1+J1763/100))</f>
        <v/>
      </c>
      <c r="L1763" s="5" t="n">
        <v>230</v>
      </c>
      <c r="M1763" s="8">
        <f>IF(OR(L1763="",K1763="",L1763=0),"",
  (L1763-K1763)/L1763*100)</f>
        <v/>
      </c>
      <c r="N1763" s="14" t="n">
        <v>233</v>
      </c>
      <c r="O1763" s="4" t="inlineStr"/>
      <c r="P1763" s="4" t="inlineStr"/>
      <c r="Q1763" s="4" t="inlineStr"/>
      <c r="R1763" s="4" t="inlineStr">
        <is>
          <t>2026-03-12</t>
        </is>
      </c>
      <c r="S1763" s="4" t="inlineStr"/>
    </row>
    <row r="1764">
      <c r="A1764" s="10" t="inlineStr">
        <is>
          <t>F02235</t>
        </is>
      </c>
      <c r="B1764" s="10" t="inlineStr">
        <is>
          <t>F02235</t>
        </is>
      </c>
      <c r="C1764" s="10" t="inlineStr">
        <is>
          <t>18466</t>
        </is>
      </c>
      <c r="D1764" s="10" t="inlineStr">
        <is>
          <t>6001347236699</t>
        </is>
      </c>
      <c r="E1764" s="10" t="inlineStr">
        <is>
          <t>BRICK LAYING TROWEL  6'' TRP HANDLE</t>
        </is>
      </c>
      <c r="F1764" s="10" t="inlineStr"/>
      <c r="G1764" s="10" t="inlineStr"/>
      <c r="H1764" s="10" t="inlineStr"/>
      <c r="I1764" s="11" t="n">
        <v>18.95</v>
      </c>
      <c r="J1764" s="6" t="n">
        <v>15</v>
      </c>
      <c r="K1764" s="7">
        <f>IF(I1764="","",I1764*(1+J1764/100))</f>
        <v/>
      </c>
      <c r="L1764" s="11" t="n">
        <v>200</v>
      </c>
      <c r="M1764" s="8">
        <f>IF(OR(L1764="",K1764="",L1764=0),"",
  (L1764-K1764)/L1764*100)</f>
        <v/>
      </c>
      <c r="N1764" s="13" t="n">
        <v>290</v>
      </c>
      <c r="O1764" s="10" t="inlineStr"/>
      <c r="P1764" s="10" t="inlineStr"/>
      <c r="Q1764" s="10" t="inlineStr"/>
      <c r="R1764" s="10" t="inlineStr">
        <is>
          <t>2026-03-12</t>
        </is>
      </c>
      <c r="S1764" s="10" t="inlineStr"/>
    </row>
    <row r="1765">
      <c r="A1765" s="3" t="inlineStr">
        <is>
          <t>F02236</t>
        </is>
      </c>
      <c r="B1765" s="4" t="inlineStr">
        <is>
          <t>F02236</t>
        </is>
      </c>
      <c r="C1765" s="4" t="inlineStr">
        <is>
          <t>18467</t>
        </is>
      </c>
      <c r="D1765" s="4" t="inlineStr">
        <is>
          <t>6001347267983</t>
        </is>
      </c>
      <c r="E1765" s="3" t="inlineStr">
        <is>
          <t>BRICK LAYING TROWEL 8' TRP HANDLE ROUND</t>
        </is>
      </c>
      <c r="F1765" s="4" t="inlineStr"/>
      <c r="G1765" s="4" t="inlineStr"/>
      <c r="H1765" s="4" t="inlineStr"/>
      <c r="I1765" s="5" t="n">
        <v>23.95</v>
      </c>
      <c r="J1765" s="6" t="n">
        <v>15</v>
      </c>
      <c r="K1765" s="7">
        <f>IF(I1765="","",I1765*(1+J1765/100))</f>
        <v/>
      </c>
      <c r="L1765" s="5" t="n">
        <v>230</v>
      </c>
      <c r="M1765" s="8">
        <f>IF(OR(L1765="",K1765="",L1765=0),"",
  (L1765-K1765)/L1765*100)</f>
        <v/>
      </c>
      <c r="N1765" s="14" t="n">
        <v>313</v>
      </c>
      <c r="O1765" s="4" t="inlineStr"/>
      <c r="P1765" s="4" t="inlineStr"/>
      <c r="Q1765" s="4" t="inlineStr"/>
      <c r="R1765" s="4" t="inlineStr">
        <is>
          <t>2026-03-12</t>
        </is>
      </c>
      <c r="S1765" s="4" t="inlineStr"/>
    </row>
    <row r="1766">
      <c r="A1766" s="10" t="inlineStr">
        <is>
          <t>F02237</t>
        </is>
      </c>
      <c r="B1766" s="10" t="inlineStr">
        <is>
          <t>F02237</t>
        </is>
      </c>
      <c r="C1766" s="10" t="inlineStr">
        <is>
          <t>18457</t>
        </is>
      </c>
      <c r="D1766" s="10" t="inlineStr">
        <is>
          <t>6904567911086</t>
        </is>
      </c>
      <c r="E1766" s="10" t="inlineStr">
        <is>
          <t>BRICK LAYING TROWEL 6" TRP HNDL POINTED</t>
        </is>
      </c>
      <c r="F1766" s="10" t="inlineStr"/>
      <c r="G1766" s="10" t="inlineStr"/>
      <c r="H1766" s="10" t="inlineStr"/>
      <c r="I1766" s="11" t="n">
        <v>18.95</v>
      </c>
      <c r="J1766" s="6" t="n">
        <v>15</v>
      </c>
      <c r="K1766" s="7">
        <f>IF(I1766="","",I1766*(1+J1766/100))</f>
        <v/>
      </c>
      <c r="L1766" s="11" t="n">
        <v>230</v>
      </c>
      <c r="M1766" s="8">
        <f>IF(OR(L1766="",K1766="",L1766=0),"",
  (L1766-K1766)/L1766*100)</f>
        <v/>
      </c>
      <c r="N1766" s="13" t="n">
        <v>248</v>
      </c>
      <c r="O1766" s="10" t="inlineStr"/>
      <c r="P1766" s="10" t="inlineStr"/>
      <c r="Q1766" s="10" t="inlineStr"/>
      <c r="R1766" s="10" t="inlineStr">
        <is>
          <t>2026-03-12</t>
        </is>
      </c>
      <c r="S1766" s="10" t="inlineStr"/>
    </row>
    <row r="1767">
      <c r="A1767" s="3" t="inlineStr">
        <is>
          <t>F02238</t>
        </is>
      </c>
      <c r="B1767" s="4" t="inlineStr">
        <is>
          <t>F02238</t>
        </is>
      </c>
      <c r="C1767" s="4" t="inlineStr">
        <is>
          <t>18458</t>
        </is>
      </c>
      <c r="D1767" s="4" t="inlineStr">
        <is>
          <t>6006605089956</t>
        </is>
      </c>
      <c r="E1767" s="3" t="inlineStr">
        <is>
          <t>BRICK LAYING TROWEL 8' TRP HNDL POINTED</t>
        </is>
      </c>
      <c r="F1767" s="4" t="inlineStr"/>
      <c r="G1767" s="4" t="inlineStr"/>
      <c r="H1767" s="4" t="inlineStr"/>
      <c r="I1767" s="5" t="n">
        <v>26.95</v>
      </c>
      <c r="J1767" s="6" t="n">
        <v>15</v>
      </c>
      <c r="K1767" s="7">
        <f>IF(I1767="","",I1767*(1+J1767/100))</f>
        <v/>
      </c>
      <c r="L1767" s="5" t="n">
        <v>200</v>
      </c>
      <c r="M1767" s="8">
        <f>IF(OR(L1767="",K1767="",L1767=0),"",
  (L1767-K1767)/L1767*100)</f>
        <v/>
      </c>
      <c r="N1767" s="14" t="n">
        <v>299</v>
      </c>
      <c r="O1767" s="4" t="inlineStr"/>
      <c r="P1767" s="4" t="inlineStr"/>
      <c r="Q1767" s="4" t="inlineStr"/>
      <c r="R1767" s="4" t="inlineStr">
        <is>
          <t>2026-03-12</t>
        </is>
      </c>
      <c r="S1767" s="4" t="inlineStr"/>
    </row>
    <row r="1768">
      <c r="A1768" s="10" t="inlineStr">
        <is>
          <t>F02239</t>
        </is>
      </c>
      <c r="B1768" s="10" t="inlineStr">
        <is>
          <t>F02239</t>
        </is>
      </c>
      <c r="C1768" s="10" t="inlineStr">
        <is>
          <t>18459</t>
        </is>
      </c>
      <c r="D1768" s="10" t="inlineStr">
        <is>
          <t>6006606089963</t>
        </is>
      </c>
      <c r="E1768" s="10" t="inlineStr">
        <is>
          <t>BRICK LAYING TROWEL 10' TRP HNDL POINTED</t>
        </is>
      </c>
      <c r="F1768" s="10" t="inlineStr"/>
      <c r="G1768" s="10" t="inlineStr"/>
      <c r="H1768" s="10" t="inlineStr"/>
      <c r="I1768" s="11" t="n">
        <v>26.95</v>
      </c>
      <c r="J1768" s="6" t="n">
        <v>15</v>
      </c>
      <c r="K1768" s="7">
        <f>IF(I1768="","",I1768*(1+J1768/100))</f>
        <v/>
      </c>
      <c r="L1768" s="11" t="n">
        <v>230</v>
      </c>
      <c r="M1768" s="8">
        <f>IF(OR(L1768="",K1768="",L1768=0),"",
  (L1768-K1768)/L1768*100)</f>
        <v/>
      </c>
      <c r="N1768" s="13" t="n">
        <v>331</v>
      </c>
      <c r="O1768" s="10" t="inlineStr"/>
      <c r="P1768" s="10" t="inlineStr"/>
      <c r="Q1768" s="10" t="inlineStr"/>
      <c r="R1768" s="10" t="inlineStr">
        <is>
          <t>2026-03-12</t>
        </is>
      </c>
      <c r="S1768" s="10" t="inlineStr"/>
    </row>
    <row r="1769">
      <c r="A1769" s="3" t="inlineStr">
        <is>
          <t>F02240</t>
        </is>
      </c>
      <c r="B1769" s="4" t="inlineStr">
        <is>
          <t>F02240</t>
        </is>
      </c>
      <c r="C1769" s="4" t="inlineStr">
        <is>
          <t>9937</t>
        </is>
      </c>
      <c r="D1769" s="4" t="inlineStr">
        <is>
          <t>6006605089925</t>
        </is>
      </c>
      <c r="E1769" s="3" t="inlineStr">
        <is>
          <t>TROWEL FULL PLASTIC  280MMX130</t>
        </is>
      </c>
      <c r="F1769" s="4" t="inlineStr"/>
      <c r="G1769" s="4" t="inlineStr"/>
      <c r="H1769" s="4" t="inlineStr"/>
      <c r="I1769" s="5" t="n">
        <v>19.95</v>
      </c>
      <c r="J1769" s="6" t="n">
        <v>15</v>
      </c>
      <c r="K1769" s="7">
        <f>IF(I1769="","",I1769*(1+J1769/100))</f>
        <v/>
      </c>
      <c r="L1769" s="5" t="n">
        <v>210</v>
      </c>
      <c r="M1769" s="8">
        <f>IF(OR(L1769="",K1769="",L1769=0),"",
  (L1769-K1769)/L1769*100)</f>
        <v/>
      </c>
      <c r="N1769" s="9" t="inlineStr"/>
      <c r="O1769" s="4" t="inlineStr"/>
      <c r="P1769" s="4" t="inlineStr"/>
      <c r="Q1769" s="4" t="inlineStr"/>
      <c r="R1769" s="4" t="inlineStr">
        <is>
          <t>2026-03-12</t>
        </is>
      </c>
      <c r="S1769" s="4" t="inlineStr"/>
    </row>
    <row r="1770">
      <c r="A1770" s="10" t="inlineStr">
        <is>
          <t>F02241</t>
        </is>
      </c>
      <c r="B1770" s="10" t="inlineStr">
        <is>
          <t>F02241</t>
        </is>
      </c>
      <c r="C1770" s="10" t="inlineStr"/>
      <c r="D1770" s="10" t="inlineStr">
        <is>
          <t>6006605089932</t>
        </is>
      </c>
      <c r="E1770" s="10" t="inlineStr">
        <is>
          <t>PLIER FENCING UNINSULATED HNDL 300MM</t>
        </is>
      </c>
      <c r="F1770" s="10" t="inlineStr"/>
      <c r="G1770" s="10" t="inlineStr"/>
      <c r="H1770" s="10" t="inlineStr"/>
      <c r="I1770" s="11" t="n">
        <v>89.95</v>
      </c>
      <c r="J1770" s="6" t="n">
        <v>15</v>
      </c>
      <c r="K1770" s="7">
        <f>IF(I1770="","",I1770*(1+J1770/100))</f>
        <v/>
      </c>
      <c r="L1770" s="12" t="inlineStr"/>
      <c r="M1770" s="8">
        <f>IF(OR(L1770="",K1770="",L1770=0),"",
  (L1770-K1770)/L1770*100)</f>
        <v/>
      </c>
      <c r="N1770" s="9" t="inlineStr"/>
      <c r="O1770" s="10" t="inlineStr"/>
      <c r="P1770" s="10" t="inlineStr"/>
      <c r="Q1770" s="10" t="inlineStr"/>
      <c r="R1770" s="10" t="inlineStr">
        <is>
          <t>2026-03-12</t>
        </is>
      </c>
      <c r="S1770" s="10" t="inlineStr"/>
    </row>
    <row r="1771">
      <c r="A1771" s="3" t="inlineStr">
        <is>
          <t>F02242</t>
        </is>
      </c>
      <c r="B1771" s="4" t="inlineStr">
        <is>
          <t>F02242</t>
        </is>
      </c>
      <c r="C1771" s="4" t="inlineStr">
        <is>
          <t>9963</t>
        </is>
      </c>
      <c r="D1771" s="4" t="inlineStr">
        <is>
          <t>6009677010217</t>
        </is>
      </c>
      <c r="E1771" s="3" t="inlineStr">
        <is>
          <t>SCREWDRIVER SET 6 PC PRECISION</t>
        </is>
      </c>
      <c r="F1771" s="4" t="inlineStr"/>
      <c r="G1771" s="4" t="inlineStr"/>
      <c r="H1771" s="4" t="inlineStr"/>
      <c r="I1771" s="5" t="n">
        <v>7.79</v>
      </c>
      <c r="J1771" s="6" t="n">
        <v>15</v>
      </c>
      <c r="K1771" s="7">
        <f>IF(I1771="","",I1771*(1+J1771/100))</f>
        <v/>
      </c>
      <c r="L1771" s="5" t="n">
        <v>195</v>
      </c>
      <c r="M1771" s="8">
        <f>IF(OR(L1771="",K1771="",L1771=0),"",
  (L1771-K1771)/L1771*100)</f>
        <v/>
      </c>
      <c r="N1771" s="14" t="n">
        <v>625</v>
      </c>
      <c r="O1771" s="4" t="inlineStr"/>
      <c r="P1771" s="4" t="inlineStr"/>
      <c r="Q1771" s="4" t="inlineStr"/>
      <c r="R1771" s="4" t="inlineStr">
        <is>
          <t>2026-03-12</t>
        </is>
      </c>
      <c r="S1771" s="4" t="inlineStr"/>
    </row>
    <row r="1772">
      <c r="A1772" s="10" t="inlineStr">
        <is>
          <t>F02243</t>
        </is>
      </c>
      <c r="B1772" s="10" t="inlineStr">
        <is>
          <t>F02243</t>
        </is>
      </c>
      <c r="C1772" s="10" t="inlineStr">
        <is>
          <t>9808</t>
        </is>
      </c>
      <c r="D1772" s="10" t="inlineStr"/>
      <c r="E1772" s="10" t="inlineStr">
        <is>
          <t>SCREWDRIVER 5PC SET(FOR MOBILE)</t>
        </is>
      </c>
      <c r="F1772" s="10" t="inlineStr"/>
      <c r="G1772" s="10" t="inlineStr"/>
      <c r="H1772" s="10" t="inlineStr"/>
      <c r="I1772" s="11" t="n">
        <v>28.95</v>
      </c>
      <c r="J1772" s="6" t="n">
        <v>15</v>
      </c>
      <c r="K1772" s="7">
        <f>IF(I1772="","",I1772*(1+J1772/100))</f>
        <v/>
      </c>
      <c r="L1772" s="11" t="n">
        <v>200</v>
      </c>
      <c r="M1772" s="8">
        <f>IF(OR(L1772="",K1772="",L1772=0),"",
  (L1772-K1772)/L1772*100)</f>
        <v/>
      </c>
      <c r="N1772" s="13" t="n">
        <v>239</v>
      </c>
      <c r="O1772" s="10" t="inlineStr"/>
      <c r="P1772" s="10" t="inlineStr"/>
      <c r="Q1772" s="10" t="inlineStr"/>
      <c r="R1772" s="10" t="inlineStr">
        <is>
          <t>2026-03-12</t>
        </is>
      </c>
      <c r="S1772" s="10" t="inlineStr"/>
    </row>
    <row r="1773">
      <c r="A1773" s="3" t="inlineStr">
        <is>
          <t>F02244</t>
        </is>
      </c>
      <c r="B1773" s="4" t="inlineStr">
        <is>
          <t>F02244</t>
        </is>
      </c>
      <c r="C1773" s="4" t="inlineStr">
        <is>
          <t>10245</t>
        </is>
      </c>
      <c r="D1773" s="4" t="inlineStr">
        <is>
          <t>6904567901050</t>
        </is>
      </c>
      <c r="E1773" s="3" t="inlineStr">
        <is>
          <t>SQUARE RAFTER INDUST 400X600MM</t>
        </is>
      </c>
      <c r="F1773" s="4" t="inlineStr"/>
      <c r="G1773" s="4" t="inlineStr"/>
      <c r="H1773" s="4" t="inlineStr"/>
      <c r="I1773" s="5" t="n">
        <v>39.95</v>
      </c>
      <c r="J1773" s="6" t="n">
        <v>15</v>
      </c>
      <c r="K1773" s="7">
        <f>IF(I1773="","",I1773*(1+J1773/100))</f>
        <v/>
      </c>
      <c r="L1773" s="5" t="n">
        <v>199</v>
      </c>
      <c r="M1773" s="8">
        <f>IF(OR(L1773="",K1773="",L1773=0),"",
  (L1773-K1773)/L1773*100)</f>
        <v/>
      </c>
      <c r="N1773" s="9" t="inlineStr"/>
      <c r="O1773" s="4" t="inlineStr"/>
      <c r="P1773" s="4" t="inlineStr"/>
      <c r="Q1773" s="4" t="inlineStr"/>
      <c r="R1773" s="4" t="inlineStr">
        <is>
          <t>2026-03-12</t>
        </is>
      </c>
      <c r="S1773" s="4" t="inlineStr"/>
    </row>
    <row r="1774">
      <c r="A1774" s="10" t="inlineStr">
        <is>
          <t>F02245</t>
        </is>
      </c>
      <c r="B1774" s="10" t="inlineStr">
        <is>
          <t>F02245</t>
        </is>
      </c>
      <c r="C1774" s="10" t="inlineStr">
        <is>
          <t>9807</t>
        </is>
      </c>
      <c r="D1774" s="10" t="inlineStr">
        <is>
          <t>6009677010224</t>
        </is>
      </c>
      <c r="E1774" s="10" t="inlineStr">
        <is>
          <t>WRENCH PIPE 250MM</t>
        </is>
      </c>
      <c r="F1774" s="10" t="inlineStr"/>
      <c r="G1774" s="10" t="inlineStr"/>
      <c r="H1774" s="10" t="inlineStr"/>
      <c r="I1774" s="11" t="n">
        <v>75.95</v>
      </c>
      <c r="J1774" s="6" t="n">
        <v>15</v>
      </c>
      <c r="K1774" s="7">
        <f>IF(I1774="","",I1774*(1+J1774/100))</f>
        <v/>
      </c>
      <c r="L1774" s="11" t="n">
        <v>115.95</v>
      </c>
      <c r="M1774" s="8">
        <f>IF(OR(L1774="",K1774="",L1774=0),"",
  (L1774-K1774)/L1774*100)</f>
        <v/>
      </c>
      <c r="N1774" s="9" t="inlineStr"/>
      <c r="O1774" s="10" t="inlineStr"/>
      <c r="P1774" s="10" t="inlineStr"/>
      <c r="Q1774" s="10" t="inlineStr"/>
      <c r="R1774" s="10" t="inlineStr">
        <is>
          <t>2026-03-12</t>
        </is>
      </c>
      <c r="S1774" s="10" t="inlineStr"/>
    </row>
    <row r="1775">
      <c r="A1775" s="3" t="inlineStr">
        <is>
          <t>F02246</t>
        </is>
      </c>
      <c r="B1775" s="4" t="inlineStr">
        <is>
          <t>F02246</t>
        </is>
      </c>
      <c r="C1775" s="4" t="inlineStr">
        <is>
          <t>9970</t>
        </is>
      </c>
      <c r="D1775" s="4" t="inlineStr">
        <is>
          <t>6009665751979</t>
        </is>
      </c>
      <c r="E1775" s="3" t="inlineStr">
        <is>
          <t>HACKSAW PROF. ALU. WITH ANGLE CUTTING</t>
        </is>
      </c>
      <c r="F1775" s="4" t="inlineStr"/>
      <c r="G1775" s="4" t="inlineStr"/>
      <c r="H1775" s="4" t="inlineStr"/>
      <c r="I1775" s="5" t="n">
        <v>99</v>
      </c>
      <c r="J1775" s="6" t="n">
        <v>15</v>
      </c>
      <c r="K1775" s="7">
        <f>IF(I1775="","",I1775*(1+J1775/100))</f>
        <v/>
      </c>
      <c r="L1775" s="5" t="n">
        <v>310</v>
      </c>
      <c r="M1775" s="8">
        <f>IF(OR(L1775="",K1775="",L1775=0),"",
  (L1775-K1775)/L1775*100)</f>
        <v/>
      </c>
      <c r="N1775" s="14" t="n">
        <v>283</v>
      </c>
      <c r="O1775" s="4" t="inlineStr"/>
      <c r="P1775" s="4" t="inlineStr"/>
      <c r="Q1775" s="4" t="inlineStr"/>
      <c r="R1775" s="4" t="inlineStr">
        <is>
          <t>2026-03-12</t>
        </is>
      </c>
      <c r="S1775" s="4" t="inlineStr"/>
    </row>
    <row r="1776">
      <c r="A1776" s="10" t="inlineStr">
        <is>
          <t>F02247</t>
        </is>
      </c>
      <c r="B1776" s="10" t="inlineStr">
        <is>
          <t>F02247</t>
        </is>
      </c>
      <c r="C1776" s="10" t="inlineStr"/>
      <c r="D1776" s="10" t="inlineStr">
        <is>
          <t>82036203440</t>
        </is>
      </c>
      <c r="E1776" s="10" t="inlineStr">
        <is>
          <t>URN BUCKET 20 LITRE + ELEMENT &amp; CORD</t>
        </is>
      </c>
      <c r="F1776" s="10" t="inlineStr"/>
      <c r="G1776" s="10" t="inlineStr"/>
      <c r="H1776" s="10" t="inlineStr"/>
      <c r="I1776" s="11" t="n">
        <v>89.95</v>
      </c>
      <c r="J1776" s="6" t="n">
        <v>15</v>
      </c>
      <c r="K1776" s="7">
        <f>IF(I1776="","",I1776*(1+J1776/100))</f>
        <v/>
      </c>
      <c r="L1776" s="12" t="inlineStr"/>
      <c r="M1776" s="8">
        <f>IF(OR(L1776="",K1776="",L1776=0),"",
  (L1776-K1776)/L1776*100)</f>
        <v/>
      </c>
      <c r="N1776" s="9" t="inlineStr"/>
      <c r="O1776" s="10" t="inlineStr"/>
      <c r="P1776" s="10" t="inlineStr"/>
      <c r="Q1776" s="10" t="inlineStr"/>
      <c r="R1776" s="10" t="inlineStr">
        <is>
          <t>2026-03-12</t>
        </is>
      </c>
      <c r="S1776" s="10" t="inlineStr"/>
    </row>
    <row r="1777">
      <c r="A1777" s="3" t="inlineStr">
        <is>
          <t>F02248</t>
        </is>
      </c>
      <c r="B1777" s="4" t="inlineStr">
        <is>
          <t>F02248</t>
        </is>
      </c>
      <c r="C1777" s="4" t="inlineStr">
        <is>
          <t>20383</t>
        </is>
      </c>
      <c r="D1777" s="4" t="inlineStr">
        <is>
          <t>82036060210</t>
        </is>
      </c>
      <c r="E1777" s="3" t="inlineStr">
        <is>
          <t>URN BUCKET 10 LITRE + ELEMENT &amp; CORD</t>
        </is>
      </c>
      <c r="F1777" s="4" t="inlineStr"/>
      <c r="G1777" s="4" t="inlineStr"/>
      <c r="H1777" s="4" t="inlineStr"/>
      <c r="I1777" s="5" t="n">
        <v>74.95</v>
      </c>
      <c r="J1777" s="6" t="n">
        <v>15</v>
      </c>
      <c r="K1777" s="7">
        <f>IF(I1777="","",I1777*(1+J1777/100))</f>
        <v/>
      </c>
      <c r="L1777" s="12" t="inlineStr"/>
      <c r="M1777" s="8">
        <f>IF(OR(L1777="",K1777="",L1777=0),"",
  (L1777-K1777)/L1777*100)</f>
        <v/>
      </c>
      <c r="N1777" s="9" t="inlineStr"/>
      <c r="O1777" s="4" t="inlineStr"/>
      <c r="P1777" s="4" t="inlineStr"/>
      <c r="Q1777" s="4" t="inlineStr"/>
      <c r="R1777" s="4" t="inlineStr">
        <is>
          <t>2026-03-12</t>
        </is>
      </c>
      <c r="S1777" s="4" t="inlineStr"/>
    </row>
    <row r="1778">
      <c r="A1778" s="10" t="inlineStr">
        <is>
          <t>F02249</t>
        </is>
      </c>
      <c r="B1778" s="10" t="inlineStr">
        <is>
          <t>F02249</t>
        </is>
      </c>
      <c r="C1778" s="10" t="inlineStr"/>
      <c r="D1778" s="10" t="inlineStr">
        <is>
          <t>6004049005426</t>
        </is>
      </c>
      <c r="E1778" s="10" t="inlineStr">
        <is>
          <t>TOILET BRUSH AND BOWL PL32</t>
        </is>
      </c>
      <c r="F1778" s="10" t="inlineStr"/>
      <c r="G1778" s="10" t="inlineStr"/>
      <c r="H1778" s="10" t="inlineStr"/>
      <c r="I1778" s="11" t="n">
        <v>8.99</v>
      </c>
      <c r="J1778" s="6" t="n">
        <v>15</v>
      </c>
      <c r="K1778" s="7">
        <f>IF(I1778="","",I1778*(1+J1778/100))</f>
        <v/>
      </c>
      <c r="L1778" s="12" t="inlineStr"/>
      <c r="M1778" s="8">
        <f>IF(OR(L1778="",K1778="",L1778=0),"",
  (L1778-K1778)/L1778*100)</f>
        <v/>
      </c>
      <c r="N1778" s="13" t="n">
        <v>1754</v>
      </c>
      <c r="O1778" s="10" t="inlineStr"/>
      <c r="P1778" s="10" t="inlineStr"/>
      <c r="Q1778" s="10" t="inlineStr"/>
      <c r="R1778" s="10" t="inlineStr">
        <is>
          <t>2026-03-12</t>
        </is>
      </c>
      <c r="S1778" s="10" t="inlineStr"/>
    </row>
    <row r="1779">
      <c r="A1779" s="3" t="inlineStr">
        <is>
          <t>F02250</t>
        </is>
      </c>
      <c r="B1779" s="4" t="inlineStr">
        <is>
          <t>F02250</t>
        </is>
      </c>
      <c r="C1779" s="4" t="inlineStr">
        <is>
          <t>10056</t>
        </is>
      </c>
      <c r="D1779" s="4" t="inlineStr">
        <is>
          <t>6009704800815</t>
        </is>
      </c>
      <c r="E1779" s="3" t="inlineStr">
        <is>
          <t>MULTIPLUG 7 WAY REDISSON</t>
        </is>
      </c>
      <c r="F1779" s="4" t="inlineStr"/>
      <c r="G1779" s="4" t="inlineStr"/>
      <c r="H1779" s="4" t="inlineStr"/>
      <c r="I1779" s="5" t="n">
        <v>75.95</v>
      </c>
      <c r="J1779" s="6" t="n">
        <v>15</v>
      </c>
      <c r="K1779" s="7">
        <f>IF(I1779="","",I1779*(1+J1779/100))</f>
        <v/>
      </c>
      <c r="L1779" s="5" t="n">
        <v>250</v>
      </c>
      <c r="M1779" s="8">
        <f>IF(OR(L1779="",K1779="",L1779=0),"",
  (L1779-K1779)/L1779*100)</f>
        <v/>
      </c>
      <c r="N1779" s="14" t="n">
        <v>659</v>
      </c>
      <c r="O1779" s="4" t="inlineStr"/>
      <c r="P1779" s="4" t="inlineStr"/>
      <c r="Q1779" s="4" t="inlineStr"/>
      <c r="R1779" s="4" t="inlineStr">
        <is>
          <t>2026-03-12</t>
        </is>
      </c>
      <c r="S1779" s="4" t="inlineStr"/>
    </row>
    <row r="1780">
      <c r="A1780" s="10" t="inlineStr">
        <is>
          <t>F02251</t>
        </is>
      </c>
      <c r="B1780" s="10" t="inlineStr">
        <is>
          <t>F02251</t>
        </is>
      </c>
      <c r="C1780" s="10" t="inlineStr">
        <is>
          <t>32245</t>
        </is>
      </c>
      <c r="D1780" s="10" t="inlineStr">
        <is>
          <t>6009708400116</t>
        </is>
      </c>
      <c r="E1780" s="10" t="inlineStr">
        <is>
          <t>TABLE FOLDING 6FT RECT  1.8MT BLACK</t>
        </is>
      </c>
      <c r="F1780" s="10" t="inlineStr"/>
      <c r="G1780" s="10" t="inlineStr"/>
      <c r="H1780" s="10" t="inlineStr"/>
      <c r="I1780" s="11" t="n">
        <v>419</v>
      </c>
      <c r="J1780" s="6" t="n">
        <v>15</v>
      </c>
      <c r="K1780" s="7">
        <f>IF(I1780="","",I1780*(1+J1780/100))</f>
        <v/>
      </c>
      <c r="L1780" s="12" t="inlineStr"/>
      <c r="M1780" s="8">
        <f>IF(OR(L1780="",K1780="",L1780=0),"",
  (L1780-K1780)/L1780*100)</f>
        <v/>
      </c>
      <c r="N1780" s="9" t="inlineStr"/>
      <c r="O1780" s="10" t="inlineStr"/>
      <c r="P1780" s="10" t="inlineStr"/>
      <c r="Q1780" s="10" t="inlineStr"/>
      <c r="R1780" s="10" t="inlineStr">
        <is>
          <t>2026-03-12</t>
        </is>
      </c>
      <c r="S1780" s="10" t="inlineStr"/>
    </row>
    <row r="1781">
      <c r="A1781" s="3" t="inlineStr">
        <is>
          <t>F02252</t>
        </is>
      </c>
      <c r="B1781" s="4" t="inlineStr">
        <is>
          <t>F02252</t>
        </is>
      </c>
      <c r="C1781" s="4" t="inlineStr"/>
      <c r="D1781" s="4" t="inlineStr">
        <is>
          <t>6009708400017</t>
        </is>
      </c>
      <c r="E1781" s="3" t="inlineStr">
        <is>
          <t>VINYL RED BACK 4.28M SHRINK</t>
        </is>
      </c>
      <c r="F1781" s="4" t="inlineStr"/>
      <c r="G1781" s="4" t="inlineStr"/>
      <c r="H1781" s="4" t="inlineStr"/>
      <c r="I1781" s="5" t="n">
        <v>115</v>
      </c>
      <c r="J1781" s="6" t="n">
        <v>15</v>
      </c>
      <c r="K1781" s="7">
        <f>IF(I1781="","",I1781*(1+J1781/100))</f>
        <v/>
      </c>
      <c r="L1781" s="12" t="inlineStr"/>
      <c r="M1781" s="8">
        <f>IF(OR(L1781="",K1781="",L1781=0),"",
  (L1781-K1781)/L1781*100)</f>
        <v/>
      </c>
      <c r="N1781" s="9" t="inlineStr"/>
      <c r="O1781" s="4" t="inlineStr"/>
      <c r="P1781" s="4" t="inlineStr"/>
      <c r="Q1781" s="4" t="inlineStr"/>
      <c r="R1781" s="4" t="inlineStr">
        <is>
          <t>2026-03-12</t>
        </is>
      </c>
      <c r="S1781" s="4" t="inlineStr"/>
    </row>
    <row r="1782">
      <c r="A1782" s="10" t="inlineStr">
        <is>
          <t>F02253</t>
        </is>
      </c>
      <c r="B1782" s="10" t="inlineStr">
        <is>
          <t>F02253</t>
        </is>
      </c>
      <c r="C1782" s="10" t="inlineStr"/>
      <c r="D1782" s="10" t="inlineStr">
        <is>
          <t>6060221171181</t>
        </is>
      </c>
      <c r="E1782" s="10" t="inlineStr">
        <is>
          <t>HEAT ELEMENT FOR WATER SMALL-POLYBAG</t>
        </is>
      </c>
      <c r="F1782" s="10" t="inlineStr"/>
      <c r="G1782" s="10" t="inlineStr"/>
      <c r="H1782" s="10" t="inlineStr"/>
      <c r="I1782" s="11" t="n">
        <v>24.95</v>
      </c>
      <c r="J1782" s="6" t="n">
        <v>15</v>
      </c>
      <c r="K1782" s="7">
        <f>IF(I1782="","",I1782*(1+J1782/100))</f>
        <v/>
      </c>
      <c r="L1782" s="12" t="inlineStr"/>
      <c r="M1782" s="8">
        <f>IF(OR(L1782="",K1782="",L1782=0),"",
  (L1782-K1782)/L1782*100)</f>
        <v/>
      </c>
      <c r="N1782" s="9" t="inlineStr"/>
      <c r="O1782" s="10" t="inlineStr"/>
      <c r="P1782" s="10" t="inlineStr"/>
      <c r="Q1782" s="10" t="inlineStr"/>
      <c r="R1782" s="10" t="inlineStr">
        <is>
          <t>2026-03-12</t>
        </is>
      </c>
      <c r="S1782" s="10" t="inlineStr"/>
    </row>
    <row r="1783">
      <c r="A1783" s="3" t="inlineStr">
        <is>
          <t>F02255</t>
        </is>
      </c>
      <c r="B1783" s="4" t="inlineStr">
        <is>
          <t>F02255</t>
        </is>
      </c>
      <c r="C1783" s="4" t="inlineStr"/>
      <c r="D1783" s="4" t="inlineStr">
        <is>
          <t>6009647914255</t>
        </is>
      </c>
      <c r="E1783" s="3" t="inlineStr">
        <is>
          <t>BOWL PLASTIC SALAD MEDIUM JENNY</t>
        </is>
      </c>
      <c r="F1783" s="4" t="inlineStr"/>
      <c r="G1783" s="4" t="inlineStr"/>
      <c r="H1783" s="4" t="inlineStr"/>
      <c r="I1783" s="5" t="n">
        <v>36.25</v>
      </c>
      <c r="J1783" s="6" t="n">
        <v>15</v>
      </c>
      <c r="K1783" s="7">
        <f>IF(I1783="","",I1783*(1+J1783/100))</f>
        <v/>
      </c>
      <c r="L1783" s="12" t="inlineStr"/>
      <c r="M1783" s="8">
        <f>IF(OR(L1783="",K1783="",L1783=0),"",
  (L1783-K1783)/L1783*100)</f>
        <v/>
      </c>
      <c r="N1783" s="9" t="inlineStr"/>
      <c r="O1783" s="4" t="inlineStr"/>
      <c r="P1783" s="4" t="inlineStr"/>
      <c r="Q1783" s="4" t="inlineStr"/>
      <c r="R1783" s="4" t="inlineStr">
        <is>
          <t>2026-03-12</t>
        </is>
      </c>
      <c r="S1783" s="4" t="inlineStr"/>
    </row>
    <row r="1784">
      <c r="A1784" s="10" t="inlineStr">
        <is>
          <t>F02256</t>
        </is>
      </c>
      <c r="B1784" s="10" t="inlineStr">
        <is>
          <t>F02256</t>
        </is>
      </c>
      <c r="C1784" s="10" t="inlineStr"/>
      <c r="D1784" s="10" t="inlineStr">
        <is>
          <t>6009647919892</t>
        </is>
      </c>
      <c r="E1784" s="10" t="inlineStr">
        <is>
          <t>BOWL PLASTIC SALAD LARGE JENNY</t>
        </is>
      </c>
      <c r="F1784" s="10" t="inlineStr"/>
      <c r="G1784" s="10" t="inlineStr"/>
      <c r="H1784" s="10" t="inlineStr"/>
      <c r="I1784" s="11" t="n">
        <v>47.95</v>
      </c>
      <c r="J1784" s="6" t="n">
        <v>15</v>
      </c>
      <c r="K1784" s="7">
        <f>IF(I1784="","",I1784*(1+J1784/100))</f>
        <v/>
      </c>
      <c r="L1784" s="12" t="inlineStr"/>
      <c r="M1784" s="8">
        <f>IF(OR(L1784="",K1784="",L1784=0),"",
  (L1784-K1784)/L1784*100)</f>
        <v/>
      </c>
      <c r="N1784" s="9" t="inlineStr"/>
      <c r="O1784" s="10" t="inlineStr"/>
      <c r="P1784" s="10" t="inlineStr"/>
      <c r="Q1784" s="10" t="inlineStr"/>
      <c r="R1784" s="10" t="inlineStr">
        <is>
          <t>2026-03-12</t>
        </is>
      </c>
      <c r="S1784" s="10" t="inlineStr"/>
    </row>
    <row r="1785">
      <c r="A1785" s="3" t="inlineStr">
        <is>
          <t>F02257</t>
        </is>
      </c>
      <c r="B1785" s="4" t="inlineStr">
        <is>
          <t>F02257</t>
        </is>
      </c>
      <c r="C1785" s="4" t="inlineStr">
        <is>
          <t>19232</t>
        </is>
      </c>
      <c r="D1785" s="4" t="inlineStr">
        <is>
          <t>700083661807</t>
        </is>
      </c>
      <c r="E1785" s="3" t="inlineStr">
        <is>
          <t>DUST BIN 12LT BLACK OTIMA</t>
        </is>
      </c>
      <c r="F1785" s="4" t="inlineStr"/>
      <c r="G1785" s="4" t="inlineStr"/>
      <c r="H1785" s="4" t="inlineStr"/>
      <c r="I1785" s="5" t="n">
        <v>32.5</v>
      </c>
      <c r="J1785" s="6" t="n">
        <v>15</v>
      </c>
      <c r="K1785" s="7">
        <f>IF(I1785="","",I1785*(1+J1785/100))</f>
        <v/>
      </c>
      <c r="L1785" s="5" t="n">
        <v>120</v>
      </c>
      <c r="M1785" s="8">
        <f>IF(OR(L1785="",K1785="",L1785=0),"",
  (L1785-K1785)/L1785*100)</f>
        <v/>
      </c>
      <c r="N1785" s="9" t="inlineStr"/>
      <c r="O1785" s="4" t="inlineStr"/>
      <c r="P1785" s="4" t="inlineStr"/>
      <c r="Q1785" s="4" t="inlineStr"/>
      <c r="R1785" s="4" t="inlineStr">
        <is>
          <t>2026-03-12</t>
        </is>
      </c>
      <c r="S1785" s="4" t="inlineStr"/>
    </row>
    <row r="1786">
      <c r="A1786" s="10" t="inlineStr">
        <is>
          <t>F02258</t>
        </is>
      </c>
      <c r="B1786" s="10" t="inlineStr">
        <is>
          <t>F02258</t>
        </is>
      </c>
      <c r="C1786" s="10" t="inlineStr">
        <is>
          <t>19233</t>
        </is>
      </c>
      <c r="D1786" s="10" t="inlineStr">
        <is>
          <t>606110196468</t>
        </is>
      </c>
      <c r="E1786" s="10" t="inlineStr">
        <is>
          <t>DUST BIN 25LT BLACK OTIMA</t>
        </is>
      </c>
      <c r="F1786" s="10" t="inlineStr"/>
      <c r="G1786" s="10" t="inlineStr"/>
      <c r="H1786" s="10" t="inlineStr"/>
      <c r="I1786" s="11" t="n">
        <v>59.95</v>
      </c>
      <c r="J1786" s="6" t="n">
        <v>15</v>
      </c>
      <c r="K1786" s="7">
        <f>IF(I1786="","",I1786*(1+J1786/100))</f>
        <v/>
      </c>
      <c r="L1786" s="11" t="n">
        <v>140</v>
      </c>
      <c r="M1786" s="8">
        <f>IF(OR(L1786="",K1786="",L1786=0),"",
  (L1786-K1786)/L1786*100)</f>
        <v/>
      </c>
      <c r="N1786" s="13" t="n">
        <v>42</v>
      </c>
      <c r="O1786" s="10" t="inlineStr"/>
      <c r="P1786" s="10" t="inlineStr"/>
      <c r="Q1786" s="10" t="inlineStr"/>
      <c r="R1786" s="10" t="inlineStr">
        <is>
          <t>2026-03-12</t>
        </is>
      </c>
      <c r="S1786" s="10" t="inlineStr"/>
    </row>
    <row r="1787">
      <c r="A1787" s="3" t="inlineStr">
        <is>
          <t>F02259</t>
        </is>
      </c>
      <c r="B1787" s="4" t="inlineStr">
        <is>
          <t>F02259</t>
        </is>
      </c>
      <c r="C1787" s="4" t="inlineStr"/>
      <c r="D1787" s="4" t="inlineStr"/>
      <c r="E1787" s="3" t="inlineStr">
        <is>
          <t>LIGHT LED 18W SPACE</t>
        </is>
      </c>
      <c r="F1787" s="4" t="inlineStr"/>
      <c r="G1787" s="4" t="inlineStr"/>
      <c r="H1787" s="4" t="inlineStr"/>
      <c r="I1787" s="5" t="n">
        <v>87.95</v>
      </c>
      <c r="J1787" s="6" t="n">
        <v>15</v>
      </c>
      <c r="K1787" s="7">
        <f>IF(I1787="","",I1787*(1+J1787/100))</f>
        <v/>
      </c>
      <c r="L1787" s="12" t="inlineStr"/>
      <c r="M1787" s="8">
        <f>IF(OR(L1787="",K1787="",L1787=0),"",
  (L1787-K1787)/L1787*100)</f>
        <v/>
      </c>
      <c r="N1787" s="14" t="n">
        <v>129</v>
      </c>
      <c r="O1787" s="4" t="inlineStr"/>
      <c r="P1787" s="4" t="inlineStr"/>
      <c r="Q1787" s="4" t="inlineStr"/>
      <c r="R1787" s="4" t="inlineStr">
        <is>
          <t>2026-03-12</t>
        </is>
      </c>
      <c r="S1787" s="4" t="inlineStr"/>
    </row>
    <row r="1788">
      <c r="A1788" s="10" t="inlineStr">
        <is>
          <t>F02260</t>
        </is>
      </c>
      <c r="B1788" s="10" t="inlineStr">
        <is>
          <t>F02260</t>
        </is>
      </c>
      <c r="C1788" s="10" t="inlineStr">
        <is>
          <t>32148</t>
        </is>
      </c>
      <c r="D1788" s="10" t="inlineStr"/>
      <c r="E1788" s="10" t="inlineStr">
        <is>
          <t>CLOTH MULTI-PURPOSE 5PK</t>
        </is>
      </c>
      <c r="F1788" s="10" t="inlineStr"/>
      <c r="G1788" s="10" t="inlineStr"/>
      <c r="H1788" s="10" t="inlineStr"/>
      <c r="I1788" s="11" t="n">
        <v>18.95</v>
      </c>
      <c r="J1788" s="6" t="n">
        <v>15</v>
      </c>
      <c r="K1788" s="7">
        <f>IF(I1788="","",I1788*(1+J1788/100))</f>
        <v/>
      </c>
      <c r="L1788" s="12" t="inlineStr"/>
      <c r="M1788" s="8">
        <f>IF(OR(L1788="",K1788="",L1788=0),"",
  (L1788-K1788)/L1788*100)</f>
        <v/>
      </c>
      <c r="N1788" s="13" t="n">
        <v>1007</v>
      </c>
      <c r="O1788" s="10" t="inlineStr"/>
      <c r="P1788" s="10" t="inlineStr"/>
      <c r="Q1788" s="10" t="inlineStr"/>
      <c r="R1788" s="10" t="inlineStr">
        <is>
          <t>2026-03-12</t>
        </is>
      </c>
      <c r="S1788" s="10" t="inlineStr"/>
    </row>
    <row r="1789">
      <c r="A1789" s="3" t="inlineStr">
        <is>
          <t>F02261</t>
        </is>
      </c>
      <c r="B1789" s="4" t="inlineStr">
        <is>
          <t>F02261</t>
        </is>
      </c>
      <c r="C1789" s="4" t="inlineStr"/>
      <c r="D1789" s="4" t="inlineStr"/>
      <c r="E1789" s="3" t="inlineStr">
        <is>
          <t>GAS STOVE  LARGE 2 PLATE- RED HART</t>
        </is>
      </c>
      <c r="F1789" s="4" t="inlineStr"/>
      <c r="G1789" s="4" t="inlineStr"/>
      <c r="H1789" s="4" t="inlineStr"/>
      <c r="I1789" s="5" t="n">
        <v>265</v>
      </c>
      <c r="J1789" s="6" t="n">
        <v>15</v>
      </c>
      <c r="K1789" s="7">
        <f>IF(I1789="","",I1789*(1+J1789/100))</f>
        <v/>
      </c>
      <c r="L1789" s="12" t="inlineStr"/>
      <c r="M1789" s="8">
        <f>IF(OR(L1789="",K1789="",L1789=0),"",
  (L1789-K1789)/L1789*100)</f>
        <v/>
      </c>
      <c r="N1789" s="9" t="inlineStr"/>
      <c r="O1789" s="4" t="inlineStr"/>
      <c r="P1789" s="4" t="inlineStr"/>
      <c r="Q1789" s="4" t="inlineStr"/>
      <c r="R1789" s="4" t="inlineStr">
        <is>
          <t>2026-03-12</t>
        </is>
      </c>
      <c r="S1789" s="4" t="inlineStr"/>
    </row>
    <row r="1790">
      <c r="A1790" s="10" t="inlineStr">
        <is>
          <t>F02262</t>
        </is>
      </c>
      <c r="B1790" s="10" t="inlineStr">
        <is>
          <t>F02262</t>
        </is>
      </c>
      <c r="C1790" s="10" t="inlineStr"/>
      <c r="D1790" s="10" t="inlineStr">
        <is>
          <t>6910828758028</t>
        </is>
      </c>
      <c r="E1790" s="10" t="inlineStr">
        <is>
          <t>SPOON DISHING STAINLESS STEEL</t>
        </is>
      </c>
      <c r="F1790" s="10" t="inlineStr"/>
      <c r="G1790" s="10" t="inlineStr"/>
      <c r="H1790" s="10" t="inlineStr"/>
      <c r="I1790" s="11" t="n">
        <v>9.5</v>
      </c>
      <c r="J1790" s="6" t="n">
        <v>15</v>
      </c>
      <c r="K1790" s="7">
        <f>IF(I1790="","",I1790*(1+J1790/100))</f>
        <v/>
      </c>
      <c r="L1790" s="12" t="inlineStr"/>
      <c r="M1790" s="8">
        <f>IF(OR(L1790="",K1790="",L1790=0),"",
  (L1790-K1790)/L1790*100)</f>
        <v/>
      </c>
      <c r="N1790" s="9" t="inlineStr"/>
      <c r="O1790" s="10" t="inlineStr"/>
      <c r="P1790" s="10" t="inlineStr"/>
      <c r="Q1790" s="10" t="inlineStr"/>
      <c r="R1790" s="10" t="inlineStr">
        <is>
          <t>2026-03-12</t>
        </is>
      </c>
      <c r="S1790" s="10" t="inlineStr"/>
    </row>
    <row r="1791">
      <c r="A1791" s="3" t="inlineStr">
        <is>
          <t>F02263</t>
        </is>
      </c>
      <c r="B1791" s="4" t="inlineStr">
        <is>
          <t>F02263</t>
        </is>
      </c>
      <c r="C1791" s="4" t="inlineStr"/>
      <c r="D1791" s="4" t="inlineStr">
        <is>
          <t>9661673124861</t>
        </is>
      </c>
      <c r="E1791" s="3" t="inlineStr">
        <is>
          <t>KNIFE 6'S KZH S/STEEL</t>
        </is>
      </c>
      <c r="F1791" s="4" t="inlineStr"/>
      <c r="G1791" s="4" t="inlineStr"/>
      <c r="H1791" s="4" t="inlineStr"/>
      <c r="I1791" s="5" t="n">
        <v>17.95</v>
      </c>
      <c r="J1791" s="6" t="n">
        <v>15</v>
      </c>
      <c r="K1791" s="7">
        <f>IF(I1791="","",I1791*(1+J1791/100))</f>
        <v/>
      </c>
      <c r="L1791" s="12" t="inlineStr"/>
      <c r="M1791" s="8">
        <f>IF(OR(L1791="",K1791="",L1791=0),"",
  (L1791-K1791)/L1791*100)</f>
        <v/>
      </c>
      <c r="N1791" s="9" t="inlineStr"/>
      <c r="O1791" s="4" t="inlineStr"/>
      <c r="P1791" s="4" t="inlineStr"/>
      <c r="Q1791" s="4" t="inlineStr"/>
      <c r="R1791" s="4" t="inlineStr">
        <is>
          <t>2026-03-12</t>
        </is>
      </c>
      <c r="S1791" s="4" t="inlineStr"/>
    </row>
    <row r="1792">
      <c r="A1792" s="10" t="inlineStr">
        <is>
          <t>F02264</t>
        </is>
      </c>
      <c r="B1792" s="10" t="inlineStr">
        <is>
          <t>F02264</t>
        </is>
      </c>
      <c r="C1792" s="10" t="inlineStr"/>
      <c r="D1792" s="10" t="inlineStr">
        <is>
          <t>9661673124854</t>
        </is>
      </c>
      <c r="E1792" s="10" t="inlineStr">
        <is>
          <t>FORK 6'S KZH S/STEEL</t>
        </is>
      </c>
      <c r="F1792" s="10" t="inlineStr"/>
      <c r="G1792" s="10" t="inlineStr"/>
      <c r="H1792" s="10" t="inlineStr"/>
      <c r="I1792" s="11" t="n">
        <v>12.95</v>
      </c>
      <c r="J1792" s="6" t="n">
        <v>15</v>
      </c>
      <c r="K1792" s="7">
        <f>IF(I1792="","",I1792*(1+J1792/100))</f>
        <v/>
      </c>
      <c r="L1792" s="12" t="inlineStr"/>
      <c r="M1792" s="8">
        <f>IF(OR(L1792="",K1792="",L1792=0),"",
  (L1792-K1792)/L1792*100)</f>
        <v/>
      </c>
      <c r="N1792" s="9" t="inlineStr"/>
      <c r="O1792" s="10" t="inlineStr"/>
      <c r="P1792" s="10" t="inlineStr"/>
      <c r="Q1792" s="10" t="inlineStr"/>
      <c r="R1792" s="10" t="inlineStr">
        <is>
          <t>2026-03-12</t>
        </is>
      </c>
      <c r="S1792" s="10" t="inlineStr"/>
    </row>
    <row r="1793">
      <c r="A1793" s="3" t="inlineStr">
        <is>
          <t>F02265</t>
        </is>
      </c>
      <c r="B1793" s="4" t="inlineStr">
        <is>
          <t>F02265</t>
        </is>
      </c>
      <c r="C1793" s="4" t="inlineStr"/>
      <c r="D1793" s="4" t="inlineStr">
        <is>
          <t>9661670001783</t>
        </is>
      </c>
      <c r="E1793" s="3" t="inlineStr">
        <is>
          <t>SPOON 6'S TEASPOON KZH S/STEEL</t>
        </is>
      </c>
      <c r="F1793" s="4" t="inlineStr"/>
      <c r="G1793" s="4" t="inlineStr"/>
      <c r="H1793" s="4" t="inlineStr"/>
      <c r="I1793" s="5" t="n">
        <v>7.75</v>
      </c>
      <c r="J1793" s="6" t="n">
        <v>15</v>
      </c>
      <c r="K1793" s="7">
        <f>IF(I1793="","",I1793*(1+J1793/100))</f>
        <v/>
      </c>
      <c r="L1793" s="12" t="inlineStr"/>
      <c r="M1793" s="8">
        <f>IF(OR(L1793="",K1793="",L1793=0),"",
  (L1793-K1793)/L1793*100)</f>
        <v/>
      </c>
      <c r="N1793" s="9" t="inlineStr"/>
      <c r="O1793" s="4" t="inlineStr"/>
      <c r="P1793" s="4" t="inlineStr"/>
      <c r="Q1793" s="4" t="inlineStr"/>
      <c r="R1793" s="4" t="inlineStr">
        <is>
          <t>2026-03-12</t>
        </is>
      </c>
      <c r="S1793" s="4" t="inlineStr"/>
    </row>
    <row r="1794">
      <c r="A1794" s="10" t="inlineStr">
        <is>
          <t>F02266</t>
        </is>
      </c>
      <c r="B1794" s="10" t="inlineStr">
        <is>
          <t>F02266</t>
        </is>
      </c>
      <c r="C1794" s="10" t="inlineStr">
        <is>
          <t>10107</t>
        </is>
      </c>
      <c r="D1794" s="10" t="inlineStr">
        <is>
          <t>658325064117</t>
        </is>
      </c>
      <c r="E1794" s="10" t="inlineStr">
        <is>
          <t>OTIMA FIESTA WATER SET 6PC</t>
        </is>
      </c>
      <c r="F1794" s="10" t="inlineStr"/>
      <c r="G1794" s="10" t="inlineStr"/>
      <c r="H1794" s="10" t="inlineStr"/>
      <c r="I1794" s="11" t="n">
        <v>32.5</v>
      </c>
      <c r="J1794" s="6" t="n">
        <v>15</v>
      </c>
      <c r="K1794" s="7">
        <f>IF(I1794="","",I1794*(1+J1794/100))</f>
        <v/>
      </c>
      <c r="L1794" s="11" t="n">
        <v>190</v>
      </c>
      <c r="M1794" s="8">
        <f>IF(OR(L1794="",K1794="",L1794=0),"",
  (L1794-K1794)/L1794*100)</f>
        <v/>
      </c>
      <c r="N1794" s="13" t="n">
        <v>11</v>
      </c>
      <c r="O1794" s="10" t="inlineStr"/>
      <c r="P1794" s="10" t="inlineStr"/>
      <c r="Q1794" s="10" t="inlineStr"/>
      <c r="R1794" s="10" t="inlineStr">
        <is>
          <t>2026-03-12</t>
        </is>
      </c>
      <c r="S1794" s="10" t="inlineStr"/>
    </row>
    <row r="1795">
      <c r="A1795" s="3" t="inlineStr">
        <is>
          <t>F02267</t>
        </is>
      </c>
      <c r="B1795" s="4" t="inlineStr">
        <is>
          <t>F02267</t>
        </is>
      </c>
      <c r="C1795" s="4" t="inlineStr">
        <is>
          <t>10124</t>
        </is>
      </c>
      <c r="D1795" s="4" t="inlineStr"/>
      <c r="E1795" s="3" t="inlineStr">
        <is>
          <t>ELITE LUNAR CONTAINER SET 5PC</t>
        </is>
      </c>
      <c r="F1795" s="4" t="inlineStr"/>
      <c r="G1795" s="4" t="inlineStr"/>
      <c r="H1795" s="4" t="inlineStr"/>
      <c r="I1795" s="5" t="n">
        <v>39.5</v>
      </c>
      <c r="J1795" s="6" t="n">
        <v>15</v>
      </c>
      <c r="K1795" s="7">
        <f>IF(I1795="","",I1795*(1+J1795/100))</f>
        <v/>
      </c>
      <c r="L1795" s="5" t="n">
        <v>170</v>
      </c>
      <c r="M1795" s="8">
        <f>IF(OR(L1795="",K1795="",L1795=0),"",
  (L1795-K1795)/L1795*100)</f>
        <v/>
      </c>
      <c r="N1795" s="14" t="n">
        <v>36</v>
      </c>
      <c r="O1795" s="4" t="inlineStr"/>
      <c r="P1795" s="4" t="inlineStr"/>
      <c r="Q1795" s="4" t="inlineStr"/>
      <c r="R1795" s="4" t="inlineStr">
        <is>
          <t>2026-03-12</t>
        </is>
      </c>
      <c r="S1795" s="4" t="inlineStr"/>
    </row>
    <row r="1796">
      <c r="A1796" s="10" t="inlineStr">
        <is>
          <t>F02268</t>
        </is>
      </c>
      <c r="B1796" s="10" t="inlineStr">
        <is>
          <t>F02268</t>
        </is>
      </c>
      <c r="C1796" s="10" t="inlineStr"/>
      <c r="D1796" s="10" t="inlineStr">
        <is>
          <t>700083661692</t>
        </is>
      </c>
      <c r="E1796" s="10" t="inlineStr">
        <is>
          <t>OTIMA SALAD BOWL</t>
        </is>
      </c>
      <c r="F1796" s="10" t="inlineStr"/>
      <c r="G1796" s="10" t="inlineStr"/>
      <c r="H1796" s="10" t="inlineStr"/>
      <c r="I1796" s="11" t="n">
        <v>32.5</v>
      </c>
      <c r="J1796" s="6" t="n">
        <v>15</v>
      </c>
      <c r="K1796" s="7">
        <f>IF(I1796="","",I1796*(1+J1796/100))</f>
        <v/>
      </c>
      <c r="L1796" s="12" t="inlineStr"/>
      <c r="M1796" s="8">
        <f>IF(OR(L1796="",K1796="",L1796=0),"",
  (L1796-K1796)/L1796*100)</f>
        <v/>
      </c>
      <c r="N1796" s="13" t="n">
        <v>24</v>
      </c>
      <c r="O1796" s="10" t="inlineStr"/>
      <c r="P1796" s="10" t="inlineStr"/>
      <c r="Q1796" s="10" t="inlineStr"/>
      <c r="R1796" s="10" t="inlineStr">
        <is>
          <t>2026-03-12</t>
        </is>
      </c>
      <c r="S1796" s="10" t="inlineStr"/>
    </row>
    <row r="1797">
      <c r="A1797" s="3" t="inlineStr">
        <is>
          <t>F02270</t>
        </is>
      </c>
      <c r="B1797" s="4" t="inlineStr">
        <is>
          <t>F02270</t>
        </is>
      </c>
      <c r="C1797" s="4" t="inlineStr"/>
      <c r="D1797" s="4" t="inlineStr"/>
      <c r="E1797" s="3" t="inlineStr">
        <is>
          <t>METAL GRATER -FLAT</t>
        </is>
      </c>
      <c r="F1797" s="4" t="inlineStr"/>
      <c r="G1797" s="4" t="inlineStr"/>
      <c r="H1797" s="4" t="inlineStr"/>
      <c r="I1797" s="5" t="n">
        <v>11.5</v>
      </c>
      <c r="J1797" s="6" t="n">
        <v>15</v>
      </c>
      <c r="K1797" s="7">
        <f>IF(I1797="","",I1797*(1+J1797/100))</f>
        <v/>
      </c>
      <c r="L1797" s="12" t="inlineStr"/>
      <c r="M1797" s="8">
        <f>IF(OR(L1797="",K1797="",L1797=0),"",
  (L1797-K1797)/L1797*100)</f>
        <v/>
      </c>
      <c r="N1797" s="9" t="inlineStr"/>
      <c r="O1797" s="4" t="inlineStr"/>
      <c r="P1797" s="4" t="inlineStr"/>
      <c r="Q1797" s="4" t="inlineStr"/>
      <c r="R1797" s="4" t="inlineStr">
        <is>
          <t>2026-03-12</t>
        </is>
      </c>
      <c r="S1797" s="4" t="inlineStr"/>
    </row>
    <row r="1798">
      <c r="A1798" s="10" t="inlineStr">
        <is>
          <t>F02271</t>
        </is>
      </c>
      <c r="B1798" s="10" t="inlineStr">
        <is>
          <t>F02271</t>
        </is>
      </c>
      <c r="C1798" s="10" t="inlineStr">
        <is>
          <t>10127</t>
        </is>
      </c>
      <c r="D1798" s="10" t="inlineStr">
        <is>
          <t>0700083553744</t>
        </is>
      </c>
      <c r="E1798" s="10" t="inlineStr">
        <is>
          <t>BISCUIT BARREL CLEAR WITH LID -1 KG</t>
        </is>
      </c>
      <c r="F1798" s="10" t="inlineStr"/>
      <c r="G1798" s="10" t="inlineStr"/>
      <c r="H1798" s="10" t="inlineStr"/>
      <c r="I1798" s="11" t="n">
        <v>8.949999999999999</v>
      </c>
      <c r="J1798" s="6" t="n">
        <v>15</v>
      </c>
      <c r="K1798" s="7">
        <f>IF(I1798="","",I1798*(1+J1798/100))</f>
        <v/>
      </c>
      <c r="L1798" s="11" t="n">
        <v>130</v>
      </c>
      <c r="M1798" s="8">
        <f>IF(OR(L1798="",K1798="",L1798=0),"",
  (L1798-K1798)/L1798*100)</f>
        <v/>
      </c>
      <c r="N1798" s="9" t="inlineStr"/>
      <c r="O1798" s="10" t="inlineStr"/>
      <c r="P1798" s="10" t="inlineStr"/>
      <c r="Q1798" s="10" t="inlineStr"/>
      <c r="R1798" s="10" t="inlineStr">
        <is>
          <t>2026-03-12</t>
        </is>
      </c>
      <c r="S1798" s="10" t="inlineStr"/>
    </row>
    <row r="1799">
      <c r="A1799" s="3" t="inlineStr">
        <is>
          <t>F02273</t>
        </is>
      </c>
      <c r="B1799" s="4" t="inlineStr">
        <is>
          <t>F02273</t>
        </is>
      </c>
      <c r="C1799" s="4" t="inlineStr">
        <is>
          <t>10139</t>
        </is>
      </c>
      <c r="D1799" s="4" t="inlineStr">
        <is>
          <t>0700083553980</t>
        </is>
      </c>
      <c r="E1799" s="3" t="inlineStr">
        <is>
          <t>BASIN PLASTIC 32CM</t>
        </is>
      </c>
      <c r="F1799" s="4" t="inlineStr"/>
      <c r="G1799" s="4" t="inlineStr"/>
      <c r="H1799" s="4" t="inlineStr"/>
      <c r="I1799" s="5" t="n">
        <v>7.29</v>
      </c>
      <c r="J1799" s="6" t="n">
        <v>15</v>
      </c>
      <c r="K1799" s="7">
        <f>IF(I1799="","",I1799*(1+J1799/100))</f>
        <v/>
      </c>
      <c r="L1799" s="5" t="n">
        <v>250</v>
      </c>
      <c r="M1799" s="8">
        <f>IF(OR(L1799="",K1799="",L1799=0),"",
  (L1799-K1799)/L1799*100)</f>
        <v/>
      </c>
      <c r="N1799" s="9" t="inlineStr"/>
      <c r="O1799" s="4" t="inlineStr"/>
      <c r="P1799" s="4" t="inlineStr"/>
      <c r="Q1799" s="4" t="inlineStr"/>
      <c r="R1799" s="4" t="inlineStr">
        <is>
          <t>2026-03-12</t>
        </is>
      </c>
      <c r="S1799" s="4" t="inlineStr"/>
    </row>
    <row r="1800">
      <c r="A1800" s="10" t="inlineStr">
        <is>
          <t>F02274</t>
        </is>
      </c>
      <c r="B1800" s="10" t="inlineStr">
        <is>
          <t>F02274</t>
        </is>
      </c>
      <c r="C1800" s="10" t="inlineStr">
        <is>
          <t>10142</t>
        </is>
      </c>
      <c r="D1800" s="10" t="inlineStr">
        <is>
          <t>0700083553997</t>
        </is>
      </c>
      <c r="E1800" s="10" t="inlineStr">
        <is>
          <t>BASIN PLASTIC 43CM</t>
        </is>
      </c>
      <c r="F1800" s="10" t="inlineStr"/>
      <c r="G1800" s="10" t="inlineStr"/>
      <c r="H1800" s="10" t="inlineStr"/>
      <c r="I1800" s="11" t="n">
        <v>10.45</v>
      </c>
      <c r="J1800" s="6" t="n">
        <v>15</v>
      </c>
      <c r="K1800" s="7">
        <f>IF(I1800="","",I1800*(1+J1800/100))</f>
        <v/>
      </c>
      <c r="L1800" s="11" t="n">
        <v>130</v>
      </c>
      <c r="M1800" s="8">
        <f>IF(OR(L1800="",K1800="",L1800=0),"",
  (L1800-K1800)/L1800*100)</f>
        <v/>
      </c>
      <c r="N1800" s="13" t="n">
        <v>113</v>
      </c>
      <c r="O1800" s="10" t="inlineStr"/>
      <c r="P1800" s="10" t="inlineStr"/>
      <c r="Q1800" s="10" t="inlineStr"/>
      <c r="R1800" s="10" t="inlineStr">
        <is>
          <t>2026-03-12</t>
        </is>
      </c>
      <c r="S1800" s="10" t="inlineStr"/>
    </row>
    <row r="1801">
      <c r="A1801" s="3" t="inlineStr">
        <is>
          <t>F02275</t>
        </is>
      </c>
      <c r="B1801" s="4" t="inlineStr">
        <is>
          <t>F02275</t>
        </is>
      </c>
      <c r="C1801" s="4" t="inlineStr">
        <is>
          <t>10143</t>
        </is>
      </c>
      <c r="D1801" s="4" t="inlineStr">
        <is>
          <t>0658325081022</t>
        </is>
      </c>
      <c r="E1801" s="3" t="inlineStr">
        <is>
          <t>BASIN PLASTIC 46CM</t>
        </is>
      </c>
      <c r="F1801" s="4" t="inlineStr"/>
      <c r="G1801" s="4" t="inlineStr"/>
      <c r="H1801" s="4" t="inlineStr"/>
      <c r="I1801" s="5" t="n">
        <v>12.95</v>
      </c>
      <c r="J1801" s="6" t="n">
        <v>15</v>
      </c>
      <c r="K1801" s="7">
        <f>IF(I1801="","",I1801*(1+J1801/100))</f>
        <v/>
      </c>
      <c r="L1801" s="5" t="n">
        <v>150</v>
      </c>
      <c r="M1801" s="8">
        <f>IF(OR(L1801="",K1801="",L1801=0),"",
  (L1801-K1801)/L1801*100)</f>
        <v/>
      </c>
      <c r="N1801" s="14" t="n">
        <v>87</v>
      </c>
      <c r="O1801" s="4" t="inlineStr"/>
      <c r="P1801" s="4" t="inlineStr"/>
      <c r="Q1801" s="4" t="inlineStr"/>
      <c r="R1801" s="4" t="inlineStr">
        <is>
          <t>2026-03-12</t>
        </is>
      </c>
      <c r="S1801" s="4" t="inlineStr"/>
    </row>
    <row r="1802">
      <c r="A1802" s="10" t="inlineStr">
        <is>
          <t>F02276</t>
        </is>
      </c>
      <c r="B1802" s="10" t="inlineStr">
        <is>
          <t>F02276</t>
        </is>
      </c>
      <c r="C1802" s="10" t="inlineStr">
        <is>
          <t>10098</t>
        </is>
      </c>
      <c r="D1802" s="10" t="inlineStr">
        <is>
          <t>07000083553577</t>
        </is>
      </c>
      <c r="E1802" s="10" t="inlineStr">
        <is>
          <t>MUG PLASTIC 450ML</t>
        </is>
      </c>
      <c r="F1802" s="10" t="inlineStr"/>
      <c r="G1802" s="10" t="inlineStr"/>
      <c r="H1802" s="10" t="inlineStr"/>
      <c r="I1802" s="11" t="n">
        <v>3.99</v>
      </c>
      <c r="J1802" s="6" t="n">
        <v>15</v>
      </c>
      <c r="K1802" s="7">
        <f>IF(I1802="","",I1802*(1+J1802/100))</f>
        <v/>
      </c>
      <c r="L1802" s="11" t="n">
        <v>100</v>
      </c>
      <c r="M1802" s="8">
        <f>IF(OR(L1802="",K1802="",L1802=0),"",
  (L1802-K1802)/L1802*100)</f>
        <v/>
      </c>
      <c r="N1802" s="13" t="n">
        <v>42</v>
      </c>
      <c r="O1802" s="10" t="inlineStr"/>
      <c r="P1802" s="10" t="inlineStr"/>
      <c r="Q1802" s="10" t="inlineStr"/>
      <c r="R1802" s="10" t="inlineStr">
        <is>
          <t>2026-03-12</t>
        </is>
      </c>
      <c r="S1802" s="10" t="inlineStr"/>
    </row>
    <row r="1803">
      <c r="A1803" s="3" t="inlineStr">
        <is>
          <t>F02277</t>
        </is>
      </c>
      <c r="B1803" s="4" t="inlineStr">
        <is>
          <t>F02277</t>
        </is>
      </c>
      <c r="C1803" s="4" t="inlineStr">
        <is>
          <t>10097</t>
        </is>
      </c>
      <c r="D1803" s="4" t="inlineStr">
        <is>
          <t>0700083553584</t>
        </is>
      </c>
      <c r="E1803" s="3" t="inlineStr">
        <is>
          <t>MUG PLASTIC PICNIC 320ML</t>
        </is>
      </c>
      <c r="F1803" s="4" t="inlineStr"/>
      <c r="G1803" s="4" t="inlineStr"/>
      <c r="H1803" s="4" t="inlineStr"/>
      <c r="I1803" s="5" t="n">
        <v>3.75</v>
      </c>
      <c r="J1803" s="6" t="n">
        <v>15</v>
      </c>
      <c r="K1803" s="7">
        <f>IF(I1803="","",I1803*(1+J1803/100))</f>
        <v/>
      </c>
      <c r="L1803" s="5" t="n">
        <v>90</v>
      </c>
      <c r="M1803" s="8">
        <f>IF(OR(L1803="",K1803="",L1803=0),"",
  (L1803-K1803)/L1803*100)</f>
        <v/>
      </c>
      <c r="N1803" s="14" t="n">
        <v>600</v>
      </c>
      <c r="O1803" s="4" t="inlineStr"/>
      <c r="P1803" s="4" t="inlineStr"/>
      <c r="Q1803" s="4" t="inlineStr"/>
      <c r="R1803" s="4" t="inlineStr">
        <is>
          <t>2026-03-12</t>
        </is>
      </c>
      <c r="S1803" s="4" t="inlineStr"/>
    </row>
    <row r="1804">
      <c r="A1804" s="10" t="inlineStr">
        <is>
          <t>F02278</t>
        </is>
      </c>
      <c r="B1804" s="10" t="inlineStr">
        <is>
          <t>F02278</t>
        </is>
      </c>
      <c r="C1804" s="10" t="inlineStr">
        <is>
          <t>10106</t>
        </is>
      </c>
      <c r="D1804" s="10" t="inlineStr">
        <is>
          <t>0700083553874</t>
        </is>
      </c>
      <c r="E1804" s="10" t="inlineStr">
        <is>
          <t>JUG 2.2LT PINEAPPLE PLASTIC</t>
        </is>
      </c>
      <c r="F1804" s="10" t="inlineStr"/>
      <c r="G1804" s="10" t="inlineStr"/>
      <c r="H1804" s="10" t="inlineStr"/>
      <c r="I1804" s="11" t="n">
        <v>15.95</v>
      </c>
      <c r="J1804" s="6" t="n">
        <v>15</v>
      </c>
      <c r="K1804" s="7">
        <f>IF(I1804="","",I1804*(1+J1804/100))</f>
        <v/>
      </c>
      <c r="L1804" s="11" t="n">
        <v>170</v>
      </c>
      <c r="M1804" s="8">
        <f>IF(OR(L1804="",K1804="",L1804=0),"",
  (L1804-K1804)/L1804*100)</f>
        <v/>
      </c>
      <c r="N1804" s="13" t="n">
        <v>5</v>
      </c>
      <c r="O1804" s="10" t="inlineStr"/>
      <c r="P1804" s="10" t="inlineStr"/>
      <c r="Q1804" s="10" t="inlineStr"/>
      <c r="R1804" s="10" t="inlineStr">
        <is>
          <t>2026-03-12</t>
        </is>
      </c>
      <c r="S1804" s="10" t="inlineStr"/>
    </row>
    <row r="1805">
      <c r="A1805" s="3" t="inlineStr">
        <is>
          <t>F02279</t>
        </is>
      </c>
      <c r="B1805" s="4" t="inlineStr">
        <is>
          <t>F02279</t>
        </is>
      </c>
      <c r="C1805" s="4" t="inlineStr">
        <is>
          <t>10125</t>
        </is>
      </c>
      <c r="D1805" s="4" t="inlineStr">
        <is>
          <t>0700083553966</t>
        </is>
      </c>
      <c r="E1805" s="3" t="inlineStr">
        <is>
          <t>SCOOP HEAVY DUTY PLASTIC</t>
        </is>
      </c>
      <c r="F1805" s="4" t="inlineStr"/>
      <c r="G1805" s="4" t="inlineStr"/>
      <c r="H1805" s="4" t="inlineStr"/>
      <c r="I1805" s="5" t="n">
        <v>9.25</v>
      </c>
      <c r="J1805" s="6" t="n">
        <v>15</v>
      </c>
      <c r="K1805" s="7">
        <f>IF(I1805="","",I1805*(1+J1805/100))</f>
        <v/>
      </c>
      <c r="L1805" s="5" t="n">
        <v>130</v>
      </c>
      <c r="M1805" s="8">
        <f>IF(OR(L1805="",K1805="",L1805=0),"",
  (L1805-K1805)/L1805*100)</f>
        <v/>
      </c>
      <c r="N1805" s="14" t="n">
        <v>120</v>
      </c>
      <c r="O1805" s="4" t="inlineStr"/>
      <c r="P1805" s="4" t="inlineStr"/>
      <c r="Q1805" s="4" t="inlineStr"/>
      <c r="R1805" s="4" t="inlineStr">
        <is>
          <t>2026-03-12</t>
        </is>
      </c>
      <c r="S1805" s="4" t="inlineStr"/>
    </row>
    <row r="1806">
      <c r="A1806" s="10" t="inlineStr">
        <is>
          <t>F02280</t>
        </is>
      </c>
      <c r="B1806" s="10" t="inlineStr">
        <is>
          <t>F02280</t>
        </is>
      </c>
      <c r="C1806" s="10" t="inlineStr">
        <is>
          <t>10111</t>
        </is>
      </c>
      <c r="D1806" s="10" t="inlineStr">
        <is>
          <t>0700083553782</t>
        </is>
      </c>
      <c r="E1806" s="10" t="inlineStr">
        <is>
          <t>LUNCH BOX ROUND -RANI PLASTIC</t>
        </is>
      </c>
      <c r="F1806" s="10" t="inlineStr"/>
      <c r="G1806" s="10" t="inlineStr"/>
      <c r="H1806" s="10" t="inlineStr"/>
      <c r="I1806" s="11" t="n">
        <v>8.69</v>
      </c>
      <c r="J1806" s="6" t="n">
        <v>15</v>
      </c>
      <c r="K1806" s="7">
        <f>IF(I1806="","",I1806*(1+J1806/100))</f>
        <v/>
      </c>
      <c r="L1806" s="11" t="n">
        <v>130</v>
      </c>
      <c r="M1806" s="8">
        <f>IF(OR(L1806="",K1806="",L1806=0),"",
  (L1806-K1806)/L1806*100)</f>
        <v/>
      </c>
      <c r="N1806" s="9" t="inlineStr"/>
      <c r="O1806" s="10" t="inlineStr"/>
      <c r="P1806" s="10" t="inlineStr"/>
      <c r="Q1806" s="10" t="inlineStr"/>
      <c r="R1806" s="10" t="inlineStr">
        <is>
          <t>2026-03-12</t>
        </is>
      </c>
      <c r="S1806" s="10" t="inlineStr"/>
    </row>
    <row r="1807">
      <c r="A1807" s="3" t="inlineStr">
        <is>
          <t>F02281</t>
        </is>
      </c>
      <c r="B1807" s="4" t="inlineStr">
        <is>
          <t>F02281</t>
        </is>
      </c>
      <c r="C1807" s="4" t="inlineStr">
        <is>
          <t>10130</t>
        </is>
      </c>
      <c r="D1807" s="4" t="inlineStr">
        <is>
          <t>0700083553706</t>
        </is>
      </c>
      <c r="E1807" s="3" t="inlineStr">
        <is>
          <t>TEA/COFFEE/SUGAR 3PC SET PLASTIC</t>
        </is>
      </c>
      <c r="F1807" s="4" t="inlineStr"/>
      <c r="G1807" s="4" t="inlineStr"/>
      <c r="H1807" s="4" t="inlineStr"/>
      <c r="I1807" s="5" t="n">
        <v>14.39</v>
      </c>
      <c r="J1807" s="6" t="n">
        <v>15</v>
      </c>
      <c r="K1807" s="7">
        <f>IF(I1807="","",I1807*(1+J1807/100))</f>
        <v/>
      </c>
      <c r="L1807" s="5" t="n">
        <v>160</v>
      </c>
      <c r="M1807" s="8">
        <f>IF(OR(L1807="",K1807="",L1807=0),"",
  (L1807-K1807)/L1807*100)</f>
        <v/>
      </c>
      <c r="N1807" s="9" t="inlineStr"/>
      <c r="O1807" s="4" t="inlineStr"/>
      <c r="P1807" s="4" t="inlineStr"/>
      <c r="Q1807" s="4" t="inlineStr"/>
      <c r="R1807" s="4" t="inlineStr">
        <is>
          <t>2026-03-12</t>
        </is>
      </c>
      <c r="S1807" s="4" t="inlineStr"/>
    </row>
    <row r="1808">
      <c r="A1808" s="10" t="inlineStr">
        <is>
          <t>F02282</t>
        </is>
      </c>
      <c r="B1808" s="10" t="inlineStr">
        <is>
          <t>F02282</t>
        </is>
      </c>
      <c r="C1808" s="10" t="inlineStr">
        <is>
          <t>10126</t>
        </is>
      </c>
      <c r="D1808" s="10" t="inlineStr">
        <is>
          <t>0700083553751</t>
        </is>
      </c>
      <c r="E1808" s="10" t="inlineStr">
        <is>
          <t>BISCUIT BARREL CLEAR WITH LID- 500ML</t>
        </is>
      </c>
      <c r="F1808" s="10" t="inlineStr"/>
      <c r="G1808" s="10" t="inlineStr"/>
      <c r="H1808" s="10" t="inlineStr"/>
      <c r="I1808" s="11" t="n">
        <v>7.95</v>
      </c>
      <c r="J1808" s="6" t="n">
        <v>15</v>
      </c>
      <c r="K1808" s="7">
        <f>IF(I1808="","",I1808*(1+J1808/100))</f>
        <v/>
      </c>
      <c r="L1808" s="11" t="n">
        <v>130</v>
      </c>
      <c r="M1808" s="8">
        <f>IF(OR(L1808="",K1808="",L1808=0),"",
  (L1808-K1808)/L1808*100)</f>
        <v/>
      </c>
      <c r="N1808" s="13" t="n">
        <v>66</v>
      </c>
      <c r="O1808" s="10" t="inlineStr"/>
      <c r="P1808" s="10" t="inlineStr"/>
      <c r="Q1808" s="10" t="inlineStr"/>
      <c r="R1808" s="10" t="inlineStr">
        <is>
          <t>2026-03-12</t>
        </is>
      </c>
      <c r="S1808" s="10" t="inlineStr"/>
    </row>
    <row r="1809">
      <c r="A1809" s="3" t="inlineStr">
        <is>
          <t>F02283</t>
        </is>
      </c>
      <c r="B1809" s="4" t="inlineStr">
        <is>
          <t>F02283</t>
        </is>
      </c>
      <c r="C1809" s="4" t="inlineStr"/>
      <c r="D1809" s="4" t="inlineStr">
        <is>
          <t>0700083553836</t>
        </is>
      </c>
      <c r="E1809" s="3" t="inlineStr">
        <is>
          <t>COLLANDER MEDIUM PLASTIC</t>
        </is>
      </c>
      <c r="F1809" s="4" t="inlineStr"/>
      <c r="G1809" s="4" t="inlineStr"/>
      <c r="H1809" s="4" t="inlineStr"/>
      <c r="I1809" s="5" t="n">
        <v>8.25</v>
      </c>
      <c r="J1809" s="6" t="n">
        <v>15</v>
      </c>
      <c r="K1809" s="7">
        <f>IF(I1809="","",I1809*(1+J1809/100))</f>
        <v/>
      </c>
      <c r="L1809" s="12" t="inlineStr"/>
      <c r="M1809" s="8">
        <f>IF(OR(L1809="",K1809="",L1809=0),"",
  (L1809-K1809)/L1809*100)</f>
        <v/>
      </c>
      <c r="N1809" s="14" t="n">
        <v>5</v>
      </c>
      <c r="O1809" s="4" t="inlineStr"/>
      <c r="P1809" s="4" t="inlineStr"/>
      <c r="Q1809" s="4" t="inlineStr"/>
      <c r="R1809" s="4" t="inlineStr">
        <is>
          <t>2026-03-12</t>
        </is>
      </c>
      <c r="S1809" s="4" t="inlineStr"/>
    </row>
    <row r="1810">
      <c r="A1810" s="10" t="inlineStr">
        <is>
          <t>F02285</t>
        </is>
      </c>
      <c r="B1810" s="10" t="inlineStr">
        <is>
          <t>F02285</t>
        </is>
      </c>
      <c r="C1810" s="10" t="inlineStr"/>
      <c r="D1810" s="10" t="inlineStr"/>
      <c r="E1810" s="10" t="inlineStr">
        <is>
          <t>LIGHT LED 28W DIAMOND</t>
        </is>
      </c>
      <c r="F1810" s="10" t="inlineStr"/>
      <c r="G1810" s="10" t="inlineStr"/>
      <c r="H1810" s="10" t="inlineStr"/>
      <c r="I1810" s="11" t="n">
        <v>120</v>
      </c>
      <c r="J1810" s="6" t="n">
        <v>15</v>
      </c>
      <c r="K1810" s="7">
        <f>IF(I1810="","",I1810*(1+J1810/100))</f>
        <v/>
      </c>
      <c r="L1810" s="12" t="inlineStr"/>
      <c r="M1810" s="8">
        <f>IF(OR(L1810="",K1810="",L1810=0),"",
  (L1810-K1810)/L1810*100)</f>
        <v/>
      </c>
      <c r="N1810" s="13" t="n">
        <v>34</v>
      </c>
      <c r="O1810" s="10" t="inlineStr"/>
      <c r="P1810" s="10" t="inlineStr"/>
      <c r="Q1810" s="10" t="inlineStr"/>
      <c r="R1810" s="10" t="inlineStr">
        <is>
          <t>2026-03-12</t>
        </is>
      </c>
      <c r="S1810" s="10" t="inlineStr"/>
    </row>
    <row r="1811">
      <c r="A1811" s="3" t="inlineStr">
        <is>
          <t>F02286</t>
        </is>
      </c>
      <c r="B1811" s="4" t="inlineStr">
        <is>
          <t>F02286</t>
        </is>
      </c>
      <c r="C1811" s="4" t="inlineStr"/>
      <c r="D1811" s="4" t="inlineStr"/>
      <c r="E1811" s="3" t="inlineStr">
        <is>
          <t>LIGHT LED 28W SKY</t>
        </is>
      </c>
      <c r="F1811" s="4" t="inlineStr"/>
      <c r="G1811" s="4" t="inlineStr"/>
      <c r="H1811" s="4" t="inlineStr"/>
      <c r="I1811" s="5" t="n">
        <v>120</v>
      </c>
      <c r="J1811" s="6" t="n">
        <v>15</v>
      </c>
      <c r="K1811" s="7">
        <f>IF(I1811="","",I1811*(1+J1811/100))</f>
        <v/>
      </c>
      <c r="L1811" s="12" t="inlineStr"/>
      <c r="M1811" s="8">
        <f>IF(OR(L1811="",K1811="",L1811=0),"",
  (L1811-K1811)/L1811*100)</f>
        <v/>
      </c>
      <c r="N1811" s="14" t="n">
        <v>45</v>
      </c>
      <c r="O1811" s="4" t="inlineStr"/>
      <c r="P1811" s="4" t="inlineStr"/>
      <c r="Q1811" s="4" t="inlineStr"/>
      <c r="R1811" s="4" t="inlineStr">
        <is>
          <t>2026-03-12</t>
        </is>
      </c>
      <c r="S1811" s="4" t="inlineStr"/>
    </row>
    <row r="1812">
      <c r="A1812" s="10" t="inlineStr">
        <is>
          <t>F02287</t>
        </is>
      </c>
      <c r="B1812" s="10" t="inlineStr">
        <is>
          <t>F02287</t>
        </is>
      </c>
      <c r="C1812" s="10" t="inlineStr"/>
      <c r="D1812" s="10" t="inlineStr"/>
      <c r="E1812" s="10" t="inlineStr">
        <is>
          <t>LIGHT LED 28W SPACE</t>
        </is>
      </c>
      <c r="F1812" s="10" t="inlineStr"/>
      <c r="G1812" s="10" t="inlineStr"/>
      <c r="H1812" s="10" t="inlineStr"/>
      <c r="I1812" s="11" t="n">
        <v>120</v>
      </c>
      <c r="J1812" s="6" t="n">
        <v>15</v>
      </c>
      <c r="K1812" s="7">
        <f>IF(I1812="","",I1812*(1+J1812/100))</f>
        <v/>
      </c>
      <c r="L1812" s="12" t="inlineStr"/>
      <c r="M1812" s="8">
        <f>IF(OR(L1812="",K1812="",L1812=0),"",
  (L1812-K1812)/L1812*100)</f>
        <v/>
      </c>
      <c r="N1812" s="13" t="n">
        <v>42</v>
      </c>
      <c r="O1812" s="10" t="inlineStr"/>
      <c r="P1812" s="10" t="inlineStr"/>
      <c r="Q1812" s="10" t="inlineStr"/>
      <c r="R1812" s="10" t="inlineStr">
        <is>
          <t>2026-03-12</t>
        </is>
      </c>
      <c r="S1812" s="10" t="inlineStr"/>
    </row>
    <row r="1813">
      <c r="A1813" s="3" t="inlineStr">
        <is>
          <t>F02288</t>
        </is>
      </c>
      <c r="B1813" s="4" t="inlineStr">
        <is>
          <t>F02288</t>
        </is>
      </c>
      <c r="C1813" s="4" t="inlineStr"/>
      <c r="D1813" s="4" t="inlineStr"/>
      <c r="E1813" s="3" t="inlineStr">
        <is>
          <t>LIGHT LED 28W SPRAY</t>
        </is>
      </c>
      <c r="F1813" s="4" t="inlineStr"/>
      <c r="G1813" s="4" t="inlineStr"/>
      <c r="H1813" s="4" t="inlineStr"/>
      <c r="I1813" s="5" t="n">
        <v>120</v>
      </c>
      <c r="J1813" s="6" t="n">
        <v>15</v>
      </c>
      <c r="K1813" s="7">
        <f>IF(I1813="","",I1813*(1+J1813/100))</f>
        <v/>
      </c>
      <c r="L1813" s="12" t="inlineStr"/>
      <c r="M1813" s="8">
        <f>IF(OR(L1813="",K1813="",L1813=0),"",
  (L1813-K1813)/L1813*100)</f>
        <v/>
      </c>
      <c r="N1813" s="14" t="n">
        <v>22</v>
      </c>
      <c r="O1813" s="4" t="inlineStr"/>
      <c r="P1813" s="4" t="inlineStr"/>
      <c r="Q1813" s="4" t="inlineStr"/>
      <c r="R1813" s="4" t="inlineStr">
        <is>
          <t>2026-03-12</t>
        </is>
      </c>
      <c r="S1813" s="4" t="inlineStr"/>
    </row>
    <row r="1814">
      <c r="A1814" s="10" t="inlineStr">
        <is>
          <t>F02289</t>
        </is>
      </c>
      <c r="B1814" s="10" t="inlineStr">
        <is>
          <t>F02289</t>
        </is>
      </c>
      <c r="C1814" s="10" t="inlineStr"/>
      <c r="D1814" s="10" t="inlineStr"/>
      <c r="E1814" s="10" t="inlineStr">
        <is>
          <t>LIGHT LED 28W CIRCLE</t>
        </is>
      </c>
      <c r="F1814" s="10" t="inlineStr"/>
      <c r="G1814" s="10" t="inlineStr"/>
      <c r="H1814" s="10" t="inlineStr"/>
      <c r="I1814" s="11" t="n">
        <v>120.95</v>
      </c>
      <c r="J1814" s="6" t="n">
        <v>15</v>
      </c>
      <c r="K1814" s="7">
        <f>IF(I1814="","",I1814*(1+J1814/100))</f>
        <v/>
      </c>
      <c r="L1814" s="12" t="inlineStr"/>
      <c r="M1814" s="8">
        <f>IF(OR(L1814="",K1814="",L1814=0),"",
  (L1814-K1814)/L1814*100)</f>
        <v/>
      </c>
      <c r="N1814" s="13" t="n">
        <v>20</v>
      </c>
      <c r="O1814" s="10" t="inlineStr"/>
      <c r="P1814" s="10" t="inlineStr"/>
      <c r="Q1814" s="10" t="inlineStr"/>
      <c r="R1814" s="10" t="inlineStr">
        <is>
          <t>2026-03-12</t>
        </is>
      </c>
      <c r="S1814" s="10" t="inlineStr"/>
    </row>
    <row r="1815">
      <c r="A1815" s="3" t="inlineStr">
        <is>
          <t>F02290</t>
        </is>
      </c>
      <c r="B1815" s="4" t="inlineStr">
        <is>
          <t>F02290</t>
        </is>
      </c>
      <c r="C1815" s="4" t="inlineStr"/>
      <c r="D1815" s="4" t="inlineStr"/>
      <c r="E1815" s="3" t="inlineStr">
        <is>
          <t>LIGHT LED 28W SQUARE</t>
        </is>
      </c>
      <c r="F1815" s="4" t="inlineStr"/>
      <c r="G1815" s="4" t="inlineStr"/>
      <c r="H1815" s="4" t="inlineStr"/>
      <c r="I1815" s="5" t="n">
        <v>120</v>
      </c>
      <c r="J1815" s="6" t="n">
        <v>15</v>
      </c>
      <c r="K1815" s="7">
        <f>IF(I1815="","",I1815*(1+J1815/100))</f>
        <v/>
      </c>
      <c r="L1815" s="12" t="inlineStr"/>
      <c r="M1815" s="8">
        <f>IF(OR(L1815="",K1815="",L1815=0),"",
  (L1815-K1815)/L1815*100)</f>
        <v/>
      </c>
      <c r="N1815" s="14" t="n">
        <v>25</v>
      </c>
      <c r="O1815" s="4" t="inlineStr"/>
      <c r="P1815" s="4" t="inlineStr"/>
      <c r="Q1815" s="4" t="inlineStr"/>
      <c r="R1815" s="4" t="inlineStr">
        <is>
          <t>2026-03-12</t>
        </is>
      </c>
      <c r="S1815" s="4" t="inlineStr"/>
    </row>
    <row r="1816">
      <c r="A1816" s="10" t="inlineStr">
        <is>
          <t>F02291</t>
        </is>
      </c>
      <c r="B1816" s="10" t="inlineStr">
        <is>
          <t>F02291</t>
        </is>
      </c>
      <c r="C1816" s="10" t="inlineStr"/>
      <c r="D1816" s="10" t="inlineStr"/>
      <c r="E1816" s="10" t="inlineStr">
        <is>
          <t>PALLET WRAP 450X400 , 13 MICRON</t>
        </is>
      </c>
      <c r="F1816" s="10" t="inlineStr"/>
      <c r="G1816" s="10" t="inlineStr"/>
      <c r="H1816" s="10" t="inlineStr"/>
      <c r="I1816" s="11" t="n">
        <v>115</v>
      </c>
      <c r="J1816" s="6" t="n">
        <v>15</v>
      </c>
      <c r="K1816" s="7">
        <f>IF(I1816="","",I1816*(1+J1816/100))</f>
        <v/>
      </c>
      <c r="L1816" s="12" t="inlineStr"/>
      <c r="M1816" s="8">
        <f>IF(OR(L1816="",K1816="",L1816=0),"",
  (L1816-K1816)/L1816*100)</f>
        <v/>
      </c>
      <c r="N1816" s="13" t="n">
        <v>178</v>
      </c>
      <c r="O1816" s="10" t="inlineStr"/>
      <c r="P1816" s="10" t="inlineStr"/>
      <c r="Q1816" s="10" t="inlineStr"/>
      <c r="R1816" s="10" t="inlineStr">
        <is>
          <t>2026-03-12</t>
        </is>
      </c>
      <c r="S1816" s="10" t="inlineStr"/>
    </row>
    <row r="1817">
      <c r="A1817" s="3" t="inlineStr">
        <is>
          <t>F02292</t>
        </is>
      </c>
      <c r="B1817" s="4" t="inlineStr">
        <is>
          <t>F02292</t>
        </is>
      </c>
      <c r="C1817" s="4" t="inlineStr">
        <is>
          <t>10164</t>
        </is>
      </c>
      <c r="D1817" s="4" t="inlineStr">
        <is>
          <t>6009690802400</t>
        </is>
      </c>
      <c r="E1817" s="3" t="inlineStr">
        <is>
          <t>STOOL BIG MAMA</t>
        </is>
      </c>
      <c r="F1817" s="4" t="inlineStr"/>
      <c r="G1817" s="4" t="inlineStr"/>
      <c r="H1817" s="4" t="inlineStr"/>
      <c r="I1817" s="5" t="n">
        <v>32.95</v>
      </c>
      <c r="J1817" s="6" t="n">
        <v>15</v>
      </c>
      <c r="K1817" s="7">
        <f>IF(I1817="","",I1817*(1+J1817/100))</f>
        <v/>
      </c>
      <c r="L1817" s="5" t="n">
        <v>100</v>
      </c>
      <c r="M1817" s="8">
        <f>IF(OR(L1817="",K1817="",L1817=0),"",
  (L1817-K1817)/L1817*100)</f>
        <v/>
      </c>
      <c r="N1817" s="9" t="inlineStr"/>
      <c r="O1817" s="4" t="inlineStr"/>
      <c r="P1817" s="4" t="inlineStr"/>
      <c r="Q1817" s="4" t="inlineStr"/>
      <c r="R1817" s="4" t="inlineStr">
        <is>
          <t>2026-03-12</t>
        </is>
      </c>
      <c r="S1817" s="4" t="inlineStr"/>
    </row>
    <row r="1818">
      <c r="A1818" s="10" t="inlineStr">
        <is>
          <t>F02293</t>
        </is>
      </c>
      <c r="B1818" s="10" t="inlineStr">
        <is>
          <t>F02293</t>
        </is>
      </c>
      <c r="C1818" s="10" t="inlineStr"/>
      <c r="D1818" s="10" t="inlineStr">
        <is>
          <t>6912029042012</t>
        </is>
      </c>
      <c r="E1818" s="10" t="inlineStr">
        <is>
          <t>SPOON 6'S TABLESPOON KZH S/STEEL</t>
        </is>
      </c>
      <c r="F1818" s="10" t="inlineStr"/>
      <c r="G1818" s="10" t="inlineStr"/>
      <c r="H1818" s="10" t="inlineStr"/>
      <c r="I1818" s="11" t="n">
        <v>15.95</v>
      </c>
      <c r="J1818" s="6" t="n">
        <v>15</v>
      </c>
      <c r="K1818" s="7">
        <f>IF(I1818="","",I1818*(1+J1818/100))</f>
        <v/>
      </c>
      <c r="L1818" s="12" t="inlineStr"/>
      <c r="M1818" s="8">
        <f>IF(OR(L1818="",K1818="",L1818=0),"",
  (L1818-K1818)/L1818*100)</f>
        <v/>
      </c>
      <c r="N1818" s="9" t="inlineStr"/>
      <c r="O1818" s="10" t="inlineStr"/>
      <c r="P1818" s="10" t="inlineStr"/>
      <c r="Q1818" s="10" t="inlineStr"/>
      <c r="R1818" s="10" t="inlineStr">
        <is>
          <t>2026-03-12</t>
        </is>
      </c>
      <c r="S1818" s="10" t="inlineStr"/>
    </row>
    <row r="1819">
      <c r="A1819" s="3" t="inlineStr">
        <is>
          <t>F02294</t>
        </is>
      </c>
      <c r="B1819" s="4" t="inlineStr">
        <is>
          <t>F02294</t>
        </is>
      </c>
      <c r="C1819" s="4" t="inlineStr"/>
      <c r="D1819" s="4" t="inlineStr">
        <is>
          <t>2454454500117</t>
        </is>
      </c>
      <c r="E1819" s="3" t="inlineStr">
        <is>
          <t>KNIFE FRUIT 6'S COLOR PLASTIC HANDLE</t>
        </is>
      </c>
      <c r="F1819" s="4" t="inlineStr"/>
      <c r="G1819" s="4" t="inlineStr"/>
      <c r="H1819" s="4" t="inlineStr"/>
      <c r="I1819" s="5" t="n">
        <v>34.5</v>
      </c>
      <c r="J1819" s="6" t="n">
        <v>15</v>
      </c>
      <c r="K1819" s="7">
        <f>IF(I1819="","",I1819*(1+J1819/100))</f>
        <v/>
      </c>
      <c r="L1819" s="12" t="inlineStr"/>
      <c r="M1819" s="8">
        <f>IF(OR(L1819="",K1819="",L1819=0),"",
  (L1819-K1819)/L1819*100)</f>
        <v/>
      </c>
      <c r="N1819" s="9" t="inlineStr"/>
      <c r="O1819" s="4" t="inlineStr"/>
      <c r="P1819" s="4" t="inlineStr"/>
      <c r="Q1819" s="4" t="inlineStr"/>
      <c r="R1819" s="4" t="inlineStr">
        <is>
          <t>2026-03-12</t>
        </is>
      </c>
      <c r="S1819" s="4" t="inlineStr"/>
    </row>
    <row r="1820">
      <c r="A1820" s="10" t="inlineStr">
        <is>
          <t>F02295</t>
        </is>
      </c>
      <c r="B1820" s="10" t="inlineStr">
        <is>
          <t>F02295</t>
        </is>
      </c>
      <c r="C1820" s="10" t="inlineStr"/>
      <c r="D1820" s="10" t="inlineStr">
        <is>
          <t>2454454500148</t>
        </is>
      </c>
      <c r="E1820" s="10" t="inlineStr">
        <is>
          <t>KNIFE 6'S S/STEEL BROWN PLASTIC HANDLE</t>
        </is>
      </c>
      <c r="F1820" s="10" t="inlineStr"/>
      <c r="G1820" s="10" t="inlineStr"/>
      <c r="H1820" s="10" t="inlineStr"/>
      <c r="I1820" s="11" t="n">
        <v>37.95</v>
      </c>
      <c r="J1820" s="6" t="n">
        <v>15</v>
      </c>
      <c r="K1820" s="7">
        <f>IF(I1820="","",I1820*(1+J1820/100))</f>
        <v/>
      </c>
      <c r="L1820" s="12" t="inlineStr"/>
      <c r="M1820" s="8">
        <f>IF(OR(L1820="",K1820="",L1820=0),"",
  (L1820-K1820)/L1820*100)</f>
        <v/>
      </c>
      <c r="N1820" s="9" t="inlineStr"/>
      <c r="O1820" s="10" t="inlineStr"/>
      <c r="P1820" s="10" t="inlineStr"/>
      <c r="Q1820" s="10" t="inlineStr"/>
      <c r="R1820" s="10" t="inlineStr">
        <is>
          <t>2026-03-12</t>
        </is>
      </c>
      <c r="S1820" s="10" t="inlineStr"/>
    </row>
    <row r="1821">
      <c r="A1821" s="3" t="inlineStr">
        <is>
          <t>F02296</t>
        </is>
      </c>
      <c r="B1821" s="4" t="inlineStr">
        <is>
          <t>F02296</t>
        </is>
      </c>
      <c r="C1821" s="4" t="inlineStr"/>
      <c r="D1821" s="4" t="inlineStr">
        <is>
          <t>2454454500131</t>
        </is>
      </c>
      <c r="E1821" s="3" t="inlineStr">
        <is>
          <t>KNIFE 6'S S/STEEL SERRATED BROWN P HNDLE</t>
        </is>
      </c>
      <c r="F1821" s="4" t="inlineStr"/>
      <c r="G1821" s="4" t="inlineStr"/>
      <c r="H1821" s="4" t="inlineStr"/>
      <c r="I1821" s="5" t="n">
        <v>37.95</v>
      </c>
      <c r="J1821" s="6" t="n">
        <v>15</v>
      </c>
      <c r="K1821" s="7">
        <f>IF(I1821="","",I1821*(1+J1821/100))</f>
        <v/>
      </c>
      <c r="L1821" s="12" t="inlineStr"/>
      <c r="M1821" s="8">
        <f>IF(OR(L1821="",K1821="",L1821=0),"",
  (L1821-K1821)/L1821*100)</f>
        <v/>
      </c>
      <c r="N1821" s="14" t="n">
        <v>1</v>
      </c>
      <c r="O1821" s="4" t="inlineStr"/>
      <c r="P1821" s="4" t="inlineStr"/>
      <c r="Q1821" s="4" t="inlineStr"/>
      <c r="R1821" s="4" t="inlineStr">
        <is>
          <t>2026-03-12</t>
        </is>
      </c>
      <c r="S1821" s="4" t="inlineStr"/>
    </row>
    <row r="1822">
      <c r="A1822" s="10" t="inlineStr">
        <is>
          <t>F02297</t>
        </is>
      </c>
      <c r="B1822" s="10" t="inlineStr">
        <is>
          <t>F02297</t>
        </is>
      </c>
      <c r="C1822" s="10" t="inlineStr">
        <is>
          <t>32302</t>
        </is>
      </c>
      <c r="D1822" s="10" t="inlineStr">
        <is>
          <t>6009697910849</t>
        </is>
      </c>
      <c r="E1822" s="10" t="inlineStr">
        <is>
          <t>MICROWAVE COVER BG</t>
        </is>
      </c>
      <c r="F1822" s="10" t="inlineStr"/>
      <c r="G1822" s="10" t="inlineStr"/>
      <c r="H1822" s="10" t="inlineStr"/>
      <c r="I1822" s="11" t="n">
        <v>12.5</v>
      </c>
      <c r="J1822" s="6" t="n">
        <v>15</v>
      </c>
      <c r="K1822" s="7">
        <f>IF(I1822="","",I1822*(1+J1822/100))</f>
        <v/>
      </c>
      <c r="L1822" s="12" t="inlineStr"/>
      <c r="M1822" s="8">
        <f>IF(OR(L1822="",K1822="",L1822=0),"",
  (L1822-K1822)/L1822*100)</f>
        <v/>
      </c>
      <c r="N1822" s="13" t="n">
        <v>137</v>
      </c>
      <c r="O1822" s="10" t="inlineStr"/>
      <c r="P1822" s="10" t="inlineStr"/>
      <c r="Q1822" s="10" t="inlineStr"/>
      <c r="R1822" s="10" t="inlineStr">
        <is>
          <t>2026-03-12</t>
        </is>
      </c>
      <c r="S1822" s="10" t="inlineStr"/>
    </row>
    <row r="1823">
      <c r="A1823" s="3" t="inlineStr">
        <is>
          <t>F02298</t>
        </is>
      </c>
      <c r="B1823" s="4" t="inlineStr">
        <is>
          <t>F02298</t>
        </is>
      </c>
      <c r="C1823" s="4" t="inlineStr">
        <is>
          <t>12854</t>
        </is>
      </c>
      <c r="D1823" s="4" t="inlineStr"/>
      <c r="E1823" s="3" t="inlineStr">
        <is>
          <t>MIST BLOWER SR420</t>
        </is>
      </c>
      <c r="F1823" s="4" t="inlineStr"/>
      <c r="G1823" s="4" t="inlineStr"/>
      <c r="H1823" s="4" t="inlineStr"/>
      <c r="I1823" s="5" t="n">
        <v>7195</v>
      </c>
      <c r="J1823" s="6" t="n">
        <v>15</v>
      </c>
      <c r="K1823" s="7">
        <f>IF(I1823="","",I1823*(1+J1823/100))</f>
        <v/>
      </c>
      <c r="L1823" s="5" t="n">
        <v>8799</v>
      </c>
      <c r="M1823" s="8">
        <f>IF(OR(L1823="",K1823="",L1823=0),"",
  (L1823-K1823)/L1823*100)</f>
        <v/>
      </c>
      <c r="N1823" s="9" t="inlineStr"/>
      <c r="O1823" s="4" t="inlineStr"/>
      <c r="P1823" s="4" t="inlineStr"/>
      <c r="Q1823" s="4" t="inlineStr"/>
      <c r="R1823" s="4" t="inlineStr">
        <is>
          <t>2026-03-12</t>
        </is>
      </c>
      <c r="S1823" s="4" t="inlineStr"/>
    </row>
    <row r="1824">
      <c r="A1824" s="10" t="inlineStr">
        <is>
          <t>F02299</t>
        </is>
      </c>
      <c r="B1824" s="10" t="inlineStr">
        <is>
          <t>F02299</t>
        </is>
      </c>
      <c r="C1824" s="10" t="inlineStr"/>
      <c r="D1824" s="10" t="inlineStr"/>
      <c r="E1824" s="10" t="inlineStr">
        <is>
          <t>MIST BLOWER SR430</t>
        </is>
      </c>
      <c r="F1824" s="10" t="inlineStr"/>
      <c r="G1824" s="10" t="inlineStr"/>
      <c r="H1824" s="10" t="inlineStr"/>
      <c r="I1824" s="11" t="n">
        <v>7995</v>
      </c>
      <c r="J1824" s="6" t="n">
        <v>15</v>
      </c>
      <c r="K1824" s="7">
        <f>IF(I1824="","",I1824*(1+J1824/100))</f>
        <v/>
      </c>
      <c r="L1824" s="12" t="inlineStr"/>
      <c r="M1824" s="8">
        <f>IF(OR(L1824="",K1824="",L1824=0),"",
  (L1824-K1824)/L1824*100)</f>
        <v/>
      </c>
      <c r="N1824" s="9" t="inlineStr"/>
      <c r="O1824" s="10" t="inlineStr"/>
      <c r="P1824" s="10" t="inlineStr"/>
      <c r="Q1824" s="10" t="inlineStr"/>
      <c r="R1824" s="10" t="inlineStr">
        <is>
          <t>2026-03-12</t>
        </is>
      </c>
      <c r="S1824" s="10" t="inlineStr"/>
    </row>
    <row r="1825">
      <c r="A1825" s="3" t="inlineStr">
        <is>
          <t>F02300</t>
        </is>
      </c>
      <c r="B1825" s="4" t="inlineStr">
        <is>
          <t>F02300</t>
        </is>
      </c>
      <c r="C1825" s="4" t="inlineStr">
        <is>
          <t>19234</t>
        </is>
      </c>
      <c r="D1825" s="4" t="inlineStr"/>
      <c r="E1825" s="3" t="inlineStr">
        <is>
          <t>DUSTBIN 50LT BLACK OTIMA</t>
        </is>
      </c>
      <c r="F1825" s="4" t="inlineStr"/>
      <c r="G1825" s="4" t="inlineStr"/>
      <c r="H1825" s="4" t="inlineStr"/>
      <c r="I1825" s="5" t="n">
        <v>83.95</v>
      </c>
      <c r="J1825" s="6" t="n">
        <v>15</v>
      </c>
      <c r="K1825" s="7">
        <f>IF(I1825="","",I1825*(1+J1825/100))</f>
        <v/>
      </c>
      <c r="L1825" s="5" t="n">
        <v>250</v>
      </c>
      <c r="M1825" s="8">
        <f>IF(OR(L1825="",K1825="",L1825=0),"",
  (L1825-K1825)/L1825*100)</f>
        <v/>
      </c>
      <c r="N1825" s="14" t="n">
        <v>108</v>
      </c>
      <c r="O1825" s="4" t="inlineStr"/>
      <c r="P1825" s="4" t="inlineStr"/>
      <c r="Q1825" s="4" t="inlineStr"/>
      <c r="R1825" s="4" t="inlineStr">
        <is>
          <t>2026-03-12</t>
        </is>
      </c>
      <c r="S1825" s="4" t="inlineStr"/>
    </row>
    <row r="1826">
      <c r="A1826" s="10" t="inlineStr">
        <is>
          <t>F02301</t>
        </is>
      </c>
      <c r="B1826" s="10" t="inlineStr">
        <is>
          <t>F02301</t>
        </is>
      </c>
      <c r="C1826" s="10" t="inlineStr">
        <is>
          <t>10140</t>
        </is>
      </c>
      <c r="D1826" s="10" t="inlineStr">
        <is>
          <t>6009306049113</t>
        </is>
      </c>
      <c r="E1826" s="10" t="inlineStr">
        <is>
          <t>BASIN 63CM PLASTIC</t>
        </is>
      </c>
      <c r="F1826" s="10" t="inlineStr"/>
      <c r="G1826" s="10" t="inlineStr"/>
      <c r="H1826" s="10" t="inlineStr"/>
      <c r="I1826" s="11" t="n">
        <v>25.95</v>
      </c>
      <c r="J1826" s="6" t="n">
        <v>15</v>
      </c>
      <c r="K1826" s="7">
        <f>IF(I1826="","",I1826*(1+J1826/100))</f>
        <v/>
      </c>
      <c r="L1826" s="11" t="n">
        <v>130</v>
      </c>
      <c r="M1826" s="8">
        <f>IF(OR(L1826="",K1826="",L1826=0),"",
  (L1826-K1826)/L1826*100)</f>
        <v/>
      </c>
      <c r="N1826" s="13" t="n">
        <v>58</v>
      </c>
      <c r="O1826" s="10" t="inlineStr"/>
      <c r="P1826" s="10" t="inlineStr"/>
      <c r="Q1826" s="10" t="inlineStr"/>
      <c r="R1826" s="10" t="inlineStr">
        <is>
          <t>2026-03-12</t>
        </is>
      </c>
      <c r="S1826" s="10" t="inlineStr"/>
    </row>
    <row r="1827">
      <c r="A1827" s="3" t="inlineStr">
        <is>
          <t>F02302</t>
        </is>
      </c>
      <c r="B1827" s="4" t="inlineStr">
        <is>
          <t>F02302</t>
        </is>
      </c>
      <c r="C1827" s="4" t="inlineStr"/>
      <c r="D1827" s="4" t="inlineStr">
        <is>
          <t>8590256633608</t>
        </is>
      </c>
      <c r="E1827" s="3" t="inlineStr">
        <is>
          <t>GLOBE 100 WATT</t>
        </is>
      </c>
      <c r="F1827" s="4" t="inlineStr"/>
      <c r="G1827" s="4" t="inlineStr"/>
      <c r="H1827" s="4" t="inlineStr"/>
      <c r="I1827" s="5" t="n">
        <v>3.25</v>
      </c>
      <c r="J1827" s="6" t="n">
        <v>15</v>
      </c>
      <c r="K1827" s="7">
        <f>IF(I1827="","",I1827*(1+J1827/100))</f>
        <v/>
      </c>
      <c r="L1827" s="12" t="inlineStr"/>
      <c r="M1827" s="8">
        <f>IF(OR(L1827="",K1827="",L1827=0),"",
  (L1827-K1827)/L1827*100)</f>
        <v/>
      </c>
      <c r="N1827" s="9" t="inlineStr"/>
      <c r="O1827" s="4" t="inlineStr"/>
      <c r="P1827" s="4" t="inlineStr"/>
      <c r="Q1827" s="4" t="inlineStr"/>
      <c r="R1827" s="4" t="inlineStr">
        <is>
          <t>2026-03-12</t>
        </is>
      </c>
      <c r="S1827" s="4" t="inlineStr"/>
    </row>
    <row r="1828">
      <c r="A1828" s="10" t="inlineStr">
        <is>
          <t>F02303</t>
        </is>
      </c>
      <c r="B1828" s="10" t="inlineStr">
        <is>
          <t>F02303</t>
        </is>
      </c>
      <c r="C1828" s="10" t="inlineStr"/>
      <c r="D1828" s="10" t="inlineStr"/>
      <c r="E1828" s="10" t="inlineStr">
        <is>
          <t>PVC CEILING (2501) CPT 3900*300*6MM</t>
        </is>
      </c>
      <c r="F1828" s="10" t="inlineStr"/>
      <c r="G1828" s="10" t="inlineStr"/>
      <c r="H1828" s="10" t="inlineStr"/>
      <c r="I1828" s="11" t="n">
        <v>478.26</v>
      </c>
      <c r="J1828" s="6" t="n">
        <v>15</v>
      </c>
      <c r="K1828" s="7">
        <f>IF(I1828="","",I1828*(1+J1828/100))</f>
        <v/>
      </c>
      <c r="L1828" s="12" t="inlineStr"/>
      <c r="M1828" s="8">
        <f>IF(OR(L1828="",K1828="",L1828=0),"",
  (L1828-K1828)/L1828*100)</f>
        <v/>
      </c>
      <c r="N1828" s="9" t="inlineStr"/>
      <c r="O1828" s="10" t="inlineStr"/>
      <c r="P1828" s="10" t="inlineStr"/>
      <c r="Q1828" s="10" t="inlineStr"/>
      <c r="R1828" s="10" t="inlineStr">
        <is>
          <t>2026-03-12</t>
        </is>
      </c>
      <c r="S1828" s="10" t="inlineStr"/>
    </row>
    <row r="1829">
      <c r="A1829" s="3" t="inlineStr">
        <is>
          <t>F02304</t>
        </is>
      </c>
      <c r="B1829" s="4" t="inlineStr">
        <is>
          <t>F02304</t>
        </is>
      </c>
      <c r="C1829" s="4" t="inlineStr"/>
      <c r="D1829" s="4" t="inlineStr"/>
      <c r="E1829" s="3" t="inlineStr">
        <is>
          <t>PVC CEILING(3033)3900*300*6MM</t>
        </is>
      </c>
      <c r="F1829" s="4" t="inlineStr"/>
      <c r="G1829" s="4" t="inlineStr"/>
      <c r="H1829" s="4" t="inlineStr"/>
      <c r="I1829" s="5" t="n">
        <v>478.26</v>
      </c>
      <c r="J1829" s="6" t="n">
        <v>15</v>
      </c>
      <c r="K1829" s="7">
        <f>IF(I1829="","",I1829*(1+J1829/100))</f>
        <v/>
      </c>
      <c r="L1829" s="12" t="inlineStr"/>
      <c r="M1829" s="8">
        <f>IF(OR(L1829="",K1829="",L1829=0),"",
  (L1829-K1829)/L1829*100)</f>
        <v/>
      </c>
      <c r="N1829" s="14" t="n">
        <v>6</v>
      </c>
      <c r="O1829" s="4" t="inlineStr"/>
      <c r="P1829" s="4" t="inlineStr"/>
      <c r="Q1829" s="4" t="inlineStr"/>
      <c r="R1829" s="4" t="inlineStr">
        <is>
          <t>2026-03-12</t>
        </is>
      </c>
      <c r="S1829" s="4" t="inlineStr"/>
    </row>
    <row r="1830">
      <c r="A1830" s="10" t="inlineStr">
        <is>
          <t>F02305</t>
        </is>
      </c>
      <c r="B1830" s="10" t="inlineStr">
        <is>
          <t>F02305</t>
        </is>
      </c>
      <c r="C1830" s="10" t="inlineStr"/>
      <c r="D1830" s="10" t="inlineStr"/>
      <c r="E1830" s="10" t="inlineStr">
        <is>
          <t>PVC PANEL STRIP 3.9M WHITE</t>
        </is>
      </c>
      <c r="F1830" s="10" t="inlineStr"/>
      <c r="G1830" s="10" t="inlineStr"/>
      <c r="H1830" s="10" t="inlineStr"/>
      <c r="I1830" s="11" t="n">
        <v>32.17</v>
      </c>
      <c r="J1830" s="6" t="n">
        <v>15</v>
      </c>
      <c r="K1830" s="7">
        <f>IF(I1830="","",I1830*(1+J1830/100))</f>
        <v/>
      </c>
      <c r="L1830" s="12" t="inlineStr"/>
      <c r="M1830" s="8">
        <f>IF(OR(L1830="",K1830="",L1830=0),"",
  (L1830-K1830)/L1830*100)</f>
        <v/>
      </c>
      <c r="N1830" s="9" t="inlineStr"/>
      <c r="O1830" s="10" t="inlineStr"/>
      <c r="P1830" s="10" t="inlineStr"/>
      <c r="Q1830" s="10" t="inlineStr"/>
      <c r="R1830" s="10" t="inlineStr">
        <is>
          <t>2026-03-12</t>
        </is>
      </c>
      <c r="S1830" s="10" t="inlineStr"/>
    </row>
    <row r="1831">
      <c r="A1831" s="3" t="inlineStr">
        <is>
          <t>F02306</t>
        </is>
      </c>
      <c r="B1831" s="4" t="inlineStr">
        <is>
          <t>F02306</t>
        </is>
      </c>
      <c r="C1831" s="4" t="inlineStr"/>
      <c r="D1831" s="4" t="inlineStr"/>
      <c r="E1831" s="3" t="inlineStr">
        <is>
          <t>PVC CEILING (3001) CPT 3900*300*6MM</t>
        </is>
      </c>
      <c r="F1831" s="4" t="inlineStr"/>
      <c r="G1831" s="4" t="inlineStr"/>
      <c r="H1831" s="4" t="inlineStr"/>
      <c r="I1831" s="5" t="n">
        <v>469</v>
      </c>
      <c r="J1831" s="6" t="n">
        <v>15</v>
      </c>
      <c r="K1831" s="7">
        <f>IF(I1831="","",I1831*(1+J1831/100))</f>
        <v/>
      </c>
      <c r="L1831" s="12" t="inlineStr"/>
      <c r="M1831" s="8">
        <f>IF(OR(L1831="",K1831="",L1831=0),"",
  (L1831-K1831)/L1831*100)</f>
        <v/>
      </c>
      <c r="N1831" s="9" t="inlineStr"/>
      <c r="O1831" s="4" t="inlineStr"/>
      <c r="P1831" s="4" t="inlineStr"/>
      <c r="Q1831" s="4" t="inlineStr"/>
      <c r="R1831" s="4" t="inlineStr">
        <is>
          <t>2026-03-12</t>
        </is>
      </c>
      <c r="S1831" s="4" t="inlineStr"/>
    </row>
    <row r="1832">
      <c r="A1832" s="10" t="inlineStr">
        <is>
          <t>F02307</t>
        </is>
      </c>
      <c r="B1832" s="10" t="inlineStr">
        <is>
          <t>F02307</t>
        </is>
      </c>
      <c r="C1832" s="10" t="inlineStr"/>
      <c r="D1832" s="10" t="inlineStr"/>
      <c r="E1832" s="10" t="inlineStr">
        <is>
          <t>PVC CEILING (3031) CPT 3900*300*6MM</t>
        </is>
      </c>
      <c r="F1832" s="10" t="inlineStr"/>
      <c r="G1832" s="10" t="inlineStr"/>
      <c r="H1832" s="10" t="inlineStr"/>
      <c r="I1832" s="11" t="n">
        <v>449</v>
      </c>
      <c r="J1832" s="6" t="n">
        <v>15</v>
      </c>
      <c r="K1832" s="7">
        <f>IF(I1832="","",I1832*(1+J1832/100))</f>
        <v/>
      </c>
      <c r="L1832" s="12" t="inlineStr"/>
      <c r="M1832" s="8">
        <f>IF(OR(L1832="",K1832="",L1832=0),"",
  (L1832-K1832)/L1832*100)</f>
        <v/>
      </c>
      <c r="N1832" s="9" t="inlineStr"/>
      <c r="O1832" s="10" t="inlineStr"/>
      <c r="P1832" s="10" t="inlineStr"/>
      <c r="Q1832" s="10" t="inlineStr"/>
      <c r="R1832" s="10" t="inlineStr">
        <is>
          <t>2026-03-12</t>
        </is>
      </c>
      <c r="S1832" s="10" t="inlineStr"/>
    </row>
    <row r="1833">
      <c r="A1833" s="3" t="inlineStr">
        <is>
          <t>F02308</t>
        </is>
      </c>
      <c r="B1833" s="4" t="inlineStr">
        <is>
          <t>F02308</t>
        </is>
      </c>
      <c r="C1833" s="4" t="inlineStr"/>
      <c r="D1833" s="4" t="inlineStr"/>
      <c r="E1833" s="3" t="inlineStr">
        <is>
          <t>PVC CEILING (3030) CPT 3900*300*6MM</t>
        </is>
      </c>
      <c r="F1833" s="4" t="inlineStr"/>
      <c r="G1833" s="4" t="inlineStr"/>
      <c r="H1833" s="4" t="inlineStr"/>
      <c r="I1833" s="5" t="n">
        <v>449</v>
      </c>
      <c r="J1833" s="6" t="n">
        <v>15</v>
      </c>
      <c r="K1833" s="7">
        <f>IF(I1833="","",I1833*(1+J1833/100))</f>
        <v/>
      </c>
      <c r="L1833" s="12" t="inlineStr"/>
      <c r="M1833" s="8">
        <f>IF(OR(L1833="",K1833="",L1833=0),"",
  (L1833-K1833)/L1833*100)</f>
        <v/>
      </c>
      <c r="N1833" s="9" t="inlineStr"/>
      <c r="O1833" s="4" t="inlineStr"/>
      <c r="P1833" s="4" t="inlineStr"/>
      <c r="Q1833" s="4" t="inlineStr"/>
      <c r="R1833" s="4" t="inlineStr">
        <is>
          <t>2026-03-12</t>
        </is>
      </c>
      <c r="S1833" s="4" t="inlineStr"/>
    </row>
    <row r="1834">
      <c r="A1834" s="10" t="inlineStr">
        <is>
          <t>F02309</t>
        </is>
      </c>
      <c r="B1834" s="10" t="inlineStr">
        <is>
          <t>F02309</t>
        </is>
      </c>
      <c r="C1834" s="10" t="inlineStr"/>
      <c r="D1834" s="10" t="inlineStr"/>
      <c r="E1834" s="10" t="inlineStr">
        <is>
          <t>PVC CEILING (3055) CPT 3900*300*6MM</t>
        </is>
      </c>
      <c r="F1834" s="10" t="inlineStr"/>
      <c r="G1834" s="10" t="inlineStr"/>
      <c r="H1834" s="10" t="inlineStr"/>
      <c r="I1834" s="11" t="n">
        <v>449</v>
      </c>
      <c r="J1834" s="6" t="n">
        <v>15</v>
      </c>
      <c r="K1834" s="7">
        <f>IF(I1834="","",I1834*(1+J1834/100))</f>
        <v/>
      </c>
      <c r="L1834" s="12" t="inlineStr"/>
      <c r="M1834" s="8">
        <f>IF(OR(L1834="",K1834="",L1834=0),"",
  (L1834-K1834)/L1834*100)</f>
        <v/>
      </c>
      <c r="N1834" s="9" t="inlineStr"/>
      <c r="O1834" s="10" t="inlineStr"/>
      <c r="P1834" s="10" t="inlineStr"/>
      <c r="Q1834" s="10" t="inlineStr"/>
      <c r="R1834" s="10" t="inlineStr">
        <is>
          <t>2026-03-12</t>
        </is>
      </c>
      <c r="S1834" s="10" t="inlineStr"/>
    </row>
    <row r="1835">
      <c r="A1835" s="3" t="inlineStr">
        <is>
          <t>F02310</t>
        </is>
      </c>
      <c r="B1835" s="4" t="inlineStr">
        <is>
          <t>F02310</t>
        </is>
      </c>
      <c r="C1835" s="4" t="inlineStr"/>
      <c r="D1835" s="4" t="inlineStr"/>
      <c r="E1835" s="3" t="inlineStr">
        <is>
          <t>PVC CEILING(308117 3900*300*6MM</t>
        </is>
      </c>
      <c r="F1835" s="4" t="inlineStr"/>
      <c r="G1835" s="4" t="inlineStr"/>
      <c r="H1835" s="4" t="inlineStr"/>
      <c r="I1835" s="5" t="n">
        <v>478.26</v>
      </c>
      <c r="J1835" s="6" t="n">
        <v>15</v>
      </c>
      <c r="K1835" s="7">
        <f>IF(I1835="","",I1835*(1+J1835/100))</f>
        <v/>
      </c>
      <c r="L1835" s="12" t="inlineStr"/>
      <c r="M1835" s="8">
        <f>IF(OR(L1835="",K1835="",L1835=0),"",
  (L1835-K1835)/L1835*100)</f>
        <v/>
      </c>
      <c r="N1835" s="9" t="inlineStr"/>
      <c r="O1835" s="4" t="inlineStr"/>
      <c r="P1835" s="4" t="inlineStr"/>
      <c r="Q1835" s="4" t="inlineStr"/>
      <c r="R1835" s="4" t="inlineStr">
        <is>
          <t>2026-03-12</t>
        </is>
      </c>
      <c r="S1835" s="4" t="inlineStr"/>
    </row>
    <row r="1836">
      <c r="A1836" s="10" t="inlineStr">
        <is>
          <t>F02311</t>
        </is>
      </c>
      <c r="B1836" s="10" t="inlineStr">
        <is>
          <t>F02311</t>
        </is>
      </c>
      <c r="C1836" s="10" t="inlineStr"/>
      <c r="D1836" s="10" t="inlineStr"/>
      <c r="E1836" s="10" t="inlineStr">
        <is>
          <t>PVC CEILING(308675-5) 3900*300*6MM</t>
        </is>
      </c>
      <c r="F1836" s="10" t="inlineStr"/>
      <c r="G1836" s="10" t="inlineStr"/>
      <c r="H1836" s="10" t="inlineStr"/>
      <c r="I1836" s="11" t="n">
        <v>478.26</v>
      </c>
      <c r="J1836" s="6" t="n">
        <v>15</v>
      </c>
      <c r="K1836" s="7">
        <f>IF(I1836="","",I1836*(1+J1836/100))</f>
        <v/>
      </c>
      <c r="L1836" s="12" t="inlineStr"/>
      <c r="M1836" s="8">
        <f>IF(OR(L1836="",K1836="",L1836=0),"",
  (L1836-K1836)/L1836*100)</f>
        <v/>
      </c>
      <c r="N1836" s="9" t="inlineStr"/>
      <c r="O1836" s="10" t="inlineStr"/>
      <c r="P1836" s="10" t="inlineStr"/>
      <c r="Q1836" s="10" t="inlineStr"/>
      <c r="R1836" s="10" t="inlineStr">
        <is>
          <t>2026-03-12</t>
        </is>
      </c>
      <c r="S1836" s="10" t="inlineStr"/>
    </row>
    <row r="1837">
      <c r="A1837" s="3" t="inlineStr">
        <is>
          <t>F02312</t>
        </is>
      </c>
      <c r="B1837" s="4" t="inlineStr">
        <is>
          <t>F02312</t>
        </is>
      </c>
      <c r="C1837" s="4" t="inlineStr"/>
      <c r="D1837" s="4" t="inlineStr"/>
      <c r="E1837" s="3" t="inlineStr">
        <is>
          <t>PVC CEILING(3031)CPT 3900*300*6MM</t>
        </is>
      </c>
      <c r="F1837" s="4" t="inlineStr"/>
      <c r="G1837" s="4" t="inlineStr"/>
      <c r="H1837" s="4" t="inlineStr"/>
      <c r="I1837" s="5" t="n">
        <v>478.26</v>
      </c>
      <c r="J1837" s="6" t="n">
        <v>15</v>
      </c>
      <c r="K1837" s="7">
        <f>IF(I1837="","",I1837*(1+J1837/100))</f>
        <v/>
      </c>
      <c r="L1837" s="12" t="inlineStr"/>
      <c r="M1837" s="8">
        <f>IF(OR(L1837="",K1837="",L1837=0),"",
  (L1837-K1837)/L1837*100)</f>
        <v/>
      </c>
      <c r="N1837" s="9" t="inlineStr"/>
      <c r="O1837" s="4" t="inlineStr"/>
      <c r="P1837" s="4" t="inlineStr"/>
      <c r="Q1837" s="4" t="inlineStr"/>
      <c r="R1837" s="4" t="inlineStr">
        <is>
          <t>2026-03-12</t>
        </is>
      </c>
      <c r="S1837" s="4" t="inlineStr"/>
    </row>
    <row r="1838">
      <c r="A1838" s="10" t="inlineStr">
        <is>
          <t>F02313</t>
        </is>
      </c>
      <c r="B1838" s="10" t="inlineStr">
        <is>
          <t>F02313</t>
        </is>
      </c>
      <c r="C1838" s="10" t="inlineStr"/>
      <c r="D1838" s="10" t="inlineStr"/>
      <c r="E1838" s="10" t="inlineStr">
        <is>
          <t>PVC CEILING(3066) 3900*300*6MM</t>
        </is>
      </c>
      <c r="F1838" s="10" t="inlineStr"/>
      <c r="G1838" s="10" t="inlineStr"/>
      <c r="H1838" s="10" t="inlineStr"/>
      <c r="I1838" s="11" t="n">
        <v>478.26</v>
      </c>
      <c r="J1838" s="6" t="n">
        <v>15</v>
      </c>
      <c r="K1838" s="7">
        <f>IF(I1838="","",I1838*(1+J1838/100))</f>
        <v/>
      </c>
      <c r="L1838" s="12" t="inlineStr"/>
      <c r="M1838" s="8">
        <f>IF(OR(L1838="",K1838="",L1838=0),"",
  (L1838-K1838)/L1838*100)</f>
        <v/>
      </c>
      <c r="N1838" s="9" t="inlineStr"/>
      <c r="O1838" s="10" t="inlineStr"/>
      <c r="P1838" s="10" t="inlineStr"/>
      <c r="Q1838" s="10" t="inlineStr"/>
      <c r="R1838" s="10" t="inlineStr">
        <is>
          <t>2026-03-12</t>
        </is>
      </c>
      <c r="S1838" s="10" t="inlineStr"/>
    </row>
    <row r="1839">
      <c r="A1839" s="3" t="inlineStr">
        <is>
          <t>F02314</t>
        </is>
      </c>
      <c r="B1839" s="4" t="inlineStr">
        <is>
          <t>F02314</t>
        </is>
      </c>
      <c r="C1839" s="4" t="inlineStr"/>
      <c r="D1839" s="4" t="inlineStr"/>
      <c r="E1839" s="3" t="inlineStr">
        <is>
          <t>PVC CEILING(3085) 3900*300*6MM</t>
        </is>
      </c>
      <c r="F1839" s="4" t="inlineStr"/>
      <c r="G1839" s="4" t="inlineStr"/>
      <c r="H1839" s="4" t="inlineStr"/>
      <c r="I1839" s="5" t="n">
        <v>478.26</v>
      </c>
      <c r="J1839" s="6" t="n">
        <v>15</v>
      </c>
      <c r="K1839" s="7">
        <f>IF(I1839="","",I1839*(1+J1839/100))</f>
        <v/>
      </c>
      <c r="L1839" s="12" t="inlineStr"/>
      <c r="M1839" s="8">
        <f>IF(OR(L1839="",K1839="",L1839=0),"",
  (L1839-K1839)/L1839*100)</f>
        <v/>
      </c>
      <c r="N1839" s="9" t="inlineStr"/>
      <c r="O1839" s="4" t="inlineStr"/>
      <c r="P1839" s="4" t="inlineStr"/>
      <c r="Q1839" s="4" t="inlineStr"/>
      <c r="R1839" s="4" t="inlineStr">
        <is>
          <t>2026-03-12</t>
        </is>
      </c>
      <c r="S1839" s="4" t="inlineStr"/>
    </row>
    <row r="1840">
      <c r="A1840" s="10" t="inlineStr">
        <is>
          <t>F02315</t>
        </is>
      </c>
      <c r="B1840" s="10" t="inlineStr">
        <is>
          <t>F02315</t>
        </is>
      </c>
      <c r="C1840" s="10" t="inlineStr"/>
      <c r="D1840" s="10" t="inlineStr"/>
      <c r="E1840" s="10" t="inlineStr">
        <is>
          <t>MUG WHITE 11OZ/14OZ ASSORTED</t>
        </is>
      </c>
      <c r="F1840" s="10" t="inlineStr"/>
      <c r="G1840" s="10" t="inlineStr"/>
      <c r="H1840" s="10" t="inlineStr"/>
      <c r="I1840" s="11" t="n">
        <v>6.91</v>
      </c>
      <c r="J1840" s="6" t="n">
        <v>15</v>
      </c>
      <c r="K1840" s="7">
        <f>IF(I1840="","",I1840*(1+J1840/100))</f>
        <v/>
      </c>
      <c r="L1840" s="12" t="inlineStr"/>
      <c r="M1840" s="8">
        <f>IF(OR(L1840="",K1840="",L1840=0),"",
  (L1840-K1840)/L1840*100)</f>
        <v/>
      </c>
      <c r="N1840" s="9" t="inlineStr"/>
      <c r="O1840" s="10" t="inlineStr"/>
      <c r="P1840" s="10" t="inlineStr"/>
      <c r="Q1840" s="10" t="inlineStr"/>
      <c r="R1840" s="10" t="inlineStr">
        <is>
          <t>2026-03-12</t>
        </is>
      </c>
      <c r="S1840" s="10" t="inlineStr"/>
    </row>
    <row r="1841">
      <c r="A1841" s="3" t="inlineStr">
        <is>
          <t>F02316</t>
        </is>
      </c>
      <c r="B1841" s="4" t="inlineStr">
        <is>
          <t>F02316</t>
        </is>
      </c>
      <c r="C1841" s="4" t="inlineStr"/>
      <c r="D1841" s="4" t="inlineStr"/>
      <c r="E1841" s="3" t="inlineStr">
        <is>
          <t>UTILITY BOX 35LT -FORM</t>
        </is>
      </c>
      <c r="F1841" s="4" t="inlineStr"/>
      <c r="G1841" s="4" t="inlineStr"/>
      <c r="H1841" s="4" t="inlineStr"/>
      <c r="I1841" s="5" t="n">
        <v>118.75</v>
      </c>
      <c r="J1841" s="6" t="n">
        <v>15</v>
      </c>
      <c r="K1841" s="7">
        <f>IF(I1841="","",I1841*(1+J1841/100))</f>
        <v/>
      </c>
      <c r="L1841" s="12" t="inlineStr"/>
      <c r="M1841" s="8">
        <f>IF(OR(L1841="",K1841="",L1841=0),"",
  (L1841-K1841)/L1841*100)</f>
        <v/>
      </c>
      <c r="N1841" s="9" t="inlineStr"/>
      <c r="O1841" s="4" t="inlineStr"/>
      <c r="P1841" s="4" t="inlineStr"/>
      <c r="Q1841" s="4" t="inlineStr"/>
      <c r="R1841" s="4" t="inlineStr">
        <is>
          <t>2026-03-12</t>
        </is>
      </c>
      <c r="S1841" s="4" t="inlineStr"/>
    </row>
    <row r="1842">
      <c r="A1842" s="10" t="inlineStr">
        <is>
          <t>F02317</t>
        </is>
      </c>
      <c r="B1842" s="10" t="inlineStr">
        <is>
          <t>F02317</t>
        </is>
      </c>
      <c r="C1842" s="10" t="inlineStr"/>
      <c r="D1842" s="10" t="inlineStr"/>
      <c r="E1842" s="10" t="inlineStr">
        <is>
          <t>UTILITY BOX 65LT-FORM</t>
        </is>
      </c>
      <c r="F1842" s="10" t="inlineStr"/>
      <c r="G1842" s="10" t="inlineStr"/>
      <c r="H1842" s="10" t="inlineStr"/>
      <c r="I1842" s="11" t="n">
        <v>211.66</v>
      </c>
      <c r="J1842" s="6" t="n">
        <v>15</v>
      </c>
      <c r="K1842" s="7">
        <f>IF(I1842="","",I1842*(1+J1842/100))</f>
        <v/>
      </c>
      <c r="L1842" s="12" t="inlineStr"/>
      <c r="M1842" s="8">
        <f>IF(OR(L1842="",K1842="",L1842=0),"",
  (L1842-K1842)/L1842*100)</f>
        <v/>
      </c>
      <c r="N1842" s="9" t="inlineStr"/>
      <c r="O1842" s="10" t="inlineStr"/>
      <c r="P1842" s="10" t="inlineStr"/>
      <c r="Q1842" s="10" t="inlineStr"/>
      <c r="R1842" s="10" t="inlineStr">
        <is>
          <t>2026-03-12</t>
        </is>
      </c>
      <c r="S1842" s="10" t="inlineStr"/>
    </row>
    <row r="1843">
      <c r="A1843" s="3" t="inlineStr">
        <is>
          <t>F02318</t>
        </is>
      </c>
      <c r="B1843" s="4" t="inlineStr">
        <is>
          <t>F02318</t>
        </is>
      </c>
      <c r="C1843" s="4" t="inlineStr"/>
      <c r="D1843" s="4" t="inlineStr"/>
      <c r="E1843" s="3" t="inlineStr">
        <is>
          <t>UTILITY BOX 100LT  - FORM</t>
        </is>
      </c>
      <c r="F1843" s="4" t="inlineStr"/>
      <c r="G1843" s="4" t="inlineStr"/>
      <c r="H1843" s="4" t="inlineStr"/>
      <c r="I1843" s="5" t="n">
        <v>259.45</v>
      </c>
      <c r="J1843" s="6" t="n">
        <v>15</v>
      </c>
      <c r="K1843" s="7">
        <f>IF(I1843="","",I1843*(1+J1843/100))</f>
        <v/>
      </c>
      <c r="L1843" s="12" t="inlineStr"/>
      <c r="M1843" s="8">
        <f>IF(OR(L1843="",K1843="",L1843=0),"",
  (L1843-K1843)/L1843*100)</f>
        <v/>
      </c>
      <c r="N1843" s="9" t="inlineStr"/>
      <c r="O1843" s="4" t="inlineStr"/>
      <c r="P1843" s="4" t="inlineStr"/>
      <c r="Q1843" s="4" t="inlineStr"/>
      <c r="R1843" s="4" t="inlineStr">
        <is>
          <t>2026-03-12</t>
        </is>
      </c>
      <c r="S1843" s="4" t="inlineStr"/>
    </row>
    <row r="1844">
      <c r="A1844" s="10" t="inlineStr">
        <is>
          <t>F02319</t>
        </is>
      </c>
      <c r="B1844" s="10" t="inlineStr">
        <is>
          <t>F02319</t>
        </is>
      </c>
      <c r="C1844" s="10" t="inlineStr"/>
      <c r="D1844" s="10" t="inlineStr"/>
      <c r="E1844" s="10" t="inlineStr">
        <is>
          <t>UTILITY BOX 120LT -FORM</t>
        </is>
      </c>
      <c r="F1844" s="10" t="inlineStr"/>
      <c r="G1844" s="10" t="inlineStr"/>
      <c r="H1844" s="10" t="inlineStr"/>
      <c r="I1844" s="11" t="n">
        <v>307.27</v>
      </c>
      <c r="J1844" s="6" t="n">
        <v>15</v>
      </c>
      <c r="K1844" s="7">
        <f>IF(I1844="","",I1844*(1+J1844/100))</f>
        <v/>
      </c>
      <c r="L1844" s="12" t="inlineStr"/>
      <c r="M1844" s="8">
        <f>IF(OR(L1844="",K1844="",L1844=0),"",
  (L1844-K1844)/L1844*100)</f>
        <v/>
      </c>
      <c r="N1844" s="9" t="inlineStr"/>
      <c r="O1844" s="10" t="inlineStr"/>
      <c r="P1844" s="10" t="inlineStr"/>
      <c r="Q1844" s="10" t="inlineStr"/>
      <c r="R1844" s="10" t="inlineStr">
        <is>
          <t>2026-03-12</t>
        </is>
      </c>
      <c r="S1844" s="10" t="inlineStr"/>
    </row>
    <row r="1845">
      <c r="A1845" s="3" t="inlineStr">
        <is>
          <t>F02320</t>
        </is>
      </c>
      <c r="B1845" s="4" t="inlineStr">
        <is>
          <t>F02320</t>
        </is>
      </c>
      <c r="C1845" s="4" t="inlineStr"/>
      <c r="D1845" s="4" t="inlineStr">
        <is>
          <t>6005912005437</t>
        </is>
      </c>
      <c r="E1845" s="3" t="inlineStr">
        <is>
          <t>VEG RACK 3 TIER  LRG MUTLIPURPOSE OTIMA</t>
        </is>
      </c>
      <c r="F1845" s="4" t="inlineStr"/>
      <c r="G1845" s="4" t="inlineStr"/>
      <c r="H1845" s="4" t="inlineStr"/>
      <c r="I1845" s="5" t="n">
        <v>80.95</v>
      </c>
      <c r="J1845" s="6" t="n">
        <v>15</v>
      </c>
      <c r="K1845" s="7">
        <f>IF(I1845="","",I1845*(1+J1845/100))</f>
        <v/>
      </c>
      <c r="L1845" s="12" t="inlineStr"/>
      <c r="M1845" s="8">
        <f>IF(OR(L1845="",K1845="",L1845=0),"",
  (L1845-K1845)/L1845*100)</f>
        <v/>
      </c>
      <c r="N1845" s="14" t="n">
        <v>139</v>
      </c>
      <c r="O1845" s="4" t="inlineStr"/>
      <c r="P1845" s="4" t="inlineStr"/>
      <c r="Q1845" s="4" t="inlineStr"/>
      <c r="R1845" s="4" t="inlineStr">
        <is>
          <t>2026-03-12</t>
        </is>
      </c>
      <c r="S1845" s="4" t="inlineStr"/>
    </row>
    <row r="1846">
      <c r="A1846" s="10" t="inlineStr">
        <is>
          <t>F02321</t>
        </is>
      </c>
      <c r="B1846" s="10" t="inlineStr">
        <is>
          <t>F02321</t>
        </is>
      </c>
      <c r="C1846" s="10" t="inlineStr">
        <is>
          <t>10160</t>
        </is>
      </c>
      <c r="D1846" s="10" t="inlineStr">
        <is>
          <t>781718076807</t>
        </is>
      </c>
      <c r="E1846" s="10" t="inlineStr">
        <is>
          <t>VEG RACK 3 TIER CORNER  FORM</t>
        </is>
      </c>
      <c r="F1846" s="10" t="inlineStr"/>
      <c r="G1846" s="10" t="inlineStr"/>
      <c r="H1846" s="10" t="inlineStr"/>
      <c r="I1846" s="11" t="n">
        <v>52.95</v>
      </c>
      <c r="J1846" s="6" t="n">
        <v>15</v>
      </c>
      <c r="K1846" s="7">
        <f>IF(I1846="","",I1846*(1+J1846/100))</f>
        <v/>
      </c>
      <c r="L1846" s="11" t="n">
        <v>320</v>
      </c>
      <c r="M1846" s="8">
        <f>IF(OR(L1846="",K1846="",L1846=0),"",
  (L1846-K1846)/L1846*100)</f>
        <v/>
      </c>
      <c r="N1846" s="13" t="n">
        <v>169</v>
      </c>
      <c r="O1846" s="10" t="inlineStr"/>
      <c r="P1846" s="10" t="inlineStr"/>
      <c r="Q1846" s="10" t="inlineStr"/>
      <c r="R1846" s="10" t="inlineStr">
        <is>
          <t>2026-03-12</t>
        </is>
      </c>
      <c r="S1846" s="10" t="inlineStr"/>
    </row>
    <row r="1847">
      <c r="A1847" s="3" t="inlineStr">
        <is>
          <t>F02322</t>
        </is>
      </c>
      <c r="B1847" s="4" t="inlineStr">
        <is>
          <t>F02322</t>
        </is>
      </c>
      <c r="C1847" s="4" t="inlineStr">
        <is>
          <t>10144</t>
        </is>
      </c>
      <c r="D1847" s="4" t="inlineStr">
        <is>
          <t>0658325081077</t>
        </is>
      </c>
      <c r="E1847" s="3" t="inlineStr">
        <is>
          <t>BASIN PLASTIC 56CM</t>
        </is>
      </c>
      <c r="F1847" s="4" t="inlineStr"/>
      <c r="G1847" s="4" t="inlineStr"/>
      <c r="H1847" s="4" t="inlineStr"/>
      <c r="I1847" s="5" t="n">
        <v>18.5</v>
      </c>
      <c r="J1847" s="6" t="n">
        <v>15</v>
      </c>
      <c r="K1847" s="7">
        <f>IF(I1847="","",I1847*(1+J1847/100))</f>
        <v/>
      </c>
      <c r="L1847" s="5" t="n">
        <v>450</v>
      </c>
      <c r="M1847" s="8">
        <f>IF(OR(L1847="",K1847="",L1847=0),"",
  (L1847-K1847)/L1847*100)</f>
        <v/>
      </c>
      <c r="N1847" s="9" t="inlineStr"/>
      <c r="O1847" s="4" t="inlineStr"/>
      <c r="P1847" s="4" t="inlineStr"/>
      <c r="Q1847" s="4" t="inlineStr"/>
      <c r="R1847" s="4" t="inlineStr">
        <is>
          <t>2026-03-12</t>
        </is>
      </c>
      <c r="S1847" s="4" t="inlineStr"/>
    </row>
    <row r="1848">
      <c r="A1848" s="10" t="inlineStr">
        <is>
          <t>F02323</t>
        </is>
      </c>
      <c r="B1848" s="10" t="inlineStr">
        <is>
          <t>F02323</t>
        </is>
      </c>
      <c r="C1848" s="10" t="inlineStr">
        <is>
          <t>32308</t>
        </is>
      </c>
      <c r="D1848" s="10" t="inlineStr">
        <is>
          <t>0658325081091</t>
        </is>
      </c>
      <c r="E1848" s="10" t="inlineStr">
        <is>
          <t>BASIN PLASTIC 64CM</t>
        </is>
      </c>
      <c r="F1848" s="10" t="inlineStr"/>
      <c r="G1848" s="10" t="inlineStr"/>
      <c r="H1848" s="10" t="inlineStr"/>
      <c r="I1848" s="11" t="n">
        <v>28.5</v>
      </c>
      <c r="J1848" s="6" t="n">
        <v>15</v>
      </c>
      <c r="K1848" s="7">
        <f>IF(I1848="","",I1848*(1+J1848/100))</f>
        <v/>
      </c>
      <c r="L1848" s="12" t="inlineStr"/>
      <c r="M1848" s="8">
        <f>IF(OR(L1848="",K1848="",L1848=0),"",
  (L1848-K1848)/L1848*100)</f>
        <v/>
      </c>
      <c r="N1848" s="9" t="inlineStr"/>
      <c r="O1848" s="10" t="inlineStr"/>
      <c r="P1848" s="10" t="inlineStr"/>
      <c r="Q1848" s="10" t="inlineStr"/>
      <c r="R1848" s="10" t="inlineStr">
        <is>
          <t>2026-03-12</t>
        </is>
      </c>
      <c r="S1848" s="10" t="inlineStr"/>
    </row>
    <row r="1849">
      <c r="A1849" s="3" t="inlineStr">
        <is>
          <t>F02324</t>
        </is>
      </c>
      <c r="B1849" s="4" t="inlineStr">
        <is>
          <t>F02324</t>
        </is>
      </c>
      <c r="C1849" s="4" t="inlineStr">
        <is>
          <t>15892</t>
        </is>
      </c>
      <c r="D1849" s="4" t="inlineStr"/>
      <c r="E1849" s="3" t="inlineStr">
        <is>
          <t>COOLER BOX DIAMOND -PRIDE 25LTR</t>
        </is>
      </c>
      <c r="F1849" s="4" t="inlineStr"/>
      <c r="G1849" s="4" t="inlineStr"/>
      <c r="H1849" s="4" t="inlineStr"/>
      <c r="I1849" s="5" t="n">
        <v>150</v>
      </c>
      <c r="J1849" s="6" t="n">
        <v>15</v>
      </c>
      <c r="K1849" s="7">
        <f>IF(I1849="","",I1849*(1+J1849/100))</f>
        <v/>
      </c>
      <c r="L1849" s="5" t="n">
        <v>4500</v>
      </c>
      <c r="M1849" s="8">
        <f>IF(OR(L1849="",K1849="",L1849=0),"",
  (L1849-K1849)/L1849*100)</f>
        <v/>
      </c>
      <c r="N1849" s="14" t="n">
        <v>129</v>
      </c>
      <c r="O1849" s="4" t="inlineStr"/>
      <c r="P1849" s="4" t="inlineStr"/>
      <c r="Q1849" s="4" t="inlineStr"/>
      <c r="R1849" s="4" t="inlineStr">
        <is>
          <t>2026-03-12</t>
        </is>
      </c>
      <c r="S1849" s="4" t="inlineStr"/>
    </row>
    <row r="1850">
      <c r="A1850" s="10" t="inlineStr">
        <is>
          <t>F02325</t>
        </is>
      </c>
      <c r="B1850" s="10" t="inlineStr">
        <is>
          <t>F02325</t>
        </is>
      </c>
      <c r="C1850" s="10" t="inlineStr">
        <is>
          <t>15893</t>
        </is>
      </c>
      <c r="D1850" s="10" t="inlineStr"/>
      <c r="E1850" s="10" t="inlineStr">
        <is>
          <t>GAS STOVE 2 PLATE LARGE</t>
        </is>
      </c>
      <c r="F1850" s="10" t="inlineStr"/>
      <c r="G1850" s="10" t="inlineStr"/>
      <c r="H1850" s="10" t="inlineStr"/>
      <c r="I1850" s="11" t="n">
        <v>229</v>
      </c>
      <c r="J1850" s="6" t="n">
        <v>15</v>
      </c>
      <c r="K1850" s="7">
        <f>IF(I1850="","",I1850*(1+J1850/100))</f>
        <v/>
      </c>
      <c r="L1850" s="11" t="n">
        <v>5999</v>
      </c>
      <c r="M1850" s="8">
        <f>IF(OR(L1850="",K1850="",L1850=0),"",
  (L1850-K1850)/L1850*100)</f>
        <v/>
      </c>
      <c r="N1850" s="9" t="inlineStr"/>
      <c r="O1850" s="10" t="inlineStr"/>
      <c r="P1850" s="10" t="inlineStr"/>
      <c r="Q1850" s="10" t="inlineStr"/>
      <c r="R1850" s="10" t="inlineStr">
        <is>
          <t>2026-03-12</t>
        </is>
      </c>
      <c r="S1850" s="10" t="inlineStr"/>
    </row>
    <row r="1851">
      <c r="A1851" s="3" t="inlineStr">
        <is>
          <t>F02326</t>
        </is>
      </c>
      <c r="B1851" s="4" t="inlineStr">
        <is>
          <t>F02326</t>
        </is>
      </c>
      <c r="C1851" s="4" t="inlineStr"/>
      <c r="D1851" s="4" t="inlineStr">
        <is>
          <t>6009705656056</t>
        </is>
      </c>
      <c r="E1851" s="3" t="inlineStr">
        <is>
          <t>MUG  11/12OZ HAPPY ASSORTED</t>
        </is>
      </c>
      <c r="F1851" s="4" t="inlineStr"/>
      <c r="G1851" s="4" t="inlineStr"/>
      <c r="H1851" s="4" t="inlineStr"/>
      <c r="I1851" s="5" t="n">
        <v>6.91</v>
      </c>
      <c r="J1851" s="6" t="n">
        <v>15</v>
      </c>
      <c r="K1851" s="7">
        <f>IF(I1851="","",I1851*(1+J1851/100))</f>
        <v/>
      </c>
      <c r="L1851" s="12" t="inlineStr"/>
      <c r="M1851" s="8">
        <f>IF(OR(L1851="",K1851="",L1851=0),"",
  (L1851-K1851)/L1851*100)</f>
        <v/>
      </c>
      <c r="N1851" s="9" t="inlineStr"/>
      <c r="O1851" s="4" t="inlineStr"/>
      <c r="P1851" s="4" t="inlineStr"/>
      <c r="Q1851" s="4" t="inlineStr"/>
      <c r="R1851" s="4" t="inlineStr">
        <is>
          <t>2026-03-12</t>
        </is>
      </c>
      <c r="S1851" s="4" t="inlineStr"/>
    </row>
    <row r="1852">
      <c r="A1852" s="10" t="inlineStr">
        <is>
          <t>F02327</t>
        </is>
      </c>
      <c r="B1852" s="10" t="inlineStr">
        <is>
          <t>F02327</t>
        </is>
      </c>
      <c r="C1852" s="10" t="inlineStr">
        <is>
          <t>10166</t>
        </is>
      </c>
      <c r="D1852" s="10" t="inlineStr">
        <is>
          <t>0658325499858</t>
        </is>
      </c>
      <c r="E1852" s="10" t="inlineStr">
        <is>
          <t>CHAIR BLACK JUMBO</t>
        </is>
      </c>
      <c r="F1852" s="10" t="inlineStr"/>
      <c r="G1852" s="10" t="inlineStr"/>
      <c r="H1852" s="10" t="inlineStr"/>
      <c r="I1852" s="11" t="n">
        <v>89.95</v>
      </c>
      <c r="J1852" s="6" t="n">
        <v>15</v>
      </c>
      <c r="K1852" s="7">
        <f>IF(I1852="","",I1852*(1+J1852/100))</f>
        <v/>
      </c>
      <c r="L1852" s="11" t="n">
        <v>200</v>
      </c>
      <c r="M1852" s="8">
        <f>IF(OR(L1852="",K1852="",L1852=0),"",
  (L1852-K1852)/L1852*100)</f>
        <v/>
      </c>
      <c r="N1852" s="9" t="inlineStr"/>
      <c r="O1852" s="10" t="inlineStr"/>
      <c r="P1852" s="10" t="inlineStr"/>
      <c r="Q1852" s="10" t="inlineStr"/>
      <c r="R1852" s="10" t="inlineStr">
        <is>
          <t>2026-03-12</t>
        </is>
      </c>
      <c r="S1852" s="10" t="inlineStr"/>
    </row>
    <row r="1853">
      <c r="A1853" s="3" t="inlineStr">
        <is>
          <t>F02328</t>
        </is>
      </c>
      <c r="B1853" s="4" t="inlineStr">
        <is>
          <t>F02328</t>
        </is>
      </c>
      <c r="C1853" s="4" t="inlineStr"/>
      <c r="D1853" s="4" t="inlineStr">
        <is>
          <t>6004311002672</t>
        </is>
      </c>
      <c r="E1853" s="3" t="inlineStr">
        <is>
          <t>WATER BOTTLE PLASTIC 500ML ASRTD COLOR</t>
        </is>
      </c>
      <c r="F1853" s="4" t="inlineStr"/>
      <c r="G1853" s="4" t="inlineStr"/>
      <c r="H1853" s="4" t="inlineStr"/>
      <c r="I1853" s="5" t="n">
        <v>14.3</v>
      </c>
      <c r="J1853" s="6" t="n">
        <v>15</v>
      </c>
      <c r="K1853" s="7">
        <f>IF(I1853="","",I1853*(1+J1853/100))</f>
        <v/>
      </c>
      <c r="L1853" s="12" t="inlineStr"/>
      <c r="M1853" s="8">
        <f>IF(OR(L1853="",K1853="",L1853=0),"",
  (L1853-K1853)/L1853*100)</f>
        <v/>
      </c>
      <c r="N1853" s="14" t="n">
        <v>1356</v>
      </c>
      <c r="O1853" s="4" t="inlineStr"/>
      <c r="P1853" s="4" t="inlineStr"/>
      <c r="Q1853" s="4" t="inlineStr"/>
      <c r="R1853" s="4" t="inlineStr">
        <is>
          <t>2026-03-12</t>
        </is>
      </c>
      <c r="S1853" s="4" t="inlineStr"/>
    </row>
    <row r="1854">
      <c r="A1854" s="10" t="inlineStr">
        <is>
          <t>F02329</t>
        </is>
      </c>
      <c r="B1854" s="10" t="inlineStr">
        <is>
          <t>F02329</t>
        </is>
      </c>
      <c r="C1854" s="10" t="inlineStr"/>
      <c r="D1854" s="10" t="inlineStr">
        <is>
          <t>6004311002689</t>
        </is>
      </c>
      <c r="E1854" s="10" t="inlineStr">
        <is>
          <t>WATER BOTTLE PLASTIC 250ML ASTRD COLOR</t>
        </is>
      </c>
      <c r="F1854" s="10" t="inlineStr"/>
      <c r="G1854" s="10" t="inlineStr"/>
      <c r="H1854" s="10" t="inlineStr"/>
      <c r="I1854" s="11" t="n">
        <v>13</v>
      </c>
      <c r="J1854" s="6" t="n">
        <v>15</v>
      </c>
      <c r="K1854" s="7">
        <f>IF(I1854="","",I1854*(1+J1854/100))</f>
        <v/>
      </c>
      <c r="L1854" s="12" t="inlineStr"/>
      <c r="M1854" s="8">
        <f>IF(OR(L1854="",K1854="",L1854=0),"",
  (L1854-K1854)/L1854*100)</f>
        <v/>
      </c>
      <c r="N1854" s="13" t="n">
        <v>770</v>
      </c>
      <c r="O1854" s="10" t="inlineStr"/>
      <c r="P1854" s="10" t="inlineStr"/>
      <c r="Q1854" s="10" t="inlineStr"/>
      <c r="R1854" s="10" t="inlineStr">
        <is>
          <t>2026-03-12</t>
        </is>
      </c>
      <c r="S1854" s="10" t="inlineStr"/>
    </row>
    <row r="1855">
      <c r="A1855" s="3" t="inlineStr">
        <is>
          <t>F02330</t>
        </is>
      </c>
      <c r="B1855" s="4" t="inlineStr">
        <is>
          <t>F02330</t>
        </is>
      </c>
      <c r="C1855" s="4" t="inlineStr">
        <is>
          <t>10103</t>
        </is>
      </c>
      <c r="D1855" s="4" t="inlineStr">
        <is>
          <t>6009709400801</t>
        </is>
      </c>
      <c r="E1855" s="3" t="inlineStr">
        <is>
          <t>WINE CUPS 6PC (BG )</t>
        </is>
      </c>
      <c r="F1855" s="4" t="inlineStr"/>
      <c r="G1855" s="4" t="inlineStr"/>
      <c r="H1855" s="4" t="inlineStr"/>
      <c r="I1855" s="5" t="n">
        <v>21.3</v>
      </c>
      <c r="J1855" s="6" t="n">
        <v>15</v>
      </c>
      <c r="K1855" s="7">
        <f>IF(I1855="","",I1855*(1+J1855/100))</f>
        <v/>
      </c>
      <c r="L1855" s="5" t="n">
        <v>180</v>
      </c>
      <c r="M1855" s="8">
        <f>IF(OR(L1855="",K1855="",L1855=0),"",
  (L1855-K1855)/L1855*100)</f>
        <v/>
      </c>
      <c r="N1855" s="14" t="n">
        <v>304</v>
      </c>
      <c r="O1855" s="4" t="inlineStr"/>
      <c r="P1855" s="4" t="inlineStr"/>
      <c r="Q1855" s="4" t="inlineStr"/>
      <c r="R1855" s="4" t="inlineStr">
        <is>
          <t>2026-03-12</t>
        </is>
      </c>
      <c r="S1855" s="4" t="inlineStr"/>
    </row>
    <row r="1856">
      <c r="A1856" s="10" t="inlineStr">
        <is>
          <t>F02331</t>
        </is>
      </c>
      <c r="B1856" s="10" t="inlineStr">
        <is>
          <t>F02331</t>
        </is>
      </c>
      <c r="C1856" s="10" t="inlineStr"/>
      <c r="D1856" s="10" t="inlineStr"/>
      <c r="E1856" s="10" t="inlineStr">
        <is>
          <t>CORES FOR VINYL</t>
        </is>
      </c>
      <c r="F1856" s="10" t="inlineStr"/>
      <c r="G1856" s="10" t="inlineStr"/>
      <c r="H1856" s="10" t="inlineStr"/>
      <c r="I1856" s="11" t="n">
        <v>3.91</v>
      </c>
      <c r="J1856" s="6" t="n">
        <v>15</v>
      </c>
      <c r="K1856" s="7">
        <f>IF(I1856="","",I1856*(1+J1856/100))</f>
        <v/>
      </c>
      <c r="L1856" s="12" t="inlineStr"/>
      <c r="M1856" s="8">
        <f>IF(OR(L1856="",K1856="",L1856=0),"",
  (L1856-K1856)/L1856*100)</f>
        <v/>
      </c>
      <c r="N1856" s="9" t="inlineStr"/>
      <c r="O1856" s="10" t="inlineStr"/>
      <c r="P1856" s="10" t="inlineStr"/>
      <c r="Q1856" s="10" t="inlineStr"/>
      <c r="R1856" s="10" t="inlineStr">
        <is>
          <t>2026-03-12</t>
        </is>
      </c>
      <c r="S1856" s="10" t="inlineStr"/>
    </row>
    <row r="1857">
      <c r="A1857" s="3" t="inlineStr">
        <is>
          <t>F02332</t>
        </is>
      </c>
      <c r="B1857" s="4" t="inlineStr">
        <is>
          <t>F02332</t>
        </is>
      </c>
      <c r="C1857" s="4" t="inlineStr">
        <is>
          <t>12855</t>
        </is>
      </c>
      <c r="D1857" s="4" t="inlineStr">
        <is>
          <t>6009708400291</t>
        </is>
      </c>
      <c r="E1857" s="3" t="inlineStr">
        <is>
          <t>HOSE GAS  -30MTR ORANGE</t>
        </is>
      </c>
      <c r="F1857" s="4" t="inlineStr"/>
      <c r="G1857" s="4" t="inlineStr"/>
      <c r="H1857" s="4" t="inlineStr"/>
      <c r="I1857" s="5" t="n">
        <v>219</v>
      </c>
      <c r="J1857" s="6" t="n">
        <v>15</v>
      </c>
      <c r="K1857" s="7">
        <f>IF(I1857="","",I1857*(1+J1857/100))</f>
        <v/>
      </c>
      <c r="L1857" s="5" t="n">
        <v>490</v>
      </c>
      <c r="M1857" s="8">
        <f>IF(OR(L1857="",K1857="",L1857=0),"",
  (L1857-K1857)/L1857*100)</f>
        <v/>
      </c>
      <c r="N1857" s="9" t="inlineStr"/>
      <c r="O1857" s="4" t="inlineStr"/>
      <c r="P1857" s="4" t="inlineStr"/>
      <c r="Q1857" s="4" t="inlineStr"/>
      <c r="R1857" s="4" t="inlineStr">
        <is>
          <t>2026-03-12</t>
        </is>
      </c>
      <c r="S1857" s="4" t="inlineStr"/>
    </row>
    <row r="1858">
      <c r="A1858" s="10" t="inlineStr">
        <is>
          <t>F02333</t>
        </is>
      </c>
      <c r="B1858" s="10" t="inlineStr">
        <is>
          <t>F02333</t>
        </is>
      </c>
      <c r="C1858" s="10" t="inlineStr"/>
      <c r="D1858" s="10" t="inlineStr"/>
      <c r="E1858" s="10" t="inlineStr">
        <is>
          <t>SHELF PAINT BRUSH+SCRAPER  STAND</t>
        </is>
      </c>
      <c r="F1858" s="10" t="inlineStr"/>
      <c r="G1858" s="10" t="inlineStr"/>
      <c r="H1858" s="10" t="inlineStr"/>
      <c r="I1858" s="11" t="n">
        <v>0.01</v>
      </c>
      <c r="J1858" s="6" t="n">
        <v>15</v>
      </c>
      <c r="K1858" s="7">
        <f>IF(I1858="","",I1858*(1+J1858/100))</f>
        <v/>
      </c>
      <c r="L1858" s="12" t="inlineStr"/>
      <c r="M1858" s="8">
        <f>IF(OR(L1858="",K1858="",L1858=0),"",
  (L1858-K1858)/L1858*100)</f>
        <v/>
      </c>
      <c r="N1858" s="13" t="n">
        <v>41</v>
      </c>
      <c r="O1858" s="10" t="inlineStr"/>
      <c r="P1858" s="10" t="inlineStr"/>
      <c r="Q1858" s="10" t="inlineStr"/>
      <c r="R1858" s="10" t="inlineStr">
        <is>
          <t>2026-03-12</t>
        </is>
      </c>
      <c r="S1858" s="10" t="inlineStr"/>
    </row>
    <row r="1859">
      <c r="A1859" s="3" t="inlineStr">
        <is>
          <t>F02334</t>
        </is>
      </c>
      <c r="B1859" s="4" t="inlineStr">
        <is>
          <t>F02334</t>
        </is>
      </c>
      <c r="C1859" s="4" t="inlineStr"/>
      <c r="D1859" s="4" t="inlineStr"/>
      <c r="E1859" s="3" t="inlineStr">
        <is>
          <t>TABLE FOLDING WHITE  -LOCAL (Z)</t>
        </is>
      </c>
      <c r="F1859" s="4" t="inlineStr"/>
      <c r="G1859" s="4" t="inlineStr"/>
      <c r="H1859" s="4" t="inlineStr"/>
      <c r="I1859" s="5" t="n">
        <v>426.08</v>
      </c>
      <c r="J1859" s="6" t="n">
        <v>15</v>
      </c>
      <c r="K1859" s="7">
        <f>IF(I1859="","",I1859*(1+J1859/100))</f>
        <v/>
      </c>
      <c r="L1859" s="12" t="inlineStr"/>
      <c r="M1859" s="8">
        <f>IF(OR(L1859="",K1859="",L1859=0),"",
  (L1859-K1859)/L1859*100)</f>
        <v/>
      </c>
      <c r="N1859" s="9" t="inlineStr"/>
      <c r="O1859" s="4" t="inlineStr"/>
      <c r="P1859" s="4" t="inlineStr"/>
      <c r="Q1859" s="4" t="inlineStr"/>
      <c r="R1859" s="4" t="inlineStr">
        <is>
          <t>2026-03-12</t>
        </is>
      </c>
      <c r="S1859" s="4" t="inlineStr"/>
    </row>
    <row r="1860">
      <c r="A1860" s="10" t="inlineStr">
        <is>
          <t>F02335</t>
        </is>
      </c>
      <c r="B1860" s="10" t="inlineStr">
        <is>
          <t>F02335</t>
        </is>
      </c>
      <c r="C1860" s="10" t="inlineStr"/>
      <c r="D1860" s="10" t="inlineStr">
        <is>
          <t>6009708400420</t>
        </is>
      </c>
      <c r="E1860" s="10" t="inlineStr">
        <is>
          <t>WALL PANEL-BLANCO G 2.9MX 0.145MM</t>
        </is>
      </c>
      <c r="F1860" s="10" t="inlineStr"/>
      <c r="G1860" s="10" t="inlineStr"/>
      <c r="H1860" s="10" t="inlineStr"/>
      <c r="I1860" s="11" t="n">
        <v>3718</v>
      </c>
      <c r="J1860" s="6" t="n">
        <v>15</v>
      </c>
      <c r="K1860" s="7">
        <f>IF(I1860="","",I1860*(1+J1860/100))</f>
        <v/>
      </c>
      <c r="L1860" s="12" t="inlineStr"/>
      <c r="M1860" s="8">
        <f>IF(OR(L1860="",K1860="",L1860=0),"",
  (L1860-K1860)/L1860*100)</f>
        <v/>
      </c>
      <c r="N1860" s="9" t="inlineStr"/>
      <c r="O1860" s="10" t="inlineStr"/>
      <c r="P1860" s="10" t="inlineStr"/>
      <c r="Q1860" s="10" t="inlineStr"/>
      <c r="R1860" s="10" t="inlineStr">
        <is>
          <t>2026-03-12</t>
        </is>
      </c>
      <c r="S1860" s="10" t="inlineStr"/>
    </row>
    <row r="1861">
      <c r="A1861" s="3" t="inlineStr">
        <is>
          <t>F02336</t>
        </is>
      </c>
      <c r="B1861" s="4" t="inlineStr">
        <is>
          <t>F02336</t>
        </is>
      </c>
      <c r="C1861" s="4" t="inlineStr"/>
      <c r="D1861" s="4" t="inlineStr">
        <is>
          <t>6009708400437</t>
        </is>
      </c>
      <c r="E1861" s="3" t="inlineStr">
        <is>
          <t>WALL PANEL-SAND RUSTIC G 2.9MX 0.145MM</t>
        </is>
      </c>
      <c r="F1861" s="4" t="inlineStr"/>
      <c r="G1861" s="4" t="inlineStr"/>
      <c r="H1861" s="4" t="inlineStr"/>
      <c r="I1861" s="5" t="n">
        <v>3718</v>
      </c>
      <c r="J1861" s="6" t="n">
        <v>15</v>
      </c>
      <c r="K1861" s="7">
        <f>IF(I1861="","",I1861*(1+J1861/100))</f>
        <v/>
      </c>
      <c r="L1861" s="12" t="inlineStr"/>
      <c r="M1861" s="8">
        <f>IF(OR(L1861="",K1861="",L1861=0),"",
  (L1861-K1861)/L1861*100)</f>
        <v/>
      </c>
      <c r="N1861" s="9" t="inlineStr"/>
      <c r="O1861" s="4" t="inlineStr"/>
      <c r="P1861" s="4" t="inlineStr"/>
      <c r="Q1861" s="4" t="inlineStr"/>
      <c r="R1861" s="4" t="inlineStr">
        <is>
          <t>2026-03-12</t>
        </is>
      </c>
      <c r="S1861" s="4" t="inlineStr"/>
    </row>
    <row r="1862">
      <c r="A1862" s="10" t="inlineStr">
        <is>
          <t>F02337</t>
        </is>
      </c>
      <c r="B1862" s="10" t="inlineStr">
        <is>
          <t>F02337</t>
        </is>
      </c>
      <c r="C1862" s="10" t="inlineStr"/>
      <c r="D1862" s="10" t="inlineStr">
        <is>
          <t>6009708400444</t>
        </is>
      </c>
      <c r="E1862" s="10" t="inlineStr">
        <is>
          <t>WALL PANEL-PECAN RUSTIC G 2.9MX 0.145MM</t>
        </is>
      </c>
      <c r="F1862" s="10" t="inlineStr"/>
      <c r="G1862" s="10" t="inlineStr"/>
      <c r="H1862" s="10" t="inlineStr"/>
      <c r="I1862" s="11" t="n">
        <v>3718</v>
      </c>
      <c r="J1862" s="6" t="n">
        <v>15</v>
      </c>
      <c r="K1862" s="7">
        <f>IF(I1862="","",I1862*(1+J1862/100))</f>
        <v/>
      </c>
      <c r="L1862" s="12" t="inlineStr"/>
      <c r="M1862" s="8">
        <f>IF(OR(L1862="",K1862="",L1862=0),"",
  (L1862-K1862)/L1862*100)</f>
        <v/>
      </c>
      <c r="N1862" s="9" t="inlineStr"/>
      <c r="O1862" s="10" t="inlineStr"/>
      <c r="P1862" s="10" t="inlineStr"/>
      <c r="Q1862" s="10" t="inlineStr"/>
      <c r="R1862" s="10" t="inlineStr">
        <is>
          <t>2026-03-12</t>
        </is>
      </c>
      <c r="S1862" s="10" t="inlineStr"/>
    </row>
    <row r="1863">
      <c r="A1863" s="3" t="inlineStr">
        <is>
          <t>F02337A</t>
        </is>
      </c>
      <c r="B1863" s="4" t="inlineStr">
        <is>
          <t>F02337A</t>
        </is>
      </c>
      <c r="C1863" s="4" t="inlineStr"/>
      <c r="D1863" s="4" t="inlineStr"/>
      <c r="E1863" s="3" t="inlineStr">
        <is>
          <t>WALL PANEL PECAN RUSTIC 2.9MX0.145MM</t>
        </is>
      </c>
      <c r="F1863" s="4" t="inlineStr"/>
      <c r="G1863" s="4" t="inlineStr"/>
      <c r="H1863" s="4" t="inlineStr"/>
      <c r="I1863" s="5" t="n">
        <v>3380</v>
      </c>
      <c r="J1863" s="6" t="n">
        <v>15</v>
      </c>
      <c r="K1863" s="7">
        <f>IF(I1863="","",I1863*(1+J1863/100))</f>
        <v/>
      </c>
      <c r="L1863" s="12" t="inlineStr"/>
      <c r="M1863" s="8">
        <f>IF(OR(L1863="",K1863="",L1863=0),"",
  (L1863-K1863)/L1863*100)</f>
        <v/>
      </c>
      <c r="N1863" s="9" t="inlineStr"/>
      <c r="O1863" s="4" t="inlineStr"/>
      <c r="P1863" s="4" t="inlineStr"/>
      <c r="Q1863" s="4" t="inlineStr"/>
      <c r="R1863" s="4" t="inlineStr">
        <is>
          <t>2026-03-12</t>
        </is>
      </c>
      <c r="S1863" s="4" t="inlineStr"/>
    </row>
    <row r="1864">
      <c r="A1864" s="10" t="inlineStr">
        <is>
          <t>F02338</t>
        </is>
      </c>
      <c r="B1864" s="10" t="inlineStr">
        <is>
          <t>F02338</t>
        </is>
      </c>
      <c r="C1864" s="10" t="inlineStr"/>
      <c r="D1864" s="10" t="inlineStr">
        <is>
          <t>6009708400451</t>
        </is>
      </c>
      <c r="E1864" s="10" t="inlineStr">
        <is>
          <t>WALL PANEL-ROSE G 2.9MX 0.145MM</t>
        </is>
      </c>
      <c r="F1864" s="10" t="inlineStr"/>
      <c r="G1864" s="10" t="inlineStr"/>
      <c r="H1864" s="10" t="inlineStr"/>
      <c r="I1864" s="11" t="n">
        <v>3718</v>
      </c>
      <c r="J1864" s="6" t="n">
        <v>15</v>
      </c>
      <c r="K1864" s="7">
        <f>IF(I1864="","",I1864*(1+J1864/100))</f>
        <v/>
      </c>
      <c r="L1864" s="12" t="inlineStr"/>
      <c r="M1864" s="8">
        <f>IF(OR(L1864="",K1864="",L1864=0),"",
  (L1864-K1864)/L1864*100)</f>
        <v/>
      </c>
      <c r="N1864" s="9" t="inlineStr"/>
      <c r="O1864" s="10" t="inlineStr"/>
      <c r="P1864" s="10" t="inlineStr"/>
      <c r="Q1864" s="10" t="inlineStr"/>
      <c r="R1864" s="10" t="inlineStr">
        <is>
          <t>2026-03-12</t>
        </is>
      </c>
      <c r="S1864" s="10" t="inlineStr"/>
    </row>
    <row r="1865">
      <c r="A1865" s="3" t="inlineStr">
        <is>
          <t>F02339</t>
        </is>
      </c>
      <c r="B1865" s="4" t="inlineStr">
        <is>
          <t>F02339</t>
        </is>
      </c>
      <c r="C1865" s="4" t="inlineStr"/>
      <c r="D1865" s="4" t="inlineStr">
        <is>
          <t>6009708400468</t>
        </is>
      </c>
      <c r="E1865" s="3" t="inlineStr">
        <is>
          <t>WALL PANEL-BRAWN G 2.9MX 0.145MM</t>
        </is>
      </c>
      <c r="F1865" s="4" t="inlineStr"/>
      <c r="G1865" s="4" t="inlineStr"/>
      <c r="H1865" s="4" t="inlineStr"/>
      <c r="I1865" s="5" t="n">
        <v>3718</v>
      </c>
      <c r="J1865" s="6" t="n">
        <v>15</v>
      </c>
      <c r="K1865" s="7">
        <f>IF(I1865="","",I1865*(1+J1865/100))</f>
        <v/>
      </c>
      <c r="L1865" s="12" t="inlineStr"/>
      <c r="M1865" s="8">
        <f>IF(OR(L1865="",K1865="",L1865=0),"",
  (L1865-K1865)/L1865*100)</f>
        <v/>
      </c>
      <c r="N1865" s="9" t="inlineStr"/>
      <c r="O1865" s="4" t="inlineStr"/>
      <c r="P1865" s="4" t="inlineStr"/>
      <c r="Q1865" s="4" t="inlineStr"/>
      <c r="R1865" s="4" t="inlineStr">
        <is>
          <t>2026-03-12</t>
        </is>
      </c>
      <c r="S1865" s="4" t="inlineStr"/>
    </row>
    <row r="1866">
      <c r="A1866" s="10" t="inlineStr">
        <is>
          <t>F02339A</t>
        </is>
      </c>
      <c r="B1866" s="10" t="inlineStr">
        <is>
          <t>F02339A</t>
        </is>
      </c>
      <c r="C1866" s="10" t="inlineStr"/>
      <c r="D1866" s="10" t="inlineStr"/>
      <c r="E1866" s="10" t="inlineStr">
        <is>
          <t>WALL PANEL BRAWN G 2.9MX0.145MM</t>
        </is>
      </c>
      <c r="F1866" s="10" t="inlineStr"/>
      <c r="G1866" s="10" t="inlineStr"/>
      <c r="H1866" s="10" t="inlineStr"/>
      <c r="I1866" s="11" t="n">
        <v>3380</v>
      </c>
      <c r="J1866" s="6" t="n">
        <v>15</v>
      </c>
      <c r="K1866" s="7">
        <f>IF(I1866="","",I1866*(1+J1866/100))</f>
        <v/>
      </c>
      <c r="L1866" s="12" t="inlineStr"/>
      <c r="M1866" s="8">
        <f>IF(OR(L1866="",K1866="",L1866=0),"",
  (L1866-K1866)/L1866*100)</f>
        <v/>
      </c>
      <c r="N1866" s="9" t="inlineStr"/>
      <c r="O1866" s="10" t="inlineStr"/>
      <c r="P1866" s="10" t="inlineStr"/>
      <c r="Q1866" s="10" t="inlineStr"/>
      <c r="R1866" s="10" t="inlineStr">
        <is>
          <t>2026-03-12</t>
        </is>
      </c>
      <c r="S1866" s="10" t="inlineStr"/>
    </row>
    <row r="1867">
      <c r="A1867" s="3" t="inlineStr">
        <is>
          <t>F02340</t>
        </is>
      </c>
      <c r="B1867" s="4" t="inlineStr">
        <is>
          <t>F02340</t>
        </is>
      </c>
      <c r="C1867" s="4" t="inlineStr"/>
      <c r="D1867" s="4" t="inlineStr">
        <is>
          <t>6009708400475</t>
        </is>
      </c>
      <c r="E1867" s="3" t="inlineStr">
        <is>
          <t>WALL PANEL-BARCELONA NERO 2.9MX0.175MM</t>
        </is>
      </c>
      <c r="F1867" s="4" t="inlineStr"/>
      <c r="G1867" s="4" t="inlineStr"/>
      <c r="H1867" s="4" t="inlineStr"/>
      <c r="I1867" s="5" t="n">
        <v>950</v>
      </c>
      <c r="J1867" s="6" t="n">
        <v>15</v>
      </c>
      <c r="K1867" s="7">
        <f>IF(I1867="","",I1867*(1+J1867/100))</f>
        <v/>
      </c>
      <c r="L1867" s="12" t="inlineStr"/>
      <c r="M1867" s="8">
        <f>IF(OR(L1867="",K1867="",L1867=0),"",
  (L1867-K1867)/L1867*100)</f>
        <v/>
      </c>
      <c r="N1867" s="14" t="n">
        <v>704</v>
      </c>
      <c r="O1867" s="4" t="inlineStr"/>
      <c r="P1867" s="4" t="inlineStr"/>
      <c r="Q1867" s="4" t="inlineStr"/>
      <c r="R1867" s="4" t="inlineStr">
        <is>
          <t>2026-03-12</t>
        </is>
      </c>
      <c r="S1867" s="4" t="inlineStr"/>
    </row>
    <row r="1868">
      <c r="A1868" s="10" t="inlineStr">
        <is>
          <t>F023400</t>
        </is>
      </c>
      <c r="B1868" s="10" t="inlineStr">
        <is>
          <t>F023400</t>
        </is>
      </c>
      <c r="C1868" s="10" t="inlineStr"/>
      <c r="D1868" s="10" t="inlineStr"/>
      <c r="E1868" s="10" t="inlineStr">
        <is>
          <t>PS CORNICES 2M WHITE GOLD T19WG</t>
        </is>
      </c>
      <c r="F1868" s="10" t="inlineStr"/>
      <c r="G1868" s="10" t="inlineStr"/>
      <c r="H1868" s="10" t="inlineStr"/>
      <c r="I1868" s="11" t="n">
        <v>17.34</v>
      </c>
      <c r="J1868" s="6" t="n">
        <v>15</v>
      </c>
      <c r="K1868" s="7">
        <f>IF(I1868="","",I1868*(1+J1868/100))</f>
        <v/>
      </c>
      <c r="L1868" s="12" t="inlineStr"/>
      <c r="M1868" s="8">
        <f>IF(OR(L1868="",K1868="",L1868=0),"",
  (L1868-K1868)/L1868*100)</f>
        <v/>
      </c>
      <c r="N1868" s="9" t="inlineStr"/>
      <c r="O1868" s="10" t="inlineStr"/>
      <c r="P1868" s="10" t="inlineStr"/>
      <c r="Q1868" s="10" t="inlineStr"/>
      <c r="R1868" s="10" t="inlineStr">
        <is>
          <t>2026-03-12</t>
        </is>
      </c>
      <c r="S1868" s="10" t="inlineStr"/>
    </row>
    <row r="1869">
      <c r="A1869" s="3" t="inlineStr">
        <is>
          <t>F023401</t>
        </is>
      </c>
      <c r="B1869" s="4" t="inlineStr">
        <is>
          <t>F023401</t>
        </is>
      </c>
      <c r="C1869" s="4" t="inlineStr"/>
      <c r="D1869" s="4" t="inlineStr"/>
      <c r="E1869" s="3" t="inlineStr">
        <is>
          <t>PS CORNICES 2M WHITE GOLD T18WG</t>
        </is>
      </c>
      <c r="F1869" s="4" t="inlineStr"/>
      <c r="G1869" s="4" t="inlineStr"/>
      <c r="H1869" s="4" t="inlineStr"/>
      <c r="I1869" s="5" t="n">
        <v>17.34</v>
      </c>
      <c r="J1869" s="6" t="n">
        <v>15</v>
      </c>
      <c r="K1869" s="7">
        <f>IF(I1869="","",I1869*(1+J1869/100))</f>
        <v/>
      </c>
      <c r="L1869" s="12" t="inlineStr"/>
      <c r="M1869" s="8">
        <f>IF(OR(L1869="",K1869="",L1869=0),"",
  (L1869-K1869)/L1869*100)</f>
        <v/>
      </c>
      <c r="N1869" s="9" t="inlineStr"/>
      <c r="O1869" s="4" t="inlineStr"/>
      <c r="P1869" s="4" t="inlineStr"/>
      <c r="Q1869" s="4" t="inlineStr"/>
      <c r="R1869" s="4" t="inlineStr">
        <is>
          <t>2026-03-12</t>
        </is>
      </c>
      <c r="S1869" s="4" t="inlineStr"/>
    </row>
    <row r="1870">
      <c r="A1870" s="10" t="inlineStr">
        <is>
          <t>F023407</t>
        </is>
      </c>
      <c r="B1870" s="10" t="inlineStr">
        <is>
          <t>F023407</t>
        </is>
      </c>
      <c r="C1870" s="10" t="inlineStr"/>
      <c r="D1870" s="10" t="inlineStr"/>
      <c r="E1870" s="10" t="inlineStr">
        <is>
          <t>BASIN 60LTR WITH HANDLE ASST COLORS</t>
        </is>
      </c>
      <c r="F1870" s="10" t="inlineStr"/>
      <c r="G1870" s="10" t="inlineStr"/>
      <c r="H1870" s="10" t="inlineStr"/>
      <c r="I1870" s="11" t="n">
        <v>25.95</v>
      </c>
      <c r="J1870" s="6" t="n">
        <v>15</v>
      </c>
      <c r="K1870" s="7">
        <f>IF(I1870="","",I1870*(1+J1870/100))</f>
        <v/>
      </c>
      <c r="L1870" s="12" t="inlineStr"/>
      <c r="M1870" s="8">
        <f>IF(OR(L1870="",K1870="",L1870=0),"",
  (L1870-K1870)/L1870*100)</f>
        <v/>
      </c>
      <c r="N1870" s="9" t="inlineStr"/>
      <c r="O1870" s="10" t="inlineStr"/>
      <c r="P1870" s="10" t="inlineStr"/>
      <c r="Q1870" s="10" t="inlineStr"/>
      <c r="R1870" s="10" t="inlineStr">
        <is>
          <t>2026-03-12</t>
        </is>
      </c>
      <c r="S1870" s="10" t="inlineStr"/>
    </row>
    <row r="1871">
      <c r="A1871" s="3" t="inlineStr">
        <is>
          <t>F02341</t>
        </is>
      </c>
      <c r="B1871" s="4" t="inlineStr">
        <is>
          <t>F02341</t>
        </is>
      </c>
      <c r="C1871" s="4" t="inlineStr"/>
      <c r="D1871" s="4" t="inlineStr">
        <is>
          <t>6009708400482</t>
        </is>
      </c>
      <c r="E1871" s="3" t="inlineStr">
        <is>
          <t>WALL PANEL-BARCELONA WENGE 2.9MX0.175MM</t>
        </is>
      </c>
      <c r="F1871" s="4" t="inlineStr"/>
      <c r="G1871" s="4" t="inlineStr"/>
      <c r="H1871" s="4" t="inlineStr"/>
      <c r="I1871" s="5" t="n">
        <v>950</v>
      </c>
      <c r="J1871" s="6" t="n">
        <v>15</v>
      </c>
      <c r="K1871" s="7">
        <f>IF(I1871="","",I1871*(1+J1871/100))</f>
        <v/>
      </c>
      <c r="L1871" s="12" t="inlineStr"/>
      <c r="M1871" s="8">
        <f>IF(OR(L1871="",K1871="",L1871=0),"",
  (L1871-K1871)/L1871*100)</f>
        <v/>
      </c>
      <c r="N1871" s="14" t="n">
        <v>95</v>
      </c>
      <c r="O1871" s="4" t="inlineStr"/>
      <c r="P1871" s="4" t="inlineStr"/>
      <c r="Q1871" s="4" t="inlineStr"/>
      <c r="R1871" s="4" t="inlineStr">
        <is>
          <t>2026-03-12</t>
        </is>
      </c>
      <c r="S1871" s="4" t="inlineStr"/>
    </row>
    <row r="1872">
      <c r="A1872" s="10" t="inlineStr">
        <is>
          <t>F02342</t>
        </is>
      </c>
      <c r="B1872" s="10" t="inlineStr">
        <is>
          <t>F02342</t>
        </is>
      </c>
      <c r="C1872" s="10" t="inlineStr"/>
      <c r="D1872" s="10" t="inlineStr">
        <is>
          <t>6009708400505</t>
        </is>
      </c>
      <c r="E1872" s="10" t="inlineStr">
        <is>
          <t>WALL PANEL-BARCELONA TEAK 2.9MX0.175MM</t>
        </is>
      </c>
      <c r="F1872" s="10" t="inlineStr"/>
      <c r="G1872" s="10" t="inlineStr"/>
      <c r="H1872" s="10" t="inlineStr"/>
      <c r="I1872" s="11" t="n">
        <v>950</v>
      </c>
      <c r="J1872" s="6" t="n">
        <v>15</v>
      </c>
      <c r="K1872" s="7">
        <f>IF(I1872="","",I1872*(1+J1872/100))</f>
        <v/>
      </c>
      <c r="L1872" s="12" t="inlineStr"/>
      <c r="M1872" s="8">
        <f>IF(OR(L1872="",K1872="",L1872=0),"",
  (L1872-K1872)/L1872*100)</f>
        <v/>
      </c>
      <c r="N1872" s="13" t="n">
        <v>66</v>
      </c>
      <c r="O1872" s="10" t="inlineStr"/>
      <c r="P1872" s="10" t="inlineStr"/>
      <c r="Q1872" s="10" t="inlineStr"/>
      <c r="R1872" s="10" t="inlineStr">
        <is>
          <t>2026-03-12</t>
        </is>
      </c>
      <c r="S1872" s="10" t="inlineStr"/>
    </row>
    <row r="1873">
      <c r="A1873" s="3" t="inlineStr">
        <is>
          <t>F02343</t>
        </is>
      </c>
      <c r="B1873" s="4" t="inlineStr">
        <is>
          <t>F02343</t>
        </is>
      </c>
      <c r="C1873" s="4" t="inlineStr"/>
      <c r="D1873" s="4" t="inlineStr">
        <is>
          <t>6009708400512</t>
        </is>
      </c>
      <c r="E1873" s="3" t="inlineStr">
        <is>
          <t>WALL PANEL-BARCELONA GREY  2.9MX0.175MM</t>
        </is>
      </c>
      <c r="F1873" s="4" t="inlineStr"/>
      <c r="G1873" s="4" t="inlineStr"/>
      <c r="H1873" s="4" t="inlineStr"/>
      <c r="I1873" s="5" t="n">
        <v>950</v>
      </c>
      <c r="J1873" s="6" t="n">
        <v>15</v>
      </c>
      <c r="K1873" s="7">
        <f>IF(I1873="","",I1873*(1+J1873/100))</f>
        <v/>
      </c>
      <c r="L1873" s="12" t="inlineStr"/>
      <c r="M1873" s="8">
        <f>IF(OR(L1873="",K1873="",L1873=0),"",
  (L1873-K1873)/L1873*100)</f>
        <v/>
      </c>
      <c r="N1873" s="14" t="n">
        <v>314</v>
      </c>
      <c r="O1873" s="4" t="inlineStr"/>
      <c r="P1873" s="4" t="inlineStr"/>
      <c r="Q1873" s="4" t="inlineStr"/>
      <c r="R1873" s="4" t="inlineStr">
        <is>
          <t>2026-03-12</t>
        </is>
      </c>
      <c r="S1873" s="4" t="inlineStr"/>
    </row>
    <row r="1874">
      <c r="A1874" s="10" t="inlineStr">
        <is>
          <t>F02344</t>
        </is>
      </c>
      <c r="B1874" s="10" t="inlineStr">
        <is>
          <t>F02344</t>
        </is>
      </c>
      <c r="C1874" s="10" t="inlineStr"/>
      <c r="D1874" s="10" t="inlineStr">
        <is>
          <t>6009708400529</t>
        </is>
      </c>
      <c r="E1874" s="10" t="inlineStr">
        <is>
          <t>WALL PANEL-BARCELONA MARBLE 2.9MX0.175MM</t>
        </is>
      </c>
      <c r="F1874" s="10" t="inlineStr"/>
      <c r="G1874" s="10" t="inlineStr"/>
      <c r="H1874" s="10" t="inlineStr"/>
      <c r="I1874" s="11" t="n">
        <v>950</v>
      </c>
      <c r="J1874" s="6" t="n">
        <v>15</v>
      </c>
      <c r="K1874" s="7">
        <f>IF(I1874="","",I1874*(1+J1874/100))</f>
        <v/>
      </c>
      <c r="L1874" s="12" t="inlineStr"/>
      <c r="M1874" s="8">
        <f>IF(OR(L1874="",K1874="",L1874=0),"",
  (L1874-K1874)/L1874*100)</f>
        <v/>
      </c>
      <c r="N1874" s="13" t="n">
        <v>277</v>
      </c>
      <c r="O1874" s="10" t="inlineStr"/>
      <c r="P1874" s="10" t="inlineStr"/>
      <c r="Q1874" s="10" t="inlineStr"/>
      <c r="R1874" s="10" t="inlineStr">
        <is>
          <t>2026-03-12</t>
        </is>
      </c>
      <c r="S1874" s="10" t="inlineStr"/>
    </row>
    <row r="1875">
      <c r="A1875" s="3" t="inlineStr">
        <is>
          <t>F02345</t>
        </is>
      </c>
      <c r="B1875" s="4" t="inlineStr">
        <is>
          <t>F02345</t>
        </is>
      </c>
      <c r="C1875" s="4" t="inlineStr">
        <is>
          <t>10271</t>
        </is>
      </c>
      <c r="D1875" s="4" t="inlineStr">
        <is>
          <t>6971419775480</t>
        </is>
      </c>
      <c r="E1875" s="3" t="inlineStr">
        <is>
          <t>EMERGENCY BULB 9W B22 PIN TYPE</t>
        </is>
      </c>
      <c r="F1875" s="4" t="inlineStr"/>
      <c r="G1875" s="4" t="inlineStr"/>
      <c r="H1875" s="4" t="inlineStr"/>
      <c r="I1875" s="5" t="n">
        <v>28.69</v>
      </c>
      <c r="J1875" s="6" t="n">
        <v>15</v>
      </c>
      <c r="K1875" s="7">
        <f>IF(I1875="","",I1875*(1+J1875/100))</f>
        <v/>
      </c>
      <c r="L1875" s="5" t="n">
        <v>170</v>
      </c>
      <c r="M1875" s="8">
        <f>IF(OR(L1875="",K1875="",L1875=0),"",
  (L1875-K1875)/L1875*100)</f>
        <v/>
      </c>
      <c r="N1875" s="9" t="inlineStr"/>
      <c r="O1875" s="4" t="inlineStr"/>
      <c r="P1875" s="4" t="inlineStr"/>
      <c r="Q1875" s="4" t="inlineStr"/>
      <c r="R1875" s="4" t="inlineStr">
        <is>
          <t>2026-03-12</t>
        </is>
      </c>
      <c r="S1875" s="4" t="inlineStr"/>
    </row>
    <row r="1876">
      <c r="A1876" s="10" t="inlineStr">
        <is>
          <t>F02346</t>
        </is>
      </c>
      <c r="B1876" s="10" t="inlineStr">
        <is>
          <t>F02346</t>
        </is>
      </c>
      <c r="C1876" s="10" t="inlineStr">
        <is>
          <t>10272</t>
        </is>
      </c>
      <c r="D1876" s="10" t="inlineStr">
        <is>
          <t>6971419775466</t>
        </is>
      </c>
      <c r="E1876" s="10" t="inlineStr">
        <is>
          <t>EMERGENCY BULB 9W E27 SCREW TYPE</t>
        </is>
      </c>
      <c r="F1876" s="10" t="inlineStr"/>
      <c r="G1876" s="10" t="inlineStr"/>
      <c r="H1876" s="10" t="inlineStr"/>
      <c r="I1876" s="11" t="n">
        <v>33.95</v>
      </c>
      <c r="J1876" s="6" t="n">
        <v>15</v>
      </c>
      <c r="K1876" s="7">
        <f>IF(I1876="","",I1876*(1+J1876/100))</f>
        <v/>
      </c>
      <c r="L1876" s="11" t="n">
        <v>170</v>
      </c>
      <c r="M1876" s="8">
        <f>IF(OR(L1876="",K1876="",L1876=0),"",
  (L1876-K1876)/L1876*100)</f>
        <v/>
      </c>
      <c r="N1876" s="13" t="n">
        <v>173</v>
      </c>
      <c r="O1876" s="10" t="inlineStr"/>
      <c r="P1876" s="10" t="inlineStr"/>
      <c r="Q1876" s="10" t="inlineStr"/>
      <c r="R1876" s="10" t="inlineStr">
        <is>
          <t>2026-03-12</t>
        </is>
      </c>
      <c r="S1876" s="10" t="inlineStr"/>
    </row>
    <row r="1877">
      <c r="A1877" s="3" t="inlineStr">
        <is>
          <t>F02347</t>
        </is>
      </c>
      <c r="B1877" s="4" t="inlineStr">
        <is>
          <t>F02347</t>
        </is>
      </c>
      <c r="C1877" s="4" t="inlineStr">
        <is>
          <t>24634</t>
        </is>
      </c>
      <c r="D1877" s="4" t="inlineStr">
        <is>
          <t>6009704661023</t>
        </is>
      </c>
      <c r="E1877" s="3" t="inlineStr">
        <is>
          <t>EXTENSION CORD +/- 10MTR</t>
        </is>
      </c>
      <c r="F1877" s="4" t="inlineStr"/>
      <c r="G1877" s="4" t="inlineStr"/>
      <c r="H1877" s="4" t="inlineStr"/>
      <c r="I1877" s="5" t="n">
        <v>42.95</v>
      </c>
      <c r="J1877" s="6" t="n">
        <v>15</v>
      </c>
      <c r="K1877" s="7">
        <f>IF(I1877="","",I1877*(1+J1877/100))</f>
        <v/>
      </c>
      <c r="L1877" s="5" t="n">
        <v>110</v>
      </c>
      <c r="M1877" s="8">
        <f>IF(OR(L1877="",K1877="",L1877=0),"",
  (L1877-K1877)/L1877*100)</f>
        <v/>
      </c>
      <c r="N1877" s="14" t="n">
        <v>2</v>
      </c>
      <c r="O1877" s="4" t="inlineStr"/>
      <c r="P1877" s="4" t="inlineStr"/>
      <c r="Q1877" s="4" t="inlineStr"/>
      <c r="R1877" s="4" t="inlineStr">
        <is>
          <t>2026-03-12</t>
        </is>
      </c>
      <c r="S1877" s="4" t="inlineStr"/>
    </row>
    <row r="1878">
      <c r="A1878" s="10" t="inlineStr">
        <is>
          <t>F02348</t>
        </is>
      </c>
      <c r="B1878" s="10" t="inlineStr">
        <is>
          <t>F02348</t>
        </is>
      </c>
      <c r="C1878" s="10" t="inlineStr"/>
      <c r="D1878" s="10" t="inlineStr">
        <is>
          <t>6009708400086</t>
        </is>
      </c>
      <c r="E1878" s="10" t="inlineStr">
        <is>
          <t>PAINT TRAY RED</t>
        </is>
      </c>
      <c r="F1878" s="10" t="inlineStr"/>
      <c r="G1878" s="10" t="inlineStr"/>
      <c r="H1878" s="10" t="inlineStr"/>
      <c r="I1878" s="11" t="n">
        <v>7.5</v>
      </c>
      <c r="J1878" s="6" t="n">
        <v>15</v>
      </c>
      <c r="K1878" s="7">
        <f>IF(I1878="","",I1878*(1+J1878/100))</f>
        <v/>
      </c>
      <c r="L1878" s="12" t="inlineStr"/>
      <c r="M1878" s="8">
        <f>IF(OR(L1878="",K1878="",L1878=0),"",
  (L1878-K1878)/L1878*100)</f>
        <v/>
      </c>
      <c r="N1878" s="13" t="n">
        <v>16353</v>
      </c>
      <c r="O1878" s="10" t="inlineStr"/>
      <c r="P1878" s="10" t="inlineStr"/>
      <c r="Q1878" s="10" t="inlineStr"/>
      <c r="R1878" s="10" t="inlineStr">
        <is>
          <t>2026-03-12</t>
        </is>
      </c>
      <c r="S1878" s="10" t="inlineStr"/>
    </row>
    <row r="1879">
      <c r="A1879" s="3" t="inlineStr">
        <is>
          <t>F02349</t>
        </is>
      </c>
      <c r="B1879" s="4" t="inlineStr">
        <is>
          <t>F02349</t>
        </is>
      </c>
      <c r="C1879" s="4" t="inlineStr"/>
      <c r="D1879" s="4" t="inlineStr">
        <is>
          <t>6009708400680</t>
        </is>
      </c>
      <c r="E1879" s="3" t="inlineStr">
        <is>
          <t>FLASK 3.2LTR</t>
        </is>
      </c>
      <c r="F1879" s="4" t="inlineStr"/>
      <c r="G1879" s="4" t="inlineStr"/>
      <c r="H1879" s="4" t="inlineStr"/>
      <c r="I1879" s="5" t="n">
        <v>83.95</v>
      </c>
      <c r="J1879" s="6" t="n">
        <v>15</v>
      </c>
      <c r="K1879" s="7">
        <f>IF(I1879="","",I1879*(1+J1879/100))</f>
        <v/>
      </c>
      <c r="L1879" s="12" t="inlineStr"/>
      <c r="M1879" s="8">
        <f>IF(OR(L1879="",K1879="",L1879=0),"",
  (L1879-K1879)/L1879*100)</f>
        <v/>
      </c>
      <c r="N1879" s="14" t="n">
        <v>1815</v>
      </c>
      <c r="O1879" s="4" t="inlineStr"/>
      <c r="P1879" s="4" t="inlineStr"/>
      <c r="Q1879" s="4" t="inlineStr"/>
      <c r="R1879" s="4" t="inlineStr">
        <is>
          <t>2026-03-12</t>
        </is>
      </c>
      <c r="S1879" s="4" t="inlineStr"/>
    </row>
    <row r="1880">
      <c r="A1880" s="10" t="inlineStr">
        <is>
          <t>F02350</t>
        </is>
      </c>
      <c r="B1880" s="10" t="inlineStr">
        <is>
          <t>F02350</t>
        </is>
      </c>
      <c r="C1880" s="10" t="inlineStr"/>
      <c r="D1880" s="10" t="inlineStr"/>
      <c r="E1880" s="10" t="inlineStr">
        <is>
          <t>VEG RACK OVAL ASSORTED COLORS</t>
        </is>
      </c>
      <c r="F1880" s="10" t="inlineStr"/>
      <c r="G1880" s="10" t="inlineStr"/>
      <c r="H1880" s="10" t="inlineStr"/>
      <c r="I1880" s="11" t="n">
        <v>46.5</v>
      </c>
      <c r="J1880" s="6" t="n">
        <v>15</v>
      </c>
      <c r="K1880" s="7">
        <f>IF(I1880="","",I1880*(1+J1880/100))</f>
        <v/>
      </c>
      <c r="L1880" s="12" t="inlineStr"/>
      <c r="M1880" s="8">
        <f>IF(OR(L1880="",K1880="",L1880=0),"",
  (L1880-K1880)/L1880*100)</f>
        <v/>
      </c>
      <c r="N1880" s="13" t="n">
        <v>117</v>
      </c>
      <c r="O1880" s="10" t="inlineStr"/>
      <c r="P1880" s="10" t="inlineStr"/>
      <c r="Q1880" s="10" t="inlineStr"/>
      <c r="R1880" s="10" t="inlineStr">
        <is>
          <t>2026-03-12</t>
        </is>
      </c>
      <c r="S1880" s="10" t="inlineStr"/>
    </row>
    <row r="1881">
      <c r="A1881" s="3" t="inlineStr">
        <is>
          <t>F02351</t>
        </is>
      </c>
      <c r="B1881" s="4" t="inlineStr">
        <is>
          <t>F02351</t>
        </is>
      </c>
      <c r="C1881" s="4" t="inlineStr"/>
      <c r="D1881" s="4" t="inlineStr">
        <is>
          <t>6925000253369</t>
        </is>
      </c>
      <c r="E1881" s="3" t="inlineStr">
        <is>
          <t>DUST PAN &amp; BRUSH SET -BG</t>
        </is>
      </c>
      <c r="F1881" s="4" t="inlineStr"/>
      <c r="G1881" s="4" t="inlineStr"/>
      <c r="H1881" s="4" t="inlineStr"/>
      <c r="I1881" s="5" t="n">
        <v>30.75</v>
      </c>
      <c r="J1881" s="6" t="n">
        <v>15</v>
      </c>
      <c r="K1881" s="7">
        <f>IF(I1881="","",I1881*(1+J1881/100))</f>
        <v/>
      </c>
      <c r="L1881" s="12" t="inlineStr"/>
      <c r="M1881" s="8">
        <f>IF(OR(L1881="",K1881="",L1881=0),"",
  (L1881-K1881)/L1881*100)</f>
        <v/>
      </c>
      <c r="N1881" s="14" t="n">
        <v>3</v>
      </c>
      <c r="O1881" s="4" t="inlineStr"/>
      <c r="P1881" s="4" t="inlineStr"/>
      <c r="Q1881" s="4" t="inlineStr"/>
      <c r="R1881" s="4" t="inlineStr">
        <is>
          <t>2026-03-12</t>
        </is>
      </c>
      <c r="S1881" s="4" t="inlineStr"/>
    </row>
    <row r="1882">
      <c r="A1882" s="10" t="inlineStr">
        <is>
          <t>F02352</t>
        </is>
      </c>
      <c r="B1882" s="10" t="inlineStr">
        <is>
          <t>F02352</t>
        </is>
      </c>
      <c r="C1882" s="10" t="inlineStr"/>
      <c r="D1882" s="10" t="inlineStr">
        <is>
          <t>0658325650143</t>
        </is>
      </c>
      <c r="E1882" s="10" t="inlineStr">
        <is>
          <t>EGG TRAY 18PK - ASSORTED COLOR -BG</t>
        </is>
      </c>
      <c r="F1882" s="10" t="inlineStr"/>
      <c r="G1882" s="10" t="inlineStr"/>
      <c r="H1882" s="10" t="inlineStr"/>
      <c r="I1882" s="11" t="n">
        <v>23</v>
      </c>
      <c r="J1882" s="6" t="n">
        <v>15</v>
      </c>
      <c r="K1882" s="7">
        <f>IF(I1882="","",I1882*(1+J1882/100))</f>
        <v/>
      </c>
      <c r="L1882" s="12" t="inlineStr"/>
      <c r="M1882" s="8">
        <f>IF(OR(L1882="",K1882="",L1882=0),"",
  (L1882-K1882)/L1882*100)</f>
        <v/>
      </c>
      <c r="N1882" s="13" t="n">
        <v>25</v>
      </c>
      <c r="O1882" s="10" t="inlineStr"/>
      <c r="P1882" s="10" t="inlineStr"/>
      <c r="Q1882" s="10" t="inlineStr"/>
      <c r="R1882" s="10" t="inlineStr">
        <is>
          <t>2026-03-12</t>
        </is>
      </c>
      <c r="S1882" s="10" t="inlineStr"/>
    </row>
    <row r="1883">
      <c r="A1883" s="3" t="inlineStr">
        <is>
          <t>F02353</t>
        </is>
      </c>
      <c r="B1883" s="4" t="inlineStr">
        <is>
          <t>F02353</t>
        </is>
      </c>
      <c r="C1883" s="4" t="inlineStr"/>
      <c r="D1883" s="4" t="inlineStr">
        <is>
          <t>6009708400888</t>
        </is>
      </c>
      <c r="E1883" s="3" t="inlineStr">
        <is>
          <t>HONEY JAR PLASTIC-BG</t>
        </is>
      </c>
      <c r="F1883" s="4" t="inlineStr"/>
      <c r="G1883" s="4" t="inlineStr"/>
      <c r="H1883" s="4" t="inlineStr"/>
      <c r="I1883" s="5" t="n">
        <v>3.2</v>
      </c>
      <c r="J1883" s="6" t="n">
        <v>15</v>
      </c>
      <c r="K1883" s="7">
        <f>IF(I1883="","",I1883*(1+J1883/100))</f>
        <v/>
      </c>
      <c r="L1883" s="12" t="inlineStr"/>
      <c r="M1883" s="8">
        <f>IF(OR(L1883="",K1883="",L1883=0),"",
  (L1883-K1883)/L1883*100)</f>
        <v/>
      </c>
      <c r="N1883" s="14" t="n">
        <v>220</v>
      </c>
      <c r="O1883" s="4" t="inlineStr"/>
      <c r="P1883" s="4" t="inlineStr"/>
      <c r="Q1883" s="4" t="inlineStr"/>
      <c r="R1883" s="4" t="inlineStr">
        <is>
          <t>2026-03-12</t>
        </is>
      </c>
      <c r="S1883" s="4" t="inlineStr"/>
    </row>
    <row r="1884">
      <c r="A1884" s="10" t="inlineStr">
        <is>
          <t>F02354</t>
        </is>
      </c>
      <c r="B1884" s="10" t="inlineStr">
        <is>
          <t>F02354</t>
        </is>
      </c>
      <c r="C1884" s="10" t="inlineStr">
        <is>
          <t>32280</t>
        </is>
      </c>
      <c r="D1884" s="10" t="inlineStr">
        <is>
          <t>6009708400895</t>
        </is>
      </c>
      <c r="E1884" s="10" t="inlineStr">
        <is>
          <t>LINEN BASKET PLASTIC RECT- BG</t>
        </is>
      </c>
      <c r="F1884" s="10" t="inlineStr"/>
      <c r="G1884" s="10" t="inlineStr"/>
      <c r="H1884" s="10" t="inlineStr"/>
      <c r="I1884" s="11" t="n">
        <v>40.5</v>
      </c>
      <c r="J1884" s="6" t="n">
        <v>15</v>
      </c>
      <c r="K1884" s="7">
        <f>IF(I1884="","",I1884*(1+J1884/100))</f>
        <v/>
      </c>
      <c r="L1884" s="12" t="inlineStr"/>
      <c r="M1884" s="8">
        <f>IF(OR(L1884="",K1884="",L1884=0),"",
  (L1884-K1884)/L1884*100)</f>
        <v/>
      </c>
      <c r="N1884" s="9" t="inlineStr"/>
      <c r="O1884" s="10" t="inlineStr"/>
      <c r="P1884" s="10" t="inlineStr"/>
      <c r="Q1884" s="10" t="inlineStr"/>
      <c r="R1884" s="10" t="inlineStr">
        <is>
          <t>2026-03-12</t>
        </is>
      </c>
      <c r="S1884" s="10" t="inlineStr"/>
    </row>
    <row r="1885">
      <c r="A1885" s="3" t="inlineStr">
        <is>
          <t>F02355</t>
        </is>
      </c>
      <c r="B1885" s="4" t="inlineStr">
        <is>
          <t>F02355</t>
        </is>
      </c>
      <c r="C1885" s="4" t="inlineStr"/>
      <c r="D1885" s="4" t="inlineStr">
        <is>
          <t>6009708400864</t>
        </is>
      </c>
      <c r="E1885" s="3" t="inlineStr">
        <is>
          <t>FOOD SAVER 3PC SET -MIA large</t>
        </is>
      </c>
      <c r="F1885" s="4" t="inlineStr"/>
      <c r="G1885" s="4" t="inlineStr"/>
      <c r="H1885" s="4" t="inlineStr"/>
      <c r="I1885" s="5" t="n">
        <v>28.95</v>
      </c>
      <c r="J1885" s="6" t="n">
        <v>15</v>
      </c>
      <c r="K1885" s="7">
        <f>IF(I1885="","",I1885*(1+J1885/100))</f>
        <v/>
      </c>
      <c r="L1885" s="12" t="inlineStr"/>
      <c r="M1885" s="8">
        <f>IF(OR(L1885="",K1885="",L1885=0),"",
  (L1885-K1885)/L1885*100)</f>
        <v/>
      </c>
      <c r="N1885" s="9" t="inlineStr"/>
      <c r="O1885" s="4" t="inlineStr"/>
      <c r="P1885" s="4" t="inlineStr"/>
      <c r="Q1885" s="4" t="inlineStr"/>
      <c r="R1885" s="4" t="inlineStr">
        <is>
          <t>2026-03-12</t>
        </is>
      </c>
      <c r="S1885" s="4" t="inlineStr"/>
    </row>
    <row r="1886">
      <c r="A1886" s="10" t="inlineStr">
        <is>
          <t>F02356</t>
        </is>
      </c>
      <c r="B1886" s="10" t="inlineStr">
        <is>
          <t>F02356</t>
        </is>
      </c>
      <c r="C1886" s="10" t="inlineStr"/>
      <c r="D1886" s="10" t="inlineStr">
        <is>
          <t>600708400871</t>
        </is>
      </c>
      <c r="E1886" s="10" t="inlineStr">
        <is>
          <t>FOOD SAVER 5PC ASSRTD COLOR- BG large</t>
        </is>
      </c>
      <c r="F1886" s="10" t="inlineStr"/>
      <c r="G1886" s="10" t="inlineStr"/>
      <c r="H1886" s="10" t="inlineStr"/>
      <c r="I1886" s="11" t="n">
        <v>38.95</v>
      </c>
      <c r="J1886" s="6" t="n">
        <v>15</v>
      </c>
      <c r="K1886" s="7">
        <f>IF(I1886="","",I1886*(1+J1886/100))</f>
        <v/>
      </c>
      <c r="L1886" s="12" t="inlineStr"/>
      <c r="M1886" s="8">
        <f>IF(OR(L1886="",K1886="",L1886=0),"",
  (L1886-K1886)/L1886*100)</f>
        <v/>
      </c>
      <c r="N1886" s="13" t="n">
        <v>110</v>
      </c>
      <c r="O1886" s="10" t="inlineStr"/>
      <c r="P1886" s="10" t="inlineStr"/>
      <c r="Q1886" s="10" t="inlineStr"/>
      <c r="R1886" s="10" t="inlineStr">
        <is>
          <t>2026-03-12</t>
        </is>
      </c>
      <c r="S1886" s="10" t="inlineStr"/>
    </row>
    <row r="1887">
      <c r="A1887" s="3" t="inlineStr">
        <is>
          <t>F02357</t>
        </is>
      </c>
      <c r="B1887" s="4" t="inlineStr">
        <is>
          <t>F02357</t>
        </is>
      </c>
      <c r="C1887" s="4" t="inlineStr"/>
      <c r="D1887" s="4" t="inlineStr">
        <is>
          <t>6002638005802</t>
        </is>
      </c>
      <c r="E1887" s="3" t="inlineStr">
        <is>
          <t>ORGANIZER PLASTIC -BG</t>
        </is>
      </c>
      <c r="F1887" s="4" t="inlineStr"/>
      <c r="G1887" s="4" t="inlineStr"/>
      <c r="H1887" s="4" t="inlineStr"/>
      <c r="I1887" s="5" t="n">
        <v>40.5</v>
      </c>
      <c r="J1887" s="6" t="n">
        <v>15</v>
      </c>
      <c r="K1887" s="7">
        <f>IF(I1887="","",I1887*(1+J1887/100))</f>
        <v/>
      </c>
      <c r="L1887" s="12" t="inlineStr"/>
      <c r="M1887" s="8">
        <f>IF(OR(L1887="",K1887="",L1887=0),"",
  (L1887-K1887)/L1887*100)</f>
        <v/>
      </c>
      <c r="N1887" s="9" t="inlineStr"/>
      <c r="O1887" s="4" t="inlineStr"/>
      <c r="P1887" s="4" t="inlineStr"/>
      <c r="Q1887" s="4" t="inlineStr"/>
      <c r="R1887" s="4" t="inlineStr">
        <is>
          <t>2026-03-12</t>
        </is>
      </c>
      <c r="S1887" s="4" t="inlineStr"/>
    </row>
    <row r="1888">
      <c r="A1888" s="10" t="inlineStr">
        <is>
          <t>F02358</t>
        </is>
      </c>
      <c r="B1888" s="10" t="inlineStr">
        <is>
          <t>F02358</t>
        </is>
      </c>
      <c r="C1888" s="10" t="inlineStr"/>
      <c r="D1888" s="10" t="inlineStr">
        <is>
          <t>6009708400857</t>
        </is>
      </c>
      <c r="E1888" s="10" t="inlineStr">
        <is>
          <t>FOOD SAVER SMALL 5PC- BG</t>
        </is>
      </c>
      <c r="F1888" s="10" t="inlineStr"/>
      <c r="G1888" s="10" t="inlineStr"/>
      <c r="H1888" s="10" t="inlineStr"/>
      <c r="I1888" s="11" t="n">
        <v>36.5</v>
      </c>
      <c r="J1888" s="6" t="n">
        <v>15</v>
      </c>
      <c r="K1888" s="7">
        <f>IF(I1888="","",I1888*(1+J1888/100))</f>
        <v/>
      </c>
      <c r="L1888" s="12" t="inlineStr"/>
      <c r="M1888" s="8">
        <f>IF(OR(L1888="",K1888="",L1888=0),"",
  (L1888-K1888)/L1888*100)</f>
        <v/>
      </c>
      <c r="N1888" s="13" t="n">
        <v>87</v>
      </c>
      <c r="O1888" s="10" t="inlineStr"/>
      <c r="P1888" s="10" t="inlineStr"/>
      <c r="Q1888" s="10" t="inlineStr"/>
      <c r="R1888" s="10" t="inlineStr">
        <is>
          <t>2026-03-12</t>
        </is>
      </c>
      <c r="S1888" s="10" t="inlineStr"/>
    </row>
    <row r="1889">
      <c r="A1889" s="3" t="inlineStr">
        <is>
          <t>F02359</t>
        </is>
      </c>
      <c r="B1889" s="4" t="inlineStr">
        <is>
          <t>F02359</t>
        </is>
      </c>
      <c r="C1889" s="4" t="inlineStr">
        <is>
          <t>32265</t>
        </is>
      </c>
      <c r="D1889" s="4" t="inlineStr">
        <is>
          <t>6009708400840</t>
        </is>
      </c>
      <c r="E1889" s="3" t="inlineStr">
        <is>
          <t>HANGERS 10'S HIGH QUALITY -BG</t>
        </is>
      </c>
      <c r="F1889" s="4" t="inlineStr"/>
      <c r="G1889" s="4" t="inlineStr"/>
      <c r="H1889" s="4" t="inlineStr"/>
      <c r="I1889" s="5" t="n">
        <v>20.5</v>
      </c>
      <c r="J1889" s="6" t="n">
        <v>15</v>
      </c>
      <c r="K1889" s="7">
        <f>IF(I1889="","",I1889*(1+J1889/100))</f>
        <v/>
      </c>
      <c r="L1889" s="12" t="inlineStr"/>
      <c r="M1889" s="8">
        <f>IF(OR(L1889="",K1889="",L1889=0),"",
  (L1889-K1889)/L1889*100)</f>
        <v/>
      </c>
      <c r="N1889" s="14" t="n">
        <v>138</v>
      </c>
      <c r="O1889" s="4" t="inlineStr"/>
      <c r="P1889" s="4" t="inlineStr"/>
      <c r="Q1889" s="4" t="inlineStr"/>
      <c r="R1889" s="4" t="inlineStr">
        <is>
          <t>2026-03-12</t>
        </is>
      </c>
      <c r="S1889" s="4" t="inlineStr"/>
    </row>
    <row r="1890">
      <c r="A1890" s="10" t="inlineStr">
        <is>
          <t>F02360</t>
        </is>
      </c>
      <c r="B1890" s="10" t="inlineStr">
        <is>
          <t>F02360</t>
        </is>
      </c>
      <c r="C1890" s="10" t="inlineStr">
        <is>
          <t>32285</t>
        </is>
      </c>
      <c r="D1890" s="10" t="inlineStr">
        <is>
          <t>6009708400826</t>
        </is>
      </c>
      <c r="E1890" s="10" t="inlineStr">
        <is>
          <t>CONTAINER SET APPLE 3IN1 PLASTIC</t>
        </is>
      </c>
      <c r="F1890" s="10" t="inlineStr"/>
      <c r="G1890" s="10" t="inlineStr"/>
      <c r="H1890" s="10" t="inlineStr"/>
      <c r="I1890" s="11" t="n">
        <v>36.95</v>
      </c>
      <c r="J1890" s="6" t="n">
        <v>15</v>
      </c>
      <c r="K1890" s="7">
        <f>IF(I1890="","",I1890*(1+J1890/100))</f>
        <v/>
      </c>
      <c r="L1890" s="12" t="inlineStr"/>
      <c r="M1890" s="8">
        <f>IF(OR(L1890="",K1890="",L1890=0),"",
  (L1890-K1890)/L1890*100)</f>
        <v/>
      </c>
      <c r="N1890" s="13" t="n">
        <v>47</v>
      </c>
      <c r="O1890" s="10" t="inlineStr"/>
      <c r="P1890" s="10" t="inlineStr"/>
      <c r="Q1890" s="10" t="inlineStr"/>
      <c r="R1890" s="10" t="inlineStr">
        <is>
          <t>2026-03-12</t>
        </is>
      </c>
      <c r="S1890" s="10" t="inlineStr"/>
    </row>
    <row r="1891">
      <c r="A1891" s="3" t="inlineStr">
        <is>
          <t>F02361</t>
        </is>
      </c>
      <c r="B1891" s="4" t="inlineStr">
        <is>
          <t>F02361</t>
        </is>
      </c>
      <c r="C1891" s="4" t="inlineStr">
        <is>
          <t>32298</t>
        </is>
      </c>
      <c r="D1891" s="4" t="inlineStr">
        <is>
          <t>6009677612794</t>
        </is>
      </c>
      <c r="E1891" s="3" t="inlineStr">
        <is>
          <t>BISCUIT BARREL 500G FANCY COLOR -BG</t>
        </is>
      </c>
      <c r="F1891" s="4" t="inlineStr"/>
      <c r="G1891" s="4" t="inlineStr"/>
      <c r="H1891" s="4" t="inlineStr"/>
      <c r="I1891" s="5" t="n">
        <v>6.5</v>
      </c>
      <c r="J1891" s="6" t="n">
        <v>15</v>
      </c>
      <c r="K1891" s="7">
        <f>IF(I1891="","",I1891*(1+J1891/100))</f>
        <v/>
      </c>
      <c r="L1891" s="12" t="inlineStr"/>
      <c r="M1891" s="8">
        <f>IF(OR(L1891="",K1891="",L1891=0),"",
  (L1891-K1891)/L1891*100)</f>
        <v/>
      </c>
      <c r="N1891" s="14" t="n">
        <v>2</v>
      </c>
      <c r="O1891" s="4" t="inlineStr"/>
      <c r="P1891" s="4" t="inlineStr"/>
      <c r="Q1891" s="4" t="inlineStr"/>
      <c r="R1891" s="4" t="inlineStr">
        <is>
          <t>2026-03-12</t>
        </is>
      </c>
      <c r="S1891" s="4" t="inlineStr"/>
    </row>
    <row r="1892">
      <c r="A1892" s="10" t="inlineStr">
        <is>
          <t>F02362</t>
        </is>
      </c>
      <c r="B1892" s="10" t="inlineStr">
        <is>
          <t>F02362</t>
        </is>
      </c>
      <c r="C1892" s="10" t="inlineStr">
        <is>
          <t>32305</t>
        </is>
      </c>
      <c r="D1892" s="10" t="inlineStr">
        <is>
          <t>0700083553638</t>
        </is>
      </c>
      <c r="E1892" s="10" t="inlineStr">
        <is>
          <t>BOWL PLASTIC 8''INCH ASORTED COLOR-BG</t>
        </is>
      </c>
      <c r="F1892" s="10" t="inlineStr"/>
      <c r="G1892" s="10" t="inlineStr"/>
      <c r="H1892" s="10" t="inlineStr"/>
      <c r="I1892" s="11" t="n">
        <v>3.85</v>
      </c>
      <c r="J1892" s="6" t="n">
        <v>15</v>
      </c>
      <c r="K1892" s="7">
        <f>IF(I1892="","",I1892*(1+J1892/100))</f>
        <v/>
      </c>
      <c r="L1892" s="12" t="inlineStr"/>
      <c r="M1892" s="8">
        <f>IF(OR(L1892="",K1892="",L1892=0),"",
  (L1892-K1892)/L1892*100)</f>
        <v/>
      </c>
      <c r="N1892" s="13" t="n">
        <v>41</v>
      </c>
      <c r="O1892" s="10" t="inlineStr"/>
      <c r="P1892" s="10" t="inlineStr"/>
      <c r="Q1892" s="10" t="inlineStr"/>
      <c r="R1892" s="10" t="inlineStr">
        <is>
          <t>2026-03-12</t>
        </is>
      </c>
      <c r="S1892" s="10" t="inlineStr"/>
    </row>
    <row r="1893">
      <c r="A1893" s="3" t="inlineStr">
        <is>
          <t>F02363</t>
        </is>
      </c>
      <c r="B1893" s="4" t="inlineStr">
        <is>
          <t>F02363</t>
        </is>
      </c>
      <c r="C1893" s="4" t="inlineStr"/>
      <c r="D1893" s="4" t="inlineStr">
        <is>
          <t>6009708400819</t>
        </is>
      </c>
      <c r="E1893" s="3" t="inlineStr">
        <is>
          <t>BASIN /TRAY &amp; JUG SET 3PC -BG</t>
        </is>
      </c>
      <c r="F1893" s="4" t="inlineStr"/>
      <c r="G1893" s="4" t="inlineStr"/>
      <c r="H1893" s="4" t="inlineStr"/>
      <c r="I1893" s="5" t="n">
        <v>39.95</v>
      </c>
      <c r="J1893" s="6" t="n">
        <v>15</v>
      </c>
      <c r="K1893" s="7">
        <f>IF(I1893="","",I1893*(1+J1893/100))</f>
        <v/>
      </c>
      <c r="L1893" s="12" t="inlineStr"/>
      <c r="M1893" s="8">
        <f>IF(OR(L1893="",K1893="",L1893=0),"",
  (L1893-K1893)/L1893*100)</f>
        <v/>
      </c>
      <c r="N1893" s="14" t="n">
        <v>130</v>
      </c>
      <c r="O1893" s="4" t="inlineStr"/>
      <c r="P1893" s="4" t="inlineStr"/>
      <c r="Q1893" s="4" t="inlineStr"/>
      <c r="R1893" s="4" t="inlineStr">
        <is>
          <t>2026-03-12</t>
        </is>
      </c>
      <c r="S1893" s="4" t="inlineStr"/>
    </row>
    <row r="1894">
      <c r="A1894" s="10" t="inlineStr">
        <is>
          <t>F02364</t>
        </is>
      </c>
      <c r="B1894" s="10" t="inlineStr">
        <is>
          <t>F02364</t>
        </is>
      </c>
      <c r="C1894" s="10" t="inlineStr">
        <is>
          <t>32263</t>
        </is>
      </c>
      <c r="D1894" s="10" t="inlineStr">
        <is>
          <t>6009708400802</t>
        </is>
      </c>
      <c r="E1894" s="10" t="inlineStr">
        <is>
          <t>BINS FUNKY COLORS 28LTR - BG</t>
        </is>
      </c>
      <c r="F1894" s="10" t="inlineStr"/>
      <c r="G1894" s="10" t="inlineStr"/>
      <c r="H1894" s="10" t="inlineStr"/>
      <c r="I1894" s="11" t="n">
        <v>43.95</v>
      </c>
      <c r="J1894" s="6" t="n">
        <v>15</v>
      </c>
      <c r="K1894" s="7">
        <f>IF(I1894="","",I1894*(1+J1894/100))</f>
        <v/>
      </c>
      <c r="L1894" s="12" t="inlineStr"/>
      <c r="M1894" s="8">
        <f>IF(OR(L1894="",K1894="",L1894=0),"",
  (L1894-K1894)/L1894*100)</f>
        <v/>
      </c>
      <c r="N1894" s="13" t="n">
        <v>72</v>
      </c>
      <c r="O1894" s="10" t="inlineStr"/>
      <c r="P1894" s="10" t="inlineStr"/>
      <c r="Q1894" s="10" t="inlineStr"/>
      <c r="R1894" s="10" t="inlineStr">
        <is>
          <t>2026-03-12</t>
        </is>
      </c>
      <c r="S1894" s="10" t="inlineStr"/>
    </row>
    <row r="1895">
      <c r="A1895" s="3" t="inlineStr">
        <is>
          <t>F02365</t>
        </is>
      </c>
      <c r="B1895" s="4" t="inlineStr">
        <is>
          <t>F02365</t>
        </is>
      </c>
      <c r="C1895" s="4" t="inlineStr"/>
      <c r="D1895" s="4" t="inlineStr">
        <is>
          <t>6009708400796</t>
        </is>
      </c>
      <c r="E1895" s="3" t="inlineStr">
        <is>
          <t>BIN 65LTR UTILTY - BG</t>
        </is>
      </c>
      <c r="F1895" s="4" t="inlineStr"/>
      <c r="G1895" s="4" t="inlineStr"/>
      <c r="H1895" s="4" t="inlineStr"/>
      <c r="I1895" s="5" t="n">
        <v>75.95</v>
      </c>
      <c r="J1895" s="6" t="n">
        <v>15</v>
      </c>
      <c r="K1895" s="7">
        <f>IF(I1895="","",I1895*(1+J1895/100))</f>
        <v/>
      </c>
      <c r="L1895" s="12" t="inlineStr"/>
      <c r="M1895" s="8">
        <f>IF(OR(L1895="",K1895="",L1895=0),"",
  (L1895-K1895)/L1895*100)</f>
        <v/>
      </c>
      <c r="N1895" s="9" t="inlineStr"/>
      <c r="O1895" s="4" t="inlineStr"/>
      <c r="P1895" s="4" t="inlineStr"/>
      <c r="Q1895" s="4" t="inlineStr"/>
      <c r="R1895" s="4" t="inlineStr">
        <is>
          <t>2026-03-12</t>
        </is>
      </c>
      <c r="S1895" s="4" t="inlineStr"/>
    </row>
    <row r="1896">
      <c r="A1896" s="10" t="inlineStr">
        <is>
          <t>F02366</t>
        </is>
      </c>
      <c r="B1896" s="10" t="inlineStr">
        <is>
          <t>F02366</t>
        </is>
      </c>
      <c r="C1896" s="10" t="inlineStr"/>
      <c r="D1896" s="10" t="inlineStr">
        <is>
          <t>6009708400789</t>
        </is>
      </c>
      <c r="E1896" s="10" t="inlineStr">
        <is>
          <t>TRAY PLATSIC ASSORTED COLORS- BG</t>
        </is>
      </c>
      <c r="F1896" s="10" t="inlineStr"/>
      <c r="G1896" s="10" t="inlineStr"/>
      <c r="H1896" s="10" t="inlineStr"/>
      <c r="I1896" s="11" t="n">
        <v>18.5</v>
      </c>
      <c r="J1896" s="6" t="n">
        <v>15</v>
      </c>
      <c r="K1896" s="7">
        <f>IF(I1896="","",I1896*(1+J1896/100))</f>
        <v/>
      </c>
      <c r="L1896" s="12" t="inlineStr"/>
      <c r="M1896" s="8">
        <f>IF(OR(L1896="",K1896="",L1896=0),"",
  (L1896-K1896)/L1896*100)</f>
        <v/>
      </c>
      <c r="N1896" s="13" t="n">
        <v>8</v>
      </c>
      <c r="O1896" s="10" t="inlineStr"/>
      <c r="P1896" s="10" t="inlineStr"/>
      <c r="Q1896" s="10" t="inlineStr"/>
      <c r="R1896" s="10" t="inlineStr">
        <is>
          <t>2026-03-12</t>
        </is>
      </c>
      <c r="S1896" s="10" t="inlineStr"/>
    </row>
    <row r="1897">
      <c r="A1897" s="3" t="inlineStr">
        <is>
          <t>F02367</t>
        </is>
      </c>
      <c r="B1897" s="4" t="inlineStr">
        <is>
          <t>F02367</t>
        </is>
      </c>
      <c r="C1897" s="4" t="inlineStr">
        <is>
          <t>32321</t>
        </is>
      </c>
      <c r="D1897" s="4" t="inlineStr">
        <is>
          <t>6009708400772</t>
        </is>
      </c>
      <c r="E1897" s="3" t="inlineStr">
        <is>
          <t>BATH OVAL 120LTR -BG</t>
        </is>
      </c>
      <c r="F1897" s="4" t="inlineStr"/>
      <c r="G1897" s="4" t="inlineStr"/>
      <c r="H1897" s="4" t="inlineStr"/>
      <c r="I1897" s="5" t="n">
        <v>102.5</v>
      </c>
      <c r="J1897" s="6" t="n">
        <v>15</v>
      </c>
      <c r="K1897" s="7">
        <f>IF(I1897="","",I1897*(1+J1897/100))</f>
        <v/>
      </c>
      <c r="L1897" s="5" t="n">
        <v>102.5</v>
      </c>
      <c r="M1897" s="8">
        <f>IF(OR(L1897="",K1897="",L1897=0),"",
  (L1897-K1897)/L1897*100)</f>
        <v/>
      </c>
      <c r="N1897" s="14" t="n">
        <v>5</v>
      </c>
      <c r="O1897" s="4" t="inlineStr"/>
      <c r="P1897" s="4" t="inlineStr"/>
      <c r="Q1897" s="4" t="inlineStr"/>
      <c r="R1897" s="4" t="inlineStr">
        <is>
          <t>2026-03-12</t>
        </is>
      </c>
      <c r="S1897" s="4" t="inlineStr"/>
    </row>
    <row r="1898">
      <c r="A1898" s="10" t="inlineStr">
        <is>
          <t>F02368</t>
        </is>
      </c>
      <c r="B1898" s="10" t="inlineStr">
        <is>
          <t>F02368</t>
        </is>
      </c>
      <c r="C1898" s="10" t="inlineStr"/>
      <c r="D1898" s="10" t="inlineStr">
        <is>
          <t>6009708400765</t>
        </is>
      </c>
      <c r="E1898" s="10" t="inlineStr">
        <is>
          <t>SAUCE DISPENSER PLASTIC 3PC</t>
        </is>
      </c>
      <c r="F1898" s="10" t="inlineStr"/>
      <c r="G1898" s="10" t="inlineStr"/>
      <c r="H1898" s="10" t="inlineStr"/>
      <c r="I1898" s="11" t="n">
        <v>24.95</v>
      </c>
      <c r="J1898" s="6" t="n">
        <v>15</v>
      </c>
      <c r="K1898" s="7">
        <f>IF(I1898="","",I1898*(1+J1898/100))</f>
        <v/>
      </c>
      <c r="L1898" s="12" t="inlineStr"/>
      <c r="M1898" s="8">
        <f>IF(OR(L1898="",K1898="",L1898=0),"",
  (L1898-K1898)/L1898*100)</f>
        <v/>
      </c>
      <c r="N1898" s="13" t="n">
        <v>36</v>
      </c>
      <c r="O1898" s="10" t="inlineStr"/>
      <c r="P1898" s="10" t="inlineStr"/>
      <c r="Q1898" s="10" t="inlineStr"/>
      <c r="R1898" s="10" t="inlineStr">
        <is>
          <t>2026-03-12</t>
        </is>
      </c>
      <c r="S1898" s="10" t="inlineStr"/>
    </row>
    <row r="1899">
      <c r="A1899" s="3" t="inlineStr">
        <is>
          <t>F02369</t>
        </is>
      </c>
      <c r="B1899" s="4" t="inlineStr">
        <is>
          <t>F02369</t>
        </is>
      </c>
      <c r="C1899" s="4" t="inlineStr">
        <is>
          <t>32268</t>
        </is>
      </c>
      <c r="D1899" s="4" t="inlineStr">
        <is>
          <t>6009708400659</t>
        </is>
      </c>
      <c r="E1899" s="3" t="inlineStr">
        <is>
          <t>EKAMBA BLACK - REGULAR -NC</t>
        </is>
      </c>
      <c r="F1899" s="4" t="inlineStr"/>
      <c r="G1899" s="4" t="inlineStr"/>
      <c r="H1899" s="4" t="inlineStr"/>
      <c r="I1899" s="5" t="n">
        <v>25.95</v>
      </c>
      <c r="J1899" s="6" t="n">
        <v>15</v>
      </c>
      <c r="K1899" s="7">
        <f>IF(I1899="","",I1899*(1+J1899/100))</f>
        <v/>
      </c>
      <c r="L1899" s="12" t="inlineStr"/>
      <c r="M1899" s="8">
        <f>IF(OR(L1899="",K1899="",L1899=0),"",
  (L1899-K1899)/L1899*100)</f>
        <v/>
      </c>
      <c r="N1899" s="9" t="inlineStr"/>
      <c r="O1899" s="4" t="inlineStr"/>
      <c r="P1899" s="4" t="inlineStr"/>
      <c r="Q1899" s="4" t="inlineStr"/>
      <c r="R1899" s="4" t="inlineStr">
        <is>
          <t>2026-03-12</t>
        </is>
      </c>
      <c r="S1899" s="4" t="inlineStr"/>
    </row>
    <row r="1900">
      <c r="A1900" s="10" t="inlineStr">
        <is>
          <t>F02371</t>
        </is>
      </c>
      <c r="B1900" s="10" t="inlineStr">
        <is>
          <t>F02371</t>
        </is>
      </c>
      <c r="C1900" s="10" t="inlineStr"/>
      <c r="D1900" s="10" t="inlineStr"/>
      <c r="E1900" s="10" t="inlineStr">
        <is>
          <t>LED LIGHT 40W RECHARCGEABLE 4/6H</t>
        </is>
      </c>
      <c r="F1900" s="10" t="inlineStr"/>
      <c r="G1900" s="10" t="inlineStr"/>
      <c r="H1900" s="10" t="inlineStr"/>
      <c r="I1900" s="11" t="n">
        <v>64.5</v>
      </c>
      <c r="J1900" s="6" t="n">
        <v>15</v>
      </c>
      <c r="K1900" s="7">
        <f>IF(I1900="","",I1900*(1+J1900/100))</f>
        <v/>
      </c>
      <c r="L1900" s="12" t="inlineStr"/>
      <c r="M1900" s="8">
        <f>IF(OR(L1900="",K1900="",L1900=0),"",
  (L1900-K1900)/L1900*100)</f>
        <v/>
      </c>
      <c r="N1900" s="9" t="inlineStr"/>
      <c r="O1900" s="10" t="inlineStr"/>
      <c r="P1900" s="10" t="inlineStr"/>
      <c r="Q1900" s="10" t="inlineStr"/>
      <c r="R1900" s="10" t="inlineStr">
        <is>
          <t>2026-03-12</t>
        </is>
      </c>
      <c r="S1900" s="10" t="inlineStr"/>
    </row>
    <row r="1901">
      <c r="A1901" s="3" t="inlineStr">
        <is>
          <t>F02372</t>
        </is>
      </c>
      <c r="B1901" s="4" t="inlineStr">
        <is>
          <t>F02372</t>
        </is>
      </c>
      <c r="C1901" s="4" t="inlineStr"/>
      <c r="D1901" s="4" t="inlineStr"/>
      <c r="E1901" s="3" t="inlineStr">
        <is>
          <t>LED LIGHT RECHARGEBALE 40W 8/10H</t>
        </is>
      </c>
      <c r="F1901" s="4" t="inlineStr"/>
      <c r="G1901" s="4" t="inlineStr"/>
      <c r="H1901" s="4" t="inlineStr"/>
      <c r="I1901" s="5" t="n">
        <v>66.5</v>
      </c>
      <c r="J1901" s="6" t="n">
        <v>15</v>
      </c>
      <c r="K1901" s="7">
        <f>IF(I1901="","",I1901*(1+J1901/100))</f>
        <v/>
      </c>
      <c r="L1901" s="12" t="inlineStr"/>
      <c r="M1901" s="8">
        <f>IF(OR(L1901="",K1901="",L1901=0),"",
  (L1901-K1901)/L1901*100)</f>
        <v/>
      </c>
      <c r="N1901" s="9" t="inlineStr"/>
      <c r="O1901" s="4" t="inlineStr"/>
      <c r="P1901" s="4" t="inlineStr"/>
      <c r="Q1901" s="4" t="inlineStr"/>
      <c r="R1901" s="4" t="inlineStr">
        <is>
          <t>2026-03-12</t>
        </is>
      </c>
      <c r="S1901" s="4" t="inlineStr"/>
    </row>
    <row r="1902">
      <c r="A1902" s="10" t="inlineStr">
        <is>
          <t>F02373</t>
        </is>
      </c>
      <c r="B1902" s="10" t="inlineStr">
        <is>
          <t>F02373</t>
        </is>
      </c>
      <c r="C1902" s="10" t="inlineStr"/>
      <c r="D1902" s="10" t="inlineStr">
        <is>
          <t>5902023705901</t>
        </is>
      </c>
      <c r="E1902" s="10" t="inlineStr">
        <is>
          <t>CORNICES T SERIES T2408 WHT (2M) (4'S)</t>
        </is>
      </c>
      <c r="F1902" s="10" t="inlineStr"/>
      <c r="G1902" s="10" t="inlineStr"/>
      <c r="H1902" s="10" t="inlineStr"/>
      <c r="I1902" s="11" t="n">
        <v>62.4</v>
      </c>
      <c r="J1902" s="6" t="n">
        <v>15</v>
      </c>
      <c r="K1902" s="7">
        <f>IF(I1902="","",I1902*(1+J1902/100))</f>
        <v/>
      </c>
      <c r="L1902" s="12" t="inlineStr"/>
      <c r="M1902" s="8">
        <f>IF(OR(L1902="",K1902="",L1902=0),"",
  (L1902-K1902)/L1902*100)</f>
        <v/>
      </c>
      <c r="N1902" s="13" t="n">
        <v>112</v>
      </c>
      <c r="O1902" s="10" t="inlineStr"/>
      <c r="P1902" s="10" t="inlineStr"/>
      <c r="Q1902" s="10" t="inlineStr"/>
      <c r="R1902" s="10" t="inlineStr">
        <is>
          <t>2026-03-12</t>
        </is>
      </c>
      <c r="S1902" s="10" t="inlineStr"/>
    </row>
    <row r="1903">
      <c r="A1903" s="3" t="inlineStr">
        <is>
          <t>F02374</t>
        </is>
      </c>
      <c r="B1903" s="4" t="inlineStr">
        <is>
          <t>F02374</t>
        </is>
      </c>
      <c r="C1903" s="4" t="inlineStr"/>
      <c r="D1903" s="4" t="inlineStr">
        <is>
          <t>5902023705801</t>
        </is>
      </c>
      <c r="E1903" s="3" t="inlineStr">
        <is>
          <t>CORNICE T SERIES T2308 WHT (2M) (4'S)</t>
        </is>
      </c>
      <c r="F1903" s="4" t="inlineStr"/>
      <c r="G1903" s="4" t="inlineStr"/>
      <c r="H1903" s="4" t="inlineStr"/>
      <c r="I1903" s="5" t="n">
        <v>62.4</v>
      </c>
      <c r="J1903" s="6" t="n">
        <v>15</v>
      </c>
      <c r="K1903" s="7">
        <f>IF(I1903="","",I1903*(1+J1903/100))</f>
        <v/>
      </c>
      <c r="L1903" s="12" t="inlineStr"/>
      <c r="M1903" s="8">
        <f>IF(OR(L1903="",K1903="",L1903=0),"",
  (L1903-K1903)/L1903*100)</f>
        <v/>
      </c>
      <c r="N1903" s="9" t="inlineStr"/>
      <c r="O1903" s="4" t="inlineStr"/>
      <c r="P1903" s="4" t="inlineStr"/>
      <c r="Q1903" s="4" t="inlineStr"/>
      <c r="R1903" s="4" t="inlineStr">
        <is>
          <t>2026-03-12</t>
        </is>
      </c>
      <c r="S1903" s="4" t="inlineStr"/>
    </row>
    <row r="1904">
      <c r="A1904" s="10" t="inlineStr">
        <is>
          <t>F02375</t>
        </is>
      </c>
      <c r="B1904" s="10" t="inlineStr">
        <is>
          <t>F02375</t>
        </is>
      </c>
      <c r="C1904" s="10" t="inlineStr"/>
      <c r="D1904" s="10" t="inlineStr">
        <is>
          <t>5902023705601</t>
        </is>
      </c>
      <c r="E1904" s="10" t="inlineStr">
        <is>
          <t>CORNICES T-SERIES T2108 WHT (2M) (4'S)</t>
        </is>
      </c>
      <c r="F1904" s="10" t="inlineStr"/>
      <c r="G1904" s="10" t="inlineStr"/>
      <c r="H1904" s="10" t="inlineStr"/>
      <c r="I1904" s="11" t="n">
        <v>62.4</v>
      </c>
      <c r="J1904" s="6" t="n">
        <v>15</v>
      </c>
      <c r="K1904" s="7">
        <f>IF(I1904="","",I1904*(1+J1904/100))</f>
        <v/>
      </c>
      <c r="L1904" s="12" t="inlineStr"/>
      <c r="M1904" s="8">
        <f>IF(OR(L1904="",K1904="",L1904=0),"",
  (L1904-K1904)/L1904*100)</f>
        <v/>
      </c>
      <c r="N1904" s="13" t="n">
        <v>267</v>
      </c>
      <c r="O1904" s="10" t="inlineStr"/>
      <c r="P1904" s="10" t="inlineStr"/>
      <c r="Q1904" s="10" t="inlineStr"/>
      <c r="R1904" s="10" t="inlineStr">
        <is>
          <t>2026-03-12</t>
        </is>
      </c>
      <c r="S1904" s="10" t="inlineStr"/>
    </row>
    <row r="1905">
      <c r="A1905" s="3" t="inlineStr">
        <is>
          <t>F02376</t>
        </is>
      </c>
      <c r="B1905" s="4" t="inlineStr">
        <is>
          <t>F02376</t>
        </is>
      </c>
      <c r="C1905" s="4" t="inlineStr"/>
      <c r="D1905" s="4" t="inlineStr">
        <is>
          <t>5902023705581</t>
        </is>
      </c>
      <c r="E1905" s="3" t="inlineStr">
        <is>
          <t>CORNICES T- SERIES T1908 WHT (2M) (4'S)</t>
        </is>
      </c>
      <c r="F1905" s="4" t="inlineStr"/>
      <c r="G1905" s="4" t="inlineStr"/>
      <c r="H1905" s="4" t="inlineStr"/>
      <c r="I1905" s="5" t="n">
        <v>62.4</v>
      </c>
      <c r="J1905" s="6" t="n">
        <v>15</v>
      </c>
      <c r="K1905" s="7">
        <f>IF(I1905="","",I1905*(1+J1905/100))</f>
        <v/>
      </c>
      <c r="L1905" s="12" t="inlineStr"/>
      <c r="M1905" s="8">
        <f>IF(OR(L1905="",K1905="",L1905=0),"",
  (L1905-K1905)/L1905*100)</f>
        <v/>
      </c>
      <c r="N1905" s="9" t="inlineStr"/>
      <c r="O1905" s="4" t="inlineStr"/>
      <c r="P1905" s="4" t="inlineStr"/>
      <c r="Q1905" s="4" t="inlineStr"/>
      <c r="R1905" s="4" t="inlineStr">
        <is>
          <t>2026-03-12</t>
        </is>
      </c>
      <c r="S1905" s="4" t="inlineStr"/>
    </row>
    <row r="1906">
      <c r="A1906" s="10" t="inlineStr">
        <is>
          <t>F02377</t>
        </is>
      </c>
      <c r="B1906" s="10" t="inlineStr">
        <is>
          <t>F02377</t>
        </is>
      </c>
      <c r="C1906" s="10" t="inlineStr"/>
      <c r="D1906" s="10" t="inlineStr">
        <is>
          <t>5902023705701</t>
        </is>
      </c>
      <c r="E1906" s="10" t="inlineStr">
        <is>
          <t>CORNICE T- SERIES T1808 WHT (2M) (4'S)</t>
        </is>
      </c>
      <c r="F1906" s="10" t="inlineStr"/>
      <c r="G1906" s="10" t="inlineStr"/>
      <c r="H1906" s="10" t="inlineStr"/>
      <c r="I1906" s="11" t="n">
        <v>62.4</v>
      </c>
      <c r="J1906" s="6" t="n">
        <v>15</v>
      </c>
      <c r="K1906" s="7">
        <f>IF(I1906="","",I1906*(1+J1906/100))</f>
        <v/>
      </c>
      <c r="L1906" s="12" t="inlineStr"/>
      <c r="M1906" s="8">
        <f>IF(OR(L1906="",K1906="",L1906=0),"",
  (L1906-K1906)/L1906*100)</f>
        <v/>
      </c>
      <c r="N1906" s="9" t="inlineStr"/>
      <c r="O1906" s="10" t="inlineStr"/>
      <c r="P1906" s="10" t="inlineStr"/>
      <c r="Q1906" s="10" t="inlineStr"/>
      <c r="R1906" s="10" t="inlineStr">
        <is>
          <t>2026-03-12</t>
        </is>
      </c>
      <c r="S1906" s="10" t="inlineStr"/>
    </row>
    <row r="1907">
      <c r="A1907" s="3" t="inlineStr">
        <is>
          <t>F02378</t>
        </is>
      </c>
      <c r="B1907" s="4" t="inlineStr">
        <is>
          <t>F02378</t>
        </is>
      </c>
      <c r="C1907" s="4" t="inlineStr"/>
      <c r="D1907" s="4" t="inlineStr">
        <is>
          <t>5902023705561</t>
        </is>
      </c>
      <c r="E1907" s="3" t="inlineStr">
        <is>
          <t>CORNICE T- SERIES T1708 WHT (2M) (4'S)</t>
        </is>
      </c>
      <c r="F1907" s="4" t="inlineStr"/>
      <c r="G1907" s="4" t="inlineStr"/>
      <c r="H1907" s="4" t="inlineStr"/>
      <c r="I1907" s="5" t="n">
        <v>62.4</v>
      </c>
      <c r="J1907" s="6" t="n">
        <v>15</v>
      </c>
      <c r="K1907" s="7">
        <f>IF(I1907="","",I1907*(1+J1907/100))</f>
        <v/>
      </c>
      <c r="L1907" s="12" t="inlineStr"/>
      <c r="M1907" s="8">
        <f>IF(OR(L1907="",K1907="",L1907=0),"",
  (L1907-K1907)/L1907*100)</f>
        <v/>
      </c>
      <c r="N1907" s="14" t="n">
        <v>517</v>
      </c>
      <c r="O1907" s="4" t="inlineStr"/>
      <c r="P1907" s="4" t="inlineStr"/>
      <c r="Q1907" s="4" t="inlineStr"/>
      <c r="R1907" s="4" t="inlineStr">
        <is>
          <t>2026-03-12</t>
        </is>
      </c>
      <c r="S1907" s="4" t="inlineStr"/>
    </row>
    <row r="1908">
      <c r="A1908" s="10" t="inlineStr">
        <is>
          <t>F02379</t>
        </is>
      </c>
      <c r="B1908" s="10" t="inlineStr">
        <is>
          <t>F02379</t>
        </is>
      </c>
      <c r="C1908" s="10" t="inlineStr"/>
      <c r="D1908" s="10" t="inlineStr">
        <is>
          <t>5902023705902</t>
        </is>
      </c>
      <c r="E1908" s="10" t="inlineStr">
        <is>
          <t>CORNICE T-SERIES T2450 OFF WHT(2M)(4'S)</t>
        </is>
      </c>
      <c r="F1908" s="10" t="inlineStr"/>
      <c r="G1908" s="10" t="inlineStr"/>
      <c r="H1908" s="10" t="inlineStr"/>
      <c r="I1908" s="11" t="n">
        <v>62.4</v>
      </c>
      <c r="J1908" s="6" t="n">
        <v>15</v>
      </c>
      <c r="K1908" s="7">
        <f>IF(I1908="","",I1908*(1+J1908/100))</f>
        <v/>
      </c>
      <c r="L1908" s="12" t="inlineStr"/>
      <c r="M1908" s="8">
        <f>IF(OR(L1908="",K1908="",L1908=0),"",
  (L1908-K1908)/L1908*100)</f>
        <v/>
      </c>
      <c r="N1908" s="13" t="n">
        <v>10</v>
      </c>
      <c r="O1908" s="10" t="inlineStr"/>
      <c r="P1908" s="10" t="inlineStr"/>
      <c r="Q1908" s="10" t="inlineStr"/>
      <c r="R1908" s="10" t="inlineStr">
        <is>
          <t>2026-03-12</t>
        </is>
      </c>
      <c r="S1908" s="10" t="inlineStr"/>
    </row>
    <row r="1909">
      <c r="A1909" s="3" t="inlineStr">
        <is>
          <t>F02380</t>
        </is>
      </c>
      <c r="B1909" s="4" t="inlineStr">
        <is>
          <t>F02380</t>
        </is>
      </c>
      <c r="C1909" s="4" t="inlineStr"/>
      <c r="D1909" s="4" t="inlineStr">
        <is>
          <t>5902023705802</t>
        </is>
      </c>
      <c r="E1909" s="3" t="inlineStr">
        <is>
          <t>CORNICE T-SERIES T2350 OFF WHT (2M)(4'S)</t>
        </is>
      </c>
      <c r="F1909" s="4" t="inlineStr"/>
      <c r="G1909" s="4" t="inlineStr"/>
      <c r="H1909" s="4" t="inlineStr"/>
      <c r="I1909" s="5" t="n">
        <v>62.4</v>
      </c>
      <c r="J1909" s="6" t="n">
        <v>15</v>
      </c>
      <c r="K1909" s="7">
        <f>IF(I1909="","",I1909*(1+J1909/100))</f>
        <v/>
      </c>
      <c r="L1909" s="12" t="inlineStr"/>
      <c r="M1909" s="8">
        <f>IF(OR(L1909="",K1909="",L1909=0),"",
  (L1909-K1909)/L1909*100)</f>
        <v/>
      </c>
      <c r="N1909" s="14" t="n">
        <v>33</v>
      </c>
      <c r="O1909" s="4" t="inlineStr"/>
      <c r="P1909" s="4" t="inlineStr"/>
      <c r="Q1909" s="4" t="inlineStr"/>
      <c r="R1909" s="4" t="inlineStr">
        <is>
          <t>2026-03-12</t>
        </is>
      </c>
      <c r="S1909" s="4" t="inlineStr"/>
    </row>
    <row r="1910">
      <c r="A1910" s="10" t="inlineStr">
        <is>
          <t>F02381</t>
        </is>
      </c>
      <c r="B1910" s="10" t="inlineStr">
        <is>
          <t>F02381</t>
        </is>
      </c>
      <c r="C1910" s="10" t="inlineStr"/>
      <c r="D1910" s="10" t="inlineStr">
        <is>
          <t>5902023705602</t>
        </is>
      </c>
      <c r="E1910" s="10" t="inlineStr">
        <is>
          <t>CORNICES T SERIEST2150 OFF WHT(2M)(4'S)</t>
        </is>
      </c>
      <c r="F1910" s="10" t="inlineStr"/>
      <c r="G1910" s="10" t="inlineStr"/>
      <c r="H1910" s="10" t="inlineStr"/>
      <c r="I1910" s="11" t="n">
        <v>62.4</v>
      </c>
      <c r="J1910" s="6" t="n">
        <v>15</v>
      </c>
      <c r="K1910" s="7">
        <f>IF(I1910="","",I1910*(1+J1910/100))</f>
        <v/>
      </c>
      <c r="L1910" s="12" t="inlineStr"/>
      <c r="M1910" s="8">
        <f>IF(OR(L1910="",K1910="",L1910=0),"",
  (L1910-K1910)/L1910*100)</f>
        <v/>
      </c>
      <c r="N1910" s="13" t="n">
        <v>12</v>
      </c>
      <c r="O1910" s="10" t="inlineStr"/>
      <c r="P1910" s="10" t="inlineStr"/>
      <c r="Q1910" s="10" t="inlineStr"/>
      <c r="R1910" s="10" t="inlineStr">
        <is>
          <t>2026-03-12</t>
        </is>
      </c>
      <c r="S1910" s="10" t="inlineStr"/>
    </row>
    <row r="1911">
      <c r="A1911" s="3" t="inlineStr">
        <is>
          <t>F02382</t>
        </is>
      </c>
      <c r="B1911" s="4" t="inlineStr">
        <is>
          <t>F02382</t>
        </is>
      </c>
      <c r="C1911" s="4" t="inlineStr"/>
      <c r="D1911" s="4" t="inlineStr">
        <is>
          <t>5902023705582</t>
        </is>
      </c>
      <c r="E1911" s="3" t="inlineStr">
        <is>
          <t>CORNICE T-SERIES T1950 OFF WHT (2M)(4'S)</t>
        </is>
      </c>
      <c r="F1911" s="4" t="inlineStr"/>
      <c r="G1911" s="4" t="inlineStr"/>
      <c r="H1911" s="4" t="inlineStr"/>
      <c r="I1911" s="5" t="n">
        <v>62.4</v>
      </c>
      <c r="J1911" s="6" t="n">
        <v>15</v>
      </c>
      <c r="K1911" s="7">
        <f>IF(I1911="","",I1911*(1+J1911/100))</f>
        <v/>
      </c>
      <c r="L1911" s="12" t="inlineStr"/>
      <c r="M1911" s="8">
        <f>IF(OR(L1911="",K1911="",L1911=0),"",
  (L1911-K1911)/L1911*100)</f>
        <v/>
      </c>
      <c r="N1911" s="14" t="n">
        <v>4</v>
      </c>
      <c r="O1911" s="4" t="inlineStr"/>
      <c r="P1911" s="4" t="inlineStr"/>
      <c r="Q1911" s="4" t="inlineStr"/>
      <c r="R1911" s="4" t="inlineStr">
        <is>
          <t>2026-03-12</t>
        </is>
      </c>
      <c r="S1911" s="4" t="inlineStr"/>
    </row>
    <row r="1912">
      <c r="A1912" s="10" t="inlineStr">
        <is>
          <t>F02383</t>
        </is>
      </c>
      <c r="B1912" s="10" t="inlineStr">
        <is>
          <t>F02383</t>
        </is>
      </c>
      <c r="C1912" s="10" t="inlineStr"/>
      <c r="D1912" s="10" t="inlineStr">
        <is>
          <t>5902023705703</t>
        </is>
      </c>
      <c r="E1912" s="10" t="inlineStr">
        <is>
          <t>CORNICE T-SERIES T1850 OFF WHT (2M)(4'S)</t>
        </is>
      </c>
      <c r="F1912" s="10" t="inlineStr"/>
      <c r="G1912" s="10" t="inlineStr"/>
      <c r="H1912" s="10" t="inlineStr"/>
      <c r="I1912" s="11" t="n">
        <v>62.4</v>
      </c>
      <c r="J1912" s="6" t="n">
        <v>15</v>
      </c>
      <c r="K1912" s="7">
        <f>IF(I1912="","",I1912*(1+J1912/100))</f>
        <v/>
      </c>
      <c r="L1912" s="12" t="inlineStr"/>
      <c r="M1912" s="8">
        <f>IF(OR(L1912="",K1912="",L1912=0),"",
  (L1912-K1912)/L1912*100)</f>
        <v/>
      </c>
      <c r="N1912" s="9" t="inlineStr"/>
      <c r="O1912" s="10" t="inlineStr"/>
      <c r="P1912" s="10" t="inlineStr"/>
      <c r="Q1912" s="10" t="inlineStr"/>
      <c r="R1912" s="10" t="inlineStr">
        <is>
          <t>2026-03-12</t>
        </is>
      </c>
      <c r="S1912" s="10" t="inlineStr"/>
    </row>
    <row r="1913">
      <c r="A1913" s="3" t="inlineStr">
        <is>
          <t>F02384</t>
        </is>
      </c>
      <c r="B1913" s="4" t="inlineStr">
        <is>
          <t>F02384</t>
        </is>
      </c>
      <c r="C1913" s="4" t="inlineStr"/>
      <c r="D1913" s="4" t="inlineStr">
        <is>
          <t>5902023705562</t>
        </is>
      </c>
      <c r="E1913" s="3" t="inlineStr">
        <is>
          <t>CORNICES T-SERIES T1750 OFF WHT(2M)(4's)</t>
        </is>
      </c>
      <c r="F1913" s="4" t="inlineStr"/>
      <c r="G1913" s="4" t="inlineStr"/>
      <c r="H1913" s="4" t="inlineStr"/>
      <c r="I1913" s="5" t="n">
        <v>62.4</v>
      </c>
      <c r="J1913" s="6" t="n">
        <v>15</v>
      </c>
      <c r="K1913" s="7">
        <f>IF(I1913="","",I1913*(1+J1913/100))</f>
        <v/>
      </c>
      <c r="L1913" s="12" t="inlineStr"/>
      <c r="M1913" s="8">
        <f>IF(OR(L1913="",K1913="",L1913=0),"",
  (L1913-K1913)/L1913*100)</f>
        <v/>
      </c>
      <c r="N1913" s="9" t="inlineStr"/>
      <c r="O1913" s="4" t="inlineStr"/>
      <c r="P1913" s="4" t="inlineStr"/>
      <c r="Q1913" s="4" t="inlineStr"/>
      <c r="R1913" s="4" t="inlineStr">
        <is>
          <t>2026-03-12</t>
        </is>
      </c>
      <c r="S1913" s="4" t="inlineStr"/>
    </row>
    <row r="1914">
      <c r="A1914" s="10" t="inlineStr">
        <is>
          <t>F02385</t>
        </is>
      </c>
      <c r="B1914" s="10" t="inlineStr">
        <is>
          <t>F02385</t>
        </is>
      </c>
      <c r="C1914" s="10" t="inlineStr"/>
      <c r="D1914" s="10" t="inlineStr">
        <is>
          <t>5902023705903</t>
        </is>
      </c>
      <c r="E1914" s="10" t="inlineStr">
        <is>
          <t>CORNICE T-SERIES T2411 CRM (2) (4'S)</t>
        </is>
      </c>
      <c r="F1914" s="10" t="inlineStr"/>
      <c r="G1914" s="10" t="inlineStr"/>
      <c r="H1914" s="10" t="inlineStr"/>
      <c r="I1914" s="11" t="n">
        <v>62.4</v>
      </c>
      <c r="J1914" s="6" t="n">
        <v>15</v>
      </c>
      <c r="K1914" s="7">
        <f>IF(I1914="","",I1914*(1+J1914/100))</f>
        <v/>
      </c>
      <c r="L1914" s="12" t="inlineStr"/>
      <c r="M1914" s="8">
        <f>IF(OR(L1914="",K1914="",L1914=0),"",
  (L1914-K1914)/L1914*100)</f>
        <v/>
      </c>
      <c r="N1914" s="13" t="n">
        <v>192</v>
      </c>
      <c r="O1914" s="10" t="inlineStr"/>
      <c r="P1914" s="10" t="inlineStr"/>
      <c r="Q1914" s="10" t="inlineStr"/>
      <c r="R1914" s="10" t="inlineStr">
        <is>
          <t>2026-03-12</t>
        </is>
      </c>
      <c r="S1914" s="10" t="inlineStr"/>
    </row>
    <row r="1915">
      <c r="A1915" s="3" t="inlineStr">
        <is>
          <t>F02386</t>
        </is>
      </c>
      <c r="B1915" s="4" t="inlineStr">
        <is>
          <t>F02386</t>
        </is>
      </c>
      <c r="C1915" s="4" t="inlineStr"/>
      <c r="D1915" s="4" t="inlineStr">
        <is>
          <t>5902023705803</t>
        </is>
      </c>
      <c r="E1915" s="3" t="inlineStr">
        <is>
          <t>CORNICE T-SERIES T2311 CRM (2M) (4'S)</t>
        </is>
      </c>
      <c r="F1915" s="4" t="inlineStr"/>
      <c r="G1915" s="4" t="inlineStr"/>
      <c r="H1915" s="4" t="inlineStr"/>
      <c r="I1915" s="5" t="n">
        <v>62.4</v>
      </c>
      <c r="J1915" s="6" t="n">
        <v>15</v>
      </c>
      <c r="K1915" s="7">
        <f>IF(I1915="","",I1915*(1+J1915/100))</f>
        <v/>
      </c>
      <c r="L1915" s="12" t="inlineStr"/>
      <c r="M1915" s="8">
        <f>IF(OR(L1915="",K1915="",L1915=0),"",
  (L1915-K1915)/L1915*100)</f>
        <v/>
      </c>
      <c r="N1915" s="14" t="n">
        <v>384</v>
      </c>
      <c r="O1915" s="4" t="inlineStr"/>
      <c r="P1915" s="4" t="inlineStr"/>
      <c r="Q1915" s="4" t="inlineStr"/>
      <c r="R1915" s="4" t="inlineStr">
        <is>
          <t>2026-03-12</t>
        </is>
      </c>
      <c r="S1915" s="4" t="inlineStr"/>
    </row>
    <row r="1916">
      <c r="A1916" s="10" t="inlineStr">
        <is>
          <t>F02387</t>
        </is>
      </c>
      <c r="B1916" s="10" t="inlineStr">
        <is>
          <t>F02387</t>
        </is>
      </c>
      <c r="C1916" s="10" t="inlineStr"/>
      <c r="D1916" s="10" t="inlineStr">
        <is>
          <t>5902023705603</t>
        </is>
      </c>
      <c r="E1916" s="10" t="inlineStr">
        <is>
          <t>CORNICE T-SERIES T2111 CRM (2M) (4'S)</t>
        </is>
      </c>
      <c r="F1916" s="10" t="inlineStr"/>
      <c r="G1916" s="10" t="inlineStr"/>
      <c r="H1916" s="10" t="inlineStr"/>
      <c r="I1916" s="11" t="n">
        <v>62.4</v>
      </c>
      <c r="J1916" s="6" t="n">
        <v>15</v>
      </c>
      <c r="K1916" s="7">
        <f>IF(I1916="","",I1916*(1+J1916/100))</f>
        <v/>
      </c>
      <c r="L1916" s="12" t="inlineStr"/>
      <c r="M1916" s="8">
        <f>IF(OR(L1916="",K1916="",L1916=0),"",
  (L1916-K1916)/L1916*100)</f>
        <v/>
      </c>
      <c r="N1916" s="13" t="n">
        <v>4</v>
      </c>
      <c r="O1916" s="10" t="inlineStr"/>
      <c r="P1916" s="10" t="inlineStr"/>
      <c r="Q1916" s="10" t="inlineStr"/>
      <c r="R1916" s="10" t="inlineStr">
        <is>
          <t>2026-03-12</t>
        </is>
      </c>
      <c r="S1916" s="10" t="inlineStr"/>
    </row>
    <row r="1917">
      <c r="A1917" s="3" t="inlineStr">
        <is>
          <t>F02388</t>
        </is>
      </c>
      <c r="B1917" s="4" t="inlineStr">
        <is>
          <t>F02388</t>
        </is>
      </c>
      <c r="C1917" s="4" t="inlineStr"/>
      <c r="D1917" s="4" t="inlineStr">
        <is>
          <t>5902023705583</t>
        </is>
      </c>
      <c r="E1917" s="3" t="inlineStr">
        <is>
          <t>CORNICE T-SERIES T1911 CRM (2M) (4'S)</t>
        </is>
      </c>
      <c r="F1917" s="4" t="inlineStr"/>
      <c r="G1917" s="4" t="inlineStr"/>
      <c r="H1917" s="4" t="inlineStr"/>
      <c r="I1917" s="5" t="n">
        <v>62.4</v>
      </c>
      <c r="J1917" s="6" t="n">
        <v>15</v>
      </c>
      <c r="K1917" s="7">
        <f>IF(I1917="","",I1917*(1+J1917/100))</f>
        <v/>
      </c>
      <c r="L1917" s="12" t="inlineStr"/>
      <c r="M1917" s="8">
        <f>IF(OR(L1917="",K1917="",L1917=0),"",
  (L1917-K1917)/L1917*100)</f>
        <v/>
      </c>
      <c r="N1917" s="14" t="n">
        <v>13</v>
      </c>
      <c r="O1917" s="4" t="inlineStr"/>
      <c r="P1917" s="4" t="inlineStr"/>
      <c r="Q1917" s="4" t="inlineStr"/>
      <c r="R1917" s="4" t="inlineStr">
        <is>
          <t>2026-03-12</t>
        </is>
      </c>
      <c r="S1917" s="4" t="inlineStr"/>
    </row>
    <row r="1918">
      <c r="A1918" s="10" t="inlineStr">
        <is>
          <t>F02389</t>
        </is>
      </c>
      <c r="B1918" s="10" t="inlineStr">
        <is>
          <t>F02389</t>
        </is>
      </c>
      <c r="C1918" s="10" t="inlineStr"/>
      <c r="D1918" s="10" t="inlineStr">
        <is>
          <t>6009705656226</t>
        </is>
      </c>
      <c r="E1918" s="10" t="inlineStr">
        <is>
          <t>CORNICE T-SERIES T1811 CRM (2M) (4'S)</t>
        </is>
      </c>
      <c r="F1918" s="10" t="inlineStr"/>
      <c r="G1918" s="10" t="inlineStr"/>
      <c r="H1918" s="10" t="inlineStr"/>
      <c r="I1918" s="11" t="n">
        <v>62.4</v>
      </c>
      <c r="J1918" s="6" t="n">
        <v>15</v>
      </c>
      <c r="K1918" s="7">
        <f>IF(I1918="","",I1918*(1+J1918/100))</f>
        <v/>
      </c>
      <c r="L1918" s="12" t="inlineStr"/>
      <c r="M1918" s="8">
        <f>IF(OR(L1918="",K1918="",L1918=0),"",
  (L1918-K1918)/L1918*100)</f>
        <v/>
      </c>
      <c r="N1918" s="9" t="inlineStr"/>
      <c r="O1918" s="10" t="inlineStr"/>
      <c r="P1918" s="10" t="inlineStr"/>
      <c r="Q1918" s="10" t="inlineStr"/>
      <c r="R1918" s="10" t="inlineStr">
        <is>
          <t>2026-03-12</t>
        </is>
      </c>
      <c r="S1918" s="10" t="inlineStr"/>
    </row>
    <row r="1919">
      <c r="A1919" s="3" t="inlineStr">
        <is>
          <t>F02390</t>
        </is>
      </c>
      <c r="B1919" s="4" t="inlineStr">
        <is>
          <t>F02390</t>
        </is>
      </c>
      <c r="C1919" s="4" t="inlineStr"/>
      <c r="D1919" s="4" t="inlineStr">
        <is>
          <t>5902023705565</t>
        </is>
      </c>
      <c r="E1919" s="3" t="inlineStr">
        <is>
          <t>CORNICE T-SERIES T1711 CRM (2M) (4'S)</t>
        </is>
      </c>
      <c r="F1919" s="4" t="inlineStr"/>
      <c r="G1919" s="4" t="inlineStr"/>
      <c r="H1919" s="4" t="inlineStr"/>
      <c r="I1919" s="5" t="n">
        <v>62.4</v>
      </c>
      <c r="J1919" s="6" t="n">
        <v>15</v>
      </c>
      <c r="K1919" s="7">
        <f>IF(I1919="","",I1919*(1+J1919/100))</f>
        <v/>
      </c>
      <c r="L1919" s="12" t="inlineStr"/>
      <c r="M1919" s="8">
        <f>IF(OR(L1919="",K1919="",L1919=0),"",
  (L1919-K1919)/L1919*100)</f>
        <v/>
      </c>
      <c r="N1919" s="9" t="inlineStr"/>
      <c r="O1919" s="4" t="inlineStr"/>
      <c r="P1919" s="4" t="inlineStr"/>
      <c r="Q1919" s="4" t="inlineStr"/>
      <c r="R1919" s="4" t="inlineStr">
        <is>
          <t>2026-03-12</t>
        </is>
      </c>
      <c r="S1919" s="4" t="inlineStr"/>
    </row>
    <row r="1920">
      <c r="A1920" s="10" t="inlineStr">
        <is>
          <t>F02391</t>
        </is>
      </c>
      <c r="B1920" s="10" t="inlineStr">
        <is>
          <t>F02391</t>
        </is>
      </c>
      <c r="C1920" s="10" t="inlineStr"/>
      <c r="D1920" s="10" t="inlineStr">
        <is>
          <t>6009705656240</t>
        </is>
      </c>
      <c r="E1920" s="10" t="inlineStr">
        <is>
          <t>CORNICE T-SERIE T24WS WHT SILV(2M) (4'S)</t>
        </is>
      </c>
      <c r="F1920" s="10" t="inlineStr"/>
      <c r="G1920" s="10" t="inlineStr"/>
      <c r="H1920" s="10" t="inlineStr"/>
      <c r="I1920" s="11" t="n">
        <v>69.36</v>
      </c>
      <c r="J1920" s="6" t="n">
        <v>15</v>
      </c>
      <c r="K1920" s="7">
        <f>IF(I1920="","",I1920*(1+J1920/100))</f>
        <v/>
      </c>
      <c r="L1920" s="12" t="inlineStr"/>
      <c r="M1920" s="8">
        <f>IF(OR(L1920="",K1920="",L1920=0),"",
  (L1920-K1920)/L1920*100)</f>
        <v/>
      </c>
      <c r="N1920" s="13" t="n">
        <v>16</v>
      </c>
      <c r="O1920" s="10" t="inlineStr"/>
      <c r="P1920" s="10" t="inlineStr"/>
      <c r="Q1920" s="10" t="inlineStr"/>
      <c r="R1920" s="10" t="inlineStr">
        <is>
          <t>2026-03-12</t>
        </is>
      </c>
      <c r="S1920" s="10" t="inlineStr"/>
    </row>
    <row r="1921">
      <c r="A1921" s="3" t="inlineStr">
        <is>
          <t>F02392</t>
        </is>
      </c>
      <c r="B1921" s="4" t="inlineStr">
        <is>
          <t>F02392</t>
        </is>
      </c>
      <c r="C1921" s="4" t="inlineStr"/>
      <c r="D1921" s="4" t="inlineStr">
        <is>
          <t>5902023705804</t>
        </is>
      </c>
      <c r="E1921" s="3" t="inlineStr">
        <is>
          <t>CORNICET-SERIES T23WS WHT SILV (2M)(4's)</t>
        </is>
      </c>
      <c r="F1921" s="4" t="inlineStr"/>
      <c r="G1921" s="4" t="inlineStr"/>
      <c r="H1921" s="4" t="inlineStr"/>
      <c r="I1921" s="5" t="n">
        <v>69.36</v>
      </c>
      <c r="J1921" s="6" t="n">
        <v>15</v>
      </c>
      <c r="K1921" s="7">
        <f>IF(I1921="","",I1921*(1+J1921/100))</f>
        <v/>
      </c>
      <c r="L1921" s="12" t="inlineStr"/>
      <c r="M1921" s="8">
        <f>IF(OR(L1921="",K1921="",L1921=0),"",
  (L1921-K1921)/L1921*100)</f>
        <v/>
      </c>
      <c r="N1921" s="9" t="inlineStr"/>
      <c r="O1921" s="4" t="inlineStr"/>
      <c r="P1921" s="4" t="inlineStr"/>
      <c r="Q1921" s="4" t="inlineStr"/>
      <c r="R1921" s="4" t="inlineStr">
        <is>
          <t>2026-03-12</t>
        </is>
      </c>
      <c r="S1921" s="4" t="inlineStr"/>
    </row>
    <row r="1922">
      <c r="A1922" s="10" t="inlineStr">
        <is>
          <t>F02393</t>
        </is>
      </c>
      <c r="B1922" s="10" t="inlineStr">
        <is>
          <t>F02393</t>
        </is>
      </c>
      <c r="C1922" s="10" t="inlineStr"/>
      <c r="D1922" s="10" t="inlineStr">
        <is>
          <t>5902023705604</t>
        </is>
      </c>
      <c r="E1922" s="10" t="inlineStr">
        <is>
          <t>CORNICE T-SERIE T21WS WHT SILV (2M)(4'S)</t>
        </is>
      </c>
      <c r="F1922" s="10" t="inlineStr"/>
      <c r="G1922" s="10" t="inlineStr"/>
      <c r="H1922" s="10" t="inlineStr"/>
      <c r="I1922" s="11" t="n">
        <v>69.36</v>
      </c>
      <c r="J1922" s="6" t="n">
        <v>15</v>
      </c>
      <c r="K1922" s="7">
        <f>IF(I1922="","",I1922*(1+J1922/100))</f>
        <v/>
      </c>
      <c r="L1922" s="12" t="inlineStr"/>
      <c r="M1922" s="8">
        <f>IF(OR(L1922="",K1922="",L1922=0),"",
  (L1922-K1922)/L1922*100)</f>
        <v/>
      </c>
      <c r="N1922" s="9" t="inlineStr"/>
      <c r="O1922" s="10" t="inlineStr"/>
      <c r="P1922" s="10" t="inlineStr"/>
      <c r="Q1922" s="10" t="inlineStr"/>
      <c r="R1922" s="10" t="inlineStr">
        <is>
          <t>2026-03-12</t>
        </is>
      </c>
      <c r="S1922" s="10" t="inlineStr"/>
    </row>
    <row r="1923">
      <c r="A1923" s="3" t="inlineStr">
        <is>
          <t>F02394</t>
        </is>
      </c>
      <c r="B1923" s="4" t="inlineStr">
        <is>
          <t>F02394</t>
        </is>
      </c>
      <c r="C1923" s="4" t="inlineStr"/>
      <c r="D1923" s="4" t="inlineStr">
        <is>
          <t>5902023705589</t>
        </is>
      </c>
      <c r="E1923" s="3" t="inlineStr">
        <is>
          <t>CORNICE T-SERIE T19WS WHT SILV (2M)(4'S)</t>
        </is>
      </c>
      <c r="F1923" s="4" t="inlineStr"/>
      <c r="G1923" s="4" t="inlineStr"/>
      <c r="H1923" s="4" t="inlineStr"/>
      <c r="I1923" s="5" t="n">
        <v>69.36</v>
      </c>
      <c r="J1923" s="6" t="n">
        <v>15</v>
      </c>
      <c r="K1923" s="7">
        <f>IF(I1923="","",I1923*(1+J1923/100))</f>
        <v/>
      </c>
      <c r="L1923" s="12" t="inlineStr"/>
      <c r="M1923" s="8">
        <f>IF(OR(L1923="",K1923="",L1923=0),"",
  (L1923-K1923)/L1923*100)</f>
        <v/>
      </c>
      <c r="N1923" s="9" t="inlineStr"/>
      <c r="O1923" s="4" t="inlineStr"/>
      <c r="P1923" s="4" t="inlineStr"/>
      <c r="Q1923" s="4" t="inlineStr"/>
      <c r="R1923" s="4" t="inlineStr">
        <is>
          <t>2026-03-12</t>
        </is>
      </c>
      <c r="S1923" s="4" t="inlineStr"/>
    </row>
    <row r="1924">
      <c r="A1924" s="10" t="inlineStr">
        <is>
          <t>F02395</t>
        </is>
      </c>
      <c r="B1924" s="10" t="inlineStr">
        <is>
          <t>F02395</t>
        </is>
      </c>
      <c r="C1924" s="10" t="inlineStr"/>
      <c r="D1924" s="10" t="inlineStr">
        <is>
          <t>5902023705706</t>
        </is>
      </c>
      <c r="E1924" s="10" t="inlineStr">
        <is>
          <t>CORNICE T-SERIE T18WS WHT SILV (2M)(4'S)</t>
        </is>
      </c>
      <c r="F1924" s="10" t="inlineStr"/>
      <c r="G1924" s="10" t="inlineStr"/>
      <c r="H1924" s="10" t="inlineStr"/>
      <c r="I1924" s="11" t="n">
        <v>69.36</v>
      </c>
      <c r="J1924" s="6" t="n">
        <v>15</v>
      </c>
      <c r="K1924" s="7">
        <f>IF(I1924="","",I1924*(1+J1924/100))</f>
        <v/>
      </c>
      <c r="L1924" s="12" t="inlineStr"/>
      <c r="M1924" s="8">
        <f>IF(OR(L1924="",K1924="",L1924=0),"",
  (L1924-K1924)/L1924*100)</f>
        <v/>
      </c>
      <c r="N1924" s="13" t="n">
        <v>18</v>
      </c>
      <c r="O1924" s="10" t="inlineStr"/>
      <c r="P1924" s="10" t="inlineStr"/>
      <c r="Q1924" s="10" t="inlineStr"/>
      <c r="R1924" s="10" t="inlineStr">
        <is>
          <t>2026-03-12</t>
        </is>
      </c>
      <c r="S1924" s="10" t="inlineStr"/>
    </row>
    <row r="1925">
      <c r="A1925" s="3" t="inlineStr">
        <is>
          <t>F02396</t>
        </is>
      </c>
      <c r="B1925" s="4" t="inlineStr">
        <is>
          <t>F02396</t>
        </is>
      </c>
      <c r="C1925" s="4" t="inlineStr"/>
      <c r="D1925" s="4" t="inlineStr">
        <is>
          <t>5902023705563</t>
        </is>
      </c>
      <c r="E1925" s="3" t="inlineStr">
        <is>
          <t>CORNICE T-SERIE T17WS WHT SILV (2M)(4'S)</t>
        </is>
      </c>
      <c r="F1925" s="4" t="inlineStr"/>
      <c r="G1925" s="4" t="inlineStr"/>
      <c r="H1925" s="4" t="inlineStr"/>
      <c r="I1925" s="5" t="n">
        <v>69.36</v>
      </c>
      <c r="J1925" s="6" t="n">
        <v>15</v>
      </c>
      <c r="K1925" s="7">
        <f>IF(I1925="","",I1925*(1+J1925/100))</f>
        <v/>
      </c>
      <c r="L1925" s="12" t="inlineStr"/>
      <c r="M1925" s="8">
        <f>IF(OR(L1925="",K1925="",L1925=0),"",
  (L1925-K1925)/L1925*100)</f>
        <v/>
      </c>
      <c r="N1925" s="9" t="inlineStr"/>
      <c r="O1925" s="4" t="inlineStr"/>
      <c r="P1925" s="4" t="inlineStr"/>
      <c r="Q1925" s="4" t="inlineStr"/>
      <c r="R1925" s="4" t="inlineStr">
        <is>
          <t>2026-03-12</t>
        </is>
      </c>
      <c r="S1925" s="4" t="inlineStr"/>
    </row>
    <row r="1926">
      <c r="A1926" s="10" t="inlineStr">
        <is>
          <t>F02397</t>
        </is>
      </c>
      <c r="B1926" s="10" t="inlineStr">
        <is>
          <t>F02397</t>
        </is>
      </c>
      <c r="C1926" s="10" t="inlineStr"/>
      <c r="D1926" s="10" t="inlineStr">
        <is>
          <t>5902023705905</t>
        </is>
      </c>
      <c r="E1926" s="10" t="inlineStr">
        <is>
          <t>CORNICE T-SERIE T24WG WHT GOLD (2M)(4'S)</t>
        </is>
      </c>
      <c r="F1926" s="10" t="inlineStr"/>
      <c r="G1926" s="10" t="inlineStr"/>
      <c r="H1926" s="10" t="inlineStr"/>
      <c r="I1926" s="11" t="n">
        <v>69.36</v>
      </c>
      <c r="J1926" s="6" t="n">
        <v>15</v>
      </c>
      <c r="K1926" s="7">
        <f>IF(I1926="","",I1926*(1+J1926/100))</f>
        <v/>
      </c>
      <c r="L1926" s="12" t="inlineStr"/>
      <c r="M1926" s="8">
        <f>IF(OR(L1926="",K1926="",L1926=0),"",
  (L1926-K1926)/L1926*100)</f>
        <v/>
      </c>
      <c r="N1926" s="9" t="inlineStr"/>
      <c r="O1926" s="10" t="inlineStr"/>
      <c r="P1926" s="10" t="inlineStr"/>
      <c r="Q1926" s="10" t="inlineStr"/>
      <c r="R1926" s="10" t="inlineStr">
        <is>
          <t>2026-03-12</t>
        </is>
      </c>
      <c r="S1926" s="10" t="inlineStr"/>
    </row>
    <row r="1927">
      <c r="A1927" s="3" t="inlineStr">
        <is>
          <t>F02398</t>
        </is>
      </c>
      <c r="B1927" s="4" t="inlineStr">
        <is>
          <t>F02398</t>
        </is>
      </c>
      <c r="C1927" s="4" t="inlineStr"/>
      <c r="D1927" s="4" t="inlineStr">
        <is>
          <t>5902023705805</t>
        </is>
      </c>
      <c r="E1927" s="3" t="inlineStr">
        <is>
          <t>CORNICE T-SERIE T23WG WHT GOLD (2M)(4'S)</t>
        </is>
      </c>
      <c r="F1927" s="4" t="inlineStr"/>
      <c r="G1927" s="4" t="inlineStr"/>
      <c r="H1927" s="4" t="inlineStr"/>
      <c r="I1927" s="5" t="n">
        <v>69.36</v>
      </c>
      <c r="J1927" s="6" t="n">
        <v>15</v>
      </c>
      <c r="K1927" s="7">
        <f>IF(I1927="","",I1927*(1+J1927/100))</f>
        <v/>
      </c>
      <c r="L1927" s="12" t="inlineStr"/>
      <c r="M1927" s="8">
        <f>IF(OR(L1927="",K1927="",L1927=0),"",
  (L1927-K1927)/L1927*100)</f>
        <v/>
      </c>
      <c r="N1927" s="14" t="n">
        <v>16</v>
      </c>
      <c r="O1927" s="4" t="inlineStr"/>
      <c r="P1927" s="4" t="inlineStr"/>
      <c r="Q1927" s="4" t="inlineStr"/>
      <c r="R1927" s="4" t="inlineStr">
        <is>
          <t>2026-03-12</t>
        </is>
      </c>
      <c r="S1927" s="4" t="inlineStr"/>
    </row>
    <row r="1928">
      <c r="A1928" s="10" t="inlineStr">
        <is>
          <t>F02399</t>
        </is>
      </c>
      <c r="B1928" s="10" t="inlineStr">
        <is>
          <t>F02399</t>
        </is>
      </c>
      <c r="C1928" s="10" t="inlineStr"/>
      <c r="D1928" s="10" t="inlineStr">
        <is>
          <t>6009705656325</t>
        </is>
      </c>
      <c r="E1928" s="10" t="inlineStr">
        <is>
          <t>CORNICE T-SERIE T21WG WHT GOLD (2M)(4'S)</t>
        </is>
      </c>
      <c r="F1928" s="10" t="inlineStr"/>
      <c r="G1928" s="10" t="inlineStr"/>
      <c r="H1928" s="10" t="inlineStr"/>
      <c r="I1928" s="11" t="n">
        <v>69.36</v>
      </c>
      <c r="J1928" s="6" t="n">
        <v>15</v>
      </c>
      <c r="K1928" s="7">
        <f>IF(I1928="","",I1928*(1+J1928/100))</f>
        <v/>
      </c>
      <c r="L1928" s="12" t="inlineStr"/>
      <c r="M1928" s="8">
        <f>IF(OR(L1928="",K1928="",L1928=0),"",
  (L1928-K1928)/L1928*100)</f>
        <v/>
      </c>
      <c r="N1928" s="13" t="n">
        <v>4</v>
      </c>
      <c r="O1928" s="10" t="inlineStr"/>
      <c r="P1928" s="10" t="inlineStr"/>
      <c r="Q1928" s="10" t="inlineStr"/>
      <c r="R1928" s="10" t="inlineStr">
        <is>
          <t>2026-03-12</t>
        </is>
      </c>
      <c r="S1928" s="10" t="inlineStr"/>
    </row>
    <row r="1929">
      <c r="A1929" s="3" t="inlineStr">
        <is>
          <t>F02400</t>
        </is>
      </c>
      <c r="B1929" s="4" t="inlineStr">
        <is>
          <t>F02400</t>
        </is>
      </c>
      <c r="C1929" s="4" t="inlineStr"/>
      <c r="D1929" s="4" t="inlineStr">
        <is>
          <t>6009705656332</t>
        </is>
      </c>
      <c r="E1929" s="3" t="inlineStr">
        <is>
          <t>CORNICE T-SERIE T19WG WHT GOLD (2M)(4'S)</t>
        </is>
      </c>
      <c r="F1929" s="4" t="inlineStr"/>
      <c r="G1929" s="4" t="inlineStr"/>
      <c r="H1929" s="4" t="inlineStr"/>
      <c r="I1929" s="5" t="n">
        <v>69.36</v>
      </c>
      <c r="J1929" s="6" t="n">
        <v>15</v>
      </c>
      <c r="K1929" s="7">
        <f>IF(I1929="","",I1929*(1+J1929/100))</f>
        <v/>
      </c>
      <c r="L1929" s="12" t="inlineStr"/>
      <c r="M1929" s="8">
        <f>IF(OR(L1929="",K1929="",L1929=0),"",
  (L1929-K1929)/L1929*100)</f>
        <v/>
      </c>
      <c r="N1929" s="9" t="inlineStr"/>
      <c r="O1929" s="4" t="inlineStr"/>
      <c r="P1929" s="4" t="inlineStr"/>
      <c r="Q1929" s="4" t="inlineStr"/>
      <c r="R1929" s="4" t="inlineStr">
        <is>
          <t>2026-03-12</t>
        </is>
      </c>
      <c r="S1929" s="4" t="inlineStr"/>
    </row>
    <row r="1930">
      <c r="A1930" s="10" t="inlineStr">
        <is>
          <t>F02401</t>
        </is>
      </c>
      <c r="B1930" s="10" t="inlineStr">
        <is>
          <t>F02401</t>
        </is>
      </c>
      <c r="C1930" s="10" t="inlineStr"/>
      <c r="D1930" s="10" t="inlineStr">
        <is>
          <t>5902023705107</t>
        </is>
      </c>
      <c r="E1930" s="10" t="inlineStr">
        <is>
          <t>CORNICE T-SERIE T18WG WHT GOLD (2M)(4'S)</t>
        </is>
      </c>
      <c r="F1930" s="10" t="inlineStr"/>
      <c r="G1930" s="10" t="inlineStr"/>
      <c r="H1930" s="10" t="inlineStr"/>
      <c r="I1930" s="11" t="n">
        <v>69.36</v>
      </c>
      <c r="J1930" s="6" t="n">
        <v>15</v>
      </c>
      <c r="K1930" s="7">
        <f>IF(I1930="","",I1930*(1+J1930/100))</f>
        <v/>
      </c>
      <c r="L1930" s="12" t="inlineStr"/>
      <c r="M1930" s="8">
        <f>IF(OR(L1930="",K1930="",L1930=0),"",
  (L1930-K1930)/L1930*100)</f>
        <v/>
      </c>
      <c r="N1930" s="9" t="inlineStr"/>
      <c r="O1930" s="10" t="inlineStr"/>
      <c r="P1930" s="10" t="inlineStr"/>
      <c r="Q1930" s="10" t="inlineStr"/>
      <c r="R1930" s="10" t="inlineStr">
        <is>
          <t>2026-03-12</t>
        </is>
      </c>
      <c r="S1930" s="10" t="inlineStr"/>
    </row>
    <row r="1931">
      <c r="A1931" s="3" t="inlineStr">
        <is>
          <t>F02402</t>
        </is>
      </c>
      <c r="B1931" s="4" t="inlineStr">
        <is>
          <t>F02402</t>
        </is>
      </c>
      <c r="C1931" s="4" t="inlineStr"/>
      <c r="D1931" s="4" t="inlineStr">
        <is>
          <t>5902023705564</t>
        </is>
      </c>
      <c r="E1931" s="3" t="inlineStr">
        <is>
          <t>CORNICE T-SERIE T17WG WHT GOLD (2M)(4'S)</t>
        </is>
      </c>
      <c r="F1931" s="4" t="inlineStr"/>
      <c r="G1931" s="4" t="inlineStr"/>
      <c r="H1931" s="4" t="inlineStr"/>
      <c r="I1931" s="5" t="n">
        <v>69.36</v>
      </c>
      <c r="J1931" s="6" t="n">
        <v>15</v>
      </c>
      <c r="K1931" s="7">
        <f>IF(I1931="","",I1931*(1+J1931/100))</f>
        <v/>
      </c>
      <c r="L1931" s="12" t="inlineStr"/>
      <c r="M1931" s="8">
        <f>IF(OR(L1931="",K1931="",L1931=0),"",
  (L1931-K1931)/L1931*100)</f>
        <v/>
      </c>
      <c r="N1931" s="14" t="n">
        <v>18</v>
      </c>
      <c r="O1931" s="4" t="inlineStr"/>
      <c r="P1931" s="4" t="inlineStr"/>
      <c r="Q1931" s="4" t="inlineStr"/>
      <c r="R1931" s="4" t="inlineStr">
        <is>
          <t>2026-03-12</t>
        </is>
      </c>
      <c r="S1931" s="4" t="inlineStr"/>
    </row>
    <row r="1932">
      <c r="A1932" s="10" t="inlineStr">
        <is>
          <t>F02403</t>
        </is>
      </c>
      <c r="B1932" s="10" t="inlineStr">
        <is>
          <t>F02403</t>
        </is>
      </c>
      <c r="C1932" s="10" t="inlineStr"/>
      <c r="D1932" s="10" t="inlineStr">
        <is>
          <t>5902023705906</t>
        </is>
      </c>
      <c r="E1932" s="10" t="inlineStr">
        <is>
          <t>CORNICE T-SERIE T24S SILV (2M)(4'S)</t>
        </is>
      </c>
      <c r="F1932" s="10" t="inlineStr"/>
      <c r="G1932" s="10" t="inlineStr"/>
      <c r="H1932" s="10" t="inlineStr"/>
      <c r="I1932" s="11" t="n">
        <v>69.36</v>
      </c>
      <c r="J1932" s="6" t="n">
        <v>15</v>
      </c>
      <c r="K1932" s="7">
        <f>IF(I1932="","",I1932*(1+J1932/100))</f>
        <v/>
      </c>
      <c r="L1932" s="12" t="inlineStr"/>
      <c r="M1932" s="8">
        <f>IF(OR(L1932="",K1932="",L1932=0),"",
  (L1932-K1932)/L1932*100)</f>
        <v/>
      </c>
      <c r="N1932" s="9" t="inlineStr"/>
      <c r="O1932" s="10" t="inlineStr"/>
      <c r="P1932" s="10" t="inlineStr"/>
      <c r="Q1932" s="10" t="inlineStr"/>
      <c r="R1932" s="10" t="inlineStr">
        <is>
          <t>2026-03-12</t>
        </is>
      </c>
      <c r="S1932" s="10" t="inlineStr"/>
    </row>
    <row r="1933">
      <c r="A1933" s="3" t="inlineStr">
        <is>
          <t>F02404</t>
        </is>
      </c>
      <c r="B1933" s="4" t="inlineStr">
        <is>
          <t>F02404</t>
        </is>
      </c>
      <c r="C1933" s="4" t="inlineStr"/>
      <c r="D1933" s="4" t="inlineStr">
        <is>
          <t>5902023705806</t>
        </is>
      </c>
      <c r="E1933" s="3" t="inlineStr">
        <is>
          <t>CORNICE T-SERIE T23S SILV (2M) (4'S)</t>
        </is>
      </c>
      <c r="F1933" s="4" t="inlineStr"/>
      <c r="G1933" s="4" t="inlineStr"/>
      <c r="H1933" s="4" t="inlineStr"/>
      <c r="I1933" s="5" t="n">
        <v>69.36</v>
      </c>
      <c r="J1933" s="6" t="n">
        <v>15</v>
      </c>
      <c r="K1933" s="7">
        <f>IF(I1933="","",I1933*(1+J1933/100))</f>
        <v/>
      </c>
      <c r="L1933" s="12" t="inlineStr"/>
      <c r="M1933" s="8">
        <f>IF(OR(L1933="",K1933="",L1933=0),"",
  (L1933-K1933)/L1933*100)</f>
        <v/>
      </c>
      <c r="N1933" s="9" t="inlineStr"/>
      <c r="O1933" s="4" t="inlineStr"/>
      <c r="P1933" s="4" t="inlineStr"/>
      <c r="Q1933" s="4" t="inlineStr"/>
      <c r="R1933" s="4" t="inlineStr">
        <is>
          <t>2026-03-12</t>
        </is>
      </c>
      <c r="S1933" s="4" t="inlineStr"/>
    </row>
    <row r="1934">
      <c r="A1934" s="10" t="inlineStr">
        <is>
          <t>F02405</t>
        </is>
      </c>
      <c r="B1934" s="10" t="inlineStr">
        <is>
          <t>F02405</t>
        </is>
      </c>
      <c r="C1934" s="10" t="inlineStr"/>
      <c r="D1934" s="10" t="inlineStr">
        <is>
          <t>5902023705606</t>
        </is>
      </c>
      <c r="E1934" s="10" t="inlineStr">
        <is>
          <t>CORNICE T-SERIE T21S SILV (2M) (4'S)</t>
        </is>
      </c>
      <c r="F1934" s="10" t="inlineStr"/>
      <c r="G1934" s="10" t="inlineStr"/>
      <c r="H1934" s="10" t="inlineStr"/>
      <c r="I1934" s="11" t="n">
        <v>69.36</v>
      </c>
      <c r="J1934" s="6" t="n">
        <v>15</v>
      </c>
      <c r="K1934" s="7">
        <f>IF(I1934="","",I1934*(1+J1934/100))</f>
        <v/>
      </c>
      <c r="L1934" s="12" t="inlineStr"/>
      <c r="M1934" s="8">
        <f>IF(OR(L1934="",K1934="",L1934=0),"",
  (L1934-K1934)/L1934*100)</f>
        <v/>
      </c>
      <c r="N1934" s="13" t="n">
        <v>4</v>
      </c>
      <c r="O1934" s="10" t="inlineStr"/>
      <c r="P1934" s="10" t="inlineStr"/>
      <c r="Q1934" s="10" t="inlineStr"/>
      <c r="R1934" s="10" t="inlineStr">
        <is>
          <t>2026-03-12</t>
        </is>
      </c>
      <c r="S1934" s="10" t="inlineStr"/>
    </row>
    <row r="1935">
      <c r="A1935" s="3" t="inlineStr">
        <is>
          <t>F02406</t>
        </is>
      </c>
      <c r="B1935" s="4" t="inlineStr">
        <is>
          <t>F02406</t>
        </is>
      </c>
      <c r="C1935" s="4" t="inlineStr"/>
      <c r="D1935" s="4" t="inlineStr">
        <is>
          <t>5902023705584</t>
        </is>
      </c>
      <c r="E1935" s="3" t="inlineStr">
        <is>
          <t>CORNICE T-SERIE T19S SILV (2M) (4'S)</t>
        </is>
      </c>
      <c r="F1935" s="4" t="inlineStr"/>
      <c r="G1935" s="4" t="inlineStr"/>
      <c r="H1935" s="4" t="inlineStr"/>
      <c r="I1935" s="5" t="n">
        <v>69.36</v>
      </c>
      <c r="J1935" s="6" t="n">
        <v>15</v>
      </c>
      <c r="K1935" s="7">
        <f>IF(I1935="","",I1935*(1+J1935/100))</f>
        <v/>
      </c>
      <c r="L1935" s="12" t="inlineStr"/>
      <c r="M1935" s="8">
        <f>IF(OR(L1935="",K1935="",L1935=0),"",
  (L1935-K1935)/L1935*100)</f>
        <v/>
      </c>
      <c r="N1935" s="9" t="inlineStr"/>
      <c r="O1935" s="4" t="inlineStr"/>
      <c r="P1935" s="4" t="inlineStr"/>
      <c r="Q1935" s="4" t="inlineStr"/>
      <c r="R1935" s="4" t="inlineStr">
        <is>
          <t>2026-03-12</t>
        </is>
      </c>
      <c r="S1935" s="4" t="inlineStr"/>
    </row>
    <row r="1936">
      <c r="A1936" s="10" t="inlineStr">
        <is>
          <t>F02407</t>
        </is>
      </c>
      <c r="B1936" s="10" t="inlineStr">
        <is>
          <t>F02407</t>
        </is>
      </c>
      <c r="C1936" s="10" t="inlineStr"/>
      <c r="D1936" s="10" t="inlineStr">
        <is>
          <t>5902023705704</t>
        </is>
      </c>
      <c r="E1936" s="10" t="inlineStr">
        <is>
          <t>CORNICE T-SERIE T18S SILV (2M) (4'S)</t>
        </is>
      </c>
      <c r="F1936" s="10" t="inlineStr"/>
      <c r="G1936" s="10" t="inlineStr"/>
      <c r="H1936" s="10" t="inlineStr"/>
      <c r="I1936" s="11" t="n">
        <v>69.36</v>
      </c>
      <c r="J1936" s="6" t="n">
        <v>15</v>
      </c>
      <c r="K1936" s="7">
        <f>IF(I1936="","",I1936*(1+J1936/100))</f>
        <v/>
      </c>
      <c r="L1936" s="12" t="inlineStr"/>
      <c r="M1936" s="8">
        <f>IF(OR(L1936="",K1936="",L1936=0),"",
  (L1936-K1936)/L1936*100)</f>
        <v/>
      </c>
      <c r="N1936" s="9" t="inlineStr"/>
      <c r="O1936" s="10" t="inlineStr"/>
      <c r="P1936" s="10" t="inlineStr"/>
      <c r="Q1936" s="10" t="inlineStr"/>
      <c r="R1936" s="10" t="inlineStr">
        <is>
          <t>2026-03-12</t>
        </is>
      </c>
      <c r="S1936" s="10" t="inlineStr"/>
    </row>
    <row r="1937">
      <c r="A1937" s="3" t="inlineStr">
        <is>
          <t>F02408</t>
        </is>
      </c>
      <c r="B1937" s="4" t="inlineStr">
        <is>
          <t>F02408</t>
        </is>
      </c>
      <c r="C1937" s="4" t="inlineStr"/>
      <c r="D1937" s="4" t="inlineStr">
        <is>
          <t>6009705656417</t>
        </is>
      </c>
      <c r="E1937" s="3" t="inlineStr">
        <is>
          <t>CORNICE T-SERIE T17S SILV (2M) (4'S)</t>
        </is>
      </c>
      <c r="F1937" s="4" t="inlineStr"/>
      <c r="G1937" s="4" t="inlineStr"/>
      <c r="H1937" s="4" t="inlineStr"/>
      <c r="I1937" s="5" t="n">
        <v>69.36</v>
      </c>
      <c r="J1937" s="6" t="n">
        <v>15</v>
      </c>
      <c r="K1937" s="7">
        <f>IF(I1937="","",I1937*(1+J1937/100))</f>
        <v/>
      </c>
      <c r="L1937" s="12" t="inlineStr"/>
      <c r="M1937" s="8">
        <f>IF(OR(L1937="",K1937="",L1937=0),"",
  (L1937-K1937)/L1937*100)</f>
        <v/>
      </c>
      <c r="N1937" s="14" t="n">
        <v>342</v>
      </c>
      <c r="O1937" s="4" t="inlineStr"/>
      <c r="P1937" s="4" t="inlineStr"/>
      <c r="Q1937" s="4" t="inlineStr"/>
      <c r="R1937" s="4" t="inlineStr">
        <is>
          <t>2026-03-12</t>
        </is>
      </c>
      <c r="S1937" s="4" t="inlineStr"/>
    </row>
    <row r="1938">
      <c r="A1938" s="10" t="inlineStr">
        <is>
          <t>F02409</t>
        </is>
      </c>
      <c r="B1938" s="10" t="inlineStr">
        <is>
          <t>F02409</t>
        </is>
      </c>
      <c r="C1938" s="10" t="inlineStr"/>
      <c r="D1938" s="10" t="inlineStr">
        <is>
          <t>5902023705907</t>
        </is>
      </c>
      <c r="E1938" s="10" t="inlineStr">
        <is>
          <t>CORNICE T24LG-T SERIES  GOLD (2M)(4'S)</t>
        </is>
      </c>
      <c r="F1938" s="10" t="inlineStr"/>
      <c r="G1938" s="10" t="inlineStr"/>
      <c r="H1938" s="10" t="inlineStr"/>
      <c r="I1938" s="11" t="n">
        <v>69.36</v>
      </c>
      <c r="J1938" s="6" t="n">
        <v>15</v>
      </c>
      <c r="K1938" s="7">
        <f>IF(I1938="","",I1938*(1+J1938/100))</f>
        <v/>
      </c>
      <c r="L1938" s="12" t="inlineStr"/>
      <c r="M1938" s="8">
        <f>IF(OR(L1938="",K1938="",L1938=0),"",
  (L1938-K1938)/L1938*100)</f>
        <v/>
      </c>
      <c r="N1938" s="13" t="n">
        <v>48</v>
      </c>
      <c r="O1938" s="10" t="inlineStr"/>
      <c r="P1938" s="10" t="inlineStr"/>
      <c r="Q1938" s="10" t="inlineStr"/>
      <c r="R1938" s="10" t="inlineStr">
        <is>
          <t>2026-03-12</t>
        </is>
      </c>
      <c r="S1938" s="10" t="inlineStr"/>
    </row>
    <row r="1939">
      <c r="A1939" s="3" t="inlineStr">
        <is>
          <t>F02410</t>
        </is>
      </c>
      <c r="B1939" s="4" t="inlineStr">
        <is>
          <t>F02410</t>
        </is>
      </c>
      <c r="C1939" s="4" t="inlineStr"/>
      <c r="D1939" s="4" t="inlineStr">
        <is>
          <t>5902023705807</t>
        </is>
      </c>
      <c r="E1939" s="3" t="inlineStr">
        <is>
          <t>CORNICE T-SERIE T23LG LIGHT GOLD(2M)(4'S</t>
        </is>
      </c>
      <c r="F1939" s="4" t="inlineStr"/>
      <c r="G1939" s="4" t="inlineStr"/>
      <c r="H1939" s="4" t="inlineStr"/>
      <c r="I1939" s="5" t="n">
        <v>69.36</v>
      </c>
      <c r="J1939" s="6" t="n">
        <v>15</v>
      </c>
      <c r="K1939" s="7">
        <f>IF(I1939="","",I1939*(1+J1939/100))</f>
        <v/>
      </c>
      <c r="L1939" s="12" t="inlineStr"/>
      <c r="M1939" s="8">
        <f>IF(OR(L1939="",K1939="",L1939=0),"",
  (L1939-K1939)/L1939*100)</f>
        <v/>
      </c>
      <c r="N1939" s="14" t="n">
        <v>32</v>
      </c>
      <c r="O1939" s="4" t="inlineStr"/>
      <c r="P1939" s="4" t="inlineStr"/>
      <c r="Q1939" s="4" t="inlineStr"/>
      <c r="R1939" s="4" t="inlineStr">
        <is>
          <t>2026-03-12</t>
        </is>
      </c>
      <c r="S1939" s="4" t="inlineStr"/>
    </row>
    <row r="1940">
      <c r="A1940" s="10" t="inlineStr">
        <is>
          <t>F02411</t>
        </is>
      </c>
      <c r="B1940" s="10" t="inlineStr">
        <is>
          <t>F02411</t>
        </is>
      </c>
      <c r="C1940" s="10" t="inlineStr"/>
      <c r="D1940" s="10" t="inlineStr">
        <is>
          <t>5902023705705</t>
        </is>
      </c>
      <c r="E1940" s="10" t="inlineStr">
        <is>
          <t>CORNICE T-SERIE T18LG LIGHT GOLD(2M)(4'S</t>
        </is>
      </c>
      <c r="F1940" s="10" t="inlineStr"/>
      <c r="G1940" s="10" t="inlineStr"/>
      <c r="H1940" s="10" t="inlineStr"/>
      <c r="I1940" s="11" t="n">
        <v>69.36</v>
      </c>
      <c r="J1940" s="6" t="n">
        <v>15</v>
      </c>
      <c r="K1940" s="7">
        <f>IF(I1940="","",I1940*(1+J1940/100))</f>
        <v/>
      </c>
      <c r="L1940" s="12" t="inlineStr"/>
      <c r="M1940" s="8">
        <f>IF(OR(L1940="",K1940="",L1940=0),"",
  (L1940-K1940)/L1940*100)</f>
        <v/>
      </c>
      <c r="N1940" s="13" t="n">
        <v>58</v>
      </c>
      <c r="O1940" s="10" t="inlineStr"/>
      <c r="P1940" s="10" t="inlineStr"/>
      <c r="Q1940" s="10" t="inlineStr"/>
      <c r="R1940" s="10" t="inlineStr">
        <is>
          <t>2026-03-12</t>
        </is>
      </c>
      <c r="S1940" s="10" t="inlineStr"/>
    </row>
    <row r="1941">
      <c r="A1941" s="3" t="inlineStr">
        <is>
          <t>F02412</t>
        </is>
      </c>
      <c r="B1941" s="4" t="inlineStr">
        <is>
          <t>F02412</t>
        </is>
      </c>
      <c r="C1941" s="4" t="inlineStr"/>
      <c r="D1941" s="4" t="inlineStr">
        <is>
          <t>5902023705567</t>
        </is>
      </c>
      <c r="E1941" s="3" t="inlineStr">
        <is>
          <t>CORNICE T-SERIE T17LG LIGT GOLD(2M)(4'S)</t>
        </is>
      </c>
      <c r="F1941" s="4" t="inlineStr"/>
      <c r="G1941" s="4" t="inlineStr"/>
      <c r="H1941" s="4" t="inlineStr"/>
      <c r="I1941" s="5" t="n">
        <v>69.36</v>
      </c>
      <c r="J1941" s="6" t="n">
        <v>15</v>
      </c>
      <c r="K1941" s="7">
        <f>IF(I1941="","",I1941*(1+J1941/100))</f>
        <v/>
      </c>
      <c r="L1941" s="12" t="inlineStr"/>
      <c r="M1941" s="8">
        <f>IF(OR(L1941="",K1941="",L1941=0),"",
  (L1941-K1941)/L1941*100)</f>
        <v/>
      </c>
      <c r="N1941" s="14" t="n">
        <v>198</v>
      </c>
      <c r="O1941" s="4" t="inlineStr"/>
      <c r="P1941" s="4" t="inlineStr"/>
      <c r="Q1941" s="4" t="inlineStr"/>
      <c r="R1941" s="4" t="inlineStr">
        <is>
          <t>2026-03-12</t>
        </is>
      </c>
      <c r="S1941" s="4" t="inlineStr"/>
    </row>
    <row r="1942">
      <c r="A1942" s="10" t="inlineStr">
        <is>
          <t>F02413</t>
        </is>
      </c>
      <c r="B1942" s="10" t="inlineStr">
        <is>
          <t>F02413</t>
        </is>
      </c>
      <c r="C1942" s="10" t="inlineStr"/>
      <c r="D1942" s="10" t="inlineStr">
        <is>
          <t>1002011106534</t>
        </is>
      </c>
      <c r="E1942" s="10" t="inlineStr">
        <is>
          <t>JUG GLASS 1.3LTR PLUS LID</t>
        </is>
      </c>
      <c r="F1942" s="10" t="inlineStr"/>
      <c r="G1942" s="10" t="inlineStr"/>
      <c r="H1942" s="10" t="inlineStr"/>
      <c r="I1942" s="11" t="n">
        <v>23.95</v>
      </c>
      <c r="J1942" s="6" t="n">
        <v>15</v>
      </c>
      <c r="K1942" s="7">
        <f>IF(I1942="","",I1942*(1+J1942/100))</f>
        <v/>
      </c>
      <c r="L1942" s="12" t="inlineStr"/>
      <c r="M1942" s="8">
        <f>IF(OR(L1942="",K1942="",L1942=0),"",
  (L1942-K1942)/L1942*100)</f>
        <v/>
      </c>
      <c r="N1942" s="9" t="inlineStr"/>
      <c r="O1942" s="10" t="inlineStr"/>
      <c r="P1942" s="10" t="inlineStr"/>
      <c r="Q1942" s="10" t="inlineStr"/>
      <c r="R1942" s="10" t="inlineStr">
        <is>
          <t>2026-03-12</t>
        </is>
      </c>
      <c r="S1942" s="10" t="inlineStr"/>
    </row>
    <row r="1943">
      <c r="A1943" s="3" t="inlineStr">
        <is>
          <t>F02414</t>
        </is>
      </c>
      <c r="B1943" s="4" t="inlineStr">
        <is>
          <t>F02414</t>
        </is>
      </c>
      <c r="C1943" s="4" t="inlineStr">
        <is>
          <t>32292</t>
        </is>
      </c>
      <c r="D1943" s="4" t="inlineStr">
        <is>
          <t>6009008400823</t>
        </is>
      </c>
      <c r="E1943" s="3" t="inlineStr">
        <is>
          <t>BUCKET 5LTR ASSORTED COLORS WIT LOCK LID</t>
        </is>
      </c>
      <c r="F1943" s="4" t="inlineStr"/>
      <c r="G1943" s="4" t="inlineStr"/>
      <c r="H1943" s="4" t="inlineStr"/>
      <c r="I1943" s="5" t="n">
        <v>12.25</v>
      </c>
      <c r="J1943" s="6" t="n">
        <v>15</v>
      </c>
      <c r="K1943" s="7">
        <f>IF(I1943="","",I1943*(1+J1943/100))</f>
        <v/>
      </c>
      <c r="L1943" s="12" t="inlineStr"/>
      <c r="M1943" s="8">
        <f>IF(OR(L1943="",K1943="",L1943=0),"",
  (L1943-K1943)/L1943*100)</f>
        <v/>
      </c>
      <c r="N1943" s="14" t="n">
        <v>2</v>
      </c>
      <c r="O1943" s="4" t="inlineStr"/>
      <c r="P1943" s="4" t="inlineStr"/>
      <c r="Q1943" s="4" t="inlineStr"/>
      <c r="R1943" s="4" t="inlineStr">
        <is>
          <t>2026-03-12</t>
        </is>
      </c>
      <c r="S1943" s="4" t="inlineStr"/>
    </row>
    <row r="1944">
      <c r="A1944" s="10" t="inlineStr">
        <is>
          <t>F02415</t>
        </is>
      </c>
      <c r="B1944" s="10" t="inlineStr">
        <is>
          <t>F02415</t>
        </is>
      </c>
      <c r="C1944" s="10" t="inlineStr">
        <is>
          <t>12751</t>
        </is>
      </c>
      <c r="D1944" s="10" t="inlineStr"/>
      <c r="E1944" s="10" t="inlineStr">
        <is>
          <t>WIPES MULTIPURPOSE  DISPOSABLE 800 SHEET</t>
        </is>
      </c>
      <c r="F1944" s="10" t="inlineStr"/>
      <c r="G1944" s="10" t="inlineStr"/>
      <c r="H1944" s="10" t="inlineStr"/>
      <c r="I1944" s="11" t="n">
        <v>398</v>
      </c>
      <c r="J1944" s="6" t="n">
        <v>15</v>
      </c>
      <c r="K1944" s="7">
        <f>IF(I1944="","",I1944*(1+J1944/100))</f>
        <v/>
      </c>
      <c r="L1944" s="11" t="n">
        <v>599</v>
      </c>
      <c r="M1944" s="8">
        <f>IF(OR(L1944="",K1944="",L1944=0),"",
  (L1944-K1944)/L1944*100)</f>
        <v/>
      </c>
      <c r="N1944" s="9" t="inlineStr"/>
      <c r="O1944" s="10" t="inlineStr"/>
      <c r="P1944" s="10" t="inlineStr"/>
      <c r="Q1944" s="10" t="inlineStr"/>
      <c r="R1944" s="10" t="inlineStr">
        <is>
          <t>2026-03-12</t>
        </is>
      </c>
      <c r="S1944" s="10" t="inlineStr"/>
    </row>
    <row r="1945">
      <c r="A1945" s="3" t="inlineStr">
        <is>
          <t>F02416</t>
        </is>
      </c>
      <c r="B1945" s="4" t="inlineStr">
        <is>
          <t>F02416</t>
        </is>
      </c>
      <c r="C1945" s="4" t="inlineStr">
        <is>
          <t>32259</t>
        </is>
      </c>
      <c r="D1945" s="4" t="inlineStr"/>
      <c r="E1945" s="3" t="inlineStr">
        <is>
          <t>BIN FUNKY COLOURS 60LT -BG</t>
        </is>
      </c>
      <c r="F1945" s="4" t="inlineStr"/>
      <c r="G1945" s="4" t="inlineStr"/>
      <c r="H1945" s="4" t="inlineStr"/>
      <c r="I1945" s="5" t="n">
        <v>78.90000000000001</v>
      </c>
      <c r="J1945" s="6" t="n">
        <v>15</v>
      </c>
      <c r="K1945" s="7">
        <f>IF(I1945="","",I1945*(1+J1945/100))</f>
        <v/>
      </c>
      <c r="L1945" s="12" t="inlineStr"/>
      <c r="M1945" s="8">
        <f>IF(OR(L1945="",K1945="",L1945=0),"",
  (L1945-K1945)/L1945*100)</f>
        <v/>
      </c>
      <c r="N1945" s="14" t="n">
        <v>294</v>
      </c>
      <c r="O1945" s="4" t="inlineStr"/>
      <c r="P1945" s="4" t="inlineStr"/>
      <c r="Q1945" s="4" t="inlineStr"/>
      <c r="R1945" s="4" t="inlineStr">
        <is>
          <t>2026-03-12</t>
        </is>
      </c>
      <c r="S1945" s="4" t="inlineStr"/>
    </row>
    <row r="1946">
      <c r="A1946" s="10" t="inlineStr">
        <is>
          <t>F02417</t>
        </is>
      </c>
      <c r="B1946" s="10" t="inlineStr">
        <is>
          <t>F02417</t>
        </is>
      </c>
      <c r="C1946" s="10" t="inlineStr"/>
      <c r="D1946" s="10" t="inlineStr">
        <is>
          <t>6009677010033</t>
        </is>
      </c>
      <c r="E1946" s="10" t="inlineStr">
        <is>
          <t>PLATE 10.25"' DEEP RIM SHAPE ASSRTD COLR</t>
        </is>
      </c>
      <c r="F1946" s="10" t="inlineStr"/>
      <c r="G1946" s="10" t="inlineStr"/>
      <c r="H1946" s="10" t="inlineStr"/>
      <c r="I1946" s="11" t="n">
        <v>11.5</v>
      </c>
      <c r="J1946" s="6" t="n">
        <v>15</v>
      </c>
      <c r="K1946" s="7">
        <f>IF(I1946="","",I1946*(1+J1946/100))</f>
        <v/>
      </c>
      <c r="L1946" s="12" t="inlineStr"/>
      <c r="M1946" s="8">
        <f>IF(OR(L1946="",K1946="",L1946=0),"",
  (L1946-K1946)/L1946*100)</f>
        <v/>
      </c>
      <c r="N1946" s="13" t="n">
        <v>195</v>
      </c>
      <c r="O1946" s="10" t="inlineStr"/>
      <c r="P1946" s="10" t="inlineStr"/>
      <c r="Q1946" s="10" t="inlineStr"/>
      <c r="R1946" s="10" t="inlineStr">
        <is>
          <t>2026-03-12</t>
        </is>
      </c>
      <c r="S1946" s="10" t="inlineStr"/>
    </row>
    <row r="1947">
      <c r="A1947" s="3" t="inlineStr">
        <is>
          <t>F02418</t>
        </is>
      </c>
      <c r="B1947" s="4" t="inlineStr">
        <is>
          <t>F02418</t>
        </is>
      </c>
      <c r="C1947" s="4" t="inlineStr"/>
      <c r="D1947" s="4" t="inlineStr">
        <is>
          <t>6009677010446</t>
        </is>
      </c>
      <c r="E1947" s="3" t="inlineStr">
        <is>
          <t>PLATE 10.25''EMBOSSED WHITE</t>
        </is>
      </c>
      <c r="F1947" s="4" t="inlineStr"/>
      <c r="G1947" s="4" t="inlineStr"/>
      <c r="H1947" s="4" t="inlineStr"/>
      <c r="I1947" s="5" t="n">
        <v>0.03</v>
      </c>
      <c r="J1947" s="6" t="n">
        <v>15</v>
      </c>
      <c r="K1947" s="7">
        <f>IF(I1947="","",I1947*(1+J1947/100))</f>
        <v/>
      </c>
      <c r="L1947" s="12" t="inlineStr"/>
      <c r="M1947" s="8">
        <f>IF(OR(L1947="",K1947="",L1947=0),"",
  (L1947-K1947)/L1947*100)</f>
        <v/>
      </c>
      <c r="N1947" s="9" t="inlineStr"/>
      <c r="O1947" s="4" t="inlineStr"/>
      <c r="P1947" s="4" t="inlineStr"/>
      <c r="Q1947" s="4" t="inlineStr"/>
      <c r="R1947" s="4" t="inlineStr">
        <is>
          <t>2026-03-12</t>
        </is>
      </c>
      <c r="S1947" s="4" t="inlineStr"/>
    </row>
    <row r="1948">
      <c r="A1948" s="10" t="inlineStr">
        <is>
          <t>F02419</t>
        </is>
      </c>
      <c r="B1948" s="10" t="inlineStr">
        <is>
          <t>F02419</t>
        </is>
      </c>
      <c r="C1948" s="10" t="inlineStr"/>
      <c r="D1948" s="10" t="inlineStr">
        <is>
          <t>6009677010453</t>
        </is>
      </c>
      <c r="E1948" s="10" t="inlineStr">
        <is>
          <t>PLATE 10.25"DOUBLE BASE ASSORT COLORS</t>
        </is>
      </c>
      <c r="F1948" s="10" t="inlineStr"/>
      <c r="G1948" s="10" t="inlineStr"/>
      <c r="H1948" s="10" t="inlineStr"/>
      <c r="I1948" s="11" t="n">
        <v>13.5</v>
      </c>
      <c r="J1948" s="6" t="n">
        <v>15</v>
      </c>
      <c r="K1948" s="7">
        <f>IF(I1948="","",I1948*(1+J1948/100))</f>
        <v/>
      </c>
      <c r="L1948" s="12" t="inlineStr"/>
      <c r="M1948" s="8">
        <f>IF(OR(L1948="",K1948="",L1948=0),"",
  (L1948-K1948)/L1948*100)</f>
        <v/>
      </c>
      <c r="N1948" s="13" t="n">
        <v>6</v>
      </c>
      <c r="O1948" s="10" t="inlineStr"/>
      <c r="P1948" s="10" t="inlineStr"/>
      <c r="Q1948" s="10" t="inlineStr"/>
      <c r="R1948" s="10" t="inlineStr">
        <is>
          <t>2026-03-12</t>
        </is>
      </c>
      <c r="S1948" s="10" t="inlineStr"/>
    </row>
    <row r="1949">
      <c r="A1949" s="3" t="inlineStr">
        <is>
          <t>F02420</t>
        </is>
      </c>
      <c r="B1949" s="4" t="inlineStr">
        <is>
          <t>F02420</t>
        </is>
      </c>
      <c r="C1949" s="4" t="inlineStr"/>
      <c r="D1949" s="4" t="inlineStr">
        <is>
          <t>6009677010460</t>
        </is>
      </c>
      <c r="E1949" s="3" t="inlineStr">
        <is>
          <t>SPONGE CLEANING (DISH) 3 PACK</t>
        </is>
      </c>
      <c r="F1949" s="4" t="inlineStr"/>
      <c r="G1949" s="4" t="inlineStr"/>
      <c r="H1949" s="4" t="inlineStr"/>
      <c r="I1949" s="5" t="n">
        <v>4.79</v>
      </c>
      <c r="J1949" s="6" t="n">
        <v>15</v>
      </c>
      <c r="K1949" s="7">
        <f>IF(I1949="","",I1949*(1+J1949/100))</f>
        <v/>
      </c>
      <c r="L1949" s="12" t="inlineStr"/>
      <c r="M1949" s="8">
        <f>IF(OR(L1949="",K1949="",L1949=0),"",
  (L1949-K1949)/L1949*100)</f>
        <v/>
      </c>
      <c r="N1949" s="9" t="inlineStr"/>
      <c r="O1949" s="4" t="inlineStr"/>
      <c r="P1949" s="4" t="inlineStr"/>
      <c r="Q1949" s="4" t="inlineStr"/>
      <c r="R1949" s="4" t="inlineStr">
        <is>
          <t>2026-03-12</t>
        </is>
      </c>
      <c r="S1949" s="4" t="inlineStr"/>
    </row>
    <row r="1950">
      <c r="A1950" s="10" t="inlineStr">
        <is>
          <t>F02421</t>
        </is>
      </c>
      <c r="B1950" s="10" t="inlineStr">
        <is>
          <t>F02421</t>
        </is>
      </c>
      <c r="C1950" s="10" t="inlineStr"/>
      <c r="D1950" s="10" t="inlineStr">
        <is>
          <t>6009677010477</t>
        </is>
      </c>
      <c r="E1950" s="10" t="inlineStr">
        <is>
          <t>SPONGE CLEANING (DISH) 5 PACK</t>
        </is>
      </c>
      <c r="F1950" s="10" t="inlineStr"/>
      <c r="G1950" s="10" t="inlineStr"/>
      <c r="H1950" s="10" t="inlineStr"/>
      <c r="I1950" s="11" t="n">
        <v>7.5</v>
      </c>
      <c r="J1950" s="6" t="n">
        <v>15</v>
      </c>
      <c r="K1950" s="7">
        <f>IF(I1950="","",I1950*(1+J1950/100))</f>
        <v/>
      </c>
      <c r="L1950" s="12" t="inlineStr"/>
      <c r="M1950" s="8">
        <f>IF(OR(L1950="",K1950="",L1950=0),"",
  (L1950-K1950)/L1950*100)</f>
        <v/>
      </c>
      <c r="N1950" s="13" t="n">
        <v>13944</v>
      </c>
      <c r="O1950" s="10" t="inlineStr"/>
      <c r="P1950" s="10" t="inlineStr"/>
      <c r="Q1950" s="10" t="inlineStr"/>
      <c r="R1950" s="10" t="inlineStr">
        <is>
          <t>2026-03-12</t>
        </is>
      </c>
      <c r="S1950" s="10" t="inlineStr"/>
    </row>
    <row r="1951">
      <c r="A1951" s="3" t="inlineStr">
        <is>
          <t>F02422</t>
        </is>
      </c>
      <c r="B1951" s="4" t="inlineStr">
        <is>
          <t>F02422</t>
        </is>
      </c>
      <c r="C1951" s="4" t="inlineStr"/>
      <c r="D1951" s="4" t="inlineStr">
        <is>
          <t>6009677010484</t>
        </is>
      </c>
      <c r="E1951" s="3" t="inlineStr">
        <is>
          <t>SCOURER -POT 2PK  BLISTER</t>
        </is>
      </c>
      <c r="F1951" s="4" t="inlineStr"/>
      <c r="G1951" s="4" t="inlineStr"/>
      <c r="H1951" s="4" t="inlineStr"/>
      <c r="I1951" s="5" t="n">
        <v>3.49</v>
      </c>
      <c r="J1951" s="6" t="n">
        <v>15</v>
      </c>
      <c r="K1951" s="7">
        <f>IF(I1951="","",I1951*(1+J1951/100))</f>
        <v/>
      </c>
      <c r="L1951" s="12" t="inlineStr"/>
      <c r="M1951" s="8">
        <f>IF(OR(L1951="",K1951="",L1951=0),"",
  (L1951-K1951)/L1951*100)</f>
        <v/>
      </c>
      <c r="N1951" s="14" t="n">
        <v>40854</v>
      </c>
      <c r="O1951" s="4" t="inlineStr"/>
      <c r="P1951" s="4" t="inlineStr"/>
      <c r="Q1951" s="4" t="inlineStr"/>
      <c r="R1951" s="4" t="inlineStr">
        <is>
          <t>2026-03-12</t>
        </is>
      </c>
      <c r="S1951" s="4" t="inlineStr"/>
    </row>
    <row r="1952">
      <c r="A1952" s="10" t="inlineStr">
        <is>
          <t>F02423</t>
        </is>
      </c>
      <c r="B1952" s="10" t="inlineStr">
        <is>
          <t>F02423</t>
        </is>
      </c>
      <c r="C1952" s="10" t="inlineStr"/>
      <c r="D1952" s="10" t="inlineStr"/>
      <c r="E1952" s="10" t="inlineStr">
        <is>
          <t>GAS GEYSER 10LTR</t>
        </is>
      </c>
      <c r="F1952" s="10" t="inlineStr"/>
      <c r="G1952" s="10" t="inlineStr"/>
      <c r="H1952" s="10" t="inlineStr"/>
      <c r="I1952" s="11" t="n">
        <v>2812.5</v>
      </c>
      <c r="J1952" s="6" t="n">
        <v>15</v>
      </c>
      <c r="K1952" s="7">
        <f>IF(I1952="","",I1952*(1+J1952/100))</f>
        <v/>
      </c>
      <c r="L1952" s="12" t="inlineStr"/>
      <c r="M1952" s="8">
        <f>IF(OR(L1952="",K1952="",L1952=0),"",
  (L1952-K1952)/L1952*100)</f>
        <v/>
      </c>
      <c r="N1952" s="9" t="inlineStr"/>
      <c r="O1952" s="10" t="inlineStr"/>
      <c r="P1952" s="10" t="inlineStr"/>
      <c r="Q1952" s="10" t="inlineStr"/>
      <c r="R1952" s="10" t="inlineStr">
        <is>
          <t>2026-03-12</t>
        </is>
      </c>
      <c r="S1952" s="10" t="inlineStr"/>
    </row>
    <row r="1953">
      <c r="A1953" s="3" t="inlineStr">
        <is>
          <t>F02424</t>
        </is>
      </c>
      <c r="B1953" s="4" t="inlineStr">
        <is>
          <t>F02424</t>
        </is>
      </c>
      <c r="C1953" s="4" t="inlineStr"/>
      <c r="D1953" s="4" t="inlineStr"/>
      <c r="E1953" s="3" t="inlineStr">
        <is>
          <t>GAS GEYSER 12LTR</t>
        </is>
      </c>
      <c r="F1953" s="4" t="inlineStr"/>
      <c r="G1953" s="4" t="inlineStr"/>
      <c r="H1953" s="4" t="inlineStr"/>
      <c r="I1953" s="5" t="n">
        <v>3500</v>
      </c>
      <c r="J1953" s="6" t="n">
        <v>15</v>
      </c>
      <c r="K1953" s="7">
        <f>IF(I1953="","",I1953*(1+J1953/100))</f>
        <v/>
      </c>
      <c r="L1953" s="12" t="inlineStr"/>
      <c r="M1953" s="8">
        <f>IF(OR(L1953="",K1953="",L1953=0),"",
  (L1953-K1953)/L1953*100)</f>
        <v/>
      </c>
      <c r="N1953" s="9" t="inlineStr"/>
      <c r="O1953" s="4" t="inlineStr"/>
      <c r="P1953" s="4" t="inlineStr"/>
      <c r="Q1953" s="4" t="inlineStr"/>
      <c r="R1953" s="4" t="inlineStr">
        <is>
          <t>2026-03-12</t>
        </is>
      </c>
      <c r="S1953" s="4" t="inlineStr"/>
    </row>
    <row r="1954">
      <c r="A1954" s="10" t="inlineStr">
        <is>
          <t>F02425</t>
        </is>
      </c>
      <c r="B1954" s="10" t="inlineStr">
        <is>
          <t>F02425</t>
        </is>
      </c>
      <c r="C1954" s="10" t="inlineStr"/>
      <c r="D1954" s="10" t="inlineStr"/>
      <c r="E1954" s="10" t="inlineStr">
        <is>
          <t>DOOR FRAME 2X3</t>
        </is>
      </c>
      <c r="F1954" s="10" t="inlineStr"/>
      <c r="G1954" s="10" t="inlineStr"/>
      <c r="H1954" s="10" t="inlineStr"/>
      <c r="I1954" s="11" t="n">
        <v>229</v>
      </c>
      <c r="J1954" s="6" t="n">
        <v>15</v>
      </c>
      <c r="K1954" s="7">
        <f>IF(I1954="","",I1954*(1+J1954/100))</f>
        <v/>
      </c>
      <c r="L1954" s="12" t="inlineStr"/>
      <c r="M1954" s="8">
        <f>IF(OR(L1954="",K1954="",L1954=0),"",
  (L1954-K1954)/L1954*100)</f>
        <v/>
      </c>
      <c r="N1954" s="9" t="inlineStr"/>
      <c r="O1954" s="10" t="inlineStr"/>
      <c r="P1954" s="10" t="inlineStr"/>
      <c r="Q1954" s="10" t="inlineStr"/>
      <c r="R1954" s="10" t="inlineStr">
        <is>
          <t>2026-03-12</t>
        </is>
      </c>
      <c r="S1954" s="10" t="inlineStr"/>
    </row>
    <row r="1955">
      <c r="A1955" s="3" t="inlineStr">
        <is>
          <t>F02426</t>
        </is>
      </c>
      <c r="B1955" s="4" t="inlineStr">
        <is>
          <t>F02426</t>
        </is>
      </c>
      <c r="C1955" s="4" t="inlineStr"/>
      <c r="D1955" s="4" t="inlineStr"/>
      <c r="E1955" s="3" t="inlineStr">
        <is>
          <t>DOOR FRAME 3X4</t>
        </is>
      </c>
      <c r="F1955" s="4" t="inlineStr"/>
      <c r="G1955" s="4" t="inlineStr"/>
      <c r="H1955" s="4" t="inlineStr"/>
      <c r="I1955" s="5" t="n">
        <v>325</v>
      </c>
      <c r="J1955" s="6" t="n">
        <v>15</v>
      </c>
      <c r="K1955" s="7">
        <f>IF(I1955="","",I1955*(1+J1955/100))</f>
        <v/>
      </c>
      <c r="L1955" s="12" t="inlineStr"/>
      <c r="M1955" s="8">
        <f>IF(OR(L1955="",K1955="",L1955=0),"",
  (L1955-K1955)/L1955*100)</f>
        <v/>
      </c>
      <c r="N1955" s="9" t="inlineStr"/>
      <c r="O1955" s="4" t="inlineStr"/>
      <c r="P1955" s="4" t="inlineStr"/>
      <c r="Q1955" s="4" t="inlineStr"/>
      <c r="R1955" s="4" t="inlineStr">
        <is>
          <t>2026-03-12</t>
        </is>
      </c>
      <c r="S1955" s="4" t="inlineStr"/>
    </row>
    <row r="1956">
      <c r="A1956" s="10" t="inlineStr">
        <is>
          <t>F02427</t>
        </is>
      </c>
      <c r="B1956" s="10" t="inlineStr">
        <is>
          <t>F02427</t>
        </is>
      </c>
      <c r="C1956" s="10" t="inlineStr"/>
      <c r="D1956" s="10" t="inlineStr"/>
      <c r="E1956" s="10" t="inlineStr">
        <is>
          <t>STORAGE CONTAINER 3PC FLOUR.SUGAR.MEALIE</t>
        </is>
      </c>
      <c r="F1956" s="10" t="inlineStr"/>
      <c r="G1956" s="10" t="inlineStr"/>
      <c r="H1956" s="10" t="inlineStr"/>
      <c r="I1956" s="11" t="n">
        <v>97.5</v>
      </c>
      <c r="J1956" s="6" t="n">
        <v>15</v>
      </c>
      <c r="K1956" s="7">
        <f>IF(I1956="","",I1956*(1+J1956/100))</f>
        <v/>
      </c>
      <c r="L1956" s="12" t="inlineStr"/>
      <c r="M1956" s="8">
        <f>IF(OR(L1956="",K1956="",L1956=0),"",
  (L1956-K1956)/L1956*100)</f>
        <v/>
      </c>
      <c r="N1956" s="9" t="inlineStr"/>
      <c r="O1956" s="10" t="inlineStr"/>
      <c r="P1956" s="10" t="inlineStr"/>
      <c r="Q1956" s="10" t="inlineStr"/>
      <c r="R1956" s="10" t="inlineStr">
        <is>
          <t>2026-03-12</t>
        </is>
      </c>
      <c r="S1956" s="10" t="inlineStr"/>
    </row>
    <row r="1957">
      <c r="A1957" s="3" t="inlineStr">
        <is>
          <t>F02428</t>
        </is>
      </c>
      <c r="B1957" s="4" t="inlineStr">
        <is>
          <t>F02428</t>
        </is>
      </c>
      <c r="C1957" s="4" t="inlineStr"/>
      <c r="D1957" s="4" t="inlineStr">
        <is>
          <t>6004101007337</t>
        </is>
      </c>
      <c r="E1957" s="3" t="inlineStr">
        <is>
          <t>MORTICE LOCK 2 LEVER SABS - ROCA</t>
        </is>
      </c>
      <c r="F1957" s="4" t="inlineStr"/>
      <c r="G1957" s="4" t="inlineStr"/>
      <c r="H1957" s="4" t="inlineStr"/>
      <c r="I1957" s="5" t="n">
        <v>44.95</v>
      </c>
      <c r="J1957" s="6" t="n">
        <v>15</v>
      </c>
      <c r="K1957" s="7">
        <f>IF(I1957="","",I1957*(1+J1957/100))</f>
        <v/>
      </c>
      <c r="L1957" s="12" t="inlineStr"/>
      <c r="M1957" s="8">
        <f>IF(OR(L1957="",K1957="",L1957=0),"",
  (L1957-K1957)/L1957*100)</f>
        <v/>
      </c>
      <c r="N1957" s="14" t="n">
        <v>3</v>
      </c>
      <c r="O1957" s="4" t="inlineStr"/>
      <c r="P1957" s="4" t="inlineStr"/>
      <c r="Q1957" s="4" t="inlineStr"/>
      <c r="R1957" s="4" t="inlineStr">
        <is>
          <t>2026-03-12</t>
        </is>
      </c>
      <c r="S1957" s="4" t="inlineStr"/>
    </row>
    <row r="1958">
      <c r="A1958" s="10" t="inlineStr">
        <is>
          <t>F02429</t>
        </is>
      </c>
      <c r="B1958" s="10" t="inlineStr">
        <is>
          <t>F02429</t>
        </is>
      </c>
      <c r="C1958" s="10" t="inlineStr">
        <is>
          <t>19083</t>
        </is>
      </c>
      <c r="D1958" s="10" t="inlineStr">
        <is>
          <t>6004101044561</t>
        </is>
      </c>
      <c r="E1958" s="10" t="inlineStr">
        <is>
          <t>AWNING 1MX1M HOLLOW BROWN ALCO</t>
        </is>
      </c>
      <c r="F1958" s="10" t="inlineStr"/>
      <c r="G1958" s="10" t="inlineStr"/>
      <c r="H1958" s="10" t="inlineStr"/>
      <c r="I1958" s="11" t="n">
        <v>349</v>
      </c>
      <c r="J1958" s="6" t="n">
        <v>15</v>
      </c>
      <c r="K1958" s="7">
        <f>IF(I1958="","",I1958*(1+J1958/100))</f>
        <v/>
      </c>
      <c r="L1958" s="11" t="n">
        <v>669</v>
      </c>
      <c r="M1958" s="8">
        <f>IF(OR(L1958="",K1958="",L1958=0),"",
  (L1958-K1958)/L1958*100)</f>
        <v/>
      </c>
      <c r="N1958" s="13" t="n">
        <v>101</v>
      </c>
      <c r="O1958" s="10" t="inlineStr"/>
      <c r="P1958" s="10" t="inlineStr"/>
      <c r="Q1958" s="10" t="inlineStr"/>
      <c r="R1958" s="10" t="inlineStr">
        <is>
          <t>2026-03-12</t>
        </is>
      </c>
      <c r="S1958" s="10" t="inlineStr"/>
    </row>
    <row r="1959">
      <c r="A1959" s="3" t="inlineStr">
        <is>
          <t>F02430</t>
        </is>
      </c>
      <c r="B1959" s="4" t="inlineStr">
        <is>
          <t>F02430</t>
        </is>
      </c>
      <c r="C1959" s="4" t="inlineStr"/>
      <c r="D1959" s="4" t="inlineStr">
        <is>
          <t>6009705657155</t>
        </is>
      </c>
      <c r="E1959" s="3" t="inlineStr">
        <is>
          <t>SHADE NET GREEN 80% 1.8MTX50MTR</t>
        </is>
      </c>
      <c r="F1959" s="4" t="inlineStr"/>
      <c r="G1959" s="4" t="inlineStr"/>
      <c r="H1959" s="4" t="inlineStr"/>
      <c r="I1959" s="5" t="n">
        <v>1250</v>
      </c>
      <c r="J1959" s="6" t="n">
        <v>15</v>
      </c>
      <c r="K1959" s="7">
        <f>IF(I1959="","",I1959*(1+J1959/100))</f>
        <v/>
      </c>
      <c r="L1959" s="12" t="inlineStr"/>
      <c r="M1959" s="8">
        <f>IF(OR(L1959="",K1959="",L1959=0),"",
  (L1959-K1959)/L1959*100)</f>
        <v/>
      </c>
      <c r="N1959" s="14" t="n">
        <v>3</v>
      </c>
      <c r="O1959" s="4" t="inlineStr"/>
      <c r="P1959" s="4" t="inlineStr"/>
      <c r="Q1959" s="4" t="inlineStr"/>
      <c r="R1959" s="4" t="inlineStr">
        <is>
          <t>2026-03-12</t>
        </is>
      </c>
      <c r="S1959" s="4" t="inlineStr"/>
    </row>
    <row r="1960">
      <c r="A1960" s="10" t="inlineStr">
        <is>
          <t>F02431</t>
        </is>
      </c>
      <c r="B1960" s="10" t="inlineStr">
        <is>
          <t>F02431</t>
        </is>
      </c>
      <c r="C1960" s="10" t="inlineStr"/>
      <c r="D1960" s="10" t="inlineStr"/>
      <c r="E1960" s="10" t="inlineStr">
        <is>
          <t>LED LIGHT 7W PIN TYPE B22 - STAR</t>
        </is>
      </c>
      <c r="F1960" s="10" t="inlineStr"/>
      <c r="G1960" s="10" t="inlineStr"/>
      <c r="H1960" s="10" t="inlineStr"/>
      <c r="I1960" s="11" t="n">
        <v>8.949999999999999</v>
      </c>
      <c r="J1960" s="6" t="n">
        <v>15</v>
      </c>
      <c r="K1960" s="7">
        <f>IF(I1960="","",I1960*(1+J1960/100))</f>
        <v/>
      </c>
      <c r="L1960" s="12" t="inlineStr"/>
      <c r="M1960" s="8">
        <f>IF(OR(L1960="",K1960="",L1960=0),"",
  (L1960-K1960)/L1960*100)</f>
        <v/>
      </c>
      <c r="N1960" s="9" t="inlineStr"/>
      <c r="O1960" s="10" t="inlineStr"/>
      <c r="P1960" s="10" t="inlineStr"/>
      <c r="Q1960" s="10" t="inlineStr"/>
      <c r="R1960" s="10" t="inlineStr">
        <is>
          <t>2026-03-12</t>
        </is>
      </c>
      <c r="S1960" s="10" t="inlineStr"/>
    </row>
    <row r="1961">
      <c r="A1961" s="3" t="inlineStr">
        <is>
          <t>F02432</t>
        </is>
      </c>
      <c r="B1961" s="4" t="inlineStr">
        <is>
          <t>F02432</t>
        </is>
      </c>
      <c r="C1961" s="4" t="inlineStr">
        <is>
          <t>12856</t>
        </is>
      </c>
      <c r="D1961" s="4" t="inlineStr">
        <is>
          <t>6009705657179</t>
        </is>
      </c>
      <c r="E1961" s="3" t="inlineStr">
        <is>
          <t>SHADE NET GREEN 40% 3MTRX50MTR</t>
        </is>
      </c>
      <c r="F1961" s="4" t="inlineStr"/>
      <c r="G1961" s="4" t="inlineStr"/>
      <c r="H1961" s="4" t="inlineStr"/>
      <c r="I1961" s="5" t="n">
        <v>1350</v>
      </c>
      <c r="J1961" s="6" t="n">
        <v>15</v>
      </c>
      <c r="K1961" s="7">
        <f>IF(I1961="","",I1961*(1+J1961/100))</f>
        <v/>
      </c>
      <c r="L1961" s="5" t="n">
        <v>2300</v>
      </c>
      <c r="M1961" s="8">
        <f>IF(OR(L1961="",K1961="",L1961=0),"",
  (L1961-K1961)/L1961*100)</f>
        <v/>
      </c>
      <c r="N1961" s="14" t="n">
        <v>5</v>
      </c>
      <c r="O1961" s="4" t="inlineStr"/>
      <c r="P1961" s="4" t="inlineStr"/>
      <c r="Q1961" s="4" t="inlineStr"/>
      <c r="R1961" s="4" t="inlineStr">
        <is>
          <t>2026-03-12</t>
        </is>
      </c>
      <c r="S1961" s="4" t="inlineStr"/>
    </row>
    <row r="1962">
      <c r="A1962" s="10" t="inlineStr">
        <is>
          <t>F02433</t>
        </is>
      </c>
      <c r="B1962" s="10" t="inlineStr">
        <is>
          <t>F02433</t>
        </is>
      </c>
      <c r="C1962" s="10" t="inlineStr">
        <is>
          <t>12857</t>
        </is>
      </c>
      <c r="D1962" s="10" t="inlineStr">
        <is>
          <t>6009705657162</t>
        </is>
      </c>
      <c r="E1962" s="10" t="inlineStr">
        <is>
          <t>SHADE NET  GREEN 80% 3MTRX50MTR</t>
        </is>
      </c>
      <c r="F1962" s="10" t="inlineStr"/>
      <c r="G1962" s="10" t="inlineStr"/>
      <c r="H1962" s="10" t="inlineStr"/>
      <c r="I1962" s="11" t="n">
        <v>2350</v>
      </c>
      <c r="J1962" s="6" t="n">
        <v>15</v>
      </c>
      <c r="K1962" s="7">
        <f>IF(I1962="","",I1962*(1+J1962/100))</f>
        <v/>
      </c>
      <c r="L1962" s="11" t="n">
        <v>3700</v>
      </c>
      <c r="M1962" s="8">
        <f>IF(OR(L1962="",K1962="",L1962=0),"",
  (L1962-K1962)/L1962*100)</f>
        <v/>
      </c>
      <c r="N1962" s="9" t="inlineStr"/>
      <c r="O1962" s="10" t="inlineStr"/>
      <c r="P1962" s="10" t="inlineStr"/>
      <c r="Q1962" s="10" t="inlineStr"/>
      <c r="R1962" s="10" t="inlineStr">
        <is>
          <t>2026-03-12</t>
        </is>
      </c>
      <c r="S1962" s="10" t="inlineStr"/>
    </row>
    <row r="1963">
      <c r="A1963" s="3" t="inlineStr">
        <is>
          <t>F02434</t>
        </is>
      </c>
      <c r="B1963" s="4" t="inlineStr">
        <is>
          <t>F02434</t>
        </is>
      </c>
      <c r="C1963" s="4" t="inlineStr">
        <is>
          <t>21138</t>
        </is>
      </c>
      <c r="D1963" s="4" t="inlineStr"/>
      <c r="E1963" s="3" t="inlineStr">
        <is>
          <t>HOE HEAD 2.5</t>
        </is>
      </c>
      <c r="F1963" s="4" t="inlineStr"/>
      <c r="G1963" s="4" t="inlineStr"/>
      <c r="H1963" s="4" t="inlineStr"/>
      <c r="I1963" s="5" t="n">
        <v>59.95</v>
      </c>
      <c r="J1963" s="6" t="n">
        <v>15</v>
      </c>
      <c r="K1963" s="7">
        <f>IF(I1963="","",I1963*(1+J1963/100))</f>
        <v/>
      </c>
      <c r="L1963" s="5" t="n">
        <v>180</v>
      </c>
      <c r="M1963" s="8">
        <f>IF(OR(L1963="",K1963="",L1963=0),"",
  (L1963-K1963)/L1963*100)</f>
        <v/>
      </c>
      <c r="N1963" s="14" t="n">
        <v>10</v>
      </c>
      <c r="O1963" s="4" t="inlineStr"/>
      <c r="P1963" s="4" t="inlineStr"/>
      <c r="Q1963" s="4" t="inlineStr"/>
      <c r="R1963" s="4" t="inlineStr">
        <is>
          <t>2026-03-12</t>
        </is>
      </c>
      <c r="S1963" s="4" t="inlineStr"/>
    </row>
    <row r="1964">
      <c r="A1964" s="10" t="inlineStr">
        <is>
          <t>F02435</t>
        </is>
      </c>
      <c r="B1964" s="10" t="inlineStr">
        <is>
          <t>F02435</t>
        </is>
      </c>
      <c r="C1964" s="10" t="inlineStr">
        <is>
          <t>21137</t>
        </is>
      </c>
      <c r="D1964" s="10" t="inlineStr"/>
      <c r="E1964" s="10" t="inlineStr">
        <is>
          <t>HOE HEAD 2KG</t>
        </is>
      </c>
      <c r="F1964" s="10" t="inlineStr"/>
      <c r="G1964" s="10" t="inlineStr"/>
      <c r="H1964" s="10" t="inlineStr"/>
      <c r="I1964" s="11" t="n">
        <v>55.5</v>
      </c>
      <c r="J1964" s="6" t="n">
        <v>15</v>
      </c>
      <c r="K1964" s="7">
        <f>IF(I1964="","",I1964*(1+J1964/100))</f>
        <v/>
      </c>
      <c r="L1964" s="11" t="n">
        <v>150</v>
      </c>
      <c r="M1964" s="8">
        <f>IF(OR(L1964="",K1964="",L1964=0),"",
  (L1964-K1964)/L1964*100)</f>
        <v/>
      </c>
      <c r="N1964" s="13" t="n">
        <v>17</v>
      </c>
      <c r="O1964" s="10" t="inlineStr"/>
      <c r="P1964" s="10" t="inlineStr"/>
      <c r="Q1964" s="10" t="inlineStr"/>
      <c r="R1964" s="10" t="inlineStr">
        <is>
          <t>2026-03-12</t>
        </is>
      </c>
      <c r="S1964" s="10" t="inlineStr"/>
    </row>
    <row r="1965">
      <c r="A1965" s="3" t="inlineStr">
        <is>
          <t>F02436</t>
        </is>
      </c>
      <c r="B1965" s="4" t="inlineStr">
        <is>
          <t>F02436</t>
        </is>
      </c>
      <c r="C1965" s="4" t="inlineStr">
        <is>
          <t>21124</t>
        </is>
      </c>
      <c r="D1965" s="4" t="inlineStr"/>
      <c r="E1965" s="3" t="inlineStr">
        <is>
          <t>GRASS SLASHER</t>
        </is>
      </c>
      <c r="F1965" s="4" t="inlineStr"/>
      <c r="G1965" s="4" t="inlineStr"/>
      <c r="H1965" s="4" t="inlineStr"/>
      <c r="I1965" s="5" t="n">
        <v>32.5</v>
      </c>
      <c r="J1965" s="6" t="n">
        <v>15</v>
      </c>
      <c r="K1965" s="7">
        <f>IF(I1965="","",I1965*(1+J1965/100))</f>
        <v/>
      </c>
      <c r="L1965" s="5" t="n">
        <v>65</v>
      </c>
      <c r="M1965" s="8">
        <f>IF(OR(L1965="",K1965="",L1965=0),"",
  (L1965-K1965)/L1965*100)</f>
        <v/>
      </c>
      <c r="N1965" s="14" t="n">
        <v>10</v>
      </c>
      <c r="O1965" s="4" t="inlineStr"/>
      <c r="P1965" s="4" t="inlineStr"/>
      <c r="Q1965" s="4" t="inlineStr"/>
      <c r="R1965" s="4" t="inlineStr">
        <is>
          <t>2026-03-12</t>
        </is>
      </c>
      <c r="S1965" s="4" t="inlineStr"/>
    </row>
    <row r="1966">
      <c r="A1966" s="10" t="inlineStr">
        <is>
          <t>F02437</t>
        </is>
      </c>
      <c r="B1966" s="10" t="inlineStr">
        <is>
          <t>F02437</t>
        </is>
      </c>
      <c r="C1966" s="10" t="inlineStr">
        <is>
          <t>21114</t>
        </is>
      </c>
      <c r="D1966" s="10" t="inlineStr"/>
      <c r="E1966" s="10" t="inlineStr">
        <is>
          <t>PICK HANDLE FIBRE GLASS (YELLOW)</t>
        </is>
      </c>
      <c r="F1966" s="10" t="inlineStr"/>
      <c r="G1966" s="10" t="inlineStr"/>
      <c r="H1966" s="10" t="inlineStr"/>
      <c r="I1966" s="11" t="n">
        <v>79.95</v>
      </c>
      <c r="J1966" s="6" t="n">
        <v>15</v>
      </c>
      <c r="K1966" s="7">
        <f>IF(I1966="","",I1966*(1+J1966/100))</f>
        <v/>
      </c>
      <c r="L1966" s="11" t="n">
        <v>145</v>
      </c>
      <c r="M1966" s="8">
        <f>IF(OR(L1966="",K1966="",L1966=0),"",
  (L1966-K1966)/L1966*100)</f>
        <v/>
      </c>
      <c r="N1966" s="13" t="n">
        <v>16</v>
      </c>
      <c r="O1966" s="10" t="inlineStr"/>
      <c r="P1966" s="10" t="inlineStr"/>
      <c r="Q1966" s="10" t="inlineStr"/>
      <c r="R1966" s="10" t="inlineStr">
        <is>
          <t>2026-03-12</t>
        </is>
      </c>
      <c r="S1966" s="10" t="inlineStr"/>
    </row>
    <row r="1967">
      <c r="A1967" s="3" t="inlineStr">
        <is>
          <t>F02438</t>
        </is>
      </c>
      <c r="B1967" s="4" t="inlineStr">
        <is>
          <t>F02438</t>
        </is>
      </c>
      <c r="C1967" s="4" t="inlineStr">
        <is>
          <t>21142</t>
        </is>
      </c>
      <c r="D1967" s="4" t="inlineStr"/>
      <c r="E1967" s="3" t="inlineStr">
        <is>
          <t>MATTOCK CUTTER 5LB</t>
        </is>
      </c>
      <c r="F1967" s="4" t="inlineStr"/>
      <c r="G1967" s="4" t="inlineStr"/>
      <c r="H1967" s="4" t="inlineStr"/>
      <c r="I1967" s="5" t="n">
        <v>102.5</v>
      </c>
      <c r="J1967" s="6" t="n">
        <v>15</v>
      </c>
      <c r="K1967" s="7">
        <f>IF(I1967="","",I1967*(1+J1967/100))</f>
        <v/>
      </c>
      <c r="L1967" s="5" t="n">
        <v>185</v>
      </c>
      <c r="M1967" s="8">
        <f>IF(OR(L1967="",K1967="",L1967=0),"",
  (L1967-K1967)/L1967*100)</f>
        <v/>
      </c>
      <c r="N1967" s="9" t="inlineStr"/>
      <c r="O1967" s="4" t="inlineStr"/>
      <c r="P1967" s="4" t="inlineStr"/>
      <c r="Q1967" s="4" t="inlineStr"/>
      <c r="R1967" s="4" t="inlineStr">
        <is>
          <t>2026-03-12</t>
        </is>
      </c>
      <c r="S1967" s="4" t="inlineStr"/>
    </row>
    <row r="1968">
      <c r="A1968" s="10" t="inlineStr">
        <is>
          <t>F02439</t>
        </is>
      </c>
      <c r="B1968" s="10" t="inlineStr">
        <is>
          <t>F02439</t>
        </is>
      </c>
      <c r="C1968" s="10" t="inlineStr">
        <is>
          <t>21141</t>
        </is>
      </c>
      <c r="D1968" s="10" t="inlineStr"/>
      <c r="E1968" s="10" t="inlineStr">
        <is>
          <t>MATTOCK PICK 5LB</t>
        </is>
      </c>
      <c r="F1968" s="10" t="inlineStr"/>
      <c r="G1968" s="10" t="inlineStr"/>
      <c r="H1968" s="10" t="inlineStr"/>
      <c r="I1968" s="11" t="n">
        <v>102.5</v>
      </c>
      <c r="J1968" s="6" t="n">
        <v>15</v>
      </c>
      <c r="K1968" s="7">
        <f>IF(I1968="","",I1968*(1+J1968/100))</f>
        <v/>
      </c>
      <c r="L1968" s="11" t="n">
        <v>180</v>
      </c>
      <c r="M1968" s="8">
        <f>IF(OR(L1968="",K1968="",L1968=0),"",
  (L1968-K1968)/L1968*100)</f>
        <v/>
      </c>
      <c r="N1968" s="9" t="inlineStr"/>
      <c r="O1968" s="10" t="inlineStr"/>
      <c r="P1968" s="10" t="inlineStr"/>
      <c r="Q1968" s="10" t="inlineStr"/>
      <c r="R1968" s="10" t="inlineStr">
        <is>
          <t>2026-03-12</t>
        </is>
      </c>
      <c r="S1968" s="10" t="inlineStr"/>
    </row>
    <row r="1969">
      <c r="A1969" s="3" t="inlineStr">
        <is>
          <t>F02440</t>
        </is>
      </c>
      <c r="B1969" s="4" t="inlineStr">
        <is>
          <t>F02440</t>
        </is>
      </c>
      <c r="C1969" s="4" t="inlineStr">
        <is>
          <t>21128</t>
        </is>
      </c>
      <c r="D1969" s="4" t="inlineStr"/>
      <c r="E1969" s="3" t="inlineStr">
        <is>
          <t>PICK HEAD 2.5KG</t>
        </is>
      </c>
      <c r="F1969" s="4" t="inlineStr"/>
      <c r="G1969" s="4" t="inlineStr"/>
      <c r="H1969" s="4" t="inlineStr"/>
      <c r="I1969" s="5" t="n">
        <v>145</v>
      </c>
      <c r="J1969" s="6" t="n">
        <v>15</v>
      </c>
      <c r="K1969" s="7">
        <f>IF(I1969="","",I1969*(1+J1969/100))</f>
        <v/>
      </c>
      <c r="L1969" s="5" t="n">
        <v>230</v>
      </c>
      <c r="M1969" s="8">
        <f>IF(OR(L1969="",K1969="",L1969=0),"",
  (L1969-K1969)/L1969*100)</f>
        <v/>
      </c>
      <c r="N1969" s="9" t="inlineStr"/>
      <c r="O1969" s="4" t="inlineStr"/>
      <c r="P1969" s="4" t="inlineStr"/>
      <c r="Q1969" s="4" t="inlineStr"/>
      <c r="R1969" s="4" t="inlineStr">
        <is>
          <t>2026-03-12</t>
        </is>
      </c>
      <c r="S1969" s="4" t="inlineStr"/>
    </row>
    <row r="1970">
      <c r="A1970" s="10" t="inlineStr">
        <is>
          <t>F02441</t>
        </is>
      </c>
      <c r="B1970" s="10" t="inlineStr">
        <is>
          <t>F02441</t>
        </is>
      </c>
      <c r="C1970" s="10" t="inlineStr">
        <is>
          <t>21129</t>
        </is>
      </c>
      <c r="D1970" s="10" t="inlineStr"/>
      <c r="E1970" s="10" t="inlineStr">
        <is>
          <t>PICK HEAD 3KG</t>
        </is>
      </c>
      <c r="F1970" s="10" t="inlineStr"/>
      <c r="G1970" s="10" t="inlineStr"/>
      <c r="H1970" s="10" t="inlineStr"/>
      <c r="I1970" s="11" t="n">
        <v>158.5</v>
      </c>
      <c r="J1970" s="6" t="n">
        <v>15</v>
      </c>
      <c r="K1970" s="7">
        <f>IF(I1970="","",I1970*(1+J1970/100))</f>
        <v/>
      </c>
      <c r="L1970" s="11" t="n">
        <v>280</v>
      </c>
      <c r="M1970" s="8">
        <f>IF(OR(L1970="",K1970="",L1970=0),"",
  (L1970-K1970)/L1970*100)</f>
        <v/>
      </c>
      <c r="N1970" s="9" t="inlineStr"/>
      <c r="O1970" s="10" t="inlineStr"/>
      <c r="P1970" s="10" t="inlineStr"/>
      <c r="Q1970" s="10" t="inlineStr"/>
      <c r="R1970" s="10" t="inlineStr">
        <is>
          <t>2026-03-12</t>
        </is>
      </c>
      <c r="S1970" s="10" t="inlineStr"/>
    </row>
    <row r="1971">
      <c r="A1971" s="3" t="inlineStr">
        <is>
          <t>F02442</t>
        </is>
      </c>
      <c r="B1971" s="4" t="inlineStr">
        <is>
          <t>F02442</t>
        </is>
      </c>
      <c r="C1971" s="4" t="inlineStr">
        <is>
          <t>21167</t>
        </is>
      </c>
      <c r="D1971" s="4" t="inlineStr"/>
      <c r="E1971" s="3" t="inlineStr">
        <is>
          <t>FORK</t>
        </is>
      </c>
      <c r="F1971" s="4" t="inlineStr"/>
      <c r="G1971" s="4" t="inlineStr"/>
      <c r="H1971" s="4" t="inlineStr"/>
      <c r="I1971" s="5" t="n">
        <v>116</v>
      </c>
      <c r="J1971" s="6" t="n">
        <v>15</v>
      </c>
      <c r="K1971" s="7">
        <f>IF(I1971="","",I1971*(1+J1971/100))</f>
        <v/>
      </c>
      <c r="L1971" s="5" t="n">
        <v>250</v>
      </c>
      <c r="M1971" s="8">
        <f>IF(OR(L1971="",K1971="",L1971=0),"",
  (L1971-K1971)/L1971*100)</f>
        <v/>
      </c>
      <c r="N1971" s="9" t="inlineStr"/>
      <c r="O1971" s="4" t="inlineStr"/>
      <c r="P1971" s="4" t="inlineStr"/>
      <c r="Q1971" s="4" t="inlineStr"/>
      <c r="R1971" s="4" t="inlineStr">
        <is>
          <t>2026-03-12</t>
        </is>
      </c>
      <c r="S1971" s="4" t="inlineStr"/>
    </row>
    <row r="1972">
      <c r="A1972" s="10" t="inlineStr">
        <is>
          <t>F02443</t>
        </is>
      </c>
      <c r="B1972" s="10" t="inlineStr">
        <is>
          <t>F02443</t>
        </is>
      </c>
      <c r="C1972" s="10" t="inlineStr">
        <is>
          <t>21161</t>
        </is>
      </c>
      <c r="D1972" s="10" t="inlineStr"/>
      <c r="E1972" s="10" t="inlineStr">
        <is>
          <t>SHOVEL ROUND  SPADE 2KG</t>
        </is>
      </c>
      <c r="F1972" s="10" t="inlineStr"/>
      <c r="G1972" s="10" t="inlineStr"/>
      <c r="H1972" s="10" t="inlineStr"/>
      <c r="I1972" s="11" t="n">
        <v>102.5</v>
      </c>
      <c r="J1972" s="6" t="n">
        <v>15</v>
      </c>
      <c r="K1972" s="7">
        <f>IF(I1972="","",I1972*(1+J1972/100))</f>
        <v/>
      </c>
      <c r="L1972" s="11" t="n">
        <v>280</v>
      </c>
      <c r="M1972" s="8">
        <f>IF(OR(L1972="",K1972="",L1972=0),"",
  (L1972-K1972)/L1972*100)</f>
        <v/>
      </c>
      <c r="N1972" s="13" t="n">
        <v>15</v>
      </c>
      <c r="O1972" s="10" t="inlineStr"/>
      <c r="P1972" s="10" t="inlineStr"/>
      <c r="Q1972" s="10" t="inlineStr"/>
      <c r="R1972" s="10" t="inlineStr">
        <is>
          <t>2026-03-12</t>
        </is>
      </c>
      <c r="S1972" s="10" t="inlineStr"/>
    </row>
    <row r="1973">
      <c r="A1973" s="3" t="inlineStr">
        <is>
          <t>F02444</t>
        </is>
      </c>
      <c r="B1973" s="4" t="inlineStr">
        <is>
          <t>F02444</t>
        </is>
      </c>
      <c r="C1973" s="4" t="inlineStr">
        <is>
          <t>21160</t>
        </is>
      </c>
      <c r="D1973" s="4" t="inlineStr"/>
      <c r="E1973" s="3" t="inlineStr">
        <is>
          <t>SHOVEL SQUARE  SPADE 2KG</t>
        </is>
      </c>
      <c r="F1973" s="4" t="inlineStr"/>
      <c r="G1973" s="4" t="inlineStr"/>
      <c r="H1973" s="4" t="inlineStr"/>
      <c r="I1973" s="5" t="n">
        <v>110.5</v>
      </c>
      <c r="J1973" s="6" t="n">
        <v>15</v>
      </c>
      <c r="K1973" s="7">
        <f>IF(I1973="","",I1973*(1+J1973/100))</f>
        <v/>
      </c>
      <c r="L1973" s="5" t="n">
        <v>250</v>
      </c>
      <c r="M1973" s="8">
        <f>IF(OR(L1973="",K1973="",L1973=0),"",
  (L1973-K1973)/L1973*100)</f>
        <v/>
      </c>
      <c r="N1973" s="14" t="n">
        <v>4</v>
      </c>
      <c r="O1973" s="4" t="inlineStr"/>
      <c r="P1973" s="4" t="inlineStr"/>
      <c r="Q1973" s="4" t="inlineStr"/>
      <c r="R1973" s="4" t="inlineStr">
        <is>
          <t>2026-03-12</t>
        </is>
      </c>
      <c r="S1973" s="4" t="inlineStr"/>
    </row>
    <row r="1974">
      <c r="A1974" s="10" t="inlineStr">
        <is>
          <t>F02445</t>
        </is>
      </c>
      <c r="B1974" s="10" t="inlineStr">
        <is>
          <t>F02445</t>
        </is>
      </c>
      <c r="C1974" s="10" t="inlineStr">
        <is>
          <t>21153</t>
        </is>
      </c>
      <c r="D1974" s="10" t="inlineStr"/>
      <c r="E1974" s="10" t="inlineStr">
        <is>
          <t>SPADE FLAT  2KG</t>
        </is>
      </c>
      <c r="F1974" s="10" t="inlineStr"/>
      <c r="G1974" s="10" t="inlineStr"/>
      <c r="H1974" s="10" t="inlineStr"/>
      <c r="I1974" s="11" t="n">
        <v>97.5</v>
      </c>
      <c r="J1974" s="6" t="n">
        <v>15</v>
      </c>
      <c r="K1974" s="7">
        <f>IF(I1974="","",I1974*(1+J1974/100))</f>
        <v/>
      </c>
      <c r="L1974" s="11" t="n">
        <v>280</v>
      </c>
      <c r="M1974" s="8">
        <f>IF(OR(L1974="",K1974="",L1974=0),"",
  (L1974-K1974)/L1974*100)</f>
        <v/>
      </c>
      <c r="N1974" s="9" t="inlineStr"/>
      <c r="O1974" s="10" t="inlineStr"/>
      <c r="P1974" s="10" t="inlineStr"/>
      <c r="Q1974" s="10" t="inlineStr"/>
      <c r="R1974" s="10" t="inlineStr">
        <is>
          <t>2026-03-12</t>
        </is>
      </c>
      <c r="S1974" s="10" t="inlineStr"/>
    </row>
    <row r="1975">
      <c r="A1975" s="3" t="inlineStr">
        <is>
          <t>F02446</t>
        </is>
      </c>
      <c r="B1975" s="4" t="inlineStr">
        <is>
          <t>F02446</t>
        </is>
      </c>
      <c r="C1975" s="4" t="inlineStr">
        <is>
          <t>21145</t>
        </is>
      </c>
      <c r="D1975" s="4" t="inlineStr">
        <is>
          <t>6004101018715</t>
        </is>
      </c>
      <c r="E1975" s="3" t="inlineStr">
        <is>
          <t>SPADE 1.5KG</t>
        </is>
      </c>
      <c r="F1975" s="4" t="inlineStr"/>
      <c r="G1975" s="4" t="inlineStr"/>
      <c r="H1975" s="4" t="inlineStr"/>
      <c r="I1975" s="5" t="n">
        <v>78.5</v>
      </c>
      <c r="J1975" s="6" t="n">
        <v>15</v>
      </c>
      <c r="K1975" s="7">
        <f>IF(I1975="","",I1975*(1+J1975/100))</f>
        <v/>
      </c>
      <c r="L1975" s="5" t="n">
        <v>138</v>
      </c>
      <c r="M1975" s="8">
        <f>IF(OR(L1975="",K1975="",L1975=0),"",
  (L1975-K1975)/L1975*100)</f>
        <v/>
      </c>
      <c r="N1975" s="14" t="n">
        <v>2</v>
      </c>
      <c r="O1975" s="4" t="inlineStr"/>
      <c r="P1975" s="4" t="inlineStr"/>
      <c r="Q1975" s="4" t="inlineStr"/>
      <c r="R1975" s="4" t="inlineStr">
        <is>
          <t>2026-03-12</t>
        </is>
      </c>
      <c r="S1975" s="4" t="inlineStr"/>
    </row>
    <row r="1976">
      <c r="A1976" s="10" t="inlineStr">
        <is>
          <t>F02447</t>
        </is>
      </c>
      <c r="B1976" s="10" t="inlineStr">
        <is>
          <t>F02447</t>
        </is>
      </c>
      <c r="C1976" s="10" t="inlineStr"/>
      <c r="D1976" s="10" t="inlineStr"/>
      <c r="E1976" s="10" t="inlineStr">
        <is>
          <t>GAS REGULATOR</t>
        </is>
      </c>
      <c r="F1976" s="10" t="inlineStr"/>
      <c r="G1976" s="10" t="inlineStr"/>
      <c r="H1976" s="10" t="inlineStr"/>
      <c r="I1976" s="11" t="n">
        <v>30</v>
      </c>
      <c r="J1976" s="6" t="n">
        <v>15</v>
      </c>
      <c r="K1976" s="7">
        <f>IF(I1976="","",I1976*(1+J1976/100))</f>
        <v/>
      </c>
      <c r="L1976" s="12" t="inlineStr"/>
      <c r="M1976" s="8">
        <f>IF(OR(L1976="",K1976="",L1976=0),"",
  (L1976-K1976)/L1976*100)</f>
        <v/>
      </c>
      <c r="N1976" s="9" t="inlineStr"/>
      <c r="O1976" s="10" t="inlineStr"/>
      <c r="P1976" s="10" t="inlineStr"/>
      <c r="Q1976" s="10" t="inlineStr"/>
      <c r="R1976" s="10" t="inlineStr">
        <is>
          <t>2026-03-12</t>
        </is>
      </c>
      <c r="S1976" s="10" t="inlineStr"/>
    </row>
    <row r="1977">
      <c r="A1977" s="3" t="inlineStr">
        <is>
          <t>F02448</t>
        </is>
      </c>
      <c r="B1977" s="4" t="inlineStr">
        <is>
          <t>F02448</t>
        </is>
      </c>
      <c r="C1977" s="4" t="inlineStr"/>
      <c r="D1977" s="4" t="inlineStr"/>
      <c r="E1977" s="3" t="inlineStr">
        <is>
          <t>GARAGE ROLL PAPER JUMBO 160MM</t>
        </is>
      </c>
      <c r="F1977" s="4" t="inlineStr"/>
      <c r="G1977" s="4" t="inlineStr"/>
      <c r="H1977" s="4" t="inlineStr"/>
      <c r="I1977" s="5" t="n">
        <v>75.59999999999999</v>
      </c>
      <c r="J1977" s="6" t="n">
        <v>15</v>
      </c>
      <c r="K1977" s="7">
        <f>IF(I1977="","",I1977*(1+J1977/100))</f>
        <v/>
      </c>
      <c r="L1977" s="12" t="inlineStr"/>
      <c r="M1977" s="8">
        <f>IF(OR(L1977="",K1977="",L1977=0),"",
  (L1977-K1977)/L1977*100)</f>
        <v/>
      </c>
      <c r="N1977" s="9" t="inlineStr"/>
      <c r="O1977" s="4" t="inlineStr"/>
      <c r="P1977" s="4" t="inlineStr"/>
      <c r="Q1977" s="4" t="inlineStr"/>
      <c r="R1977" s="4" t="inlineStr">
        <is>
          <t>2026-03-12</t>
        </is>
      </c>
      <c r="S1977" s="4" t="inlineStr"/>
    </row>
    <row r="1978">
      <c r="A1978" s="10" t="inlineStr">
        <is>
          <t>F02449</t>
        </is>
      </c>
      <c r="B1978" s="10" t="inlineStr">
        <is>
          <t>F02449</t>
        </is>
      </c>
      <c r="C1978" s="10" t="inlineStr"/>
      <c r="D1978" s="10" t="inlineStr"/>
      <c r="E1978" s="10" t="inlineStr">
        <is>
          <t>PAPER TOWEL DAISY SOFT 1PLY JUMBO</t>
        </is>
      </c>
      <c r="F1978" s="10" t="inlineStr"/>
      <c r="G1978" s="10" t="inlineStr"/>
      <c r="H1978" s="10" t="inlineStr"/>
      <c r="I1978" s="11" t="n">
        <v>29.95</v>
      </c>
      <c r="J1978" s="6" t="n">
        <v>15</v>
      </c>
      <c r="K1978" s="7">
        <f>IF(I1978="","",I1978*(1+J1978/100))</f>
        <v/>
      </c>
      <c r="L1978" s="12" t="inlineStr"/>
      <c r="M1978" s="8">
        <f>IF(OR(L1978="",K1978="",L1978=0),"",
  (L1978-K1978)/L1978*100)</f>
        <v/>
      </c>
      <c r="N1978" s="9" t="inlineStr"/>
      <c r="O1978" s="10" t="inlineStr"/>
      <c r="P1978" s="10" t="inlineStr"/>
      <c r="Q1978" s="10" t="inlineStr"/>
      <c r="R1978" s="10" t="inlineStr">
        <is>
          <t>2026-03-12</t>
        </is>
      </c>
      <c r="S1978" s="10" t="inlineStr"/>
    </row>
    <row r="1979">
      <c r="A1979" s="3" t="inlineStr">
        <is>
          <t>F02450</t>
        </is>
      </c>
      <c r="B1979" s="4" t="inlineStr">
        <is>
          <t>F02450</t>
        </is>
      </c>
      <c r="C1979" s="4" t="inlineStr"/>
      <c r="D1979" s="4" t="inlineStr"/>
      <c r="E1979" s="3" t="inlineStr">
        <is>
          <t>TOILET ROLL DAISY SOFT 48S 1PLY 300SHT</t>
        </is>
      </c>
      <c r="F1979" s="4" t="inlineStr"/>
      <c r="G1979" s="4" t="inlineStr"/>
      <c r="H1979" s="4" t="inlineStr"/>
      <c r="I1979" s="5" t="n">
        <v>132.5</v>
      </c>
      <c r="J1979" s="6" t="n">
        <v>15</v>
      </c>
      <c r="K1979" s="7">
        <f>IF(I1979="","",I1979*(1+J1979/100))</f>
        <v/>
      </c>
      <c r="L1979" s="12" t="inlineStr"/>
      <c r="M1979" s="8">
        <f>IF(OR(L1979="",K1979="",L1979=0),"",
  (L1979-K1979)/L1979*100)</f>
        <v/>
      </c>
      <c r="N1979" s="14" t="n">
        <v>3</v>
      </c>
      <c r="O1979" s="4" t="inlineStr"/>
      <c r="P1979" s="4" t="inlineStr"/>
      <c r="Q1979" s="4" t="inlineStr"/>
      <c r="R1979" s="4" t="inlineStr">
        <is>
          <t>2026-03-12</t>
        </is>
      </c>
      <c r="S1979" s="4" t="inlineStr"/>
    </row>
    <row r="1980">
      <c r="A1980" s="10" t="inlineStr">
        <is>
          <t>F02451</t>
        </is>
      </c>
      <c r="B1980" s="10" t="inlineStr">
        <is>
          <t>F02451</t>
        </is>
      </c>
      <c r="C1980" s="10" t="inlineStr"/>
      <c r="D1980" s="10" t="inlineStr"/>
      <c r="E1980" s="10" t="inlineStr">
        <is>
          <t>TOILET ROLL MEGA SOFT 48S 2PLY 200SHT</t>
        </is>
      </c>
      <c r="F1980" s="10" t="inlineStr"/>
      <c r="G1980" s="10" t="inlineStr"/>
      <c r="H1980" s="10" t="inlineStr"/>
      <c r="I1980" s="11" t="n">
        <v>151.2</v>
      </c>
      <c r="J1980" s="6" t="n">
        <v>15</v>
      </c>
      <c r="K1980" s="7">
        <f>IF(I1980="","",I1980*(1+J1980/100))</f>
        <v/>
      </c>
      <c r="L1980" s="12" t="inlineStr"/>
      <c r="M1980" s="8">
        <f>IF(OR(L1980="",K1980="",L1980=0),"",
  (L1980-K1980)/L1980*100)</f>
        <v/>
      </c>
      <c r="N1980" s="13" t="n">
        <v>17</v>
      </c>
      <c r="O1980" s="10" t="inlineStr"/>
      <c r="P1980" s="10" t="inlineStr"/>
      <c r="Q1980" s="10" t="inlineStr"/>
      <c r="R1980" s="10" t="inlineStr">
        <is>
          <t>2026-03-12</t>
        </is>
      </c>
      <c r="S1980" s="10" t="inlineStr"/>
    </row>
    <row r="1981">
      <c r="A1981" s="3" t="inlineStr">
        <is>
          <t>F02452</t>
        </is>
      </c>
      <c r="B1981" s="4" t="inlineStr">
        <is>
          <t>F02452</t>
        </is>
      </c>
      <c r="C1981" s="4" t="inlineStr"/>
      <c r="D1981" s="4" t="inlineStr"/>
      <c r="E1981" s="3" t="inlineStr">
        <is>
          <t>TISSUE 10S 3PLY POCKET</t>
        </is>
      </c>
      <c r="F1981" s="4" t="inlineStr"/>
      <c r="G1981" s="4" t="inlineStr"/>
      <c r="H1981" s="4" t="inlineStr"/>
      <c r="I1981" s="5" t="n">
        <v>24.6</v>
      </c>
      <c r="J1981" s="6" t="n">
        <v>15</v>
      </c>
      <c r="K1981" s="7">
        <f>IF(I1981="","",I1981*(1+J1981/100))</f>
        <v/>
      </c>
      <c r="L1981" s="12" t="inlineStr"/>
      <c r="M1981" s="8">
        <f>IF(OR(L1981="",K1981="",L1981=0),"",
  (L1981-K1981)/L1981*100)</f>
        <v/>
      </c>
      <c r="N1981" s="9" t="inlineStr"/>
      <c r="O1981" s="4" t="inlineStr"/>
      <c r="P1981" s="4" t="inlineStr"/>
      <c r="Q1981" s="4" t="inlineStr"/>
      <c r="R1981" s="4" t="inlineStr">
        <is>
          <t>2026-03-12</t>
        </is>
      </c>
      <c r="S1981" s="4" t="inlineStr"/>
    </row>
    <row r="1982">
      <c r="A1982" s="10" t="inlineStr">
        <is>
          <t>F02453</t>
        </is>
      </c>
      <c r="B1982" s="10" t="inlineStr">
        <is>
          <t>F02453</t>
        </is>
      </c>
      <c r="C1982" s="10" t="inlineStr"/>
      <c r="D1982" s="10" t="inlineStr"/>
      <c r="E1982" s="10" t="inlineStr">
        <is>
          <t>TOILET ROLL DAISY SOFT 2PLY 18'S, 350SHT</t>
        </is>
      </c>
      <c r="F1982" s="10" t="inlineStr"/>
      <c r="G1982" s="10" t="inlineStr"/>
      <c r="H1982" s="10" t="inlineStr"/>
      <c r="I1982" s="11" t="n">
        <v>99.95</v>
      </c>
      <c r="J1982" s="6" t="n">
        <v>15</v>
      </c>
      <c r="K1982" s="7">
        <f>IF(I1982="","",I1982*(1+J1982/100))</f>
        <v/>
      </c>
      <c r="L1982" s="12" t="inlineStr"/>
      <c r="M1982" s="8">
        <f>IF(OR(L1982="",K1982="",L1982=0),"",
  (L1982-K1982)/L1982*100)</f>
        <v/>
      </c>
      <c r="N1982" s="9" t="inlineStr"/>
      <c r="O1982" s="10" t="inlineStr"/>
      <c r="P1982" s="10" t="inlineStr"/>
      <c r="Q1982" s="10" t="inlineStr"/>
      <c r="R1982" s="10" t="inlineStr">
        <is>
          <t>2026-03-12</t>
        </is>
      </c>
      <c r="S1982" s="10" t="inlineStr"/>
    </row>
    <row r="1983">
      <c r="A1983" s="3" t="inlineStr">
        <is>
          <t>F02454</t>
        </is>
      </c>
      <c r="B1983" s="4" t="inlineStr">
        <is>
          <t>F02454</t>
        </is>
      </c>
      <c r="C1983" s="4" t="inlineStr"/>
      <c r="D1983" s="4" t="inlineStr">
        <is>
          <t>6009697450024</t>
        </is>
      </c>
      <c r="E1983" s="3" t="inlineStr">
        <is>
          <t>GARDEN TOOL SET 3PC PLASTIC HANDLE</t>
        </is>
      </c>
      <c r="F1983" s="4" t="inlineStr"/>
      <c r="G1983" s="4" t="inlineStr"/>
      <c r="H1983" s="4" t="inlineStr"/>
      <c r="I1983" s="5" t="n">
        <v>22.17</v>
      </c>
      <c r="J1983" s="6" t="n">
        <v>15</v>
      </c>
      <c r="K1983" s="7">
        <f>IF(I1983="","",I1983*(1+J1983/100))</f>
        <v/>
      </c>
      <c r="L1983" s="12" t="inlineStr"/>
      <c r="M1983" s="8">
        <f>IF(OR(L1983="",K1983="",L1983=0),"",
  (L1983-K1983)/L1983*100)</f>
        <v/>
      </c>
      <c r="N1983" s="9" t="inlineStr"/>
      <c r="O1983" s="4" t="inlineStr"/>
      <c r="P1983" s="4" t="inlineStr"/>
      <c r="Q1983" s="4" t="inlineStr"/>
      <c r="R1983" s="4" t="inlineStr">
        <is>
          <t>2026-03-12</t>
        </is>
      </c>
      <c r="S1983" s="4" t="inlineStr"/>
    </row>
    <row r="1984">
      <c r="A1984" s="10" t="inlineStr">
        <is>
          <t>F02455</t>
        </is>
      </c>
      <c r="B1984" s="10" t="inlineStr">
        <is>
          <t>F02455</t>
        </is>
      </c>
      <c r="C1984" s="10" t="inlineStr"/>
      <c r="D1984" s="10" t="inlineStr"/>
      <c r="E1984" s="10" t="inlineStr">
        <is>
          <t>PVC CELING (25114) 3900*300*6MM</t>
        </is>
      </c>
      <c r="F1984" s="10" t="inlineStr"/>
      <c r="G1984" s="10" t="inlineStr"/>
      <c r="H1984" s="10" t="inlineStr"/>
      <c r="I1984" s="11" t="n">
        <v>478.26</v>
      </c>
      <c r="J1984" s="6" t="n">
        <v>15</v>
      </c>
      <c r="K1984" s="7">
        <f>IF(I1984="","",I1984*(1+J1984/100))</f>
        <v/>
      </c>
      <c r="L1984" s="12" t="inlineStr"/>
      <c r="M1984" s="8">
        <f>IF(OR(L1984="",K1984="",L1984=0),"",
  (L1984-K1984)/L1984*100)</f>
        <v/>
      </c>
      <c r="N1984" s="9" t="inlineStr"/>
      <c r="O1984" s="10" t="inlineStr"/>
      <c r="P1984" s="10" t="inlineStr"/>
      <c r="Q1984" s="10" t="inlineStr"/>
      <c r="R1984" s="10" t="inlineStr">
        <is>
          <t>2026-03-12</t>
        </is>
      </c>
      <c r="S1984" s="10" t="inlineStr"/>
    </row>
    <row r="1985">
      <c r="A1985" s="3" t="inlineStr">
        <is>
          <t>F02456</t>
        </is>
      </c>
      <c r="B1985" s="4" t="inlineStr">
        <is>
          <t>F02456</t>
        </is>
      </c>
      <c r="C1985" s="4" t="inlineStr"/>
      <c r="D1985" s="4" t="inlineStr"/>
      <c r="E1985" s="3" t="inlineStr">
        <is>
          <t>DOOR-PVC FOLDING  (BROWN WALNUT)</t>
        </is>
      </c>
      <c r="F1985" s="4" t="inlineStr"/>
      <c r="G1985" s="4" t="inlineStr"/>
      <c r="H1985" s="4" t="inlineStr"/>
      <c r="I1985" s="5" t="n">
        <v>439</v>
      </c>
      <c r="J1985" s="6" t="n">
        <v>15</v>
      </c>
      <c r="K1985" s="7">
        <f>IF(I1985="","",I1985*(1+J1985/100))</f>
        <v/>
      </c>
      <c r="L1985" s="12" t="inlineStr"/>
      <c r="M1985" s="8">
        <f>IF(OR(L1985="",K1985="",L1985=0),"",
  (L1985-K1985)/L1985*100)</f>
        <v/>
      </c>
      <c r="N1985" s="9" t="inlineStr"/>
      <c r="O1985" s="4" t="inlineStr"/>
      <c r="P1985" s="4" t="inlineStr"/>
      <c r="Q1985" s="4" t="inlineStr"/>
      <c r="R1985" s="4" t="inlineStr">
        <is>
          <t>2026-03-12</t>
        </is>
      </c>
      <c r="S1985" s="4" t="inlineStr"/>
    </row>
    <row r="1986">
      <c r="A1986" s="10" t="inlineStr">
        <is>
          <t>F02457</t>
        </is>
      </c>
      <c r="B1986" s="10" t="inlineStr">
        <is>
          <t>F02457</t>
        </is>
      </c>
      <c r="C1986" s="10" t="inlineStr"/>
      <c r="D1986" s="10" t="inlineStr">
        <is>
          <t>6009705653713</t>
        </is>
      </c>
      <c r="E1986" s="10" t="inlineStr">
        <is>
          <t>DOOR PVC FOLDING WHITE ASH H2.03MXW0.85M</t>
        </is>
      </c>
      <c r="F1986" s="10" t="inlineStr"/>
      <c r="G1986" s="10" t="inlineStr"/>
      <c r="H1986" s="10" t="inlineStr"/>
      <c r="I1986" s="11" t="n">
        <v>439</v>
      </c>
      <c r="J1986" s="6" t="n">
        <v>15</v>
      </c>
      <c r="K1986" s="7">
        <f>IF(I1986="","",I1986*(1+J1986/100))</f>
        <v/>
      </c>
      <c r="L1986" s="12" t="inlineStr"/>
      <c r="M1986" s="8">
        <f>IF(OR(L1986="",K1986="",L1986=0),"",
  (L1986-K1986)/L1986*100)</f>
        <v/>
      </c>
      <c r="N1986" s="13" t="n">
        <v>1</v>
      </c>
      <c r="O1986" s="10" t="inlineStr"/>
      <c r="P1986" s="10" t="inlineStr"/>
      <c r="Q1986" s="10" t="inlineStr"/>
      <c r="R1986" s="10" t="inlineStr">
        <is>
          <t>2026-03-12</t>
        </is>
      </c>
      <c r="S1986" s="10" t="inlineStr"/>
    </row>
    <row r="1987">
      <c r="A1987" s="3" t="inlineStr">
        <is>
          <t>F02458</t>
        </is>
      </c>
      <c r="B1987" s="4" t="inlineStr">
        <is>
          <t>F02458</t>
        </is>
      </c>
      <c r="C1987" s="4" t="inlineStr"/>
      <c r="D1987" s="4" t="inlineStr"/>
      <c r="E1987" s="3" t="inlineStr">
        <is>
          <t>BROOM 375MM PLATFORM HARD</t>
        </is>
      </c>
      <c r="F1987" s="4" t="inlineStr"/>
      <c r="G1987" s="4" t="inlineStr"/>
      <c r="H1987" s="4" t="inlineStr"/>
      <c r="I1987" s="5" t="n">
        <v>38.95</v>
      </c>
      <c r="J1987" s="6" t="n">
        <v>15</v>
      </c>
      <c r="K1987" s="7">
        <f>IF(I1987="","",I1987*(1+J1987/100))</f>
        <v/>
      </c>
      <c r="L1987" s="12" t="inlineStr"/>
      <c r="M1987" s="8">
        <f>IF(OR(L1987="",K1987="",L1987=0),"",
  (L1987-K1987)/L1987*100)</f>
        <v/>
      </c>
      <c r="N1987" s="9" t="inlineStr"/>
      <c r="O1987" s="4" t="inlineStr"/>
      <c r="P1987" s="4" t="inlineStr"/>
      <c r="Q1987" s="4" t="inlineStr"/>
      <c r="R1987" s="4" t="inlineStr">
        <is>
          <t>2026-03-12</t>
        </is>
      </c>
      <c r="S1987" s="4" t="inlineStr"/>
    </row>
    <row r="1988">
      <c r="A1988" s="10" t="inlineStr">
        <is>
          <t>F02459</t>
        </is>
      </c>
      <c r="B1988" s="10" t="inlineStr">
        <is>
          <t>F02459</t>
        </is>
      </c>
      <c r="C1988" s="10" t="inlineStr"/>
      <c r="D1988" s="10" t="inlineStr"/>
      <c r="E1988" s="10" t="inlineStr">
        <is>
          <t>BROOM POLYCON</t>
        </is>
      </c>
      <c r="F1988" s="10" t="inlineStr"/>
      <c r="G1988" s="10" t="inlineStr"/>
      <c r="H1988" s="10" t="inlineStr"/>
      <c r="I1988" s="11" t="n">
        <v>35.4</v>
      </c>
      <c r="J1988" s="6" t="n">
        <v>15</v>
      </c>
      <c r="K1988" s="7">
        <f>IF(I1988="","",I1988*(1+J1988/100))</f>
        <v/>
      </c>
      <c r="L1988" s="12" t="inlineStr"/>
      <c r="M1988" s="8">
        <f>IF(OR(L1988="",K1988="",L1988=0),"",
  (L1988-K1988)/L1988*100)</f>
        <v/>
      </c>
      <c r="N1988" s="9" t="inlineStr"/>
      <c r="O1988" s="10" t="inlineStr"/>
      <c r="P1988" s="10" t="inlineStr"/>
      <c r="Q1988" s="10" t="inlineStr"/>
      <c r="R1988" s="10" t="inlineStr">
        <is>
          <t>2026-03-12</t>
        </is>
      </c>
      <c r="S1988" s="10" t="inlineStr"/>
    </row>
    <row r="1989">
      <c r="A1989" s="3" t="inlineStr">
        <is>
          <t>F02460</t>
        </is>
      </c>
      <c r="B1989" s="4" t="inlineStr">
        <is>
          <t>F02460</t>
        </is>
      </c>
      <c r="C1989" s="4" t="inlineStr"/>
      <c r="D1989" s="4" t="inlineStr"/>
      <c r="E1989" s="3" t="inlineStr">
        <is>
          <t>ROOF TILE UNDERLAYER 1.6X30M CPT/MK</t>
        </is>
      </c>
      <c r="F1989" s="4" t="inlineStr"/>
      <c r="G1989" s="4" t="inlineStr"/>
      <c r="H1989" s="4" t="inlineStr"/>
      <c r="I1989" s="5" t="n">
        <v>189.95</v>
      </c>
      <c r="J1989" s="6" t="n">
        <v>15</v>
      </c>
      <c r="K1989" s="7">
        <f>IF(I1989="","",I1989*(1+J1989/100))</f>
        <v/>
      </c>
      <c r="L1989" s="12" t="inlineStr"/>
      <c r="M1989" s="8">
        <f>IF(OR(L1989="",K1989="",L1989=0),"",
  (L1989-K1989)/L1989*100)</f>
        <v/>
      </c>
      <c r="N1989" s="14" t="n">
        <v>1</v>
      </c>
      <c r="O1989" s="4" t="inlineStr"/>
      <c r="P1989" s="4" t="inlineStr"/>
      <c r="Q1989" s="4" t="inlineStr"/>
      <c r="R1989" s="4" t="inlineStr">
        <is>
          <t>2026-03-12</t>
        </is>
      </c>
      <c r="S1989" s="4" t="inlineStr"/>
    </row>
    <row r="1990">
      <c r="A1990" s="10" t="inlineStr">
        <is>
          <t>F02461</t>
        </is>
      </c>
      <c r="B1990" s="10" t="inlineStr">
        <is>
          <t>F02461</t>
        </is>
      </c>
      <c r="C1990" s="10" t="inlineStr"/>
      <c r="D1990" s="10" t="inlineStr"/>
      <c r="E1990" s="10" t="inlineStr">
        <is>
          <t>AWNING  75X 1M BROWN HOLLOW</t>
        </is>
      </c>
      <c r="F1990" s="10" t="inlineStr"/>
      <c r="G1990" s="10" t="inlineStr"/>
      <c r="H1990" s="10" t="inlineStr"/>
      <c r="I1990" s="11" t="n">
        <v>289</v>
      </c>
      <c r="J1990" s="6" t="n">
        <v>15</v>
      </c>
      <c r="K1990" s="7">
        <f>IF(I1990="","",I1990*(1+J1990/100))</f>
        <v/>
      </c>
      <c r="L1990" s="12" t="inlineStr"/>
      <c r="M1990" s="8">
        <f>IF(OR(L1990="",K1990="",L1990=0),"",
  (L1990-K1990)/L1990*100)</f>
        <v/>
      </c>
      <c r="N1990" s="9" t="inlineStr"/>
      <c r="O1990" s="10" t="inlineStr"/>
      <c r="P1990" s="10" t="inlineStr"/>
      <c r="Q1990" s="10" t="inlineStr"/>
      <c r="R1990" s="10" t="inlineStr">
        <is>
          <t>2026-03-12</t>
        </is>
      </c>
      <c r="S1990" s="10" t="inlineStr"/>
    </row>
    <row r="1991">
      <c r="A1991" s="3" t="inlineStr">
        <is>
          <t>F02462</t>
        </is>
      </c>
      <c r="B1991" s="4" t="inlineStr">
        <is>
          <t>F02462</t>
        </is>
      </c>
      <c r="C1991" s="4" t="inlineStr"/>
      <c r="D1991" s="4" t="inlineStr"/>
      <c r="E1991" s="3" t="inlineStr">
        <is>
          <t>AWNING 75x 1.2MTR  BROWN HOLLOW</t>
        </is>
      </c>
      <c r="F1991" s="4" t="inlineStr"/>
      <c r="G1991" s="4" t="inlineStr"/>
      <c r="H1991" s="4" t="inlineStr"/>
      <c r="I1991" s="5" t="n">
        <v>409</v>
      </c>
      <c r="J1991" s="6" t="n">
        <v>15</v>
      </c>
      <c r="K1991" s="7">
        <f>IF(I1991="","",I1991*(1+J1991/100))</f>
        <v/>
      </c>
      <c r="L1991" s="12" t="inlineStr"/>
      <c r="M1991" s="8">
        <f>IF(OR(L1991="",K1991="",L1991=0),"",
  (L1991-K1991)/L1991*100)</f>
        <v/>
      </c>
      <c r="N1991" s="9" t="inlineStr"/>
      <c r="O1991" s="4" t="inlineStr"/>
      <c r="P1991" s="4" t="inlineStr"/>
      <c r="Q1991" s="4" t="inlineStr"/>
      <c r="R1991" s="4" t="inlineStr">
        <is>
          <t>2026-03-12</t>
        </is>
      </c>
      <c r="S1991" s="4" t="inlineStr"/>
    </row>
    <row r="1992">
      <c r="A1992" s="10" t="inlineStr">
        <is>
          <t>F02463</t>
        </is>
      </c>
      <c r="B1992" s="10" t="inlineStr">
        <is>
          <t>F02463</t>
        </is>
      </c>
      <c r="C1992" s="10" t="inlineStr"/>
      <c r="D1992" s="10" t="inlineStr">
        <is>
          <t>6009705653850</t>
        </is>
      </c>
      <c r="E1992" s="10" t="inlineStr">
        <is>
          <t>STRIP FOR BARCELONA NERO WALL PANEL</t>
        </is>
      </c>
      <c r="F1992" s="10" t="inlineStr"/>
      <c r="G1992" s="10" t="inlineStr"/>
      <c r="H1992" s="10" t="inlineStr"/>
      <c r="I1992" s="11" t="n">
        <v>39.95</v>
      </c>
      <c r="J1992" s="6" t="n">
        <v>15</v>
      </c>
      <c r="K1992" s="7">
        <f>IF(I1992="","",I1992*(1+J1992/100))</f>
        <v/>
      </c>
      <c r="L1992" s="12" t="inlineStr"/>
      <c r="M1992" s="8">
        <f>IF(OR(L1992="",K1992="",L1992=0),"",
  (L1992-K1992)/L1992*100)</f>
        <v/>
      </c>
      <c r="N1992" s="13" t="n">
        <v>3</v>
      </c>
      <c r="O1992" s="10" t="inlineStr"/>
      <c r="P1992" s="10" t="inlineStr"/>
      <c r="Q1992" s="10" t="inlineStr"/>
      <c r="R1992" s="10" t="inlineStr">
        <is>
          <t>2026-03-12</t>
        </is>
      </c>
      <c r="S1992" s="10" t="inlineStr"/>
    </row>
    <row r="1993">
      <c r="A1993" s="3" t="inlineStr">
        <is>
          <t>F02464</t>
        </is>
      </c>
      <c r="B1993" s="4" t="inlineStr">
        <is>
          <t>F02464</t>
        </is>
      </c>
      <c r="C1993" s="4" t="inlineStr"/>
      <c r="D1993" s="4" t="inlineStr">
        <is>
          <t>6009705656943</t>
        </is>
      </c>
      <c r="E1993" s="3" t="inlineStr">
        <is>
          <t>STRIP FOR BARCELONA WENGE WALL PANEL</t>
        </is>
      </c>
      <c r="F1993" s="4" t="inlineStr"/>
      <c r="G1993" s="4" t="inlineStr"/>
      <c r="H1993" s="4" t="inlineStr"/>
      <c r="I1993" s="5" t="n">
        <v>39.95</v>
      </c>
      <c r="J1993" s="6" t="n">
        <v>15</v>
      </c>
      <c r="K1993" s="7">
        <f>IF(I1993="","",I1993*(1+J1993/100))</f>
        <v/>
      </c>
      <c r="L1993" s="12" t="inlineStr"/>
      <c r="M1993" s="8">
        <f>IF(OR(L1993="",K1993="",L1993=0),"",
  (L1993-K1993)/L1993*100)</f>
        <v/>
      </c>
      <c r="N1993" s="14" t="n">
        <v>42</v>
      </c>
      <c r="O1993" s="4" t="inlineStr"/>
      <c r="P1993" s="4" t="inlineStr"/>
      <c r="Q1993" s="4" t="inlineStr"/>
      <c r="R1993" s="4" t="inlineStr">
        <is>
          <t>2026-03-12</t>
        </is>
      </c>
      <c r="S1993" s="4" t="inlineStr"/>
    </row>
    <row r="1994">
      <c r="A1994" s="10" t="inlineStr">
        <is>
          <t>F02465</t>
        </is>
      </c>
      <c r="B1994" s="10" t="inlineStr">
        <is>
          <t>F02465</t>
        </is>
      </c>
      <c r="C1994" s="10" t="inlineStr"/>
      <c r="D1994" s="10" t="inlineStr">
        <is>
          <t>6009705656936</t>
        </is>
      </c>
      <c r="E1994" s="10" t="inlineStr">
        <is>
          <t>STRIP FOR BARCELONA TEAK WALL PANEL</t>
        </is>
      </c>
      <c r="F1994" s="10" t="inlineStr"/>
      <c r="G1994" s="10" t="inlineStr"/>
      <c r="H1994" s="10" t="inlineStr"/>
      <c r="I1994" s="11" t="n">
        <v>37.95</v>
      </c>
      <c r="J1994" s="6" t="n">
        <v>15</v>
      </c>
      <c r="K1994" s="7">
        <f>IF(I1994="","",I1994*(1+J1994/100))</f>
        <v/>
      </c>
      <c r="L1994" s="12" t="inlineStr"/>
      <c r="M1994" s="8">
        <f>IF(OR(L1994="",K1994="",L1994=0),"",
  (L1994-K1994)/L1994*100)</f>
        <v/>
      </c>
      <c r="N1994" s="13" t="n">
        <v>6</v>
      </c>
      <c r="O1994" s="10" t="inlineStr"/>
      <c r="P1994" s="10" t="inlineStr"/>
      <c r="Q1994" s="10" t="inlineStr"/>
      <c r="R1994" s="10" t="inlineStr">
        <is>
          <t>2026-03-12</t>
        </is>
      </c>
      <c r="S1994" s="10" t="inlineStr"/>
    </row>
    <row r="1995">
      <c r="A1995" s="3" t="inlineStr">
        <is>
          <t>F02466</t>
        </is>
      </c>
      <c r="B1995" s="4" t="inlineStr">
        <is>
          <t>F02466</t>
        </is>
      </c>
      <c r="C1995" s="4" t="inlineStr"/>
      <c r="D1995" s="4" t="inlineStr">
        <is>
          <t>6009705653836</t>
        </is>
      </c>
      <c r="E1995" s="3" t="inlineStr">
        <is>
          <t>STRIP FOR BARCELONA GREY WALL PANEL</t>
        </is>
      </c>
      <c r="F1995" s="4" t="inlineStr"/>
      <c r="G1995" s="4" t="inlineStr"/>
      <c r="H1995" s="4" t="inlineStr"/>
      <c r="I1995" s="5" t="n">
        <v>39.95</v>
      </c>
      <c r="J1995" s="6" t="n">
        <v>15</v>
      </c>
      <c r="K1995" s="7">
        <f>IF(I1995="","",I1995*(1+J1995/100))</f>
        <v/>
      </c>
      <c r="L1995" s="12" t="inlineStr"/>
      <c r="M1995" s="8">
        <f>IF(OR(L1995="",K1995="",L1995=0),"",
  (L1995-K1995)/L1995*100)</f>
        <v/>
      </c>
      <c r="N1995" s="14" t="n">
        <v>87</v>
      </c>
      <c r="O1995" s="4" t="inlineStr"/>
      <c r="P1995" s="4" t="inlineStr"/>
      <c r="Q1995" s="4" t="inlineStr"/>
      <c r="R1995" s="4" t="inlineStr">
        <is>
          <t>2026-03-12</t>
        </is>
      </c>
      <c r="S1995" s="4" t="inlineStr"/>
    </row>
    <row r="1996">
      <c r="A1996" s="10" t="inlineStr">
        <is>
          <t>F02467</t>
        </is>
      </c>
      <c r="B1996" s="10" t="inlineStr">
        <is>
          <t>F02467</t>
        </is>
      </c>
      <c r="C1996" s="10" t="inlineStr"/>
      <c r="D1996" s="10" t="inlineStr">
        <is>
          <t>6009705653843</t>
        </is>
      </c>
      <c r="E1996" s="10" t="inlineStr">
        <is>
          <t>STRIP FOR BARCELONA MARBLE WHITE PANEL</t>
        </is>
      </c>
      <c r="F1996" s="10" t="inlineStr"/>
      <c r="G1996" s="10" t="inlineStr"/>
      <c r="H1996" s="10" t="inlineStr"/>
      <c r="I1996" s="11" t="n">
        <v>39.95</v>
      </c>
      <c r="J1996" s="6" t="n">
        <v>15</v>
      </c>
      <c r="K1996" s="7">
        <f>IF(I1996="","",I1996*(1+J1996/100))</f>
        <v/>
      </c>
      <c r="L1996" s="12" t="inlineStr"/>
      <c r="M1996" s="8">
        <f>IF(OR(L1996="",K1996="",L1996=0),"",
  (L1996-K1996)/L1996*100)</f>
        <v/>
      </c>
      <c r="N1996" s="9" t="inlineStr"/>
      <c r="O1996" s="10" t="inlineStr"/>
      <c r="P1996" s="10" t="inlineStr"/>
      <c r="Q1996" s="10" t="inlineStr"/>
      <c r="R1996" s="10" t="inlineStr">
        <is>
          <t>2026-03-12</t>
        </is>
      </c>
      <c r="S1996" s="10" t="inlineStr"/>
    </row>
    <row r="1997">
      <c r="A1997" s="3" t="inlineStr">
        <is>
          <t>F02468</t>
        </is>
      </c>
      <c r="B1997" s="4" t="inlineStr">
        <is>
          <t>F02468</t>
        </is>
      </c>
      <c r="C1997" s="4" t="inlineStr"/>
      <c r="D1997" s="4" t="inlineStr">
        <is>
          <t>6009705656950</t>
        </is>
      </c>
      <c r="E1997" s="3" t="inlineStr">
        <is>
          <t>METAL CLIP 4 WALL PANEL  100'S</t>
        </is>
      </c>
      <c r="F1997" s="4" t="inlineStr"/>
      <c r="G1997" s="4" t="inlineStr"/>
      <c r="H1997" s="4" t="inlineStr"/>
      <c r="I1997" s="5" t="n">
        <v>250</v>
      </c>
      <c r="J1997" s="6" t="n">
        <v>15</v>
      </c>
      <c r="K1997" s="7">
        <f>IF(I1997="","",I1997*(1+J1997/100))</f>
        <v/>
      </c>
      <c r="L1997" s="12" t="inlineStr"/>
      <c r="M1997" s="8">
        <f>IF(OR(L1997="",K1997="",L1997=0),"",
  (L1997-K1997)/L1997*100)</f>
        <v/>
      </c>
      <c r="N1997" s="14" t="n">
        <v>34</v>
      </c>
      <c r="O1997" s="4" t="inlineStr"/>
      <c r="P1997" s="4" t="inlineStr"/>
      <c r="Q1997" s="4" t="inlineStr"/>
      <c r="R1997" s="4" t="inlineStr">
        <is>
          <t>2026-03-12</t>
        </is>
      </c>
      <c r="S1997" s="4" t="inlineStr"/>
    </row>
    <row r="1998">
      <c r="A1998" s="10" t="inlineStr">
        <is>
          <t>F02469</t>
        </is>
      </c>
      <c r="B1998" s="10" t="inlineStr">
        <is>
          <t>F02469</t>
        </is>
      </c>
      <c r="C1998" s="10" t="inlineStr"/>
      <c r="D1998" s="10" t="inlineStr"/>
      <c r="E1998" s="10" t="inlineStr">
        <is>
          <t>PVC CEILING (8123)3900*300*6MM</t>
        </is>
      </c>
      <c r="F1998" s="10" t="inlineStr"/>
      <c r="G1998" s="10" t="inlineStr"/>
      <c r="H1998" s="10" t="inlineStr"/>
      <c r="I1998" s="11" t="n">
        <v>479</v>
      </c>
      <c r="J1998" s="6" t="n">
        <v>15</v>
      </c>
      <c r="K1998" s="7">
        <f>IF(I1998="","",I1998*(1+J1998/100))</f>
        <v/>
      </c>
      <c r="L1998" s="12" t="inlineStr"/>
      <c r="M1998" s="8">
        <f>IF(OR(L1998="",K1998="",L1998=0),"",
  (L1998-K1998)/L1998*100)</f>
        <v/>
      </c>
      <c r="N1998" s="9" t="inlineStr"/>
      <c r="O1998" s="10" t="inlineStr"/>
      <c r="P1998" s="10" t="inlineStr"/>
      <c r="Q1998" s="10" t="inlineStr"/>
      <c r="R1998" s="10" t="inlineStr">
        <is>
          <t>2026-03-12</t>
        </is>
      </c>
      <c r="S1998" s="10" t="inlineStr"/>
    </row>
    <row r="1999">
      <c r="A1999" s="3" t="inlineStr">
        <is>
          <t>F02470</t>
        </is>
      </c>
      <c r="B1999" s="4" t="inlineStr">
        <is>
          <t>F02470</t>
        </is>
      </c>
      <c r="C1999" s="4" t="inlineStr"/>
      <c r="D1999" s="4" t="inlineStr"/>
      <c r="E1999" s="3" t="inlineStr">
        <is>
          <t>PVC CEILING (303026)3900*300*6MM</t>
        </is>
      </c>
      <c r="F1999" s="4" t="inlineStr"/>
      <c r="G1999" s="4" t="inlineStr"/>
      <c r="H1999" s="4" t="inlineStr"/>
      <c r="I1999" s="5" t="n">
        <v>0.04</v>
      </c>
      <c r="J1999" s="6" t="n">
        <v>15</v>
      </c>
      <c r="K1999" s="7">
        <f>IF(I1999="","",I1999*(1+J1999/100))</f>
        <v/>
      </c>
      <c r="L1999" s="12" t="inlineStr"/>
      <c r="M1999" s="8">
        <f>IF(OR(L1999="",K1999="",L1999=0),"",
  (L1999-K1999)/L1999*100)</f>
        <v/>
      </c>
      <c r="N1999" s="9" t="inlineStr"/>
      <c r="O1999" s="4" t="inlineStr"/>
      <c r="P1999" s="4" t="inlineStr"/>
      <c r="Q1999" s="4" t="inlineStr"/>
      <c r="R1999" s="4" t="inlineStr">
        <is>
          <t>2026-03-12</t>
        </is>
      </c>
      <c r="S1999" s="4" t="inlineStr"/>
    </row>
    <row r="2000">
      <c r="A2000" s="10" t="inlineStr">
        <is>
          <t>F02471</t>
        </is>
      </c>
      <c r="B2000" s="10" t="inlineStr">
        <is>
          <t>F02471</t>
        </is>
      </c>
      <c r="C2000" s="10" t="inlineStr"/>
      <c r="D2000" s="10" t="inlineStr"/>
      <c r="E2000" s="10" t="inlineStr">
        <is>
          <t>PVC CEILING(3055)3900*300*6MM</t>
        </is>
      </c>
      <c r="F2000" s="10" t="inlineStr"/>
      <c r="G2000" s="10" t="inlineStr"/>
      <c r="H2000" s="10" t="inlineStr"/>
      <c r="I2000" s="11" t="n">
        <v>479</v>
      </c>
      <c r="J2000" s="6" t="n">
        <v>15</v>
      </c>
      <c r="K2000" s="7">
        <f>IF(I2000="","",I2000*(1+J2000/100))</f>
        <v/>
      </c>
      <c r="L2000" s="12" t="inlineStr"/>
      <c r="M2000" s="8">
        <f>IF(OR(L2000="",K2000="",L2000=0),"",
  (L2000-K2000)/L2000*100)</f>
        <v/>
      </c>
      <c r="N2000" s="9" t="inlineStr"/>
      <c r="O2000" s="10" t="inlineStr"/>
      <c r="P2000" s="10" t="inlineStr"/>
      <c r="Q2000" s="10" t="inlineStr"/>
      <c r="R2000" s="10" t="inlineStr">
        <is>
          <t>2026-03-12</t>
        </is>
      </c>
      <c r="S2000" s="10" t="inlineStr"/>
    </row>
    <row r="2001">
      <c r="A2001" s="3" t="inlineStr">
        <is>
          <t>F02472</t>
        </is>
      </c>
      <c r="B2001" s="4" t="inlineStr">
        <is>
          <t>F02472</t>
        </is>
      </c>
      <c r="C2001" s="4" t="inlineStr"/>
      <c r="D2001" s="4" t="inlineStr"/>
      <c r="E2001" s="3" t="inlineStr">
        <is>
          <t>PVC CEILING(308120)3900*300*6MM</t>
        </is>
      </c>
      <c r="F2001" s="4" t="inlineStr"/>
      <c r="G2001" s="4" t="inlineStr"/>
      <c r="H2001" s="4" t="inlineStr"/>
      <c r="I2001" s="5" t="n">
        <v>479</v>
      </c>
      <c r="J2001" s="6" t="n">
        <v>15</v>
      </c>
      <c r="K2001" s="7">
        <f>IF(I2001="","",I2001*(1+J2001/100))</f>
        <v/>
      </c>
      <c r="L2001" s="12" t="inlineStr"/>
      <c r="M2001" s="8">
        <f>IF(OR(L2001="",K2001="",L2001=0),"",
  (L2001-K2001)/L2001*100)</f>
        <v/>
      </c>
      <c r="N2001" s="9" t="inlineStr"/>
      <c r="O2001" s="4" t="inlineStr"/>
      <c r="P2001" s="4" t="inlineStr"/>
      <c r="Q2001" s="4" t="inlineStr"/>
      <c r="R2001" s="4" t="inlineStr">
        <is>
          <t>2026-03-12</t>
        </is>
      </c>
      <c r="S2001" s="4" t="inlineStr"/>
    </row>
    <row r="2002">
      <c r="A2002" s="10" t="inlineStr">
        <is>
          <t>F02473</t>
        </is>
      </c>
      <c r="B2002" s="10" t="inlineStr">
        <is>
          <t>F02473</t>
        </is>
      </c>
      <c r="C2002" s="10" t="inlineStr"/>
      <c r="D2002" s="10" t="inlineStr"/>
      <c r="E2002" s="10" t="inlineStr">
        <is>
          <t>PVC CEILING(3053)3900*300*6MM</t>
        </is>
      </c>
      <c r="F2002" s="10" t="inlineStr"/>
      <c r="G2002" s="10" t="inlineStr"/>
      <c r="H2002" s="10" t="inlineStr"/>
      <c r="I2002" s="11" t="n">
        <v>479</v>
      </c>
      <c r="J2002" s="6" t="n">
        <v>15</v>
      </c>
      <c r="K2002" s="7">
        <f>IF(I2002="","",I2002*(1+J2002/100))</f>
        <v/>
      </c>
      <c r="L2002" s="12" t="inlineStr"/>
      <c r="M2002" s="8">
        <f>IF(OR(L2002="",K2002="",L2002=0),"",
  (L2002-K2002)/L2002*100)</f>
        <v/>
      </c>
      <c r="N2002" s="9" t="inlineStr"/>
      <c r="O2002" s="10" t="inlineStr"/>
      <c r="P2002" s="10" t="inlineStr"/>
      <c r="Q2002" s="10" t="inlineStr"/>
      <c r="R2002" s="10" t="inlineStr">
        <is>
          <t>2026-03-12</t>
        </is>
      </c>
      <c r="S2002" s="10" t="inlineStr"/>
    </row>
    <row r="2003">
      <c r="A2003" s="3" t="inlineStr">
        <is>
          <t>F02474</t>
        </is>
      </c>
      <c r="B2003" s="4" t="inlineStr">
        <is>
          <t>F02474</t>
        </is>
      </c>
      <c r="C2003" s="4" t="inlineStr"/>
      <c r="D2003" s="4" t="inlineStr"/>
      <c r="E2003" s="3" t="inlineStr">
        <is>
          <t>PVC CEILING (303067)3900*300*6MM</t>
        </is>
      </c>
      <c r="F2003" s="4" t="inlineStr"/>
      <c r="G2003" s="4" t="inlineStr"/>
      <c r="H2003" s="4" t="inlineStr"/>
      <c r="I2003" s="5" t="n">
        <v>0.03</v>
      </c>
      <c r="J2003" s="6" t="n">
        <v>15</v>
      </c>
      <c r="K2003" s="7">
        <f>IF(I2003="","",I2003*(1+J2003/100))</f>
        <v/>
      </c>
      <c r="L2003" s="12" t="inlineStr"/>
      <c r="M2003" s="8">
        <f>IF(OR(L2003="",K2003="",L2003=0),"",
  (L2003-K2003)/L2003*100)</f>
        <v/>
      </c>
      <c r="N2003" s="9" t="inlineStr"/>
      <c r="O2003" s="4" t="inlineStr"/>
      <c r="P2003" s="4" t="inlineStr"/>
      <c r="Q2003" s="4" t="inlineStr"/>
      <c r="R2003" s="4" t="inlineStr">
        <is>
          <t>2026-03-12</t>
        </is>
      </c>
      <c r="S2003" s="4" t="inlineStr"/>
    </row>
    <row r="2004">
      <c r="A2004" s="10" t="inlineStr">
        <is>
          <t>F02475</t>
        </is>
      </c>
      <c r="B2004" s="10" t="inlineStr">
        <is>
          <t>F02475</t>
        </is>
      </c>
      <c r="C2004" s="10" t="inlineStr"/>
      <c r="D2004" s="10" t="inlineStr"/>
      <c r="E2004" s="10" t="inlineStr">
        <is>
          <t>PAPER TYPEK A4 80GSM 5 REAMS</t>
        </is>
      </c>
      <c r="F2004" s="10" t="inlineStr"/>
      <c r="G2004" s="10" t="inlineStr"/>
      <c r="H2004" s="10" t="inlineStr"/>
      <c r="I2004" s="11" t="n">
        <v>355</v>
      </c>
      <c r="J2004" s="6" t="n">
        <v>15</v>
      </c>
      <c r="K2004" s="7">
        <f>IF(I2004="","",I2004*(1+J2004/100))</f>
        <v/>
      </c>
      <c r="L2004" s="12" t="inlineStr"/>
      <c r="M2004" s="8">
        <f>IF(OR(L2004="",K2004="",L2004=0),"",
  (L2004-K2004)/L2004*100)</f>
        <v/>
      </c>
      <c r="N2004" s="13" t="n">
        <v>11</v>
      </c>
      <c r="O2004" s="10" t="inlineStr"/>
      <c r="P2004" s="10" t="inlineStr"/>
      <c r="Q2004" s="10" t="inlineStr"/>
      <c r="R2004" s="10" t="inlineStr">
        <is>
          <t>2026-03-12</t>
        </is>
      </c>
      <c r="S2004" s="10" t="inlineStr"/>
    </row>
    <row r="2005">
      <c r="A2005" s="3" t="inlineStr">
        <is>
          <t>F02476</t>
        </is>
      </c>
      <c r="B2005" s="4" t="inlineStr">
        <is>
          <t>F02476</t>
        </is>
      </c>
      <c r="C2005" s="4" t="inlineStr"/>
      <c r="D2005" s="4" t="inlineStr"/>
      <c r="E2005" s="3" t="inlineStr">
        <is>
          <t>PAPER COPY A , A4 5 REAMS PER BOX</t>
        </is>
      </c>
      <c r="F2005" s="4" t="inlineStr"/>
      <c r="G2005" s="4" t="inlineStr"/>
      <c r="H2005" s="4" t="inlineStr"/>
      <c r="I2005" s="5" t="n">
        <v>335</v>
      </c>
      <c r="J2005" s="6" t="n">
        <v>15</v>
      </c>
      <c r="K2005" s="7">
        <f>IF(I2005="","",I2005*(1+J2005/100))</f>
        <v/>
      </c>
      <c r="L2005" s="12" t="inlineStr"/>
      <c r="M2005" s="8">
        <f>IF(OR(L2005="",K2005="",L2005=0),"",
  (L2005-K2005)/L2005*100)</f>
        <v/>
      </c>
      <c r="N2005" s="9" t="inlineStr"/>
      <c r="O2005" s="4" t="inlineStr"/>
      <c r="P2005" s="4" t="inlineStr"/>
      <c r="Q2005" s="4" t="inlineStr"/>
      <c r="R2005" s="4" t="inlineStr">
        <is>
          <t>2026-03-12</t>
        </is>
      </c>
      <c r="S2005" s="4" t="inlineStr"/>
    </row>
    <row r="2006">
      <c r="A2006" s="10" t="inlineStr">
        <is>
          <t>F02477</t>
        </is>
      </c>
      <c r="B2006" s="10" t="inlineStr">
        <is>
          <t>F02477</t>
        </is>
      </c>
      <c r="C2006" s="10" t="inlineStr">
        <is>
          <t>22464</t>
        </is>
      </c>
      <c r="D2006" s="10" t="inlineStr">
        <is>
          <t>6009705650019</t>
        </is>
      </c>
      <c r="E2006" s="10" t="inlineStr">
        <is>
          <t>UV PANEL JAKARTA GRIS 1220*2700*2.5MM</t>
        </is>
      </c>
      <c r="F2006" s="10" t="inlineStr"/>
      <c r="G2006" s="10" t="inlineStr"/>
      <c r="H2006" s="10" t="inlineStr"/>
      <c r="I2006" s="11" t="n">
        <v>379</v>
      </c>
      <c r="J2006" s="6" t="n">
        <v>15</v>
      </c>
      <c r="K2006" s="7">
        <f>IF(I2006="","",I2006*(1+J2006/100))</f>
        <v/>
      </c>
      <c r="L2006" s="11" t="n">
        <v>1300</v>
      </c>
      <c r="M2006" s="8">
        <f>IF(OR(L2006="",K2006="",L2006=0),"",
  (L2006-K2006)/L2006*100)</f>
        <v/>
      </c>
      <c r="N2006" s="13" t="n">
        <v>90</v>
      </c>
      <c r="O2006" s="10" t="inlineStr"/>
      <c r="P2006" s="10" t="inlineStr"/>
      <c r="Q2006" s="10" t="inlineStr"/>
      <c r="R2006" s="10" t="inlineStr">
        <is>
          <t>2026-03-12</t>
        </is>
      </c>
      <c r="S2006" s="10" t="inlineStr"/>
    </row>
    <row r="2007">
      <c r="A2007" s="3" t="inlineStr">
        <is>
          <t>F02478</t>
        </is>
      </c>
      <c r="B2007" s="4" t="inlineStr">
        <is>
          <t>F02478</t>
        </is>
      </c>
      <c r="C2007" s="4" t="inlineStr">
        <is>
          <t>22566</t>
        </is>
      </c>
      <c r="D2007" s="4" t="inlineStr">
        <is>
          <t>6009705650057</t>
        </is>
      </c>
      <c r="E2007" s="3" t="inlineStr">
        <is>
          <t>UV PANEL MOROCCO GRIS 1220*2700*2.5MM</t>
        </is>
      </c>
      <c r="F2007" s="4" t="inlineStr"/>
      <c r="G2007" s="4" t="inlineStr"/>
      <c r="H2007" s="4" t="inlineStr"/>
      <c r="I2007" s="5" t="n">
        <v>379</v>
      </c>
      <c r="J2007" s="6" t="n">
        <v>15</v>
      </c>
      <c r="K2007" s="7">
        <f>IF(I2007="","",I2007*(1+J2007/100))</f>
        <v/>
      </c>
      <c r="L2007" s="5" t="n">
        <v>950</v>
      </c>
      <c r="M2007" s="8">
        <f>IF(OR(L2007="",K2007="",L2007=0),"",
  (L2007-K2007)/L2007*100)</f>
        <v/>
      </c>
      <c r="N2007" s="9" t="inlineStr"/>
      <c r="O2007" s="4" t="inlineStr"/>
      <c r="P2007" s="4" t="inlineStr"/>
      <c r="Q2007" s="4" t="inlineStr"/>
      <c r="R2007" s="4" t="inlineStr">
        <is>
          <t>2026-03-12</t>
        </is>
      </c>
      <c r="S2007" s="4" t="inlineStr"/>
    </row>
    <row r="2008">
      <c r="A2008" s="10" t="inlineStr">
        <is>
          <t>F02479</t>
        </is>
      </c>
      <c r="B2008" s="10" t="inlineStr">
        <is>
          <t>F02479</t>
        </is>
      </c>
      <c r="C2008" s="10" t="inlineStr">
        <is>
          <t>22434</t>
        </is>
      </c>
      <c r="D2008" s="10" t="inlineStr">
        <is>
          <t>6009705650064</t>
        </is>
      </c>
      <c r="E2008" s="10" t="inlineStr">
        <is>
          <t>UV PANEL ASTRUS 1220*2700*2.5MM</t>
        </is>
      </c>
      <c r="F2008" s="10" t="inlineStr"/>
      <c r="G2008" s="10" t="inlineStr"/>
      <c r="H2008" s="10" t="inlineStr"/>
      <c r="I2008" s="11" t="n">
        <v>469</v>
      </c>
      <c r="J2008" s="6" t="n">
        <v>15</v>
      </c>
      <c r="K2008" s="7">
        <f>IF(I2008="","",I2008*(1+J2008/100))</f>
        <v/>
      </c>
      <c r="L2008" s="11" t="n">
        <v>1300</v>
      </c>
      <c r="M2008" s="8">
        <f>IF(OR(L2008="",K2008="",L2008=0),"",
  (L2008-K2008)/L2008*100)</f>
        <v/>
      </c>
      <c r="N2008" s="9" t="inlineStr"/>
      <c r="O2008" s="10" t="inlineStr"/>
      <c r="P2008" s="10" t="inlineStr"/>
      <c r="Q2008" s="10" t="inlineStr"/>
      <c r="R2008" s="10" t="inlineStr">
        <is>
          <t>2026-03-12</t>
        </is>
      </c>
      <c r="S2008" s="10" t="inlineStr"/>
    </row>
    <row r="2009">
      <c r="A2009" s="3" t="inlineStr">
        <is>
          <t>F02480</t>
        </is>
      </c>
      <c r="B2009" s="4" t="inlineStr">
        <is>
          <t>F02480</t>
        </is>
      </c>
      <c r="C2009" s="4" t="inlineStr">
        <is>
          <t>22411</t>
        </is>
      </c>
      <c r="D2009" s="4" t="inlineStr">
        <is>
          <t>6009705650170</t>
        </is>
      </c>
      <c r="E2009" s="3" t="inlineStr">
        <is>
          <t>UV PANEL SAHARA MARBLE 1220*2700*2.5MM</t>
        </is>
      </c>
      <c r="F2009" s="4" t="inlineStr"/>
      <c r="G2009" s="4" t="inlineStr"/>
      <c r="H2009" s="4" t="inlineStr"/>
      <c r="I2009" s="5" t="n">
        <v>379</v>
      </c>
      <c r="J2009" s="6" t="n">
        <v>15</v>
      </c>
      <c r="K2009" s="7">
        <f>IF(I2009="","",I2009*(1+J2009/100))</f>
        <v/>
      </c>
      <c r="L2009" s="5" t="n">
        <v>1300</v>
      </c>
      <c r="M2009" s="8">
        <f>IF(OR(L2009="",K2009="",L2009=0),"",
  (L2009-K2009)/L2009*100)</f>
        <v/>
      </c>
      <c r="N2009" s="14" t="n">
        <v>84</v>
      </c>
      <c r="O2009" s="4" t="inlineStr"/>
      <c r="P2009" s="4" t="inlineStr"/>
      <c r="Q2009" s="4" t="inlineStr"/>
      <c r="R2009" s="4" t="inlineStr">
        <is>
          <t>2026-03-12</t>
        </is>
      </c>
      <c r="S2009" s="4" t="inlineStr"/>
    </row>
    <row r="2010">
      <c r="A2010" s="10" t="inlineStr">
        <is>
          <t>F02481</t>
        </is>
      </c>
      <c r="B2010" s="10" t="inlineStr">
        <is>
          <t>F02481</t>
        </is>
      </c>
      <c r="C2010" s="10" t="inlineStr">
        <is>
          <t>22458</t>
        </is>
      </c>
      <c r="D2010" s="10" t="inlineStr">
        <is>
          <t>6009705650217</t>
        </is>
      </c>
      <c r="E2010" s="10" t="inlineStr">
        <is>
          <t>UV PANEL SWISS CARRARA 1220*2700*2.5MM</t>
        </is>
      </c>
      <c r="F2010" s="10" t="inlineStr"/>
      <c r="G2010" s="10" t="inlineStr"/>
      <c r="H2010" s="10" t="inlineStr"/>
      <c r="I2010" s="11" t="n">
        <v>379</v>
      </c>
      <c r="J2010" s="6" t="n">
        <v>15</v>
      </c>
      <c r="K2010" s="7">
        <f>IF(I2010="","",I2010*(1+J2010/100))</f>
        <v/>
      </c>
      <c r="L2010" s="11" t="n">
        <v>1300</v>
      </c>
      <c r="M2010" s="8">
        <f>IF(OR(L2010="",K2010="",L2010=0),"",
  (L2010-K2010)/L2010*100)</f>
        <v/>
      </c>
      <c r="N2010" s="13" t="n">
        <v>8</v>
      </c>
      <c r="O2010" s="10" t="inlineStr"/>
      <c r="P2010" s="10" t="inlineStr"/>
      <c r="Q2010" s="10" t="inlineStr"/>
      <c r="R2010" s="10" t="inlineStr">
        <is>
          <t>2026-03-12</t>
        </is>
      </c>
      <c r="S2010" s="10" t="inlineStr"/>
    </row>
    <row r="2011">
      <c r="A2011" s="3" t="inlineStr">
        <is>
          <t>F02482</t>
        </is>
      </c>
      <c r="B2011" s="4" t="inlineStr">
        <is>
          <t>F02482</t>
        </is>
      </c>
      <c r="C2011" s="4" t="inlineStr">
        <is>
          <t>22565</t>
        </is>
      </c>
      <c r="D2011" s="4" t="inlineStr">
        <is>
          <t>6009705650224</t>
        </is>
      </c>
      <c r="E2011" s="3" t="inlineStr">
        <is>
          <t>UV PANEL ANGEL WHITE 1220*2700*2.5MM</t>
        </is>
      </c>
      <c r="F2011" s="4" t="inlineStr"/>
      <c r="G2011" s="4" t="inlineStr"/>
      <c r="H2011" s="4" t="inlineStr"/>
      <c r="I2011" s="5" t="n">
        <v>379</v>
      </c>
      <c r="J2011" s="6" t="n">
        <v>15</v>
      </c>
      <c r="K2011" s="7">
        <f>IF(I2011="","",I2011*(1+J2011/100))</f>
        <v/>
      </c>
      <c r="L2011" s="5" t="n">
        <v>899</v>
      </c>
      <c r="M2011" s="8">
        <f>IF(OR(L2011="",K2011="",L2011=0),"",
  (L2011-K2011)/L2011*100)</f>
        <v/>
      </c>
      <c r="N2011" s="14" t="n">
        <v>228</v>
      </c>
      <c r="O2011" s="4" t="inlineStr"/>
      <c r="P2011" s="4" t="inlineStr"/>
      <c r="Q2011" s="4" t="inlineStr"/>
      <c r="R2011" s="4" t="inlineStr">
        <is>
          <t>2026-03-12</t>
        </is>
      </c>
      <c r="S2011" s="4" t="inlineStr"/>
    </row>
    <row r="2012">
      <c r="A2012" s="10" t="inlineStr">
        <is>
          <t>F02483</t>
        </is>
      </c>
      <c r="B2012" s="10" t="inlineStr">
        <is>
          <t>F02483</t>
        </is>
      </c>
      <c r="C2012" s="10" t="inlineStr"/>
      <c r="D2012" s="10" t="inlineStr">
        <is>
          <t>6009705650255</t>
        </is>
      </c>
      <c r="E2012" s="10" t="inlineStr">
        <is>
          <t>UV PANEL VENATO CARRARA 1200*2700*2.5MM</t>
        </is>
      </c>
      <c r="F2012" s="10" t="inlineStr"/>
      <c r="G2012" s="10" t="inlineStr"/>
      <c r="H2012" s="10" t="inlineStr"/>
      <c r="I2012" s="11" t="n">
        <v>475</v>
      </c>
      <c r="J2012" s="6" t="n">
        <v>15</v>
      </c>
      <c r="K2012" s="7">
        <f>IF(I2012="","",I2012*(1+J2012/100))</f>
        <v/>
      </c>
      <c r="L2012" s="12" t="inlineStr"/>
      <c r="M2012" s="8">
        <f>IF(OR(L2012="",K2012="",L2012=0),"",
  (L2012-K2012)/L2012*100)</f>
        <v/>
      </c>
      <c r="N2012" s="9" t="inlineStr"/>
      <c r="O2012" s="10" t="inlineStr"/>
      <c r="P2012" s="10" t="inlineStr"/>
      <c r="Q2012" s="10" t="inlineStr"/>
      <c r="R2012" s="10" t="inlineStr">
        <is>
          <t>2026-03-12</t>
        </is>
      </c>
      <c r="S2012" s="10" t="inlineStr"/>
    </row>
    <row r="2013">
      <c r="A2013" s="3" t="inlineStr">
        <is>
          <t>F02483A</t>
        </is>
      </c>
      <c r="B2013" s="4" t="inlineStr">
        <is>
          <t>F02483A</t>
        </is>
      </c>
      <c r="C2013" s="4" t="inlineStr"/>
      <c r="D2013" s="4" t="inlineStr"/>
      <c r="E2013" s="3" t="inlineStr">
        <is>
          <t>UV PANEL VENATO CARRARA 1200*2700*2.5MM</t>
        </is>
      </c>
      <c r="F2013" s="4" t="inlineStr"/>
      <c r="G2013" s="4" t="inlineStr"/>
      <c r="H2013" s="4" t="inlineStr"/>
      <c r="I2013" s="5" t="n">
        <v>379</v>
      </c>
      <c r="J2013" s="6" t="n">
        <v>15</v>
      </c>
      <c r="K2013" s="7">
        <f>IF(I2013="","",I2013*(1+J2013/100))</f>
        <v/>
      </c>
      <c r="L2013" s="12" t="inlineStr"/>
      <c r="M2013" s="8">
        <f>IF(OR(L2013="",K2013="",L2013=0),"",
  (L2013-K2013)/L2013*100)</f>
        <v/>
      </c>
      <c r="N2013" s="14" t="n">
        <v>314</v>
      </c>
      <c r="O2013" s="4" t="inlineStr"/>
      <c r="P2013" s="4" t="inlineStr"/>
      <c r="Q2013" s="4" t="inlineStr"/>
      <c r="R2013" s="4" t="inlineStr">
        <is>
          <t>2026-03-12</t>
        </is>
      </c>
      <c r="S2013" s="4" t="inlineStr"/>
    </row>
    <row r="2014">
      <c r="A2014" s="10" t="inlineStr">
        <is>
          <t>F02483B</t>
        </is>
      </c>
      <c r="B2014" s="10" t="inlineStr">
        <is>
          <t>F02483B</t>
        </is>
      </c>
      <c r="C2014" s="10" t="inlineStr">
        <is>
          <t>22454</t>
        </is>
      </c>
      <c r="D2014" s="10" t="inlineStr"/>
      <c r="E2014" s="10" t="inlineStr">
        <is>
          <t>UV PANEL VENATO CARRARA 1200*2700*2.5MM</t>
        </is>
      </c>
      <c r="F2014" s="10" t="inlineStr"/>
      <c r="G2014" s="10" t="inlineStr"/>
      <c r="H2014" s="10" t="inlineStr"/>
      <c r="I2014" s="11" t="n">
        <v>379</v>
      </c>
      <c r="J2014" s="6" t="n">
        <v>15</v>
      </c>
      <c r="K2014" s="7">
        <f>IF(I2014="","",I2014*(1+J2014/100))</f>
        <v/>
      </c>
      <c r="L2014" s="11" t="n">
        <v>1300</v>
      </c>
      <c r="M2014" s="8">
        <f>IF(OR(L2014="",K2014="",L2014=0),"",
  (L2014-K2014)/L2014*100)</f>
        <v/>
      </c>
      <c r="N2014" s="13" t="n">
        <v>587</v>
      </c>
      <c r="O2014" s="10" t="inlineStr"/>
      <c r="P2014" s="10" t="inlineStr"/>
      <c r="Q2014" s="10" t="inlineStr"/>
      <c r="R2014" s="10" t="inlineStr">
        <is>
          <t>2026-03-12</t>
        </is>
      </c>
      <c r="S2014" s="10" t="inlineStr"/>
    </row>
    <row r="2015">
      <c r="A2015" s="3" t="inlineStr">
        <is>
          <t>F02484</t>
        </is>
      </c>
      <c r="B2015" s="4" t="inlineStr">
        <is>
          <t>F02484</t>
        </is>
      </c>
      <c r="C2015" s="4" t="inlineStr"/>
      <c r="D2015" s="4" t="inlineStr">
        <is>
          <t>6009705650262</t>
        </is>
      </c>
      <c r="E2015" s="3" t="inlineStr">
        <is>
          <t>UV PANEL MATRIX GRIS 1200*2700*2.5mm</t>
        </is>
      </c>
      <c r="F2015" s="4" t="inlineStr"/>
      <c r="G2015" s="4" t="inlineStr"/>
      <c r="H2015" s="4" t="inlineStr"/>
      <c r="I2015" s="5" t="n">
        <v>479</v>
      </c>
      <c r="J2015" s="6" t="n">
        <v>15</v>
      </c>
      <c r="K2015" s="7">
        <f>IF(I2015="","",I2015*(1+J2015/100))</f>
        <v/>
      </c>
      <c r="L2015" s="12" t="inlineStr"/>
      <c r="M2015" s="8">
        <f>IF(OR(L2015="",K2015="",L2015=0),"",
  (L2015-K2015)/L2015*100)</f>
        <v/>
      </c>
      <c r="N2015" s="9" t="inlineStr"/>
      <c r="O2015" s="4" t="inlineStr"/>
      <c r="P2015" s="4" t="inlineStr"/>
      <c r="Q2015" s="4" t="inlineStr"/>
      <c r="R2015" s="4" t="inlineStr">
        <is>
          <t>2026-03-12</t>
        </is>
      </c>
      <c r="S2015" s="4" t="inlineStr"/>
    </row>
    <row r="2016">
      <c r="A2016" s="10" t="inlineStr">
        <is>
          <t>F02484A</t>
        </is>
      </c>
      <c r="B2016" s="10" t="inlineStr">
        <is>
          <t>F02484A</t>
        </is>
      </c>
      <c r="C2016" s="10" t="inlineStr">
        <is>
          <t>22448</t>
        </is>
      </c>
      <c r="D2016" s="10" t="inlineStr"/>
      <c r="E2016" s="10" t="inlineStr">
        <is>
          <t>UV PANEL MATRIX GRIS 1200*2700*2.5MM</t>
        </is>
      </c>
      <c r="F2016" s="10" t="inlineStr"/>
      <c r="G2016" s="10" t="inlineStr"/>
      <c r="H2016" s="10" t="inlineStr"/>
      <c r="I2016" s="11" t="n">
        <v>389</v>
      </c>
      <c r="J2016" s="6" t="n">
        <v>15</v>
      </c>
      <c r="K2016" s="7">
        <f>IF(I2016="","",I2016*(1+J2016/100))</f>
        <v/>
      </c>
      <c r="L2016" s="11" t="n">
        <v>1300</v>
      </c>
      <c r="M2016" s="8">
        <f>IF(OR(L2016="",K2016="",L2016=0),"",
  (L2016-K2016)/L2016*100)</f>
        <v/>
      </c>
      <c r="N2016" s="9" t="inlineStr"/>
      <c r="O2016" s="10" t="inlineStr"/>
      <c r="P2016" s="10" t="inlineStr"/>
      <c r="Q2016" s="10" t="inlineStr"/>
      <c r="R2016" s="10" t="inlineStr">
        <is>
          <t>2026-03-12</t>
        </is>
      </c>
      <c r="S2016" s="10" t="inlineStr"/>
    </row>
    <row r="2017">
      <c r="A2017" s="3" t="inlineStr">
        <is>
          <t>F02484B</t>
        </is>
      </c>
      <c r="B2017" s="4" t="inlineStr">
        <is>
          <t>F02484B</t>
        </is>
      </c>
      <c r="C2017" s="4" t="inlineStr">
        <is>
          <t>22450</t>
        </is>
      </c>
      <c r="D2017" s="4" t="inlineStr"/>
      <c r="E2017" s="3" t="inlineStr">
        <is>
          <t>UV PANEL MATRIX GRIS 1200*2700*2.5MM</t>
        </is>
      </c>
      <c r="F2017" s="4" t="inlineStr"/>
      <c r="G2017" s="4" t="inlineStr"/>
      <c r="H2017" s="4" t="inlineStr"/>
      <c r="I2017" s="5" t="n">
        <v>389</v>
      </c>
      <c r="J2017" s="6" t="n">
        <v>15</v>
      </c>
      <c r="K2017" s="7">
        <f>IF(I2017="","",I2017*(1+J2017/100))</f>
        <v/>
      </c>
      <c r="L2017" s="5" t="n">
        <v>1300</v>
      </c>
      <c r="M2017" s="8">
        <f>IF(OR(L2017="",K2017="",L2017=0),"",
  (L2017-K2017)/L2017*100)</f>
        <v/>
      </c>
      <c r="N2017" s="9" t="inlineStr"/>
      <c r="O2017" s="4" t="inlineStr"/>
      <c r="P2017" s="4" t="inlineStr"/>
      <c r="Q2017" s="4" t="inlineStr"/>
      <c r="R2017" s="4" t="inlineStr">
        <is>
          <t>2026-03-12</t>
        </is>
      </c>
      <c r="S2017" s="4" t="inlineStr"/>
    </row>
    <row r="2018">
      <c r="A2018" s="10" t="inlineStr">
        <is>
          <t>F02485</t>
        </is>
      </c>
      <c r="B2018" s="10" t="inlineStr">
        <is>
          <t>F02485</t>
        </is>
      </c>
      <c r="C2018" s="10" t="inlineStr"/>
      <c r="D2018" s="10" t="inlineStr">
        <is>
          <t>6009705650279</t>
        </is>
      </c>
      <c r="E2018" s="10" t="inlineStr">
        <is>
          <t>UV PANEL MATRIX MAGIA1200*2700*2.5mm</t>
        </is>
      </c>
      <c r="F2018" s="10" t="inlineStr"/>
      <c r="G2018" s="10" t="inlineStr"/>
      <c r="H2018" s="10" t="inlineStr"/>
      <c r="I2018" s="11" t="n">
        <v>479</v>
      </c>
      <c r="J2018" s="6" t="n">
        <v>15</v>
      </c>
      <c r="K2018" s="7">
        <f>IF(I2018="","",I2018*(1+J2018/100))</f>
        <v/>
      </c>
      <c r="L2018" s="12" t="inlineStr"/>
      <c r="M2018" s="8">
        <f>IF(OR(L2018="",K2018="",L2018=0),"",
  (L2018-K2018)/L2018*100)</f>
        <v/>
      </c>
      <c r="N2018" s="9" t="inlineStr"/>
      <c r="O2018" s="10" t="inlineStr"/>
      <c r="P2018" s="10" t="inlineStr"/>
      <c r="Q2018" s="10" t="inlineStr"/>
      <c r="R2018" s="10" t="inlineStr">
        <is>
          <t>2026-03-12</t>
        </is>
      </c>
      <c r="S2018" s="10" t="inlineStr"/>
    </row>
    <row r="2019">
      <c r="A2019" s="3" t="inlineStr">
        <is>
          <t>F02485A</t>
        </is>
      </c>
      <c r="B2019" s="4" t="inlineStr">
        <is>
          <t>F02485A</t>
        </is>
      </c>
      <c r="C2019" s="4" t="inlineStr">
        <is>
          <t>22444</t>
        </is>
      </c>
      <c r="D2019" s="4" t="inlineStr"/>
      <c r="E2019" s="3" t="inlineStr">
        <is>
          <t>UV PANEL MATRIX MAGIA 1200*2700*2.5MM</t>
        </is>
      </c>
      <c r="F2019" s="4" t="inlineStr"/>
      <c r="G2019" s="4" t="inlineStr"/>
      <c r="H2019" s="4" t="inlineStr"/>
      <c r="I2019" s="5" t="n">
        <v>389</v>
      </c>
      <c r="J2019" s="6" t="n">
        <v>15</v>
      </c>
      <c r="K2019" s="7">
        <f>IF(I2019="","",I2019*(1+J2019/100))</f>
        <v/>
      </c>
      <c r="L2019" s="5" t="n">
        <v>1300</v>
      </c>
      <c r="M2019" s="8">
        <f>IF(OR(L2019="",K2019="",L2019=0),"",
  (L2019-K2019)/L2019*100)</f>
        <v/>
      </c>
      <c r="N2019" s="9" t="inlineStr"/>
      <c r="O2019" s="4" t="inlineStr"/>
      <c r="P2019" s="4" t="inlineStr"/>
      <c r="Q2019" s="4" t="inlineStr"/>
      <c r="R2019" s="4" t="inlineStr">
        <is>
          <t>2026-03-12</t>
        </is>
      </c>
      <c r="S2019" s="4" t="inlineStr"/>
    </row>
    <row r="2020">
      <c r="A2020" s="10" t="inlineStr">
        <is>
          <t>F02485B</t>
        </is>
      </c>
      <c r="B2020" s="10" t="inlineStr">
        <is>
          <t>F02485B</t>
        </is>
      </c>
      <c r="C2020" s="10" t="inlineStr">
        <is>
          <t>22446</t>
        </is>
      </c>
      <c r="D2020" s="10" t="inlineStr"/>
      <c r="E2020" s="10" t="inlineStr">
        <is>
          <t>UV PANEL MATRIX MAGIA 1200*2700*2.5MM</t>
        </is>
      </c>
      <c r="F2020" s="10" t="inlineStr"/>
      <c r="G2020" s="10" t="inlineStr"/>
      <c r="H2020" s="10" t="inlineStr"/>
      <c r="I2020" s="11" t="n">
        <v>389</v>
      </c>
      <c r="J2020" s="6" t="n">
        <v>15</v>
      </c>
      <c r="K2020" s="7">
        <f>IF(I2020="","",I2020*(1+J2020/100))</f>
        <v/>
      </c>
      <c r="L2020" s="11" t="n">
        <v>1300</v>
      </c>
      <c r="M2020" s="8">
        <f>IF(OR(L2020="",K2020="",L2020=0),"",
  (L2020-K2020)/L2020*100)</f>
        <v/>
      </c>
      <c r="N2020" s="9" t="inlineStr"/>
      <c r="O2020" s="10" t="inlineStr"/>
      <c r="P2020" s="10" t="inlineStr"/>
      <c r="Q2020" s="10" t="inlineStr"/>
      <c r="R2020" s="10" t="inlineStr">
        <is>
          <t>2026-03-12</t>
        </is>
      </c>
      <c r="S2020" s="10" t="inlineStr"/>
    </row>
    <row r="2021">
      <c r="A2021" s="3" t="inlineStr">
        <is>
          <t>F02486</t>
        </is>
      </c>
      <c r="B2021" s="4" t="inlineStr">
        <is>
          <t>F02486</t>
        </is>
      </c>
      <c r="C2021" s="4" t="inlineStr">
        <is>
          <t>22440</t>
        </is>
      </c>
      <c r="D2021" s="4" t="inlineStr">
        <is>
          <t>6009705650286</t>
        </is>
      </c>
      <c r="E2021" s="3" t="inlineStr">
        <is>
          <t>UV PANEL ALCORA GRIS 1200*2700*2.5mm</t>
        </is>
      </c>
      <c r="F2021" s="4" t="inlineStr"/>
      <c r="G2021" s="4" t="inlineStr"/>
      <c r="H2021" s="4" t="inlineStr"/>
      <c r="I2021" s="5" t="n">
        <v>479</v>
      </c>
      <c r="J2021" s="6" t="n">
        <v>15</v>
      </c>
      <c r="K2021" s="7">
        <f>IF(I2021="","",I2021*(1+J2021/100))</f>
        <v/>
      </c>
      <c r="L2021" s="5" t="n">
        <v>1300</v>
      </c>
      <c r="M2021" s="8">
        <f>IF(OR(L2021="",K2021="",L2021=0),"",
  (L2021-K2021)/L2021*100)</f>
        <v/>
      </c>
      <c r="N2021" s="9" t="inlineStr"/>
      <c r="O2021" s="4" t="inlineStr"/>
      <c r="P2021" s="4" t="inlineStr"/>
      <c r="Q2021" s="4" t="inlineStr"/>
      <c r="R2021" s="4" t="inlineStr">
        <is>
          <t>2026-03-12</t>
        </is>
      </c>
      <c r="S2021" s="4" t="inlineStr"/>
    </row>
    <row r="2022">
      <c r="A2022" s="10" t="inlineStr">
        <is>
          <t>F02486A</t>
        </is>
      </c>
      <c r="B2022" s="10" t="inlineStr">
        <is>
          <t>F02486A</t>
        </is>
      </c>
      <c r="C2022" s="10" t="inlineStr">
        <is>
          <t>22439</t>
        </is>
      </c>
      <c r="D2022" s="10" t="inlineStr"/>
      <c r="E2022" s="10" t="inlineStr">
        <is>
          <t>UV PANEL ALCORA GRIS 1200*2700*2.5MM</t>
        </is>
      </c>
      <c r="F2022" s="10" t="inlineStr"/>
      <c r="G2022" s="10" t="inlineStr"/>
      <c r="H2022" s="10" t="inlineStr"/>
      <c r="I2022" s="11" t="n">
        <v>379</v>
      </c>
      <c r="J2022" s="6" t="n">
        <v>15</v>
      </c>
      <c r="K2022" s="7">
        <f>IF(I2022="","",I2022*(1+J2022/100))</f>
        <v/>
      </c>
      <c r="L2022" s="11" t="n">
        <v>1300</v>
      </c>
      <c r="M2022" s="8">
        <f>IF(OR(L2022="",K2022="",L2022=0),"",
  (L2022-K2022)/L2022*100)</f>
        <v/>
      </c>
      <c r="N2022" s="13" t="n">
        <v>71</v>
      </c>
      <c r="O2022" s="10" t="inlineStr"/>
      <c r="P2022" s="10" t="inlineStr"/>
      <c r="Q2022" s="10" t="inlineStr"/>
      <c r="R2022" s="10" t="inlineStr">
        <is>
          <t>2026-03-12</t>
        </is>
      </c>
      <c r="S2022" s="10" t="inlineStr"/>
    </row>
    <row r="2023">
      <c r="A2023" s="3" t="inlineStr">
        <is>
          <t>F02486B</t>
        </is>
      </c>
      <c r="B2023" s="4" t="inlineStr">
        <is>
          <t>F02486B</t>
        </is>
      </c>
      <c r="C2023" s="4" t="inlineStr"/>
      <c r="D2023" s="4" t="inlineStr"/>
      <c r="E2023" s="3" t="inlineStr">
        <is>
          <t>UV PANEL ALCORA GRIS 1200*2700*2.5MM</t>
        </is>
      </c>
      <c r="F2023" s="4" t="inlineStr"/>
      <c r="G2023" s="4" t="inlineStr"/>
      <c r="H2023" s="4" t="inlineStr"/>
      <c r="I2023" s="5" t="n">
        <v>379</v>
      </c>
      <c r="J2023" s="6" t="n">
        <v>15</v>
      </c>
      <c r="K2023" s="7">
        <f>IF(I2023="","",I2023*(1+J2023/100))</f>
        <v/>
      </c>
      <c r="L2023" s="12" t="inlineStr"/>
      <c r="M2023" s="8">
        <f>IF(OR(L2023="",K2023="",L2023=0),"",
  (L2023-K2023)/L2023*100)</f>
        <v/>
      </c>
      <c r="N2023" s="14" t="n">
        <v>267</v>
      </c>
      <c r="O2023" s="4" t="inlineStr"/>
      <c r="P2023" s="4" t="inlineStr"/>
      <c r="Q2023" s="4" t="inlineStr"/>
      <c r="R2023" s="4" t="inlineStr">
        <is>
          <t>2026-03-12</t>
        </is>
      </c>
      <c r="S2023" s="4" t="inlineStr"/>
    </row>
    <row r="2024">
      <c r="A2024" s="10" t="inlineStr">
        <is>
          <t>F02487</t>
        </is>
      </c>
      <c r="B2024" s="10" t="inlineStr">
        <is>
          <t>F02487</t>
        </is>
      </c>
      <c r="C2024" s="10" t="inlineStr"/>
      <c r="D2024" s="10" t="inlineStr">
        <is>
          <t>6009705650293</t>
        </is>
      </c>
      <c r="E2024" s="10" t="inlineStr">
        <is>
          <t>UV PANEL ROMANO GREY 1200*2700*2.5mm</t>
        </is>
      </c>
      <c r="F2024" s="10" t="inlineStr"/>
      <c r="G2024" s="10" t="inlineStr"/>
      <c r="H2024" s="10" t="inlineStr"/>
      <c r="I2024" s="11" t="n">
        <v>479</v>
      </c>
      <c r="J2024" s="6" t="n">
        <v>15</v>
      </c>
      <c r="K2024" s="7">
        <f>IF(I2024="","",I2024*(1+J2024/100))</f>
        <v/>
      </c>
      <c r="L2024" s="12" t="inlineStr"/>
      <c r="M2024" s="8">
        <f>IF(OR(L2024="",K2024="",L2024=0),"",
  (L2024-K2024)/L2024*100)</f>
        <v/>
      </c>
      <c r="N2024" s="9" t="inlineStr"/>
      <c r="O2024" s="10" t="inlineStr"/>
      <c r="P2024" s="10" t="inlineStr"/>
      <c r="Q2024" s="10" t="inlineStr"/>
      <c r="R2024" s="10" t="inlineStr">
        <is>
          <t>2026-03-12</t>
        </is>
      </c>
      <c r="S2024" s="10" t="inlineStr"/>
    </row>
    <row r="2025">
      <c r="A2025" s="3" t="inlineStr">
        <is>
          <t>F02487A</t>
        </is>
      </c>
      <c r="B2025" s="4" t="inlineStr">
        <is>
          <t>F02487A</t>
        </is>
      </c>
      <c r="C2025" s="4" t="inlineStr">
        <is>
          <t>22452</t>
        </is>
      </c>
      <c r="D2025" s="4" t="inlineStr"/>
      <c r="E2025" s="3" t="inlineStr">
        <is>
          <t>UV PANEL ROMANO GREY 1200*2700*2.5MM</t>
        </is>
      </c>
      <c r="F2025" s="4" t="inlineStr"/>
      <c r="G2025" s="4" t="inlineStr"/>
      <c r="H2025" s="4" t="inlineStr"/>
      <c r="I2025" s="5" t="n">
        <v>379</v>
      </c>
      <c r="J2025" s="6" t="n">
        <v>15</v>
      </c>
      <c r="K2025" s="7">
        <f>IF(I2025="","",I2025*(1+J2025/100))</f>
        <v/>
      </c>
      <c r="L2025" s="5" t="n">
        <v>1300</v>
      </c>
      <c r="M2025" s="8">
        <f>IF(OR(L2025="",K2025="",L2025=0),"",
  (L2025-K2025)/L2025*100)</f>
        <v/>
      </c>
      <c r="N2025" s="14" t="n">
        <v>103</v>
      </c>
      <c r="O2025" s="4" t="inlineStr"/>
      <c r="P2025" s="4" t="inlineStr"/>
      <c r="Q2025" s="4" t="inlineStr"/>
      <c r="R2025" s="4" t="inlineStr">
        <is>
          <t>2026-03-12</t>
        </is>
      </c>
      <c r="S2025" s="4" t="inlineStr"/>
    </row>
    <row r="2026">
      <c r="A2026" s="10" t="inlineStr">
        <is>
          <t>F02487B</t>
        </is>
      </c>
      <c r="B2026" s="10" t="inlineStr">
        <is>
          <t>F02487B</t>
        </is>
      </c>
      <c r="C2026" s="10" t="inlineStr"/>
      <c r="D2026" s="10" t="inlineStr"/>
      <c r="E2026" s="10" t="inlineStr">
        <is>
          <t>UV PANEL ROMANO GREY 1200*2700*2.5MM</t>
        </is>
      </c>
      <c r="F2026" s="10" t="inlineStr"/>
      <c r="G2026" s="10" t="inlineStr"/>
      <c r="H2026" s="10" t="inlineStr"/>
      <c r="I2026" s="11" t="n">
        <v>379</v>
      </c>
      <c r="J2026" s="6" t="n">
        <v>15</v>
      </c>
      <c r="K2026" s="7">
        <f>IF(I2026="","",I2026*(1+J2026/100))</f>
        <v/>
      </c>
      <c r="L2026" s="12" t="inlineStr"/>
      <c r="M2026" s="8">
        <f>IF(OR(L2026="",K2026="",L2026=0),"",
  (L2026-K2026)/L2026*100)</f>
        <v/>
      </c>
      <c r="N2026" s="13" t="n">
        <v>23</v>
      </c>
      <c r="O2026" s="10" t="inlineStr"/>
      <c r="P2026" s="10" t="inlineStr"/>
      <c r="Q2026" s="10" t="inlineStr"/>
      <c r="R2026" s="10" t="inlineStr">
        <is>
          <t>2026-03-12</t>
        </is>
      </c>
      <c r="S2026" s="10" t="inlineStr"/>
    </row>
    <row r="2027">
      <c r="A2027" s="3" t="inlineStr">
        <is>
          <t>F02488</t>
        </is>
      </c>
      <c r="B2027" s="4" t="inlineStr">
        <is>
          <t>F02488</t>
        </is>
      </c>
      <c r="C2027" s="4" t="inlineStr"/>
      <c r="D2027" s="4" t="inlineStr">
        <is>
          <t>6009705650309</t>
        </is>
      </c>
      <c r="E2027" s="3" t="inlineStr">
        <is>
          <t>UV PANEL MATRIX MARFIL1200*2700*2.5mm</t>
        </is>
      </c>
      <c r="F2027" s="4" t="inlineStr"/>
      <c r="G2027" s="4" t="inlineStr"/>
      <c r="H2027" s="4" t="inlineStr"/>
      <c r="I2027" s="5" t="n">
        <v>479</v>
      </c>
      <c r="J2027" s="6" t="n">
        <v>15</v>
      </c>
      <c r="K2027" s="7">
        <f>IF(I2027="","",I2027*(1+J2027/100))</f>
        <v/>
      </c>
      <c r="L2027" s="12" t="inlineStr"/>
      <c r="M2027" s="8">
        <f>IF(OR(L2027="",K2027="",L2027=0),"",
  (L2027-K2027)/L2027*100)</f>
        <v/>
      </c>
      <c r="N2027" s="9" t="inlineStr"/>
      <c r="O2027" s="4" t="inlineStr"/>
      <c r="P2027" s="4" t="inlineStr"/>
      <c r="Q2027" s="4" t="inlineStr"/>
      <c r="R2027" s="4" t="inlineStr">
        <is>
          <t>2026-03-12</t>
        </is>
      </c>
      <c r="S2027" s="4" t="inlineStr"/>
    </row>
    <row r="2028">
      <c r="A2028" s="10" t="inlineStr">
        <is>
          <t>F02488A</t>
        </is>
      </c>
      <c r="B2028" s="10" t="inlineStr">
        <is>
          <t>F02488A</t>
        </is>
      </c>
      <c r="C2028" s="10" t="inlineStr"/>
      <c r="D2028" s="10" t="inlineStr"/>
      <c r="E2028" s="10" t="inlineStr">
        <is>
          <t>UV PANEL MATRIX MARFIL 1200*2700*2.5MM</t>
        </is>
      </c>
      <c r="F2028" s="10" t="inlineStr"/>
      <c r="G2028" s="10" t="inlineStr"/>
      <c r="H2028" s="10" t="inlineStr"/>
      <c r="I2028" s="11" t="n">
        <v>469</v>
      </c>
      <c r="J2028" s="6" t="n">
        <v>15</v>
      </c>
      <c r="K2028" s="7">
        <f>IF(I2028="","",I2028*(1+J2028/100))</f>
        <v/>
      </c>
      <c r="L2028" s="12" t="inlineStr"/>
      <c r="M2028" s="8">
        <f>IF(OR(L2028="",K2028="",L2028=0),"",
  (L2028-K2028)/L2028*100)</f>
        <v/>
      </c>
      <c r="N2028" s="9" t="inlineStr"/>
      <c r="O2028" s="10" t="inlineStr"/>
      <c r="P2028" s="10" t="inlineStr"/>
      <c r="Q2028" s="10" t="inlineStr"/>
      <c r="R2028" s="10" t="inlineStr">
        <is>
          <t>2026-03-12</t>
        </is>
      </c>
      <c r="S2028" s="10" t="inlineStr"/>
    </row>
    <row r="2029">
      <c r="A2029" s="3" t="inlineStr">
        <is>
          <t>F02488B</t>
        </is>
      </c>
      <c r="B2029" s="4" t="inlineStr">
        <is>
          <t>F02488B</t>
        </is>
      </c>
      <c r="C2029" s="4" t="inlineStr"/>
      <c r="D2029" s="4" t="inlineStr"/>
      <c r="E2029" s="3" t="inlineStr">
        <is>
          <t>UV PANEL MATRIX MARFIL 1200*2700*2.5MM</t>
        </is>
      </c>
      <c r="F2029" s="4" t="inlineStr"/>
      <c r="G2029" s="4" t="inlineStr"/>
      <c r="H2029" s="4" t="inlineStr"/>
      <c r="I2029" s="5" t="n">
        <v>469</v>
      </c>
      <c r="J2029" s="6" t="n">
        <v>15</v>
      </c>
      <c r="K2029" s="7">
        <f>IF(I2029="","",I2029*(1+J2029/100))</f>
        <v/>
      </c>
      <c r="L2029" s="12" t="inlineStr"/>
      <c r="M2029" s="8">
        <f>IF(OR(L2029="",K2029="",L2029=0),"",
  (L2029-K2029)/L2029*100)</f>
        <v/>
      </c>
      <c r="N2029" s="9" t="inlineStr"/>
      <c r="O2029" s="4" t="inlineStr"/>
      <c r="P2029" s="4" t="inlineStr"/>
      <c r="Q2029" s="4" t="inlineStr"/>
      <c r="R2029" s="4" t="inlineStr">
        <is>
          <t>2026-03-12</t>
        </is>
      </c>
      <c r="S2029" s="4" t="inlineStr"/>
    </row>
    <row r="2030">
      <c r="A2030" s="10" t="inlineStr">
        <is>
          <t>F02489</t>
        </is>
      </c>
      <c r="B2030" s="10" t="inlineStr">
        <is>
          <t>F02489</t>
        </is>
      </c>
      <c r="C2030" s="10" t="inlineStr">
        <is>
          <t>19548</t>
        </is>
      </c>
      <c r="D2030" s="10" t="inlineStr">
        <is>
          <t>6009705650316</t>
        </is>
      </c>
      <c r="E2030" s="10" t="inlineStr">
        <is>
          <t>UV PANEL CITY GREY 1200*2700*2.5MM</t>
        </is>
      </c>
      <c r="F2030" s="10" t="inlineStr"/>
      <c r="G2030" s="10" t="inlineStr"/>
      <c r="H2030" s="10" t="inlineStr"/>
      <c r="I2030" s="11" t="n">
        <v>379</v>
      </c>
      <c r="J2030" s="6" t="n">
        <v>15</v>
      </c>
      <c r="K2030" s="7">
        <f>IF(I2030="","",I2030*(1+J2030/100))</f>
        <v/>
      </c>
      <c r="L2030" s="11" t="n">
        <v>1300</v>
      </c>
      <c r="M2030" s="8">
        <f>IF(OR(L2030="",K2030="",L2030=0),"",
  (L2030-K2030)/L2030*100)</f>
        <v/>
      </c>
      <c r="N2030" s="13" t="n">
        <v>312</v>
      </c>
      <c r="O2030" s="10" t="inlineStr"/>
      <c r="P2030" s="10" t="inlineStr"/>
      <c r="Q2030" s="10" t="inlineStr"/>
      <c r="R2030" s="10" t="inlineStr">
        <is>
          <t>2026-03-12</t>
        </is>
      </c>
      <c r="S2030" s="10" t="inlineStr"/>
    </row>
    <row r="2031">
      <c r="A2031" s="3" t="inlineStr">
        <is>
          <t>F02490</t>
        </is>
      </c>
      <c r="B2031" s="4" t="inlineStr">
        <is>
          <t>F02490</t>
        </is>
      </c>
      <c r="C2031" s="4" t="inlineStr"/>
      <c r="D2031" s="4" t="inlineStr">
        <is>
          <t>6009705650323</t>
        </is>
      </c>
      <c r="E2031" s="3" t="inlineStr">
        <is>
          <t>UV PANEL MAJESTIC NERO1200*2700*2.5mm</t>
        </is>
      </c>
      <c r="F2031" s="4" t="inlineStr"/>
      <c r="G2031" s="4" t="inlineStr"/>
      <c r="H2031" s="4" t="inlineStr"/>
      <c r="I2031" s="5" t="n">
        <v>379</v>
      </c>
      <c r="J2031" s="6" t="n">
        <v>15</v>
      </c>
      <c r="K2031" s="7">
        <f>IF(I2031="","",I2031*(1+J2031/100))</f>
        <v/>
      </c>
      <c r="L2031" s="12" t="inlineStr"/>
      <c r="M2031" s="8">
        <f>IF(OR(L2031="",K2031="",L2031=0),"",
  (L2031-K2031)/L2031*100)</f>
        <v/>
      </c>
      <c r="N2031" s="14" t="n">
        <v>194</v>
      </c>
      <c r="O2031" s="4" t="inlineStr"/>
      <c r="P2031" s="4" t="inlineStr"/>
      <c r="Q2031" s="4" t="inlineStr"/>
      <c r="R2031" s="4" t="inlineStr">
        <is>
          <t>2026-03-12</t>
        </is>
      </c>
      <c r="S2031" s="4" t="inlineStr"/>
    </row>
    <row r="2032">
      <c r="A2032" s="10" t="inlineStr">
        <is>
          <t>F02491</t>
        </is>
      </c>
      <c r="B2032" s="10" t="inlineStr">
        <is>
          <t>F02491</t>
        </is>
      </c>
      <c r="C2032" s="10" t="inlineStr"/>
      <c r="D2032" s="10" t="inlineStr"/>
      <c r="E2032" s="10" t="inlineStr">
        <is>
          <t>HEATER FAN HEATER</t>
        </is>
      </c>
      <c r="F2032" s="10" t="inlineStr"/>
      <c r="G2032" s="10" t="inlineStr"/>
      <c r="H2032" s="10" t="inlineStr"/>
      <c r="I2032" s="11" t="n">
        <v>149</v>
      </c>
      <c r="J2032" s="6" t="n">
        <v>15</v>
      </c>
      <c r="K2032" s="7">
        <f>IF(I2032="","",I2032*(1+J2032/100))</f>
        <v/>
      </c>
      <c r="L2032" s="12" t="inlineStr"/>
      <c r="M2032" s="8">
        <f>IF(OR(L2032="",K2032="",L2032=0),"",
  (L2032-K2032)/L2032*100)</f>
        <v/>
      </c>
      <c r="N2032" s="9" t="inlineStr"/>
      <c r="O2032" s="10" t="inlineStr"/>
      <c r="P2032" s="10" t="inlineStr"/>
      <c r="Q2032" s="10" t="inlineStr"/>
      <c r="R2032" s="10" t="inlineStr">
        <is>
          <t>2026-03-12</t>
        </is>
      </c>
      <c r="S2032" s="10" t="inlineStr"/>
    </row>
    <row r="2033">
      <c r="A2033" s="3" t="inlineStr">
        <is>
          <t>F02492</t>
        </is>
      </c>
      <c r="B2033" s="4" t="inlineStr">
        <is>
          <t>F02492</t>
        </is>
      </c>
      <c r="C2033" s="4" t="inlineStr"/>
      <c r="D2033" s="4" t="inlineStr">
        <is>
          <t>6009705650354</t>
        </is>
      </c>
      <c r="E2033" s="3" t="inlineStr">
        <is>
          <t>CONTAINER SET 5PC LRG NJOY -BG</t>
        </is>
      </c>
      <c r="F2033" s="4" t="inlineStr"/>
      <c r="G2033" s="4" t="inlineStr"/>
      <c r="H2033" s="4" t="inlineStr"/>
      <c r="I2033" s="5" t="n">
        <v>34.5</v>
      </c>
      <c r="J2033" s="6" t="n">
        <v>15</v>
      </c>
      <c r="K2033" s="7">
        <f>IF(I2033="","",I2033*(1+J2033/100))</f>
        <v/>
      </c>
      <c r="L2033" s="12" t="inlineStr"/>
      <c r="M2033" s="8">
        <f>IF(OR(L2033="",K2033="",L2033=0),"",
  (L2033-K2033)/L2033*100)</f>
        <v/>
      </c>
      <c r="N2033" s="9" t="inlineStr"/>
      <c r="O2033" s="4" t="inlineStr"/>
      <c r="P2033" s="4" t="inlineStr"/>
      <c r="Q2033" s="4" t="inlineStr"/>
      <c r="R2033" s="4" t="inlineStr">
        <is>
          <t>2026-03-12</t>
        </is>
      </c>
      <c r="S2033" s="4" t="inlineStr"/>
    </row>
    <row r="2034">
      <c r="A2034" s="10" t="inlineStr">
        <is>
          <t>F02493</t>
        </is>
      </c>
      <c r="B2034" s="10" t="inlineStr">
        <is>
          <t>F02493</t>
        </is>
      </c>
      <c r="C2034" s="10" t="inlineStr">
        <is>
          <t>12660</t>
        </is>
      </c>
      <c r="D2034" s="10" t="inlineStr"/>
      <c r="E2034" s="10" t="inlineStr">
        <is>
          <t>BARRIER NETTING -ORANGE 1X50MTR</t>
        </is>
      </c>
      <c r="F2034" s="10" t="inlineStr"/>
      <c r="G2034" s="10" t="inlineStr"/>
      <c r="H2034" s="10" t="inlineStr"/>
      <c r="I2034" s="11" t="n">
        <v>305</v>
      </c>
      <c r="J2034" s="6" t="n">
        <v>15</v>
      </c>
      <c r="K2034" s="7">
        <f>IF(I2034="","",I2034*(1+J2034/100))</f>
        <v/>
      </c>
      <c r="L2034" s="11" t="n">
        <v>550</v>
      </c>
      <c r="M2034" s="8">
        <f>IF(OR(L2034="",K2034="",L2034=0),"",
  (L2034-K2034)/L2034*100)</f>
        <v/>
      </c>
      <c r="N2034" s="13" t="n">
        <v>13</v>
      </c>
      <c r="O2034" s="10" t="inlineStr"/>
      <c r="P2034" s="10" t="inlineStr"/>
      <c r="Q2034" s="10" t="inlineStr"/>
      <c r="R2034" s="10" t="inlineStr">
        <is>
          <t>2026-03-12</t>
        </is>
      </c>
      <c r="S2034" s="10" t="inlineStr"/>
    </row>
    <row r="2035">
      <c r="A2035" s="3" t="inlineStr">
        <is>
          <t>F02494</t>
        </is>
      </c>
      <c r="B2035" s="4" t="inlineStr">
        <is>
          <t>F02494</t>
        </is>
      </c>
      <c r="C2035" s="4" t="inlineStr">
        <is>
          <t>12661</t>
        </is>
      </c>
      <c r="D2035" s="4" t="inlineStr"/>
      <c r="E2035" s="3" t="inlineStr">
        <is>
          <t>BARRIER NET SAFETY ORANGE/YELLOW 1X50MT</t>
        </is>
      </c>
      <c r="F2035" s="4" t="inlineStr"/>
      <c r="G2035" s="4" t="inlineStr"/>
      <c r="H2035" s="4" t="inlineStr"/>
      <c r="I2035" s="5" t="n">
        <v>285</v>
      </c>
      <c r="J2035" s="6" t="n">
        <v>15</v>
      </c>
      <c r="K2035" s="7">
        <f>IF(I2035="","",I2035*(1+J2035/100))</f>
        <v/>
      </c>
      <c r="L2035" s="5" t="n">
        <v>499</v>
      </c>
      <c r="M2035" s="8">
        <f>IF(OR(L2035="",K2035="",L2035=0),"",
  (L2035-K2035)/L2035*100)</f>
        <v/>
      </c>
      <c r="N2035" s="14" t="n">
        <v>7</v>
      </c>
      <c r="O2035" s="4" t="inlineStr"/>
      <c r="P2035" s="4" t="inlineStr"/>
      <c r="Q2035" s="4" t="inlineStr"/>
      <c r="R2035" s="4" t="inlineStr">
        <is>
          <t>2026-03-12</t>
        </is>
      </c>
      <c r="S2035" s="4" t="inlineStr"/>
    </row>
    <row r="2036">
      <c r="A2036" s="10" t="inlineStr">
        <is>
          <t>F02495</t>
        </is>
      </c>
      <c r="B2036" s="10" t="inlineStr">
        <is>
          <t>F02495</t>
        </is>
      </c>
      <c r="C2036" s="10" t="inlineStr"/>
      <c r="D2036" s="10" t="inlineStr"/>
      <c r="E2036" s="10" t="inlineStr">
        <is>
          <t>TAPE DANGER BARRIER 75MMX100MT RED/WHT</t>
        </is>
      </c>
      <c r="F2036" s="10" t="inlineStr"/>
      <c r="G2036" s="10" t="inlineStr"/>
      <c r="H2036" s="10" t="inlineStr"/>
      <c r="I2036" s="11" t="n">
        <v>19.5</v>
      </c>
      <c r="J2036" s="6" t="n">
        <v>15</v>
      </c>
      <c r="K2036" s="7">
        <f>IF(I2036="","",I2036*(1+J2036/100))</f>
        <v/>
      </c>
      <c r="L2036" s="12" t="inlineStr"/>
      <c r="M2036" s="8">
        <f>IF(OR(L2036="",K2036="",L2036=0),"",
  (L2036-K2036)/L2036*100)</f>
        <v/>
      </c>
      <c r="N2036" s="13" t="n">
        <v>5</v>
      </c>
      <c r="O2036" s="10" t="inlineStr"/>
      <c r="P2036" s="10" t="inlineStr"/>
      <c r="Q2036" s="10" t="inlineStr"/>
      <c r="R2036" s="10" t="inlineStr">
        <is>
          <t>2026-03-12</t>
        </is>
      </c>
      <c r="S2036" s="10" t="inlineStr"/>
    </row>
    <row r="2037">
      <c r="A2037" s="3" t="inlineStr">
        <is>
          <t>F02496</t>
        </is>
      </c>
      <c r="B2037" s="4" t="inlineStr">
        <is>
          <t>F02496</t>
        </is>
      </c>
      <c r="C2037" s="4" t="inlineStr"/>
      <c r="D2037" s="4" t="inlineStr"/>
      <c r="E2037" s="3" t="inlineStr">
        <is>
          <t>TAPE DANGER BARRIER  75MMX500MT RED/WHT</t>
        </is>
      </c>
      <c r="F2037" s="4" t="inlineStr"/>
      <c r="G2037" s="4" t="inlineStr"/>
      <c r="H2037" s="4" t="inlineStr"/>
      <c r="I2037" s="5" t="n">
        <v>89.95</v>
      </c>
      <c r="J2037" s="6" t="n">
        <v>15</v>
      </c>
      <c r="K2037" s="7">
        <f>IF(I2037="","",I2037*(1+J2037/100))</f>
        <v/>
      </c>
      <c r="L2037" s="12" t="inlineStr"/>
      <c r="M2037" s="8">
        <f>IF(OR(L2037="",K2037="",L2037=0),"",
  (L2037-K2037)/L2037*100)</f>
        <v/>
      </c>
      <c r="N2037" s="14" t="n">
        <v>10</v>
      </c>
      <c r="O2037" s="4" t="inlineStr"/>
      <c r="P2037" s="4" t="inlineStr"/>
      <c r="Q2037" s="4" t="inlineStr"/>
      <c r="R2037" s="4" t="inlineStr">
        <is>
          <t>2026-03-12</t>
        </is>
      </c>
      <c r="S2037" s="4" t="inlineStr"/>
    </row>
    <row r="2038">
      <c r="A2038" s="10" t="inlineStr">
        <is>
          <t>F02497</t>
        </is>
      </c>
      <c r="B2038" s="10" t="inlineStr">
        <is>
          <t>F02497</t>
        </is>
      </c>
      <c r="C2038" s="10" t="inlineStr">
        <is>
          <t>32010</t>
        </is>
      </c>
      <c r="D2038" s="10" t="inlineStr"/>
      <c r="E2038" s="10" t="inlineStr">
        <is>
          <t>WATERPROOFING MEMBRANE 200MMX8M</t>
        </is>
      </c>
      <c r="F2038" s="10" t="inlineStr"/>
      <c r="G2038" s="10" t="inlineStr"/>
      <c r="H2038" s="10" t="inlineStr"/>
      <c r="I2038" s="11" t="n">
        <v>17.5</v>
      </c>
      <c r="J2038" s="6" t="n">
        <v>15</v>
      </c>
      <c r="K2038" s="7">
        <f>IF(I2038="","",I2038*(1+J2038/100))</f>
        <v/>
      </c>
      <c r="L2038" s="11" t="n">
        <v>35.99</v>
      </c>
      <c r="M2038" s="8">
        <f>IF(OR(L2038="",K2038="",L2038=0),"",
  (L2038-K2038)/L2038*100)</f>
        <v/>
      </c>
      <c r="N2038" s="9" t="inlineStr"/>
      <c r="O2038" s="10" t="inlineStr"/>
      <c r="P2038" s="10" t="inlineStr"/>
      <c r="Q2038" s="10" t="inlineStr"/>
      <c r="R2038" s="10" t="inlineStr">
        <is>
          <t>2026-03-12</t>
        </is>
      </c>
      <c r="S2038" s="10" t="inlineStr"/>
    </row>
    <row r="2039">
      <c r="A2039" s="3" t="inlineStr">
        <is>
          <t>F02498</t>
        </is>
      </c>
      <c r="B2039" s="4" t="inlineStr">
        <is>
          <t>F02498</t>
        </is>
      </c>
      <c r="C2039" s="4" t="inlineStr"/>
      <c r="D2039" s="4" t="inlineStr">
        <is>
          <t>6009705650187</t>
        </is>
      </c>
      <c r="E2039" s="3" t="inlineStr">
        <is>
          <t>BROOM STICK, ITALIAN THREAD</t>
        </is>
      </c>
      <c r="F2039" s="4" t="inlineStr"/>
      <c r="G2039" s="4" t="inlineStr"/>
      <c r="H2039" s="4" t="inlineStr"/>
      <c r="I2039" s="5" t="n">
        <v>3.95</v>
      </c>
      <c r="J2039" s="6" t="n">
        <v>15</v>
      </c>
      <c r="K2039" s="7">
        <f>IF(I2039="","",I2039*(1+J2039/100))</f>
        <v/>
      </c>
      <c r="L2039" s="12" t="inlineStr"/>
      <c r="M2039" s="8">
        <f>IF(OR(L2039="",K2039="",L2039=0),"",
  (L2039-K2039)/L2039*100)</f>
        <v/>
      </c>
      <c r="N2039" s="9" t="inlineStr"/>
      <c r="O2039" s="4" t="inlineStr"/>
      <c r="P2039" s="4" t="inlineStr"/>
      <c r="Q2039" s="4" t="inlineStr"/>
      <c r="R2039" s="4" t="inlineStr">
        <is>
          <t>2026-03-12</t>
        </is>
      </c>
      <c r="S2039" s="4" t="inlineStr"/>
    </row>
    <row r="2040">
      <c r="A2040" s="10" t="inlineStr">
        <is>
          <t>F02499</t>
        </is>
      </c>
      <c r="B2040" s="10" t="inlineStr">
        <is>
          <t>F02499</t>
        </is>
      </c>
      <c r="C2040" s="10" t="inlineStr"/>
      <c r="D2040" s="10" t="inlineStr">
        <is>
          <t>6009697452660</t>
        </is>
      </c>
      <c r="E2040" s="10" t="inlineStr">
        <is>
          <t>BROOM HEAD WHISK  FANCY -215G</t>
        </is>
      </c>
      <c r="F2040" s="10" t="inlineStr"/>
      <c r="G2040" s="10" t="inlineStr"/>
      <c r="H2040" s="10" t="inlineStr"/>
      <c r="I2040" s="11" t="n">
        <v>0.12</v>
      </c>
      <c r="J2040" s="6" t="n">
        <v>15</v>
      </c>
      <c r="K2040" s="7">
        <f>IF(I2040="","",I2040*(1+J2040/100))</f>
        <v/>
      </c>
      <c r="L2040" s="12" t="inlineStr"/>
      <c r="M2040" s="8">
        <f>IF(OR(L2040="",K2040="",L2040=0),"",
  (L2040-K2040)/L2040*100)</f>
        <v/>
      </c>
      <c r="N2040" s="9" t="inlineStr"/>
      <c r="O2040" s="10" t="inlineStr"/>
      <c r="P2040" s="10" t="inlineStr"/>
      <c r="Q2040" s="10" t="inlineStr"/>
      <c r="R2040" s="10" t="inlineStr">
        <is>
          <t>2026-03-12</t>
        </is>
      </c>
      <c r="S2040" s="10" t="inlineStr"/>
    </row>
    <row r="2041">
      <c r="A2041" s="3" t="inlineStr">
        <is>
          <t>F02500</t>
        </is>
      </c>
      <c r="B2041" s="4" t="inlineStr">
        <is>
          <t>F02500</t>
        </is>
      </c>
      <c r="C2041" s="4" t="inlineStr"/>
      <c r="D2041" s="4" t="inlineStr">
        <is>
          <t>6009697452707</t>
        </is>
      </c>
      <c r="E2041" s="3" t="inlineStr">
        <is>
          <t>BROOM HEAD WHISK PLSTC 2 COLOR(IMP)</t>
        </is>
      </c>
      <c r="F2041" s="4" t="inlineStr"/>
      <c r="G2041" s="4" t="inlineStr"/>
      <c r="H2041" s="4" t="inlineStr"/>
      <c r="I2041" s="5" t="n">
        <v>12.95</v>
      </c>
      <c r="J2041" s="6" t="n">
        <v>15</v>
      </c>
      <c r="K2041" s="7">
        <f>IF(I2041="","",I2041*(1+J2041/100))</f>
        <v/>
      </c>
      <c r="L2041" s="12" t="inlineStr"/>
      <c r="M2041" s="8">
        <f>IF(OR(L2041="",K2041="",L2041=0),"",
  (L2041-K2041)/L2041*100)</f>
        <v/>
      </c>
      <c r="N2041" s="9" t="inlineStr"/>
      <c r="O2041" s="4" t="inlineStr"/>
      <c r="P2041" s="4" t="inlineStr"/>
      <c r="Q2041" s="4" t="inlineStr"/>
      <c r="R2041" s="4" t="inlineStr">
        <is>
          <t>2026-03-12</t>
        </is>
      </c>
      <c r="S2041" s="4" t="inlineStr"/>
    </row>
    <row r="2042">
      <c r="A2042" s="10" t="inlineStr">
        <is>
          <t>F02501</t>
        </is>
      </c>
      <c r="B2042" s="10" t="inlineStr">
        <is>
          <t>F02501</t>
        </is>
      </c>
      <c r="C2042" s="10" t="inlineStr"/>
      <c r="D2042" s="10" t="inlineStr"/>
      <c r="E2042" s="10" t="inlineStr">
        <is>
          <t>ENERGY SAVERS MIX PIN TYPE -CP</t>
        </is>
      </c>
      <c r="F2042" s="10" t="inlineStr"/>
      <c r="G2042" s="10" t="inlineStr"/>
      <c r="H2042" s="10" t="inlineStr"/>
      <c r="I2042" s="11" t="n">
        <v>16.95</v>
      </c>
      <c r="J2042" s="6" t="n">
        <v>15</v>
      </c>
      <c r="K2042" s="7">
        <f>IF(I2042="","",I2042*(1+J2042/100))</f>
        <v/>
      </c>
      <c r="L2042" s="12" t="inlineStr"/>
      <c r="M2042" s="8">
        <f>IF(OR(L2042="",K2042="",L2042=0),"",
  (L2042-K2042)/L2042*100)</f>
        <v/>
      </c>
      <c r="N2042" s="9" t="inlineStr"/>
      <c r="O2042" s="10" t="inlineStr"/>
      <c r="P2042" s="10" t="inlineStr"/>
      <c r="Q2042" s="10" t="inlineStr"/>
      <c r="R2042" s="10" t="inlineStr">
        <is>
          <t>2026-03-12</t>
        </is>
      </c>
      <c r="S2042" s="10" t="inlineStr"/>
    </row>
    <row r="2043">
      <c r="A2043" s="3" t="inlineStr">
        <is>
          <t>F02502</t>
        </is>
      </c>
      <c r="B2043" s="4" t="inlineStr">
        <is>
          <t>F02502</t>
        </is>
      </c>
      <c r="C2043" s="4" t="inlineStr">
        <is>
          <t>32009</t>
        </is>
      </c>
      <c r="D2043" s="4" t="inlineStr">
        <is>
          <t>6009705657629</t>
        </is>
      </c>
      <c r="E2043" s="3" t="inlineStr">
        <is>
          <t>WATERPROOFING MEMBRRANE 200MMX10M</t>
        </is>
      </c>
      <c r="F2043" s="4" t="inlineStr"/>
      <c r="G2043" s="4" t="inlineStr"/>
      <c r="H2043" s="4" t="inlineStr"/>
      <c r="I2043" s="5" t="n">
        <v>18.5</v>
      </c>
      <c r="J2043" s="6" t="n">
        <v>15</v>
      </c>
      <c r="K2043" s="7">
        <f>IF(I2043="","",I2043*(1+J2043/100))</f>
        <v/>
      </c>
      <c r="L2043" s="5" t="n">
        <v>39.99</v>
      </c>
      <c r="M2043" s="8">
        <f>IF(OR(L2043="",K2043="",L2043=0),"",
  (L2043-K2043)/L2043*100)</f>
        <v/>
      </c>
      <c r="N2043" s="9" t="inlineStr"/>
      <c r="O2043" s="4" t="inlineStr"/>
      <c r="P2043" s="4" t="inlineStr"/>
      <c r="Q2043" s="4" t="inlineStr"/>
      <c r="R2043" s="4" t="inlineStr">
        <is>
          <t>2026-03-12</t>
        </is>
      </c>
      <c r="S2043" s="4" t="inlineStr"/>
    </row>
    <row r="2044">
      <c r="A2044" s="10" t="inlineStr">
        <is>
          <t>F02503</t>
        </is>
      </c>
      <c r="B2044" s="10" t="inlineStr">
        <is>
          <t>F02503</t>
        </is>
      </c>
      <c r="C2044" s="10" t="inlineStr"/>
      <c r="D2044" s="10" t="inlineStr">
        <is>
          <t>6009705650330</t>
        </is>
      </c>
      <c r="E2044" s="10" t="inlineStr">
        <is>
          <t>BROOM WHISK  PLST+HANDLE 2CLR</t>
        </is>
      </c>
      <c r="F2044" s="10" t="inlineStr"/>
      <c r="G2044" s="10" t="inlineStr"/>
      <c r="H2044" s="10" t="inlineStr"/>
      <c r="I2044" s="11" t="n">
        <v>13.25</v>
      </c>
      <c r="J2044" s="6" t="n">
        <v>15</v>
      </c>
      <c r="K2044" s="7">
        <f>IF(I2044="","",I2044*(1+J2044/100))</f>
        <v/>
      </c>
      <c r="L2044" s="12" t="inlineStr"/>
      <c r="M2044" s="8">
        <f>IF(OR(L2044="",K2044="",L2044=0),"",
  (L2044-K2044)/L2044*100)</f>
        <v/>
      </c>
      <c r="N2044" s="13" t="n">
        <v>9497</v>
      </c>
      <c r="O2044" s="10" t="inlineStr"/>
      <c r="P2044" s="10" t="inlineStr"/>
      <c r="Q2044" s="10" t="inlineStr"/>
      <c r="R2044" s="10" t="inlineStr">
        <is>
          <t>2026-03-12</t>
        </is>
      </c>
      <c r="S2044" s="10" t="inlineStr"/>
    </row>
    <row r="2045">
      <c r="A2045" s="3" t="inlineStr">
        <is>
          <t>F02504</t>
        </is>
      </c>
      <c r="B2045" s="4" t="inlineStr">
        <is>
          <t>F02504</t>
        </is>
      </c>
      <c r="C2045" s="4" t="inlineStr"/>
      <c r="D2045" s="4" t="inlineStr">
        <is>
          <t>6009705650347</t>
        </is>
      </c>
      <c r="E2045" s="3" t="inlineStr">
        <is>
          <t>BROOM WHISK+HNDL FANCY HVY ,4 CLRS</t>
        </is>
      </c>
      <c r="F2045" s="4" t="inlineStr"/>
      <c r="G2045" s="4" t="inlineStr"/>
      <c r="H2045" s="4" t="inlineStr"/>
      <c r="I2045" s="5" t="n">
        <v>20.95</v>
      </c>
      <c r="J2045" s="6" t="n">
        <v>15</v>
      </c>
      <c r="K2045" s="7">
        <f>IF(I2045="","",I2045*(1+J2045/100))</f>
        <v/>
      </c>
      <c r="L2045" s="12" t="inlineStr"/>
      <c r="M2045" s="8">
        <f>IF(OR(L2045="",K2045="",L2045=0),"",
  (L2045-K2045)/L2045*100)</f>
        <v/>
      </c>
      <c r="N2045" s="14" t="n">
        <v>7965</v>
      </c>
      <c r="O2045" s="4" t="inlineStr"/>
      <c r="P2045" s="4" t="inlineStr"/>
      <c r="Q2045" s="4" t="inlineStr"/>
      <c r="R2045" s="4" t="inlineStr">
        <is>
          <t>2026-03-12</t>
        </is>
      </c>
      <c r="S2045" s="4" t="inlineStr"/>
    </row>
    <row r="2046">
      <c r="A2046" s="10" t="inlineStr">
        <is>
          <t>F02505</t>
        </is>
      </c>
      <c r="B2046" s="10" t="inlineStr">
        <is>
          <t>F02505</t>
        </is>
      </c>
      <c r="C2046" s="10" t="inlineStr">
        <is>
          <t>18771</t>
        </is>
      </c>
      <c r="D2046" s="10" t="inlineStr">
        <is>
          <t>6009704000426</t>
        </is>
      </c>
      <c r="E2046" s="10" t="inlineStr">
        <is>
          <t>WALL SOCKET DOUBLE 4X4 -D01</t>
        </is>
      </c>
      <c r="F2046" s="10" t="inlineStr"/>
      <c r="G2046" s="10" t="inlineStr"/>
      <c r="H2046" s="10" t="inlineStr"/>
      <c r="I2046" s="11" t="n">
        <v>25.95</v>
      </c>
      <c r="J2046" s="6" t="n">
        <v>15</v>
      </c>
      <c r="K2046" s="7">
        <f>IF(I2046="","",I2046*(1+J2046/100))</f>
        <v/>
      </c>
      <c r="L2046" s="11" t="n">
        <v>190</v>
      </c>
      <c r="M2046" s="8">
        <f>IF(OR(L2046="",K2046="",L2046=0),"",
  (L2046-K2046)/L2046*100)</f>
        <v/>
      </c>
      <c r="N2046" s="13" t="n">
        <v>19</v>
      </c>
      <c r="O2046" s="10" t="inlineStr"/>
      <c r="P2046" s="10" t="inlineStr"/>
      <c r="Q2046" s="10" t="inlineStr"/>
      <c r="R2046" s="10" t="inlineStr">
        <is>
          <t>2026-03-12</t>
        </is>
      </c>
      <c r="S2046" s="10" t="inlineStr"/>
    </row>
    <row r="2047">
      <c r="A2047" s="3" t="inlineStr">
        <is>
          <t>F02506</t>
        </is>
      </c>
      <c r="B2047" s="4" t="inlineStr">
        <is>
          <t>F02506</t>
        </is>
      </c>
      <c r="C2047" s="4" t="inlineStr">
        <is>
          <t>18767</t>
        </is>
      </c>
      <c r="D2047" s="4" t="inlineStr">
        <is>
          <t>6009704001461</t>
        </is>
      </c>
      <c r="E2047" s="3" t="inlineStr">
        <is>
          <t>ISOLATOR SWITCH 4X4 60A -M-07</t>
        </is>
      </c>
      <c r="F2047" s="4" t="inlineStr"/>
      <c r="G2047" s="4" t="inlineStr"/>
      <c r="H2047" s="4" t="inlineStr"/>
      <c r="I2047" s="5" t="n">
        <v>41</v>
      </c>
      <c r="J2047" s="6" t="n">
        <v>15</v>
      </c>
      <c r="K2047" s="7">
        <f>IF(I2047="","",I2047*(1+J2047/100))</f>
        <v/>
      </c>
      <c r="L2047" s="5" t="n">
        <v>210</v>
      </c>
      <c r="M2047" s="8">
        <f>IF(OR(L2047="",K2047="",L2047=0),"",
  (L2047-K2047)/L2047*100)</f>
        <v/>
      </c>
      <c r="N2047" s="14" t="n">
        <v>147</v>
      </c>
      <c r="O2047" s="4" t="inlineStr"/>
      <c r="P2047" s="4" t="inlineStr"/>
      <c r="Q2047" s="4" t="inlineStr"/>
      <c r="R2047" s="4" t="inlineStr">
        <is>
          <t>2026-03-12</t>
        </is>
      </c>
      <c r="S2047" s="4" t="inlineStr"/>
    </row>
    <row r="2048">
      <c r="A2048" s="10" t="inlineStr">
        <is>
          <t>F02507</t>
        </is>
      </c>
      <c r="B2048" s="10" t="inlineStr">
        <is>
          <t>F02507</t>
        </is>
      </c>
      <c r="C2048" s="10" t="inlineStr">
        <is>
          <t>18772</t>
        </is>
      </c>
      <c r="D2048" s="10" t="inlineStr">
        <is>
          <t>6009704000419</t>
        </is>
      </c>
      <c r="E2048" s="10" t="inlineStr">
        <is>
          <t>WALL SOCKET SINGLE 4X4 -5001</t>
        </is>
      </c>
      <c r="F2048" s="10" t="inlineStr"/>
      <c r="G2048" s="10" t="inlineStr"/>
      <c r="H2048" s="10" t="inlineStr"/>
      <c r="I2048" s="11" t="n">
        <v>21.5</v>
      </c>
      <c r="J2048" s="6" t="n">
        <v>15</v>
      </c>
      <c r="K2048" s="7">
        <f>IF(I2048="","",I2048*(1+J2048/100))</f>
        <v/>
      </c>
      <c r="L2048" s="11" t="n">
        <v>160</v>
      </c>
      <c r="M2048" s="8">
        <f>IF(OR(L2048="",K2048="",L2048=0),"",
  (L2048-K2048)/L2048*100)</f>
        <v/>
      </c>
      <c r="N2048" s="13" t="n">
        <v>154</v>
      </c>
      <c r="O2048" s="10" t="inlineStr"/>
      <c r="P2048" s="10" t="inlineStr"/>
      <c r="Q2048" s="10" t="inlineStr"/>
      <c r="R2048" s="10" t="inlineStr">
        <is>
          <t>2026-03-12</t>
        </is>
      </c>
      <c r="S2048" s="10" t="inlineStr"/>
    </row>
    <row r="2049">
      <c r="A2049" s="3" t="inlineStr">
        <is>
          <t>F02508</t>
        </is>
      </c>
      <c r="B2049" s="4" t="inlineStr">
        <is>
          <t>F02508</t>
        </is>
      </c>
      <c r="C2049" s="4" t="inlineStr">
        <is>
          <t>18779</t>
        </is>
      </c>
      <c r="D2049" s="4" t="inlineStr">
        <is>
          <t>6009704000389</t>
        </is>
      </c>
      <c r="E2049" s="3" t="inlineStr">
        <is>
          <t>WALL SWITCH 2 LEVER A102</t>
        </is>
      </c>
      <c r="F2049" s="4" t="inlineStr"/>
      <c r="G2049" s="4" t="inlineStr"/>
      <c r="H2049" s="4" t="inlineStr"/>
      <c r="I2049" s="5" t="n">
        <v>13.5</v>
      </c>
      <c r="J2049" s="6" t="n">
        <v>15</v>
      </c>
      <c r="K2049" s="7">
        <f>IF(I2049="","",I2049*(1+J2049/100))</f>
        <v/>
      </c>
      <c r="L2049" s="5" t="n">
        <v>150</v>
      </c>
      <c r="M2049" s="8">
        <f>IF(OR(L2049="",K2049="",L2049=0),"",
  (L2049-K2049)/L2049*100)</f>
        <v/>
      </c>
      <c r="N2049" s="14" t="n">
        <v>173</v>
      </c>
      <c r="O2049" s="4" t="inlineStr"/>
      <c r="P2049" s="4" t="inlineStr"/>
      <c r="Q2049" s="4" t="inlineStr"/>
      <c r="R2049" s="4" t="inlineStr">
        <is>
          <t>2026-03-12</t>
        </is>
      </c>
      <c r="S2049" s="4" t="inlineStr"/>
    </row>
    <row r="2050">
      <c r="A2050" s="10" t="inlineStr">
        <is>
          <t>F02509</t>
        </is>
      </c>
      <c r="B2050" s="10" t="inlineStr">
        <is>
          <t>F02509</t>
        </is>
      </c>
      <c r="C2050" s="10" t="inlineStr">
        <is>
          <t>18778</t>
        </is>
      </c>
      <c r="D2050" s="10" t="inlineStr">
        <is>
          <t>6009704000372</t>
        </is>
      </c>
      <c r="E2050" s="10" t="inlineStr">
        <is>
          <t>WALL SWITCH 1 LEVER -A101</t>
        </is>
      </c>
      <c r="F2050" s="10" t="inlineStr"/>
      <c r="G2050" s="10" t="inlineStr"/>
      <c r="H2050" s="10" t="inlineStr"/>
      <c r="I2050" s="11" t="n">
        <v>11</v>
      </c>
      <c r="J2050" s="6" t="n">
        <v>15</v>
      </c>
      <c r="K2050" s="7">
        <f>IF(I2050="","",I2050*(1+J2050/100))</f>
        <v/>
      </c>
      <c r="L2050" s="11" t="n">
        <v>140</v>
      </c>
      <c r="M2050" s="8">
        <f>IF(OR(L2050="",K2050="",L2050=0),"",
  (L2050-K2050)/L2050*100)</f>
        <v/>
      </c>
      <c r="N2050" s="9" t="inlineStr"/>
      <c r="O2050" s="10" t="inlineStr"/>
      <c r="P2050" s="10" t="inlineStr"/>
      <c r="Q2050" s="10" t="inlineStr"/>
      <c r="R2050" s="10" t="inlineStr">
        <is>
          <t>2026-03-12</t>
        </is>
      </c>
      <c r="S2050" s="10" t="inlineStr"/>
    </row>
    <row r="2051">
      <c r="A2051" s="3" t="inlineStr">
        <is>
          <t>F02510</t>
        </is>
      </c>
      <c r="B2051" s="4" t="inlineStr">
        <is>
          <t>F02510</t>
        </is>
      </c>
      <c r="C2051" s="4" t="inlineStr">
        <is>
          <t>18825</t>
        </is>
      </c>
      <c r="D2051" s="4" t="inlineStr">
        <is>
          <t>6971419775572</t>
        </is>
      </c>
      <c r="E2051" s="3" t="inlineStr">
        <is>
          <t>DOWNLIGHT FIXED CHROME 85MM</t>
        </is>
      </c>
      <c r="F2051" s="4" t="inlineStr"/>
      <c r="G2051" s="4" t="inlineStr"/>
      <c r="H2051" s="4" t="inlineStr"/>
      <c r="I2051" s="5" t="n">
        <v>7.95</v>
      </c>
      <c r="J2051" s="6" t="n">
        <v>15</v>
      </c>
      <c r="K2051" s="7">
        <f>IF(I2051="","",I2051*(1+J2051/100))</f>
        <v/>
      </c>
      <c r="L2051" s="5" t="n">
        <v>20</v>
      </c>
      <c r="M2051" s="8">
        <f>IF(OR(L2051="",K2051="",L2051=0),"",
  (L2051-K2051)/L2051*100)</f>
        <v/>
      </c>
      <c r="N2051" s="14" t="n">
        <v>275</v>
      </c>
      <c r="O2051" s="4" t="inlineStr"/>
      <c r="P2051" s="4" t="inlineStr"/>
      <c r="Q2051" s="4" t="inlineStr"/>
      <c r="R2051" s="4" t="inlineStr">
        <is>
          <t>2026-03-12</t>
        </is>
      </c>
      <c r="S2051" s="4" t="inlineStr"/>
    </row>
    <row r="2052">
      <c r="A2052" s="10" t="inlineStr">
        <is>
          <t>F02511</t>
        </is>
      </c>
      <c r="B2052" s="10" t="inlineStr">
        <is>
          <t>F02511</t>
        </is>
      </c>
      <c r="C2052" s="10" t="inlineStr">
        <is>
          <t>18826</t>
        </is>
      </c>
      <c r="D2052" s="10" t="inlineStr">
        <is>
          <t>6971419773455</t>
        </is>
      </c>
      <c r="E2052" s="10" t="inlineStr">
        <is>
          <t>DOWNLIGHT FIXED GUN METAL 85MM</t>
        </is>
      </c>
      <c r="F2052" s="10" t="inlineStr"/>
      <c r="G2052" s="10" t="inlineStr"/>
      <c r="H2052" s="10" t="inlineStr"/>
      <c r="I2052" s="11" t="n">
        <v>7.95</v>
      </c>
      <c r="J2052" s="6" t="n">
        <v>15</v>
      </c>
      <c r="K2052" s="7">
        <f>IF(I2052="","",I2052*(1+J2052/100))</f>
        <v/>
      </c>
      <c r="L2052" s="11" t="n">
        <v>20</v>
      </c>
      <c r="M2052" s="8">
        <f>IF(OR(L2052="",K2052="",L2052=0),"",
  (L2052-K2052)/L2052*100)</f>
        <v/>
      </c>
      <c r="N2052" s="13" t="n">
        <v>185</v>
      </c>
      <c r="O2052" s="10" t="inlineStr"/>
      <c r="P2052" s="10" t="inlineStr"/>
      <c r="Q2052" s="10" t="inlineStr"/>
      <c r="R2052" s="10" t="inlineStr">
        <is>
          <t>2026-03-12</t>
        </is>
      </c>
      <c r="S2052" s="10" t="inlineStr"/>
    </row>
    <row r="2053">
      <c r="A2053" s="3" t="inlineStr">
        <is>
          <t>F02512</t>
        </is>
      </c>
      <c r="B2053" s="4" t="inlineStr">
        <is>
          <t>F02512</t>
        </is>
      </c>
      <c r="C2053" s="4" t="inlineStr">
        <is>
          <t>18824</t>
        </is>
      </c>
      <c r="D2053" s="4" t="inlineStr">
        <is>
          <t>6971419773448</t>
        </is>
      </c>
      <c r="E2053" s="3" t="inlineStr">
        <is>
          <t>DOWNLIGHT FIXED WHITE 85MM</t>
        </is>
      </c>
      <c r="F2053" s="4" t="inlineStr"/>
      <c r="G2053" s="4" t="inlineStr"/>
      <c r="H2053" s="4" t="inlineStr"/>
      <c r="I2053" s="5" t="n">
        <v>7.95</v>
      </c>
      <c r="J2053" s="6" t="n">
        <v>15</v>
      </c>
      <c r="K2053" s="7">
        <f>IF(I2053="","",I2053*(1+J2053/100))</f>
        <v/>
      </c>
      <c r="L2053" s="5" t="n">
        <v>20</v>
      </c>
      <c r="M2053" s="8">
        <f>IF(OR(L2053="",K2053="",L2053=0),"",
  (L2053-K2053)/L2053*100)</f>
        <v/>
      </c>
      <c r="N2053" s="14" t="n">
        <v>278</v>
      </c>
      <c r="O2053" s="4" t="inlineStr"/>
      <c r="P2053" s="4" t="inlineStr"/>
      <c r="Q2053" s="4" t="inlineStr"/>
      <c r="R2053" s="4" t="inlineStr">
        <is>
          <t>2026-03-12</t>
        </is>
      </c>
      <c r="S2053" s="4" t="inlineStr"/>
    </row>
    <row r="2054">
      <c r="A2054" s="10" t="inlineStr">
        <is>
          <t>F02513</t>
        </is>
      </c>
      <c r="B2054" s="10" t="inlineStr">
        <is>
          <t>F02513</t>
        </is>
      </c>
      <c r="C2054" s="10" t="inlineStr"/>
      <c r="D2054" s="10" t="inlineStr">
        <is>
          <t>6971419772823</t>
        </is>
      </c>
      <c r="E2054" s="10" t="inlineStr">
        <is>
          <t>LAMP HOLDER GU10 10'S</t>
        </is>
      </c>
      <c r="F2054" s="10" t="inlineStr"/>
      <c r="G2054" s="10" t="inlineStr"/>
      <c r="H2054" s="10" t="inlineStr"/>
      <c r="I2054" s="11" t="n">
        <v>28.95</v>
      </c>
      <c r="J2054" s="6" t="n">
        <v>15</v>
      </c>
      <c r="K2054" s="7">
        <f>IF(I2054="","",I2054*(1+J2054/100))</f>
        <v/>
      </c>
      <c r="L2054" s="12" t="inlineStr"/>
      <c r="M2054" s="8">
        <f>IF(OR(L2054="",K2054="",L2054=0),"",
  (L2054-K2054)/L2054*100)</f>
        <v/>
      </c>
      <c r="N2054" s="13" t="n">
        <v>896</v>
      </c>
      <c r="O2054" s="10" t="inlineStr"/>
      <c r="P2054" s="10" t="inlineStr"/>
      <c r="Q2054" s="10" t="inlineStr"/>
      <c r="R2054" s="10" t="inlineStr">
        <is>
          <t>2026-03-12</t>
        </is>
      </c>
      <c r="S2054" s="10" t="inlineStr"/>
    </row>
    <row r="2055">
      <c r="A2055" s="3" t="inlineStr">
        <is>
          <t>F02514</t>
        </is>
      </c>
      <c r="B2055" s="4" t="inlineStr">
        <is>
          <t>F02514</t>
        </is>
      </c>
      <c r="C2055" s="4" t="inlineStr">
        <is>
          <t>18780</t>
        </is>
      </c>
      <c r="D2055" s="4" t="inlineStr">
        <is>
          <t>6009704000396</t>
        </is>
      </c>
      <c r="E2055" s="3" t="inlineStr">
        <is>
          <t>WALL SWITCH 3 LEVER A103</t>
        </is>
      </c>
      <c r="F2055" s="4" t="inlineStr"/>
      <c r="G2055" s="4" t="inlineStr"/>
      <c r="H2055" s="4" t="inlineStr"/>
      <c r="I2055" s="5" t="n">
        <v>17</v>
      </c>
      <c r="J2055" s="6" t="n">
        <v>15</v>
      </c>
      <c r="K2055" s="7">
        <f>IF(I2055="","",I2055*(1+J2055/100))</f>
        <v/>
      </c>
      <c r="L2055" s="5" t="n">
        <v>160</v>
      </c>
      <c r="M2055" s="8">
        <f>IF(OR(L2055="",K2055="",L2055=0),"",
  (L2055-K2055)/L2055*100)</f>
        <v/>
      </c>
      <c r="N2055" s="14" t="n">
        <v>179</v>
      </c>
      <c r="O2055" s="4" t="inlineStr"/>
      <c r="P2055" s="4" t="inlineStr"/>
      <c r="Q2055" s="4" t="inlineStr"/>
      <c r="R2055" s="4" t="inlineStr">
        <is>
          <t>2026-03-12</t>
        </is>
      </c>
      <c r="S2055" s="4" t="inlineStr"/>
    </row>
    <row r="2056">
      <c r="A2056" s="10" t="inlineStr">
        <is>
          <t>F02515</t>
        </is>
      </c>
      <c r="B2056" s="10" t="inlineStr">
        <is>
          <t>F02515</t>
        </is>
      </c>
      <c r="C2056" s="10" t="inlineStr">
        <is>
          <t>18781</t>
        </is>
      </c>
      <c r="D2056" s="10" t="inlineStr">
        <is>
          <t>6009704000686</t>
        </is>
      </c>
      <c r="E2056" s="10" t="inlineStr">
        <is>
          <t>WALL SWTICH SINGLE 4X2 -M08</t>
        </is>
      </c>
      <c r="F2056" s="10" t="inlineStr"/>
      <c r="G2056" s="10" t="inlineStr"/>
      <c r="H2056" s="10" t="inlineStr"/>
      <c r="I2056" s="11" t="n">
        <v>16.5</v>
      </c>
      <c r="J2056" s="6" t="n">
        <v>15</v>
      </c>
      <c r="K2056" s="7">
        <f>IF(I2056="","",I2056*(1+J2056/100))</f>
        <v/>
      </c>
      <c r="L2056" s="11" t="n">
        <v>170</v>
      </c>
      <c r="M2056" s="8">
        <f>IF(OR(L2056="",K2056="",L2056=0),"",
  (L2056-K2056)/L2056*100)</f>
        <v/>
      </c>
      <c r="N2056" s="13" t="n">
        <v>114</v>
      </c>
      <c r="O2056" s="10" t="inlineStr"/>
      <c r="P2056" s="10" t="inlineStr"/>
      <c r="Q2056" s="10" t="inlineStr"/>
      <c r="R2056" s="10" t="inlineStr">
        <is>
          <t>2026-03-12</t>
        </is>
      </c>
      <c r="S2056" s="10" t="inlineStr"/>
    </row>
    <row r="2057">
      <c r="A2057" s="3" t="inlineStr">
        <is>
          <t>F02516</t>
        </is>
      </c>
      <c r="B2057" s="4" t="inlineStr">
        <is>
          <t>F02516</t>
        </is>
      </c>
      <c r="C2057" s="4" t="inlineStr"/>
      <c r="D2057" s="4" t="inlineStr"/>
      <c r="E2057" s="3" t="inlineStr">
        <is>
          <t>LUNCH BOX SET 3PC MEDIUM NJOY</t>
        </is>
      </c>
      <c r="F2057" s="4" t="inlineStr"/>
      <c r="G2057" s="4" t="inlineStr"/>
      <c r="H2057" s="4" t="inlineStr"/>
      <c r="I2057" s="5" t="n">
        <v>20</v>
      </c>
      <c r="J2057" s="6" t="n">
        <v>15</v>
      </c>
      <c r="K2057" s="7">
        <f>IF(I2057="","",I2057*(1+J2057/100))</f>
        <v/>
      </c>
      <c r="L2057" s="12" t="inlineStr"/>
      <c r="M2057" s="8">
        <f>IF(OR(L2057="",K2057="",L2057=0),"",
  (L2057-K2057)/L2057*100)</f>
        <v/>
      </c>
      <c r="N2057" s="9" t="inlineStr"/>
      <c r="O2057" s="4" t="inlineStr"/>
      <c r="P2057" s="4" t="inlineStr"/>
      <c r="Q2057" s="4" t="inlineStr"/>
      <c r="R2057" s="4" t="inlineStr">
        <is>
          <t>2026-03-12</t>
        </is>
      </c>
      <c r="S2057" s="4" t="inlineStr"/>
    </row>
    <row r="2058">
      <c r="A2058" s="10" t="inlineStr">
        <is>
          <t>F02517</t>
        </is>
      </c>
      <c r="B2058" s="10" t="inlineStr">
        <is>
          <t>F02517</t>
        </is>
      </c>
      <c r="C2058" s="10" t="inlineStr"/>
      <c r="D2058" s="10" t="inlineStr">
        <is>
          <t>6009705655998</t>
        </is>
      </c>
      <c r="E2058" s="10" t="inlineStr">
        <is>
          <t>ROOF TILE UNDERLAY EMPIRE1.5X30M SATAS</t>
        </is>
      </c>
      <c r="F2058" s="10" t="inlineStr"/>
      <c r="G2058" s="10" t="inlineStr"/>
      <c r="H2058" s="10" t="inlineStr"/>
      <c r="I2058" s="11" t="n">
        <v>219</v>
      </c>
      <c r="J2058" s="6" t="n">
        <v>15</v>
      </c>
      <c r="K2058" s="7">
        <f>IF(I2058="","",I2058*(1+J2058/100))</f>
        <v/>
      </c>
      <c r="L2058" s="12" t="inlineStr"/>
      <c r="M2058" s="8">
        <f>IF(OR(L2058="",K2058="",L2058=0),"",
  (L2058-K2058)/L2058*100)</f>
        <v/>
      </c>
      <c r="N2058" s="13" t="n">
        <v>51</v>
      </c>
      <c r="O2058" s="10" t="inlineStr"/>
      <c r="P2058" s="10" t="inlineStr"/>
      <c r="Q2058" s="10" t="inlineStr"/>
      <c r="R2058" s="10" t="inlineStr">
        <is>
          <t>2026-03-12</t>
        </is>
      </c>
      <c r="S2058" s="10" t="inlineStr"/>
    </row>
    <row r="2059">
      <c r="A2059" s="3" t="inlineStr">
        <is>
          <t>F02518</t>
        </is>
      </c>
      <c r="B2059" s="4" t="inlineStr">
        <is>
          <t>F02518</t>
        </is>
      </c>
      <c r="C2059" s="4" t="inlineStr"/>
      <c r="D2059" s="4" t="inlineStr"/>
      <c r="E2059" s="3" t="inlineStr">
        <is>
          <t>PVC CEILING 3D WHITE MATT 3900*300*6MM-</t>
        </is>
      </c>
      <c r="F2059" s="4" t="inlineStr"/>
      <c r="G2059" s="4" t="inlineStr"/>
      <c r="H2059" s="4" t="inlineStr"/>
      <c r="I2059" s="5" t="n">
        <v>449</v>
      </c>
      <c r="J2059" s="6" t="n">
        <v>15</v>
      </c>
      <c r="K2059" s="7">
        <f>IF(I2059="","",I2059*(1+J2059/100))</f>
        <v/>
      </c>
      <c r="L2059" s="12" t="inlineStr"/>
      <c r="M2059" s="8">
        <f>IF(OR(L2059="",K2059="",L2059=0),"",
  (L2059-K2059)/L2059*100)</f>
        <v/>
      </c>
      <c r="N2059" s="9" t="inlineStr"/>
      <c r="O2059" s="4" t="inlineStr"/>
      <c r="P2059" s="4" t="inlineStr"/>
      <c r="Q2059" s="4" t="inlineStr"/>
      <c r="R2059" s="4" t="inlineStr">
        <is>
          <t>2026-03-12</t>
        </is>
      </c>
      <c r="S2059" s="4" t="inlineStr"/>
    </row>
    <row r="2060">
      <c r="A2060" s="10" t="inlineStr">
        <is>
          <t>F02519</t>
        </is>
      </c>
      <c r="B2060" s="10" t="inlineStr">
        <is>
          <t>F02519</t>
        </is>
      </c>
      <c r="C2060" s="10" t="inlineStr"/>
      <c r="D2060" s="10" t="inlineStr"/>
      <c r="E2060" s="10" t="inlineStr">
        <is>
          <t>PVC CEILING 8310(MN)3900*300*6MM</t>
        </is>
      </c>
      <c r="F2060" s="10" t="inlineStr"/>
      <c r="G2060" s="10" t="inlineStr"/>
      <c r="H2060" s="10" t="inlineStr"/>
      <c r="I2060" s="11" t="n">
        <v>40</v>
      </c>
      <c r="J2060" s="6" t="n">
        <v>15</v>
      </c>
      <c r="K2060" s="7">
        <f>IF(I2060="","",I2060*(1+J2060/100))</f>
        <v/>
      </c>
      <c r="L2060" s="12" t="inlineStr"/>
      <c r="M2060" s="8">
        <f>IF(OR(L2060="",K2060="",L2060=0),"",
  (L2060-K2060)/L2060*100)</f>
        <v/>
      </c>
      <c r="N2060" s="9" t="inlineStr"/>
      <c r="O2060" s="10" t="inlineStr"/>
      <c r="P2060" s="10" t="inlineStr"/>
      <c r="Q2060" s="10" t="inlineStr"/>
      <c r="R2060" s="10" t="inlineStr">
        <is>
          <t>2026-03-12</t>
        </is>
      </c>
      <c r="S2060" s="10" t="inlineStr"/>
    </row>
    <row r="2061">
      <c r="A2061" s="3" t="inlineStr">
        <is>
          <t>F02520</t>
        </is>
      </c>
      <c r="B2061" s="4" t="inlineStr">
        <is>
          <t>F02520</t>
        </is>
      </c>
      <c r="C2061" s="4" t="inlineStr"/>
      <c r="D2061" s="4" t="inlineStr"/>
      <c r="E2061" s="3" t="inlineStr">
        <is>
          <t>PVC CEILING 3320(MN)3900*300*6MM</t>
        </is>
      </c>
      <c r="F2061" s="4" t="inlineStr"/>
      <c r="G2061" s="4" t="inlineStr"/>
      <c r="H2061" s="4" t="inlineStr"/>
      <c r="I2061" s="5" t="n">
        <v>20</v>
      </c>
      <c r="J2061" s="6" t="n">
        <v>15</v>
      </c>
      <c r="K2061" s="7">
        <f>IF(I2061="","",I2061*(1+J2061/100))</f>
        <v/>
      </c>
      <c r="L2061" s="12" t="inlineStr"/>
      <c r="M2061" s="8">
        <f>IF(OR(L2061="",K2061="",L2061=0),"",
  (L2061-K2061)/L2061*100)</f>
        <v/>
      </c>
      <c r="N2061" s="9" t="inlineStr"/>
      <c r="O2061" s="4" t="inlineStr"/>
      <c r="P2061" s="4" t="inlineStr"/>
      <c r="Q2061" s="4" t="inlineStr"/>
      <c r="R2061" s="4" t="inlineStr">
        <is>
          <t>2026-03-12</t>
        </is>
      </c>
      <c r="S2061" s="4" t="inlineStr"/>
    </row>
    <row r="2062">
      <c r="A2062" s="10" t="inlineStr">
        <is>
          <t>F02521</t>
        </is>
      </c>
      <c r="B2062" s="10" t="inlineStr">
        <is>
          <t>F02521</t>
        </is>
      </c>
      <c r="C2062" s="10" t="inlineStr"/>
      <c r="D2062" s="10" t="inlineStr"/>
      <c r="E2062" s="10" t="inlineStr">
        <is>
          <t>DADOO RAIL M3-WHIT PU CORNICE 2.4MX5.2CM</t>
        </is>
      </c>
      <c r="F2062" s="10" t="inlineStr"/>
      <c r="G2062" s="10" t="inlineStr"/>
      <c r="H2062" s="10" t="inlineStr"/>
      <c r="I2062" s="11" t="n">
        <v>0.9</v>
      </c>
      <c r="J2062" s="6" t="n">
        <v>15</v>
      </c>
      <c r="K2062" s="7">
        <f>IF(I2062="","",I2062*(1+J2062/100))</f>
        <v/>
      </c>
      <c r="L2062" s="12" t="inlineStr"/>
      <c r="M2062" s="8">
        <f>IF(OR(L2062="",K2062="",L2062=0),"",
  (L2062-K2062)/L2062*100)</f>
        <v/>
      </c>
      <c r="N2062" s="9" t="inlineStr"/>
      <c r="O2062" s="10" t="inlineStr"/>
      <c r="P2062" s="10" t="inlineStr"/>
      <c r="Q2062" s="10" t="inlineStr"/>
      <c r="R2062" s="10" t="inlineStr">
        <is>
          <t>2026-03-12</t>
        </is>
      </c>
      <c r="S2062" s="10" t="inlineStr"/>
    </row>
    <row r="2063">
      <c r="A2063" s="3" t="inlineStr">
        <is>
          <t>F02522</t>
        </is>
      </c>
      <c r="B2063" s="4" t="inlineStr">
        <is>
          <t>F02522</t>
        </is>
      </c>
      <c r="C2063" s="4" t="inlineStr"/>
      <c r="D2063" s="4" t="inlineStr"/>
      <c r="E2063" s="3" t="inlineStr">
        <is>
          <t>DADOO RAIL M1S-SILVR PU CORNICE2.4MX5CM</t>
        </is>
      </c>
      <c r="F2063" s="4" t="inlineStr"/>
      <c r="G2063" s="4" t="inlineStr"/>
      <c r="H2063" s="4" t="inlineStr"/>
      <c r="I2063" s="5" t="n">
        <v>78</v>
      </c>
      <c r="J2063" s="6" t="n">
        <v>15</v>
      </c>
      <c r="K2063" s="7">
        <f>IF(I2063="","",I2063*(1+J2063/100))</f>
        <v/>
      </c>
      <c r="L2063" s="12" t="inlineStr"/>
      <c r="M2063" s="8">
        <f>IF(OR(L2063="",K2063="",L2063=0),"",
  (L2063-K2063)/L2063*100)</f>
        <v/>
      </c>
      <c r="N2063" s="9" t="inlineStr"/>
      <c r="O2063" s="4" t="inlineStr"/>
      <c r="P2063" s="4" t="inlineStr"/>
      <c r="Q2063" s="4" t="inlineStr"/>
      <c r="R2063" s="4" t="inlineStr">
        <is>
          <t>2026-03-12</t>
        </is>
      </c>
      <c r="S2063" s="4" t="inlineStr"/>
    </row>
    <row r="2064">
      <c r="A2064" s="10" t="inlineStr">
        <is>
          <t>F02523</t>
        </is>
      </c>
      <c r="B2064" s="10" t="inlineStr">
        <is>
          <t>F02523</t>
        </is>
      </c>
      <c r="C2064" s="10" t="inlineStr"/>
      <c r="D2064" s="10" t="inlineStr">
        <is>
          <t>6009705651412</t>
        </is>
      </c>
      <c r="E2064" s="10" t="inlineStr">
        <is>
          <t>SILICONE SEALANT ACRYLIC ALCO WHITE 300M</t>
        </is>
      </c>
      <c r="F2064" s="10" t="inlineStr"/>
      <c r="G2064" s="10" t="inlineStr"/>
      <c r="H2064" s="10" t="inlineStr"/>
      <c r="I2064" s="11" t="n">
        <v>14.95</v>
      </c>
      <c r="J2064" s="6" t="n">
        <v>15</v>
      </c>
      <c r="K2064" s="7">
        <f>IF(I2064="","",I2064*(1+J2064/100))</f>
        <v/>
      </c>
      <c r="L2064" s="12" t="inlineStr"/>
      <c r="M2064" s="8">
        <f>IF(OR(L2064="",K2064="",L2064=0),"",
  (L2064-K2064)/L2064*100)</f>
        <v/>
      </c>
      <c r="N2064" s="9" t="inlineStr"/>
      <c r="O2064" s="10" t="inlineStr"/>
      <c r="P2064" s="10" t="inlineStr"/>
      <c r="Q2064" s="10" t="inlineStr"/>
      <c r="R2064" s="10" t="inlineStr">
        <is>
          <t>2026-03-12</t>
        </is>
      </c>
      <c r="S2064" s="10" t="inlineStr"/>
    </row>
    <row r="2065">
      <c r="A2065" s="3" t="inlineStr">
        <is>
          <t>F02524</t>
        </is>
      </c>
      <c r="B2065" s="4" t="inlineStr">
        <is>
          <t>F02524</t>
        </is>
      </c>
      <c r="C2065" s="4" t="inlineStr">
        <is>
          <t>21177</t>
        </is>
      </c>
      <c r="D2065" s="4" t="inlineStr">
        <is>
          <t>6009705651429</t>
        </is>
      </c>
      <c r="E2065" s="3" t="inlineStr">
        <is>
          <t>SILICONE SEALANT ALCO WHITE 300ML</t>
        </is>
      </c>
      <c r="F2065" s="4" t="inlineStr"/>
      <c r="G2065" s="4" t="inlineStr"/>
      <c r="H2065" s="4" t="inlineStr"/>
      <c r="I2065" s="5" t="n">
        <v>22.95</v>
      </c>
      <c r="J2065" s="6" t="n">
        <v>15</v>
      </c>
      <c r="K2065" s="7">
        <f>IF(I2065="","",I2065*(1+J2065/100))</f>
        <v/>
      </c>
      <c r="L2065" s="12" t="inlineStr"/>
      <c r="M2065" s="8">
        <f>IF(OR(L2065="",K2065="",L2065=0),"",
  (L2065-K2065)/L2065*100)</f>
        <v/>
      </c>
      <c r="N2065" s="14" t="n">
        <v>259</v>
      </c>
      <c r="O2065" s="4" t="inlineStr"/>
      <c r="P2065" s="4" t="inlineStr"/>
      <c r="Q2065" s="4" t="inlineStr"/>
      <c r="R2065" s="4" t="inlineStr">
        <is>
          <t>2026-03-12</t>
        </is>
      </c>
      <c r="S2065" s="4" t="inlineStr"/>
    </row>
    <row r="2066">
      <c r="A2066" s="10" t="inlineStr">
        <is>
          <t>F02525</t>
        </is>
      </c>
      <c r="B2066" s="10" t="inlineStr">
        <is>
          <t>F02525</t>
        </is>
      </c>
      <c r="C2066" s="10" t="inlineStr"/>
      <c r="D2066" s="10" t="inlineStr">
        <is>
          <t>6009705651436</t>
        </is>
      </c>
      <c r="E2066" s="10" t="inlineStr">
        <is>
          <t>SILICONE SEALANT ALCO CLEAR 300ML</t>
        </is>
      </c>
      <c r="F2066" s="10" t="inlineStr"/>
      <c r="G2066" s="10" t="inlineStr"/>
      <c r="H2066" s="10" t="inlineStr"/>
      <c r="I2066" s="11" t="n">
        <v>22.95</v>
      </c>
      <c r="J2066" s="6" t="n">
        <v>15</v>
      </c>
      <c r="K2066" s="7">
        <f>IF(I2066="","",I2066*(1+J2066/100))</f>
        <v/>
      </c>
      <c r="L2066" s="12" t="inlineStr"/>
      <c r="M2066" s="8">
        <f>IF(OR(L2066="",K2066="",L2066=0),"",
  (L2066-K2066)/L2066*100)</f>
        <v/>
      </c>
      <c r="N2066" s="13" t="n">
        <v>4</v>
      </c>
      <c r="O2066" s="10" t="inlineStr"/>
      <c r="P2066" s="10" t="inlineStr"/>
      <c r="Q2066" s="10" t="inlineStr"/>
      <c r="R2066" s="10" t="inlineStr">
        <is>
          <t>2026-03-12</t>
        </is>
      </c>
      <c r="S2066" s="10" t="inlineStr"/>
    </row>
    <row r="2067">
      <c r="A2067" s="3" t="inlineStr">
        <is>
          <t>F02526</t>
        </is>
      </c>
      <c r="B2067" s="4" t="inlineStr">
        <is>
          <t>F02526</t>
        </is>
      </c>
      <c r="C2067" s="4" t="inlineStr"/>
      <c r="D2067" s="4" t="inlineStr">
        <is>
          <t>6009705651665</t>
        </is>
      </c>
      <c r="E2067" s="3" t="inlineStr">
        <is>
          <t>SILICONE SEALANT ALCO BLACK 300ML</t>
        </is>
      </c>
      <c r="F2067" s="4" t="inlineStr"/>
      <c r="G2067" s="4" t="inlineStr"/>
      <c r="H2067" s="4" t="inlineStr"/>
      <c r="I2067" s="5" t="n">
        <v>22.95</v>
      </c>
      <c r="J2067" s="6" t="n">
        <v>15</v>
      </c>
      <c r="K2067" s="7">
        <f>IF(I2067="","",I2067*(1+J2067/100))</f>
        <v/>
      </c>
      <c r="L2067" s="12" t="inlineStr"/>
      <c r="M2067" s="8">
        <f>IF(OR(L2067="",K2067="",L2067=0),"",
  (L2067-K2067)/L2067*100)</f>
        <v/>
      </c>
      <c r="N2067" s="14" t="n">
        <v>127</v>
      </c>
      <c r="O2067" s="4" t="inlineStr"/>
      <c r="P2067" s="4" t="inlineStr"/>
      <c r="Q2067" s="4" t="inlineStr"/>
      <c r="R2067" s="4" t="inlineStr">
        <is>
          <t>2026-03-12</t>
        </is>
      </c>
      <c r="S2067" s="4" t="inlineStr"/>
    </row>
    <row r="2068">
      <c r="A2068" s="10" t="inlineStr">
        <is>
          <t>F02527</t>
        </is>
      </c>
      <c r="B2068" s="10" t="inlineStr">
        <is>
          <t>F02527</t>
        </is>
      </c>
      <c r="C2068" s="10" t="inlineStr">
        <is>
          <t>21176</t>
        </is>
      </c>
      <c r="D2068" s="10" t="inlineStr">
        <is>
          <t>6009705651450</t>
        </is>
      </c>
      <c r="E2068" s="10" t="inlineStr">
        <is>
          <t>SILICONE SEALANT ALCO 660AC GREY 300ML</t>
        </is>
      </c>
      <c r="F2068" s="10" t="inlineStr"/>
      <c r="G2068" s="10" t="inlineStr"/>
      <c r="H2068" s="10" t="inlineStr"/>
      <c r="I2068" s="11" t="n">
        <v>22.95</v>
      </c>
      <c r="J2068" s="6" t="n">
        <v>15</v>
      </c>
      <c r="K2068" s="7">
        <f>IF(I2068="","",I2068*(1+J2068/100))</f>
        <v/>
      </c>
      <c r="L2068" s="12" t="inlineStr"/>
      <c r="M2068" s="8">
        <f>IF(OR(L2068="",K2068="",L2068=0),"",
  (L2068-K2068)/L2068*100)</f>
        <v/>
      </c>
      <c r="N2068" s="9" t="inlineStr"/>
      <c r="O2068" s="10" t="inlineStr"/>
      <c r="P2068" s="10" t="inlineStr"/>
      <c r="Q2068" s="10" t="inlineStr"/>
      <c r="R2068" s="10" t="inlineStr">
        <is>
          <t>2026-03-12</t>
        </is>
      </c>
      <c r="S2068" s="10" t="inlineStr"/>
    </row>
    <row r="2069">
      <c r="A2069" s="3" t="inlineStr">
        <is>
          <t>F02528</t>
        </is>
      </c>
      <c r="B2069" s="4" t="inlineStr">
        <is>
          <t>F02528</t>
        </is>
      </c>
      <c r="C2069" s="4" t="inlineStr"/>
      <c r="D2069" s="4" t="inlineStr">
        <is>
          <t>6009705651481</t>
        </is>
      </c>
      <c r="E2069" s="3" t="inlineStr">
        <is>
          <t>SILICONE SEALANT ALCO 660AC BRONZE 300ML</t>
        </is>
      </c>
      <c r="F2069" s="4" t="inlineStr"/>
      <c r="G2069" s="4" t="inlineStr"/>
      <c r="H2069" s="4" t="inlineStr"/>
      <c r="I2069" s="5" t="n">
        <v>22.95</v>
      </c>
      <c r="J2069" s="6" t="n">
        <v>15</v>
      </c>
      <c r="K2069" s="7">
        <f>IF(I2069="","",I2069*(1+J2069/100))</f>
        <v/>
      </c>
      <c r="L2069" s="12" t="inlineStr"/>
      <c r="M2069" s="8">
        <f>IF(OR(L2069="",K2069="",L2069=0),"",
  (L2069-K2069)/L2069*100)</f>
        <v/>
      </c>
      <c r="N2069" s="14" t="n">
        <v>173</v>
      </c>
      <c r="O2069" s="4" t="inlineStr"/>
      <c r="P2069" s="4" t="inlineStr"/>
      <c r="Q2069" s="4" t="inlineStr"/>
      <c r="R2069" s="4" t="inlineStr">
        <is>
          <t>2026-03-12</t>
        </is>
      </c>
      <c r="S2069" s="4" t="inlineStr"/>
    </row>
    <row r="2070">
      <c r="A2070" s="10" t="inlineStr">
        <is>
          <t>F02529</t>
        </is>
      </c>
      <c r="B2070" s="10" t="inlineStr">
        <is>
          <t>F02529</t>
        </is>
      </c>
      <c r="C2070" s="10" t="inlineStr"/>
      <c r="D2070" s="10" t="inlineStr">
        <is>
          <t>6009705651498</t>
        </is>
      </c>
      <c r="E2070" s="10" t="inlineStr">
        <is>
          <t>GLUE LIQUID NAIL/NAIL FREE  ALCO 300ML</t>
        </is>
      </c>
      <c r="F2070" s="10" t="inlineStr"/>
      <c r="G2070" s="10" t="inlineStr"/>
      <c r="H2070" s="10" t="inlineStr"/>
      <c r="I2070" s="11" t="n">
        <v>29.95</v>
      </c>
      <c r="J2070" s="6" t="n">
        <v>15</v>
      </c>
      <c r="K2070" s="7">
        <f>IF(I2070="","",I2070*(1+J2070/100))</f>
        <v/>
      </c>
      <c r="L2070" s="12" t="inlineStr"/>
      <c r="M2070" s="8">
        <f>IF(OR(L2070="",K2070="",L2070=0),"",
  (L2070-K2070)/L2070*100)</f>
        <v/>
      </c>
      <c r="N2070" s="9" t="inlineStr"/>
      <c r="O2070" s="10" t="inlineStr"/>
      <c r="P2070" s="10" t="inlineStr"/>
      <c r="Q2070" s="10" t="inlineStr"/>
      <c r="R2070" s="10" t="inlineStr">
        <is>
          <t>2026-03-12</t>
        </is>
      </c>
      <c r="S2070" s="10" t="inlineStr"/>
    </row>
    <row r="2071">
      <c r="A2071" s="3" t="inlineStr">
        <is>
          <t>F02530</t>
        </is>
      </c>
      <c r="B2071" s="4" t="inlineStr">
        <is>
          <t>F02530</t>
        </is>
      </c>
      <c r="C2071" s="4" t="inlineStr"/>
      <c r="D2071" s="4" t="inlineStr">
        <is>
          <t>6975274730110</t>
        </is>
      </c>
      <c r="E2071" s="3" t="inlineStr">
        <is>
          <t>PU FOAM -HOMEY 80PF 750S-OFF WHITE</t>
        </is>
      </c>
      <c r="F2071" s="4" t="inlineStr"/>
      <c r="G2071" s="4" t="inlineStr"/>
      <c r="H2071" s="4" t="inlineStr"/>
      <c r="I2071" s="5" t="n">
        <v>72.95</v>
      </c>
      <c r="J2071" s="6" t="n">
        <v>15</v>
      </c>
      <c r="K2071" s="7">
        <f>IF(I2071="","",I2071*(1+J2071/100))</f>
        <v/>
      </c>
      <c r="L2071" s="12" t="inlineStr"/>
      <c r="M2071" s="8">
        <f>IF(OR(L2071="",K2071="",L2071=0),"",
  (L2071-K2071)/L2071*100)</f>
        <v/>
      </c>
      <c r="N2071" s="9" t="inlineStr"/>
      <c r="O2071" s="4" t="inlineStr"/>
      <c r="P2071" s="4" t="inlineStr"/>
      <c r="Q2071" s="4" t="inlineStr"/>
      <c r="R2071" s="4" t="inlineStr">
        <is>
          <t>2026-03-12</t>
        </is>
      </c>
      <c r="S2071" s="4" t="inlineStr"/>
    </row>
    <row r="2072">
      <c r="A2072" s="10" t="inlineStr">
        <is>
          <t>F02531</t>
        </is>
      </c>
      <c r="B2072" s="10" t="inlineStr">
        <is>
          <t>F02531</t>
        </is>
      </c>
      <c r="C2072" s="10" t="inlineStr"/>
      <c r="D2072" s="10" t="inlineStr"/>
      <c r="E2072" s="10" t="inlineStr">
        <is>
          <t>SHOWING STAND</t>
        </is>
      </c>
      <c r="F2072" s="10" t="inlineStr"/>
      <c r="G2072" s="10" t="inlineStr"/>
      <c r="H2072" s="10" t="inlineStr"/>
      <c r="I2072" s="11" t="n">
        <v>2</v>
      </c>
      <c r="J2072" s="6" t="n">
        <v>15</v>
      </c>
      <c r="K2072" s="7">
        <f>IF(I2072="","",I2072*(1+J2072/100))</f>
        <v/>
      </c>
      <c r="L2072" s="12" t="inlineStr"/>
      <c r="M2072" s="8">
        <f>IF(OR(L2072="",K2072="",L2072=0),"",
  (L2072-K2072)/L2072*100)</f>
        <v/>
      </c>
      <c r="N2072" s="13" t="n">
        <v>1</v>
      </c>
      <c r="O2072" s="10" t="inlineStr"/>
      <c r="P2072" s="10" t="inlineStr"/>
      <c r="Q2072" s="10" t="inlineStr"/>
      <c r="R2072" s="10" t="inlineStr">
        <is>
          <t>2026-03-12</t>
        </is>
      </c>
      <c r="S2072" s="10" t="inlineStr"/>
    </row>
    <row r="2073">
      <c r="A2073" s="3" t="inlineStr">
        <is>
          <t>F02532</t>
        </is>
      </c>
      <c r="B2073" s="4" t="inlineStr">
        <is>
          <t>F02532</t>
        </is>
      </c>
      <c r="C2073" s="4" t="inlineStr"/>
      <c r="D2073" s="4" t="inlineStr"/>
      <c r="E2073" s="3" t="inlineStr">
        <is>
          <t>SHOWING STAND SET</t>
        </is>
      </c>
      <c r="F2073" s="4" t="inlineStr"/>
      <c r="G2073" s="4" t="inlineStr"/>
      <c r="H2073" s="4" t="inlineStr"/>
      <c r="I2073" s="5" t="n">
        <v>2</v>
      </c>
      <c r="J2073" s="6" t="n">
        <v>15</v>
      </c>
      <c r="K2073" s="7">
        <f>IF(I2073="","",I2073*(1+J2073/100))</f>
        <v/>
      </c>
      <c r="L2073" s="12" t="inlineStr"/>
      <c r="M2073" s="8">
        <f>IF(OR(L2073="",K2073="",L2073=0),"",
  (L2073-K2073)/L2073*100)</f>
        <v/>
      </c>
      <c r="N2073" s="14" t="n">
        <v>2</v>
      </c>
      <c r="O2073" s="4" t="inlineStr"/>
      <c r="P2073" s="4" t="inlineStr"/>
      <c r="Q2073" s="4" t="inlineStr"/>
      <c r="R2073" s="4" t="inlineStr">
        <is>
          <t>2026-03-12</t>
        </is>
      </c>
      <c r="S2073" s="4" t="inlineStr"/>
    </row>
    <row r="2074">
      <c r="A2074" s="10" t="inlineStr">
        <is>
          <t>F02533</t>
        </is>
      </c>
      <c r="B2074" s="10" t="inlineStr">
        <is>
          <t>F02533</t>
        </is>
      </c>
      <c r="C2074" s="10" t="inlineStr"/>
      <c r="D2074" s="10" t="inlineStr">
        <is>
          <t>6009705651405</t>
        </is>
      </c>
      <c r="E2074" s="10" t="inlineStr">
        <is>
          <t>SILICONE SCRAPERS</t>
        </is>
      </c>
      <c r="F2074" s="10" t="inlineStr"/>
      <c r="G2074" s="10" t="inlineStr"/>
      <c r="H2074" s="10" t="inlineStr"/>
      <c r="I2074" s="11" t="n">
        <v>2</v>
      </c>
      <c r="J2074" s="6" t="n">
        <v>15</v>
      </c>
      <c r="K2074" s="7">
        <f>IF(I2074="","",I2074*(1+J2074/100))</f>
        <v/>
      </c>
      <c r="L2074" s="12" t="inlineStr"/>
      <c r="M2074" s="8">
        <f>IF(OR(L2074="",K2074="",L2074=0),"",
  (L2074-K2074)/L2074*100)</f>
        <v/>
      </c>
      <c r="N2074" s="13" t="n">
        <v>348</v>
      </c>
      <c r="O2074" s="10" t="inlineStr"/>
      <c r="P2074" s="10" t="inlineStr"/>
      <c r="Q2074" s="10" t="inlineStr"/>
      <c r="R2074" s="10" t="inlineStr">
        <is>
          <t>2026-03-12</t>
        </is>
      </c>
      <c r="S2074" s="10" t="inlineStr"/>
    </row>
    <row r="2075">
      <c r="A2075" s="3" t="inlineStr">
        <is>
          <t>F02534</t>
        </is>
      </c>
      <c r="B2075" s="4" t="inlineStr">
        <is>
          <t>F02534</t>
        </is>
      </c>
      <c r="C2075" s="4" t="inlineStr"/>
      <c r="D2075" s="4" t="inlineStr">
        <is>
          <t>6009705650361</t>
        </is>
      </c>
      <c r="E2075" s="3" t="inlineStr">
        <is>
          <t>DINNER SET 12PC SILVER LINE EDGE</t>
        </is>
      </c>
      <c r="F2075" s="4" t="inlineStr"/>
      <c r="G2075" s="4" t="inlineStr"/>
      <c r="H2075" s="4" t="inlineStr"/>
      <c r="I2075" s="5" t="n">
        <v>2</v>
      </c>
      <c r="J2075" s="6" t="n">
        <v>15</v>
      </c>
      <c r="K2075" s="7">
        <f>IF(I2075="","",I2075*(1+J2075/100))</f>
        <v/>
      </c>
      <c r="L2075" s="12" t="inlineStr"/>
      <c r="M2075" s="8">
        <f>IF(OR(L2075="",K2075="",L2075=0),"",
  (L2075-K2075)/L2075*100)</f>
        <v/>
      </c>
      <c r="N2075" s="9" t="inlineStr"/>
      <c r="O2075" s="4" t="inlineStr"/>
      <c r="P2075" s="4" t="inlineStr"/>
      <c r="Q2075" s="4" t="inlineStr"/>
      <c r="R2075" s="4" t="inlineStr">
        <is>
          <t>2026-03-12</t>
        </is>
      </c>
      <c r="S2075" s="4" t="inlineStr"/>
    </row>
    <row r="2076">
      <c r="A2076" s="10" t="inlineStr">
        <is>
          <t>F02535</t>
        </is>
      </c>
      <c r="B2076" s="10" t="inlineStr">
        <is>
          <t>F02535</t>
        </is>
      </c>
      <c r="C2076" s="10" t="inlineStr"/>
      <c r="D2076" s="10" t="inlineStr">
        <is>
          <t>6009705650385</t>
        </is>
      </c>
      <c r="E2076" s="10" t="inlineStr">
        <is>
          <t>ICE MOULD -ICE TRAY PLASTIC</t>
        </is>
      </c>
      <c r="F2076" s="10" t="inlineStr"/>
      <c r="G2076" s="10" t="inlineStr"/>
      <c r="H2076" s="10" t="inlineStr"/>
      <c r="I2076" s="11" t="n">
        <v>9.5</v>
      </c>
      <c r="J2076" s="6" t="n">
        <v>15</v>
      </c>
      <c r="K2076" s="7">
        <f>IF(I2076="","",I2076*(1+J2076/100))</f>
        <v/>
      </c>
      <c r="L2076" s="12" t="inlineStr"/>
      <c r="M2076" s="8">
        <f>IF(OR(L2076="",K2076="",L2076=0),"",
  (L2076-K2076)/L2076*100)</f>
        <v/>
      </c>
      <c r="N2076" s="13" t="n">
        <v>2990</v>
      </c>
      <c r="O2076" s="10" t="inlineStr"/>
      <c r="P2076" s="10" t="inlineStr"/>
      <c r="Q2076" s="10" t="inlineStr"/>
      <c r="R2076" s="10" t="inlineStr">
        <is>
          <t>2026-03-12</t>
        </is>
      </c>
      <c r="S2076" s="10" t="inlineStr"/>
    </row>
    <row r="2077">
      <c r="A2077" s="3" t="inlineStr">
        <is>
          <t>F02536</t>
        </is>
      </c>
      <c r="B2077" s="4" t="inlineStr">
        <is>
          <t>F02536</t>
        </is>
      </c>
      <c r="C2077" s="4" t="inlineStr"/>
      <c r="D2077" s="4" t="inlineStr">
        <is>
          <t>6009705650392</t>
        </is>
      </c>
      <c r="E2077" s="3" t="inlineStr">
        <is>
          <t>SPOON TEA 6S HEAVY DUTY STAINLESS /ST</t>
        </is>
      </c>
      <c r="F2077" s="4" t="inlineStr"/>
      <c r="G2077" s="4" t="inlineStr"/>
      <c r="H2077" s="4" t="inlineStr"/>
      <c r="I2077" s="5" t="n">
        <v>18.95</v>
      </c>
      <c r="J2077" s="6" t="n">
        <v>15</v>
      </c>
      <c r="K2077" s="7">
        <f>IF(I2077="","",I2077*(1+J2077/100))</f>
        <v/>
      </c>
      <c r="L2077" s="12" t="inlineStr"/>
      <c r="M2077" s="8">
        <f>IF(OR(L2077="",K2077="",L2077=0),"",
  (L2077-K2077)/L2077*100)</f>
        <v/>
      </c>
      <c r="N2077" s="9" t="inlineStr"/>
      <c r="O2077" s="4" t="inlineStr"/>
      <c r="P2077" s="4" t="inlineStr"/>
      <c r="Q2077" s="4" t="inlineStr"/>
      <c r="R2077" s="4" t="inlineStr">
        <is>
          <t>2026-03-12</t>
        </is>
      </c>
      <c r="S2077" s="4" t="inlineStr"/>
    </row>
    <row r="2078">
      <c r="A2078" s="10" t="inlineStr">
        <is>
          <t>F02537</t>
        </is>
      </c>
      <c r="B2078" s="10" t="inlineStr">
        <is>
          <t>F02537</t>
        </is>
      </c>
      <c r="C2078" s="10" t="inlineStr"/>
      <c r="D2078" s="10" t="inlineStr">
        <is>
          <t>6009705650408</t>
        </is>
      </c>
      <c r="E2078" s="10" t="inlineStr">
        <is>
          <t>SPOON TABLE  6S HEVY DUTY STAINESS/ST</t>
        </is>
      </c>
      <c r="F2078" s="10" t="inlineStr"/>
      <c r="G2078" s="10" t="inlineStr"/>
      <c r="H2078" s="10" t="inlineStr"/>
      <c r="I2078" s="11" t="n">
        <v>24.95</v>
      </c>
      <c r="J2078" s="6" t="n">
        <v>15</v>
      </c>
      <c r="K2078" s="7">
        <f>IF(I2078="","",I2078*(1+J2078/100))</f>
        <v/>
      </c>
      <c r="L2078" s="12" t="inlineStr"/>
      <c r="M2078" s="8">
        <f>IF(OR(L2078="",K2078="",L2078=0),"",
  (L2078-K2078)/L2078*100)</f>
        <v/>
      </c>
      <c r="N2078" s="9" t="inlineStr"/>
      <c r="O2078" s="10" t="inlineStr"/>
      <c r="P2078" s="10" t="inlineStr"/>
      <c r="Q2078" s="10" t="inlineStr"/>
      <c r="R2078" s="10" t="inlineStr">
        <is>
          <t>2026-03-12</t>
        </is>
      </c>
      <c r="S2078" s="10" t="inlineStr"/>
    </row>
    <row r="2079">
      <c r="A2079" s="3" t="inlineStr">
        <is>
          <t>F02538</t>
        </is>
      </c>
      <c r="B2079" s="4" t="inlineStr">
        <is>
          <t>F02538</t>
        </is>
      </c>
      <c r="C2079" s="4" t="inlineStr"/>
      <c r="D2079" s="4" t="inlineStr">
        <is>
          <t>6009705650415</t>
        </is>
      </c>
      <c r="E2079" s="3" t="inlineStr">
        <is>
          <t>KNIFE HEAVY DUTY STAINLESS/STEEL</t>
        </is>
      </c>
      <c r="F2079" s="4" t="inlineStr"/>
      <c r="G2079" s="4" t="inlineStr"/>
      <c r="H2079" s="4" t="inlineStr"/>
      <c r="I2079" s="5" t="n">
        <v>32.5</v>
      </c>
      <c r="J2079" s="6" t="n">
        <v>15</v>
      </c>
      <c r="K2079" s="7">
        <f>IF(I2079="","",I2079*(1+J2079/100))</f>
        <v/>
      </c>
      <c r="L2079" s="12" t="inlineStr"/>
      <c r="M2079" s="8">
        <f>IF(OR(L2079="",K2079="",L2079=0),"",
  (L2079-K2079)/L2079*100)</f>
        <v/>
      </c>
      <c r="N2079" s="14" t="n">
        <v>174</v>
      </c>
      <c r="O2079" s="4" t="inlineStr"/>
      <c r="P2079" s="4" t="inlineStr"/>
      <c r="Q2079" s="4" t="inlineStr"/>
      <c r="R2079" s="4" t="inlineStr">
        <is>
          <t>2026-03-12</t>
        </is>
      </c>
      <c r="S2079" s="4" t="inlineStr"/>
    </row>
    <row r="2080">
      <c r="A2080" s="10" t="inlineStr">
        <is>
          <t>F02539</t>
        </is>
      </c>
      <c r="B2080" s="10" t="inlineStr">
        <is>
          <t>F02539</t>
        </is>
      </c>
      <c r="C2080" s="10" t="inlineStr"/>
      <c r="D2080" s="10" t="inlineStr">
        <is>
          <t>6009705650422</t>
        </is>
      </c>
      <c r="E2080" s="10" t="inlineStr">
        <is>
          <t>FORK HEAVY DUTY STAINLESS/ST</t>
        </is>
      </c>
      <c r="F2080" s="10" t="inlineStr"/>
      <c r="G2080" s="10" t="inlineStr"/>
      <c r="H2080" s="10" t="inlineStr"/>
      <c r="I2080" s="11" t="n">
        <v>24.95</v>
      </c>
      <c r="J2080" s="6" t="n">
        <v>15</v>
      </c>
      <c r="K2080" s="7">
        <f>IF(I2080="","",I2080*(1+J2080/100))</f>
        <v/>
      </c>
      <c r="L2080" s="12" t="inlineStr"/>
      <c r="M2080" s="8">
        <f>IF(OR(L2080="",K2080="",L2080=0),"",
  (L2080-K2080)/L2080*100)</f>
        <v/>
      </c>
      <c r="N2080" s="9" t="inlineStr"/>
      <c r="O2080" s="10" t="inlineStr"/>
      <c r="P2080" s="10" t="inlineStr"/>
      <c r="Q2080" s="10" t="inlineStr"/>
      <c r="R2080" s="10" t="inlineStr">
        <is>
          <t>2026-03-12</t>
        </is>
      </c>
      <c r="S2080" s="10" t="inlineStr"/>
    </row>
    <row r="2081">
      <c r="A2081" s="3" t="inlineStr">
        <is>
          <t>F02540</t>
        </is>
      </c>
      <c r="B2081" s="4" t="inlineStr">
        <is>
          <t>F02540</t>
        </is>
      </c>
      <c r="C2081" s="4" t="inlineStr"/>
      <c r="D2081" s="4" t="inlineStr">
        <is>
          <t>6009705650439</t>
        </is>
      </c>
      <c r="E2081" s="3" t="inlineStr">
        <is>
          <t>STRAINER STEEL 7''8''10''</t>
        </is>
      </c>
      <c r="F2081" s="4" t="inlineStr"/>
      <c r="G2081" s="4" t="inlineStr"/>
      <c r="H2081" s="4" t="inlineStr"/>
      <c r="I2081" s="5" t="n">
        <v>16.95</v>
      </c>
      <c r="J2081" s="6" t="n">
        <v>15</v>
      </c>
      <c r="K2081" s="7">
        <f>IF(I2081="","",I2081*(1+J2081/100))</f>
        <v/>
      </c>
      <c r="L2081" s="12" t="inlineStr"/>
      <c r="M2081" s="8">
        <f>IF(OR(L2081="",K2081="",L2081=0),"",
  (L2081-K2081)/L2081*100)</f>
        <v/>
      </c>
      <c r="N2081" s="14" t="n">
        <v>51</v>
      </c>
      <c r="O2081" s="4" t="inlineStr"/>
      <c r="P2081" s="4" t="inlineStr"/>
      <c r="Q2081" s="4" t="inlineStr"/>
      <c r="R2081" s="4" t="inlineStr">
        <is>
          <t>2026-03-12</t>
        </is>
      </c>
      <c r="S2081" s="4" t="inlineStr"/>
    </row>
    <row r="2082">
      <c r="A2082" s="10" t="inlineStr">
        <is>
          <t>F02541</t>
        </is>
      </c>
      <c r="B2082" s="10" t="inlineStr">
        <is>
          <t>F02541</t>
        </is>
      </c>
      <c r="C2082" s="10" t="inlineStr"/>
      <c r="D2082" s="10" t="inlineStr">
        <is>
          <t>6009705650446</t>
        </is>
      </c>
      <c r="E2082" s="10" t="inlineStr">
        <is>
          <t>STRAINER STEEL 12''14''16''</t>
        </is>
      </c>
      <c r="F2082" s="10" t="inlineStr"/>
      <c r="G2082" s="10" t="inlineStr"/>
      <c r="H2082" s="10" t="inlineStr"/>
      <c r="I2082" s="11" t="n">
        <v>28.95</v>
      </c>
      <c r="J2082" s="6" t="n">
        <v>15</v>
      </c>
      <c r="K2082" s="7">
        <f>IF(I2082="","",I2082*(1+J2082/100))</f>
        <v/>
      </c>
      <c r="L2082" s="12" t="inlineStr"/>
      <c r="M2082" s="8">
        <f>IF(OR(L2082="",K2082="",L2082=0),"",
  (L2082-K2082)/L2082*100)</f>
        <v/>
      </c>
      <c r="N2082" s="13" t="n">
        <v>253</v>
      </c>
      <c r="O2082" s="10" t="inlineStr"/>
      <c r="P2082" s="10" t="inlineStr"/>
      <c r="Q2082" s="10" t="inlineStr"/>
      <c r="R2082" s="10" t="inlineStr">
        <is>
          <t>2026-03-12</t>
        </is>
      </c>
      <c r="S2082" s="10" t="inlineStr"/>
    </row>
    <row r="2083">
      <c r="A2083" s="3" t="inlineStr">
        <is>
          <t>F02542</t>
        </is>
      </c>
      <c r="B2083" s="4" t="inlineStr">
        <is>
          <t>F02542</t>
        </is>
      </c>
      <c r="C2083" s="4" t="inlineStr"/>
      <c r="D2083" s="4" t="inlineStr">
        <is>
          <t>6009705650453</t>
        </is>
      </c>
      <c r="E2083" s="3" t="inlineStr">
        <is>
          <t>DINNER SET 16PC</t>
        </is>
      </c>
      <c r="F2083" s="4" t="inlineStr"/>
      <c r="G2083" s="4" t="inlineStr"/>
      <c r="H2083" s="4" t="inlineStr"/>
      <c r="I2083" s="5" t="n">
        <v>179</v>
      </c>
      <c r="J2083" s="6" t="n">
        <v>15</v>
      </c>
      <c r="K2083" s="7">
        <f>IF(I2083="","",I2083*(1+J2083/100))</f>
        <v/>
      </c>
      <c r="L2083" s="12" t="inlineStr"/>
      <c r="M2083" s="8">
        <f>IF(OR(L2083="",K2083="",L2083=0),"",
  (L2083-K2083)/L2083*100)</f>
        <v/>
      </c>
      <c r="N2083" s="14" t="n">
        <v>491</v>
      </c>
      <c r="O2083" s="4" t="inlineStr"/>
      <c r="P2083" s="4" t="inlineStr"/>
      <c r="Q2083" s="4" t="inlineStr"/>
      <c r="R2083" s="4" t="inlineStr">
        <is>
          <t>2026-03-12</t>
        </is>
      </c>
      <c r="S2083" s="4" t="inlineStr"/>
    </row>
    <row r="2084">
      <c r="A2084" s="10" t="inlineStr">
        <is>
          <t>F02543</t>
        </is>
      </c>
      <c r="B2084" s="10" t="inlineStr">
        <is>
          <t>F02543</t>
        </is>
      </c>
      <c r="C2084" s="10" t="inlineStr"/>
      <c r="D2084" s="10" t="inlineStr">
        <is>
          <t>6009705650460</t>
        </is>
      </c>
      <c r="E2084" s="10" t="inlineStr">
        <is>
          <t>DINNER SET 4PC</t>
        </is>
      </c>
      <c r="F2084" s="10" t="inlineStr"/>
      <c r="G2084" s="10" t="inlineStr"/>
      <c r="H2084" s="10" t="inlineStr"/>
      <c r="I2084" s="11" t="n">
        <v>49.95</v>
      </c>
      <c r="J2084" s="6" t="n">
        <v>15</v>
      </c>
      <c r="K2084" s="7">
        <f>IF(I2084="","",I2084*(1+J2084/100))</f>
        <v/>
      </c>
      <c r="L2084" s="12" t="inlineStr"/>
      <c r="M2084" s="8">
        <f>IF(OR(L2084="",K2084="",L2084=0),"",
  (L2084-K2084)/L2084*100)</f>
        <v/>
      </c>
      <c r="N2084" s="9" t="inlineStr"/>
      <c r="O2084" s="10" t="inlineStr"/>
      <c r="P2084" s="10" t="inlineStr"/>
      <c r="Q2084" s="10" t="inlineStr"/>
      <c r="R2084" s="10" t="inlineStr">
        <is>
          <t>2026-03-12</t>
        </is>
      </c>
      <c r="S2084" s="10" t="inlineStr"/>
    </row>
    <row r="2085">
      <c r="A2085" s="3" t="inlineStr">
        <is>
          <t>F02544</t>
        </is>
      </c>
      <c r="B2085" s="4" t="inlineStr">
        <is>
          <t>F02544</t>
        </is>
      </c>
      <c r="C2085" s="4" t="inlineStr"/>
      <c r="D2085" s="4" t="inlineStr">
        <is>
          <t>6009705650477</t>
        </is>
      </c>
      <c r="E2085" s="3" t="inlineStr">
        <is>
          <t>IRONING STAND COVER</t>
        </is>
      </c>
      <c r="F2085" s="4" t="inlineStr"/>
      <c r="G2085" s="4" t="inlineStr"/>
      <c r="H2085" s="4" t="inlineStr"/>
      <c r="I2085" s="5" t="n">
        <v>2</v>
      </c>
      <c r="J2085" s="6" t="n">
        <v>15</v>
      </c>
      <c r="K2085" s="7">
        <f>IF(I2085="","",I2085*(1+J2085/100))</f>
        <v/>
      </c>
      <c r="L2085" s="12" t="inlineStr"/>
      <c r="M2085" s="8">
        <f>IF(OR(L2085="",K2085="",L2085=0),"",
  (L2085-K2085)/L2085*100)</f>
        <v/>
      </c>
      <c r="N2085" s="9" t="inlineStr"/>
      <c r="O2085" s="4" t="inlineStr"/>
      <c r="P2085" s="4" t="inlineStr"/>
      <c r="Q2085" s="4" t="inlineStr"/>
      <c r="R2085" s="4" t="inlineStr">
        <is>
          <t>2026-03-12</t>
        </is>
      </c>
      <c r="S2085" s="4" t="inlineStr"/>
    </row>
    <row r="2086">
      <c r="A2086" s="10" t="inlineStr">
        <is>
          <t>F02545</t>
        </is>
      </c>
      <c r="B2086" s="10" t="inlineStr">
        <is>
          <t>F02545</t>
        </is>
      </c>
      <c r="C2086" s="10" t="inlineStr"/>
      <c r="D2086" s="10" t="inlineStr">
        <is>
          <t>6009705650484</t>
        </is>
      </c>
      <c r="E2086" s="10" t="inlineStr">
        <is>
          <t>CAMP CHAIR 19MM TUBE DELUXE</t>
        </is>
      </c>
      <c r="F2086" s="10" t="inlineStr"/>
      <c r="G2086" s="10" t="inlineStr"/>
      <c r="H2086" s="10" t="inlineStr"/>
      <c r="I2086" s="11" t="n">
        <v>229.95</v>
      </c>
      <c r="J2086" s="6" t="n">
        <v>15</v>
      </c>
      <c r="K2086" s="7">
        <f>IF(I2086="","",I2086*(1+J2086/100))</f>
        <v/>
      </c>
      <c r="L2086" s="12" t="inlineStr"/>
      <c r="M2086" s="8">
        <f>IF(OR(L2086="",K2086="",L2086=0),"",
  (L2086-K2086)/L2086*100)</f>
        <v/>
      </c>
      <c r="N2086" s="13" t="n">
        <v>193</v>
      </c>
      <c r="O2086" s="10" t="inlineStr"/>
      <c r="P2086" s="10" t="inlineStr"/>
      <c r="Q2086" s="10" t="inlineStr"/>
      <c r="R2086" s="10" t="inlineStr">
        <is>
          <t>2026-03-12</t>
        </is>
      </c>
      <c r="S2086" s="10" t="inlineStr"/>
    </row>
    <row r="2087">
      <c r="A2087" s="3" t="inlineStr">
        <is>
          <t>F02546</t>
        </is>
      </c>
      <c r="B2087" s="4" t="inlineStr">
        <is>
          <t>F02546</t>
        </is>
      </c>
      <c r="C2087" s="4" t="inlineStr"/>
      <c r="D2087" s="4" t="inlineStr">
        <is>
          <t>6009705650491</t>
        </is>
      </c>
      <c r="E2087" s="3" t="inlineStr">
        <is>
          <t>CAMP CHAIR LOW RECLINE+ POUCH</t>
        </is>
      </c>
      <c r="F2087" s="4" t="inlineStr"/>
      <c r="G2087" s="4" t="inlineStr"/>
      <c r="H2087" s="4" t="inlineStr"/>
      <c r="I2087" s="5" t="n">
        <v>387</v>
      </c>
      <c r="J2087" s="6" t="n">
        <v>15</v>
      </c>
      <c r="K2087" s="7">
        <f>IF(I2087="","",I2087*(1+J2087/100))</f>
        <v/>
      </c>
      <c r="L2087" s="12" t="inlineStr"/>
      <c r="M2087" s="8">
        <f>IF(OR(L2087="",K2087="",L2087=0),"",
  (L2087-K2087)/L2087*100)</f>
        <v/>
      </c>
      <c r="N2087" s="9" t="inlineStr"/>
      <c r="O2087" s="4" t="inlineStr"/>
      <c r="P2087" s="4" t="inlineStr"/>
      <c r="Q2087" s="4" t="inlineStr"/>
      <c r="R2087" s="4" t="inlineStr">
        <is>
          <t>2026-03-12</t>
        </is>
      </c>
      <c r="S2087" s="4" t="inlineStr"/>
    </row>
    <row r="2088">
      <c r="A2088" s="10" t="inlineStr">
        <is>
          <t>F02547</t>
        </is>
      </c>
      <c r="B2088" s="10" t="inlineStr">
        <is>
          <t>F02547</t>
        </is>
      </c>
      <c r="C2088" s="10" t="inlineStr"/>
      <c r="D2088" s="10" t="inlineStr">
        <is>
          <t>6009705650507</t>
        </is>
      </c>
      <c r="E2088" s="10" t="inlineStr">
        <is>
          <t>CAMP CHAIR DIRECTOR HEAVY DUTY+ TABLE</t>
        </is>
      </c>
      <c r="F2088" s="10" t="inlineStr"/>
      <c r="G2088" s="10" t="inlineStr"/>
      <c r="H2088" s="10" t="inlineStr"/>
      <c r="I2088" s="11" t="n">
        <v>389</v>
      </c>
      <c r="J2088" s="6" t="n">
        <v>15</v>
      </c>
      <c r="K2088" s="7">
        <f>IF(I2088="","",I2088*(1+J2088/100))</f>
        <v/>
      </c>
      <c r="L2088" s="12" t="inlineStr"/>
      <c r="M2088" s="8">
        <f>IF(OR(L2088="",K2088="",L2088=0),"",
  (L2088-K2088)/L2088*100)</f>
        <v/>
      </c>
      <c r="N2088" s="13" t="n">
        <v>56</v>
      </c>
      <c r="O2088" s="10" t="inlineStr"/>
      <c r="P2088" s="10" t="inlineStr"/>
      <c r="Q2088" s="10" t="inlineStr"/>
      <c r="R2088" s="10" t="inlineStr">
        <is>
          <t>2026-03-12</t>
        </is>
      </c>
      <c r="S2088" s="10" t="inlineStr"/>
    </row>
    <row r="2089">
      <c r="A2089" s="3" t="inlineStr">
        <is>
          <t>F02548</t>
        </is>
      </c>
      <c r="B2089" s="4" t="inlineStr">
        <is>
          <t>F02548</t>
        </is>
      </c>
      <c r="C2089" s="4" t="inlineStr">
        <is>
          <t>21184</t>
        </is>
      </c>
      <c r="D2089" s="4" t="inlineStr">
        <is>
          <t>6009705650521</t>
        </is>
      </c>
      <c r="E2089" s="3" t="inlineStr">
        <is>
          <t>CAMP CHAIR LOW-ALUM FRAME</t>
        </is>
      </c>
      <c r="F2089" s="4" t="inlineStr"/>
      <c r="G2089" s="4" t="inlineStr"/>
      <c r="H2089" s="4" t="inlineStr"/>
      <c r="I2089" s="5" t="n">
        <v>239</v>
      </c>
      <c r="J2089" s="6" t="n">
        <v>15</v>
      </c>
      <c r="K2089" s="7">
        <f>IF(I2089="","",I2089*(1+J2089/100))</f>
        <v/>
      </c>
      <c r="L2089" s="5" t="n">
        <v>550</v>
      </c>
      <c r="M2089" s="8">
        <f>IF(OR(L2089="",K2089="",L2089=0),"",
  (L2089-K2089)/L2089*100)</f>
        <v/>
      </c>
      <c r="N2089" s="9" t="inlineStr"/>
      <c r="O2089" s="4" t="inlineStr"/>
      <c r="P2089" s="4" t="inlineStr"/>
      <c r="Q2089" s="4" t="inlineStr"/>
      <c r="R2089" s="4" t="inlineStr">
        <is>
          <t>2026-03-12</t>
        </is>
      </c>
      <c r="S2089" s="4" t="inlineStr"/>
    </row>
    <row r="2090">
      <c r="A2090" s="10" t="inlineStr">
        <is>
          <t>F02549</t>
        </is>
      </c>
      <c r="B2090" s="10" t="inlineStr">
        <is>
          <t>F02549</t>
        </is>
      </c>
      <c r="C2090" s="10" t="inlineStr">
        <is>
          <t>32056</t>
        </is>
      </c>
      <c r="D2090" s="10" t="inlineStr">
        <is>
          <t>6009705650545</t>
        </is>
      </c>
      <c r="E2090" s="10" t="inlineStr">
        <is>
          <t>CUTTING DISK  CIRCULAR SAW 115X 24T</t>
        </is>
      </c>
      <c r="F2090" s="10" t="inlineStr"/>
      <c r="G2090" s="10" t="inlineStr"/>
      <c r="H2090" s="10" t="inlineStr"/>
      <c r="I2090" s="11" t="n">
        <v>18.95</v>
      </c>
      <c r="J2090" s="6" t="n">
        <v>15</v>
      </c>
      <c r="K2090" s="7">
        <f>IF(I2090="","",I2090*(1+J2090/100))</f>
        <v/>
      </c>
      <c r="L2090" s="11" t="n">
        <v>39</v>
      </c>
      <c r="M2090" s="8">
        <f>IF(OR(L2090="",K2090="",L2090=0),"",
  (L2090-K2090)/L2090*100)</f>
        <v/>
      </c>
      <c r="N2090" s="13" t="n">
        <v>3</v>
      </c>
      <c r="O2090" s="10" t="inlineStr"/>
      <c r="P2090" s="10" t="inlineStr"/>
      <c r="Q2090" s="10" t="inlineStr"/>
      <c r="R2090" s="10" t="inlineStr">
        <is>
          <t>2026-03-12</t>
        </is>
      </c>
      <c r="S2090" s="10" t="inlineStr"/>
    </row>
    <row r="2091">
      <c r="A2091" s="3" t="inlineStr">
        <is>
          <t>F02550</t>
        </is>
      </c>
      <c r="B2091" s="4" t="inlineStr">
        <is>
          <t>F02550</t>
        </is>
      </c>
      <c r="C2091" s="4" t="inlineStr">
        <is>
          <t>32070</t>
        </is>
      </c>
      <c r="D2091" s="4" t="inlineStr"/>
      <c r="E2091" s="3" t="inlineStr">
        <is>
          <t>CUTTING DISK  CIRCULAR SAW 115X 40T</t>
        </is>
      </c>
      <c r="F2091" s="4" t="inlineStr"/>
      <c r="G2091" s="4" t="inlineStr"/>
      <c r="H2091" s="4" t="inlineStr"/>
      <c r="I2091" s="5" t="n">
        <v>20.95</v>
      </c>
      <c r="J2091" s="6" t="n">
        <v>15</v>
      </c>
      <c r="K2091" s="7">
        <f>IF(I2091="","",I2091*(1+J2091/100))</f>
        <v/>
      </c>
      <c r="L2091" s="12" t="inlineStr"/>
      <c r="M2091" s="8">
        <f>IF(OR(L2091="",K2091="",L2091=0),"",
  (L2091-K2091)/L2091*100)</f>
        <v/>
      </c>
      <c r="N2091" s="14" t="n">
        <v>87</v>
      </c>
      <c r="O2091" s="4" t="inlineStr"/>
      <c r="P2091" s="4" t="inlineStr"/>
      <c r="Q2091" s="4" t="inlineStr"/>
      <c r="R2091" s="4" t="inlineStr">
        <is>
          <t>2026-03-12</t>
        </is>
      </c>
      <c r="S2091" s="4" t="inlineStr"/>
    </row>
    <row r="2092">
      <c r="A2092" s="10" t="inlineStr">
        <is>
          <t>F02551</t>
        </is>
      </c>
      <c r="B2092" s="10" t="inlineStr">
        <is>
          <t>F02551</t>
        </is>
      </c>
      <c r="C2092" s="10" t="inlineStr"/>
      <c r="D2092" s="10" t="inlineStr">
        <is>
          <t>6009705650569</t>
        </is>
      </c>
      <c r="E2092" s="10" t="inlineStr">
        <is>
          <t>CUTTING DISK  CIRCULAR SAW 115X 60T</t>
        </is>
      </c>
      <c r="F2092" s="10" t="inlineStr"/>
      <c r="G2092" s="10" t="inlineStr"/>
      <c r="H2092" s="10" t="inlineStr"/>
      <c r="I2092" s="11" t="n">
        <v>24.5</v>
      </c>
      <c r="J2092" s="6" t="n">
        <v>15</v>
      </c>
      <c r="K2092" s="7">
        <f>IF(I2092="","",I2092*(1+J2092/100))</f>
        <v/>
      </c>
      <c r="L2092" s="12" t="inlineStr"/>
      <c r="M2092" s="8">
        <f>IF(OR(L2092="",K2092="",L2092=0),"",
  (L2092-K2092)/L2092*100)</f>
        <v/>
      </c>
      <c r="N2092" s="13" t="n">
        <v>37</v>
      </c>
      <c r="O2092" s="10" t="inlineStr"/>
      <c r="P2092" s="10" t="inlineStr"/>
      <c r="Q2092" s="10" t="inlineStr"/>
      <c r="R2092" s="10" t="inlineStr">
        <is>
          <t>2026-03-12</t>
        </is>
      </c>
      <c r="S2092" s="10" t="inlineStr"/>
    </row>
    <row r="2093">
      <c r="A2093" s="3" t="inlineStr">
        <is>
          <t>F02552</t>
        </is>
      </c>
      <c r="B2093" s="4" t="inlineStr">
        <is>
          <t>F02552</t>
        </is>
      </c>
      <c r="C2093" s="4" t="inlineStr">
        <is>
          <t>32057</t>
        </is>
      </c>
      <c r="D2093" s="4" t="inlineStr">
        <is>
          <t>6009705650576</t>
        </is>
      </c>
      <c r="E2093" s="3" t="inlineStr">
        <is>
          <t>CUTTING DISK  CIRCULAR SAW 180 X 24T</t>
        </is>
      </c>
      <c r="F2093" s="4" t="inlineStr"/>
      <c r="G2093" s="4" t="inlineStr"/>
      <c r="H2093" s="4" t="inlineStr"/>
      <c r="I2093" s="5" t="n">
        <v>38.5</v>
      </c>
      <c r="J2093" s="6" t="n">
        <v>15</v>
      </c>
      <c r="K2093" s="7">
        <f>IF(I2093="","",I2093*(1+J2093/100))</f>
        <v/>
      </c>
      <c r="L2093" s="5" t="n">
        <v>65</v>
      </c>
      <c r="M2093" s="8">
        <f>IF(OR(L2093="",K2093="",L2093=0),"",
  (L2093-K2093)/L2093*100)</f>
        <v/>
      </c>
      <c r="N2093" s="14" t="n">
        <v>186</v>
      </c>
      <c r="O2093" s="4" t="inlineStr"/>
      <c r="P2093" s="4" t="inlineStr"/>
      <c r="Q2093" s="4" t="inlineStr"/>
      <c r="R2093" s="4" t="inlineStr">
        <is>
          <t>2026-03-12</t>
        </is>
      </c>
      <c r="S2093" s="4" t="inlineStr"/>
    </row>
    <row r="2094">
      <c r="A2094" s="10" t="inlineStr">
        <is>
          <t>F02553</t>
        </is>
      </c>
      <c r="B2094" s="10" t="inlineStr">
        <is>
          <t>F02553</t>
        </is>
      </c>
      <c r="C2094" s="10" t="inlineStr">
        <is>
          <t>32071</t>
        </is>
      </c>
      <c r="D2094" s="10" t="inlineStr">
        <is>
          <t>6009705650583</t>
        </is>
      </c>
      <c r="E2094" s="10" t="inlineStr">
        <is>
          <t>CUTTING DISK  CIRCULAR SAW 180 X 40T</t>
        </is>
      </c>
      <c r="F2094" s="10" t="inlineStr"/>
      <c r="G2094" s="10" t="inlineStr"/>
      <c r="H2094" s="10" t="inlineStr"/>
      <c r="I2094" s="11" t="n">
        <v>41.5</v>
      </c>
      <c r="J2094" s="6" t="n">
        <v>15</v>
      </c>
      <c r="K2094" s="7">
        <f>IF(I2094="","",I2094*(1+J2094/100))</f>
        <v/>
      </c>
      <c r="L2094" s="12" t="inlineStr"/>
      <c r="M2094" s="8">
        <f>IF(OR(L2094="",K2094="",L2094=0),"",
  (L2094-K2094)/L2094*100)</f>
        <v/>
      </c>
      <c r="N2094" s="13" t="n">
        <v>175</v>
      </c>
      <c r="O2094" s="10" t="inlineStr"/>
      <c r="P2094" s="10" t="inlineStr"/>
      <c r="Q2094" s="10" t="inlineStr"/>
      <c r="R2094" s="10" t="inlineStr">
        <is>
          <t>2026-03-12</t>
        </is>
      </c>
      <c r="S2094" s="10" t="inlineStr"/>
    </row>
    <row r="2095">
      <c r="A2095" s="3" t="inlineStr">
        <is>
          <t>F02554</t>
        </is>
      </c>
      <c r="B2095" s="4" t="inlineStr">
        <is>
          <t>F02554</t>
        </is>
      </c>
      <c r="C2095" s="4" t="inlineStr"/>
      <c r="D2095" s="4" t="inlineStr">
        <is>
          <t>6009705650590</t>
        </is>
      </c>
      <c r="E2095" s="3" t="inlineStr">
        <is>
          <t>CUTTING DISK  CIRCULAR SAW 180 X 60T</t>
        </is>
      </c>
      <c r="F2095" s="4" t="inlineStr"/>
      <c r="G2095" s="4" t="inlineStr"/>
      <c r="H2095" s="4" t="inlineStr"/>
      <c r="I2095" s="5" t="n">
        <v>51.5</v>
      </c>
      <c r="J2095" s="6" t="n">
        <v>15</v>
      </c>
      <c r="K2095" s="7">
        <f>IF(I2095="","",I2095*(1+J2095/100))</f>
        <v/>
      </c>
      <c r="L2095" s="12" t="inlineStr"/>
      <c r="M2095" s="8">
        <f>IF(OR(L2095="",K2095="",L2095=0),"",
  (L2095-K2095)/L2095*100)</f>
        <v/>
      </c>
      <c r="N2095" s="14" t="n">
        <v>53</v>
      </c>
      <c r="O2095" s="4" t="inlineStr"/>
      <c r="P2095" s="4" t="inlineStr"/>
      <c r="Q2095" s="4" t="inlineStr"/>
      <c r="R2095" s="4" t="inlineStr">
        <is>
          <t>2026-03-12</t>
        </is>
      </c>
      <c r="S2095" s="4" t="inlineStr"/>
    </row>
    <row r="2096">
      <c r="A2096" s="10" t="inlineStr">
        <is>
          <t>F02555</t>
        </is>
      </c>
      <c r="B2096" s="10" t="inlineStr">
        <is>
          <t>F02555</t>
        </is>
      </c>
      <c r="C2096" s="10" t="inlineStr">
        <is>
          <t>32058</t>
        </is>
      </c>
      <c r="D2096" s="10" t="inlineStr">
        <is>
          <t>6009705650606</t>
        </is>
      </c>
      <c r="E2096" s="10" t="inlineStr">
        <is>
          <t>CUTTING DISK  CIRCULAR SAW 230 X 24T</t>
        </is>
      </c>
      <c r="F2096" s="10" t="inlineStr"/>
      <c r="G2096" s="10" t="inlineStr"/>
      <c r="H2096" s="10" t="inlineStr"/>
      <c r="I2096" s="11" t="n">
        <v>42.95</v>
      </c>
      <c r="J2096" s="6" t="n">
        <v>15</v>
      </c>
      <c r="K2096" s="7">
        <f>IF(I2096="","",I2096*(1+J2096/100))</f>
        <v/>
      </c>
      <c r="L2096" s="11" t="n">
        <v>75</v>
      </c>
      <c r="M2096" s="8">
        <f>IF(OR(L2096="",K2096="",L2096=0),"",
  (L2096-K2096)/L2096*100)</f>
        <v/>
      </c>
      <c r="N2096" s="9" t="inlineStr"/>
      <c r="O2096" s="10" t="inlineStr"/>
      <c r="P2096" s="10" t="inlineStr"/>
      <c r="Q2096" s="10" t="inlineStr"/>
      <c r="R2096" s="10" t="inlineStr">
        <is>
          <t>2026-03-12</t>
        </is>
      </c>
      <c r="S2096" s="10" t="inlineStr"/>
    </row>
    <row r="2097">
      <c r="A2097" s="3" t="inlineStr">
        <is>
          <t>F02556</t>
        </is>
      </c>
      <c r="B2097" s="4" t="inlineStr">
        <is>
          <t>F02556</t>
        </is>
      </c>
      <c r="C2097" s="4" t="inlineStr">
        <is>
          <t>32072</t>
        </is>
      </c>
      <c r="D2097" s="4" t="inlineStr">
        <is>
          <t>6009705650613</t>
        </is>
      </c>
      <c r="E2097" s="3" t="inlineStr">
        <is>
          <t>CUTTING DISK  CIRCULAR SAW 230 X 40T</t>
        </is>
      </c>
      <c r="F2097" s="4" t="inlineStr"/>
      <c r="G2097" s="4" t="inlineStr"/>
      <c r="H2097" s="4" t="inlineStr"/>
      <c r="I2097" s="5" t="n">
        <v>51.95</v>
      </c>
      <c r="J2097" s="6" t="n">
        <v>15</v>
      </c>
      <c r="K2097" s="7">
        <f>IF(I2097="","",I2097*(1+J2097/100))</f>
        <v/>
      </c>
      <c r="L2097" s="12" t="inlineStr"/>
      <c r="M2097" s="8">
        <f>IF(OR(L2097="",K2097="",L2097=0),"",
  (L2097-K2097)/L2097*100)</f>
        <v/>
      </c>
      <c r="N2097" s="14" t="n">
        <v>8</v>
      </c>
      <c r="O2097" s="4" t="inlineStr"/>
      <c r="P2097" s="4" t="inlineStr"/>
      <c r="Q2097" s="4" t="inlineStr"/>
      <c r="R2097" s="4" t="inlineStr">
        <is>
          <t>2026-03-12</t>
        </is>
      </c>
      <c r="S2097" s="4" t="inlineStr"/>
    </row>
    <row r="2098">
      <c r="A2098" s="10" t="inlineStr">
        <is>
          <t>F02557</t>
        </is>
      </c>
      <c r="B2098" s="10" t="inlineStr">
        <is>
          <t>F02557</t>
        </is>
      </c>
      <c r="C2098" s="10" t="inlineStr"/>
      <c r="D2098" s="10" t="inlineStr">
        <is>
          <t>6009705650675</t>
        </is>
      </c>
      <c r="E2098" s="10" t="inlineStr">
        <is>
          <t>CUTTING DISK  CIRCULAR SAW 230 X 60T</t>
        </is>
      </c>
      <c r="F2098" s="10" t="inlineStr"/>
      <c r="G2098" s="10" t="inlineStr"/>
      <c r="H2098" s="10" t="inlineStr"/>
      <c r="I2098" s="11" t="n">
        <v>55.95</v>
      </c>
      <c r="J2098" s="6" t="n">
        <v>15</v>
      </c>
      <c r="K2098" s="7">
        <f>IF(I2098="","",I2098*(1+J2098/100))</f>
        <v/>
      </c>
      <c r="L2098" s="12" t="inlineStr"/>
      <c r="M2098" s="8">
        <f>IF(OR(L2098="",K2098="",L2098=0),"",
  (L2098-K2098)/L2098*100)</f>
        <v/>
      </c>
      <c r="N2098" s="13" t="n">
        <v>143</v>
      </c>
      <c r="O2098" s="10" t="inlineStr"/>
      <c r="P2098" s="10" t="inlineStr"/>
      <c r="Q2098" s="10" t="inlineStr"/>
      <c r="R2098" s="10" t="inlineStr">
        <is>
          <t>2026-03-12</t>
        </is>
      </c>
      <c r="S2098" s="10" t="inlineStr"/>
    </row>
    <row r="2099">
      <c r="A2099" s="3" t="inlineStr">
        <is>
          <t>F02558</t>
        </is>
      </c>
      <c r="B2099" s="4" t="inlineStr">
        <is>
          <t>F02558</t>
        </is>
      </c>
      <c r="C2099" s="4" t="inlineStr"/>
      <c r="D2099" s="4" t="inlineStr">
        <is>
          <t>6009705650668</t>
        </is>
      </c>
      <c r="E2099" s="3" t="inlineStr">
        <is>
          <t>CAMP CHAIR PADDED DELUXE HIGH QUALITY</t>
        </is>
      </c>
      <c r="F2099" s="4" t="inlineStr"/>
      <c r="G2099" s="4" t="inlineStr"/>
      <c r="H2099" s="4" t="inlineStr"/>
      <c r="I2099" s="5" t="n">
        <v>249</v>
      </c>
      <c r="J2099" s="6" t="n">
        <v>15</v>
      </c>
      <c r="K2099" s="7">
        <f>IF(I2099="","",I2099*(1+J2099/100))</f>
        <v/>
      </c>
      <c r="L2099" s="12" t="inlineStr"/>
      <c r="M2099" s="8">
        <f>IF(OR(L2099="",K2099="",L2099=0),"",
  (L2099-K2099)/L2099*100)</f>
        <v/>
      </c>
      <c r="N2099" s="14" t="n">
        <v>113</v>
      </c>
      <c r="O2099" s="4" t="inlineStr"/>
      <c r="P2099" s="4" t="inlineStr"/>
      <c r="Q2099" s="4" t="inlineStr"/>
      <c r="R2099" s="4" t="inlineStr">
        <is>
          <t>2026-03-12</t>
        </is>
      </c>
      <c r="S2099" s="4" t="inlineStr"/>
    </row>
    <row r="2100">
      <c r="A2100" s="10" t="inlineStr">
        <is>
          <t>F02559</t>
        </is>
      </c>
      <c r="B2100" s="10" t="inlineStr">
        <is>
          <t>F02559</t>
        </is>
      </c>
      <c r="C2100" s="10" t="inlineStr"/>
      <c r="D2100" s="10" t="inlineStr">
        <is>
          <t>600705650682</t>
        </is>
      </c>
      <c r="E2100" s="10" t="inlineStr">
        <is>
          <t>CAMP CHAIR SUPER DELUXE 22MM TUBE</t>
        </is>
      </c>
      <c r="F2100" s="10" t="inlineStr"/>
      <c r="G2100" s="10" t="inlineStr"/>
      <c r="H2100" s="10" t="inlineStr"/>
      <c r="I2100" s="11" t="n">
        <v>419</v>
      </c>
      <c r="J2100" s="6" t="n">
        <v>15</v>
      </c>
      <c r="K2100" s="7">
        <f>IF(I2100="","",I2100*(1+J2100/100))</f>
        <v/>
      </c>
      <c r="L2100" s="12" t="inlineStr"/>
      <c r="M2100" s="8">
        <f>IF(OR(L2100="",K2100="",L2100=0),"",
  (L2100-K2100)/L2100*100)</f>
        <v/>
      </c>
      <c r="N2100" s="13" t="n">
        <v>83</v>
      </c>
      <c r="O2100" s="10" t="inlineStr"/>
      <c r="P2100" s="10" t="inlineStr"/>
      <c r="Q2100" s="10" t="inlineStr"/>
      <c r="R2100" s="10" t="inlineStr">
        <is>
          <t>2026-03-12</t>
        </is>
      </c>
      <c r="S2100" s="10" t="inlineStr"/>
    </row>
    <row r="2101">
      <c r="A2101" s="3" t="inlineStr">
        <is>
          <t>F02560</t>
        </is>
      </c>
      <c r="B2101" s="4" t="inlineStr">
        <is>
          <t>F02560</t>
        </is>
      </c>
      <c r="C2101" s="4" t="inlineStr"/>
      <c r="D2101" s="4" t="inlineStr">
        <is>
          <t>6009705650699</t>
        </is>
      </c>
      <c r="E2101" s="3" t="inlineStr">
        <is>
          <t>FOOD CLIPPER SMALL TONG</t>
        </is>
      </c>
      <c r="F2101" s="4" t="inlineStr"/>
      <c r="G2101" s="4" t="inlineStr"/>
      <c r="H2101" s="4" t="inlineStr"/>
      <c r="I2101" s="5" t="n">
        <v>8.949999999999999</v>
      </c>
      <c r="J2101" s="6" t="n">
        <v>15</v>
      </c>
      <c r="K2101" s="7">
        <f>IF(I2101="","",I2101*(1+J2101/100))</f>
        <v/>
      </c>
      <c r="L2101" s="12" t="inlineStr"/>
      <c r="M2101" s="8">
        <f>IF(OR(L2101="",K2101="",L2101=0),"",
  (L2101-K2101)/L2101*100)</f>
        <v/>
      </c>
      <c r="N2101" s="14" t="n">
        <v>737</v>
      </c>
      <c r="O2101" s="4" t="inlineStr"/>
      <c r="P2101" s="4" t="inlineStr"/>
      <c r="Q2101" s="4" t="inlineStr"/>
      <c r="R2101" s="4" t="inlineStr">
        <is>
          <t>2026-03-12</t>
        </is>
      </c>
      <c r="S2101" s="4" t="inlineStr"/>
    </row>
    <row r="2102">
      <c r="A2102" s="10" t="inlineStr">
        <is>
          <t>F02561</t>
        </is>
      </c>
      <c r="B2102" s="10" t="inlineStr">
        <is>
          <t>F02561</t>
        </is>
      </c>
      <c r="C2102" s="10" t="inlineStr"/>
      <c r="D2102" s="10" t="inlineStr">
        <is>
          <t>6009705650705</t>
        </is>
      </c>
      <c r="E2102" s="10" t="inlineStr">
        <is>
          <t>FOOD CLIPPER TONG XLARGE</t>
        </is>
      </c>
      <c r="F2102" s="10" t="inlineStr"/>
      <c r="G2102" s="10" t="inlineStr"/>
      <c r="H2102" s="10" t="inlineStr"/>
      <c r="I2102" s="11" t="n">
        <v>17.95</v>
      </c>
      <c r="J2102" s="6" t="n">
        <v>15</v>
      </c>
      <c r="K2102" s="7">
        <f>IF(I2102="","",I2102*(1+J2102/100))</f>
        <v/>
      </c>
      <c r="L2102" s="12" t="inlineStr"/>
      <c r="M2102" s="8">
        <f>IF(OR(L2102="",K2102="",L2102=0),"",
  (L2102-K2102)/L2102*100)</f>
        <v/>
      </c>
      <c r="N2102" s="13" t="n">
        <v>14</v>
      </c>
      <c r="O2102" s="10" t="inlineStr"/>
      <c r="P2102" s="10" t="inlineStr"/>
      <c r="Q2102" s="10" t="inlineStr"/>
      <c r="R2102" s="10" t="inlineStr">
        <is>
          <t>2026-03-12</t>
        </is>
      </c>
      <c r="S2102" s="10" t="inlineStr"/>
    </row>
    <row r="2103">
      <c r="A2103" s="3" t="inlineStr">
        <is>
          <t>F02562</t>
        </is>
      </c>
      <c r="B2103" s="4" t="inlineStr">
        <is>
          <t>F02562</t>
        </is>
      </c>
      <c r="C2103" s="4" t="inlineStr"/>
      <c r="D2103" s="4" t="inlineStr">
        <is>
          <t>6009705650712</t>
        </is>
      </c>
      <c r="E2103" s="3" t="inlineStr">
        <is>
          <t>FOOD FLIPPER NARROW 25.5CM</t>
        </is>
      </c>
      <c r="F2103" s="4" t="inlineStr"/>
      <c r="G2103" s="4" t="inlineStr"/>
      <c r="H2103" s="4" t="inlineStr"/>
      <c r="I2103" s="5" t="n">
        <v>16.95</v>
      </c>
      <c r="J2103" s="6" t="n">
        <v>15</v>
      </c>
      <c r="K2103" s="7">
        <f>IF(I2103="","",I2103*(1+J2103/100))</f>
        <v/>
      </c>
      <c r="L2103" s="12" t="inlineStr"/>
      <c r="M2103" s="8">
        <f>IF(OR(L2103="",K2103="",L2103=0),"",
  (L2103-K2103)/L2103*100)</f>
        <v/>
      </c>
      <c r="N2103" s="14" t="n">
        <v>116</v>
      </c>
      <c r="O2103" s="4" t="inlineStr"/>
      <c r="P2103" s="4" t="inlineStr"/>
      <c r="Q2103" s="4" t="inlineStr"/>
      <c r="R2103" s="4" t="inlineStr">
        <is>
          <t>2026-03-12</t>
        </is>
      </c>
      <c r="S2103" s="4" t="inlineStr"/>
    </row>
    <row r="2104">
      <c r="A2104" s="10" t="inlineStr">
        <is>
          <t>F02563</t>
        </is>
      </c>
      <c r="B2104" s="10" t="inlineStr">
        <is>
          <t>F02563</t>
        </is>
      </c>
      <c r="C2104" s="10" t="inlineStr"/>
      <c r="D2104" s="10" t="inlineStr">
        <is>
          <t>6009705650729</t>
        </is>
      </c>
      <c r="E2104" s="10" t="inlineStr">
        <is>
          <t>FOOD  FLIPPER BROAD 23CM</t>
        </is>
      </c>
      <c r="F2104" s="10" t="inlineStr"/>
      <c r="G2104" s="10" t="inlineStr"/>
      <c r="H2104" s="10" t="inlineStr"/>
      <c r="I2104" s="11" t="n">
        <v>18.95</v>
      </c>
      <c r="J2104" s="6" t="n">
        <v>15</v>
      </c>
      <c r="K2104" s="7">
        <f>IF(I2104="","",I2104*(1+J2104/100))</f>
        <v/>
      </c>
      <c r="L2104" s="12" t="inlineStr"/>
      <c r="M2104" s="8">
        <f>IF(OR(L2104="",K2104="",L2104=0),"",
  (L2104-K2104)/L2104*100)</f>
        <v/>
      </c>
      <c r="N2104" s="13" t="n">
        <v>21</v>
      </c>
      <c r="O2104" s="10" t="inlineStr"/>
      <c r="P2104" s="10" t="inlineStr"/>
      <c r="Q2104" s="10" t="inlineStr"/>
      <c r="R2104" s="10" t="inlineStr">
        <is>
          <t>2026-03-12</t>
        </is>
      </c>
      <c r="S2104" s="10" t="inlineStr"/>
    </row>
    <row r="2105">
      <c r="A2105" s="3" t="inlineStr">
        <is>
          <t>F02564</t>
        </is>
      </c>
      <c r="B2105" s="4" t="inlineStr">
        <is>
          <t>F02564</t>
        </is>
      </c>
      <c r="C2105" s="4" t="inlineStr">
        <is>
          <t>20698</t>
        </is>
      </c>
      <c r="D2105" s="4" t="inlineStr">
        <is>
          <t>6009705650736</t>
        </is>
      </c>
      <c r="E2105" s="3" t="inlineStr">
        <is>
          <t>GLOVES WELDING 10.5''</t>
        </is>
      </c>
      <c r="F2105" s="4" t="inlineStr"/>
      <c r="G2105" s="4" t="inlineStr"/>
      <c r="H2105" s="4" t="inlineStr"/>
      <c r="I2105" s="5" t="n">
        <v>19.5</v>
      </c>
      <c r="J2105" s="6" t="n">
        <v>15</v>
      </c>
      <c r="K2105" s="7">
        <f>IF(I2105="","",I2105*(1+J2105/100))</f>
        <v/>
      </c>
      <c r="L2105" s="5" t="n">
        <v>160</v>
      </c>
      <c r="M2105" s="8">
        <f>IF(OR(L2105="",K2105="",L2105=0),"",
  (L2105-K2105)/L2105*100)</f>
        <v/>
      </c>
      <c r="N2105" s="14" t="n">
        <v>279</v>
      </c>
      <c r="O2105" s="4" t="inlineStr"/>
      <c r="P2105" s="4" t="inlineStr"/>
      <c r="Q2105" s="4" t="inlineStr"/>
      <c r="R2105" s="4" t="inlineStr">
        <is>
          <t>2026-03-12</t>
        </is>
      </c>
      <c r="S2105" s="4" t="inlineStr"/>
    </row>
    <row r="2106">
      <c r="A2106" s="10" t="inlineStr">
        <is>
          <t>F02565</t>
        </is>
      </c>
      <c r="B2106" s="10" t="inlineStr">
        <is>
          <t>F02565</t>
        </is>
      </c>
      <c r="C2106" s="10" t="inlineStr">
        <is>
          <t>19249</t>
        </is>
      </c>
      <c r="D2106" s="10" t="inlineStr">
        <is>
          <t>6009705650743</t>
        </is>
      </c>
      <c r="E2106" s="10" t="inlineStr">
        <is>
          <t>DANGER VEST MESH TYPE REFLECTOR</t>
        </is>
      </c>
      <c r="F2106" s="10" t="inlineStr"/>
      <c r="G2106" s="10" t="inlineStr"/>
      <c r="H2106" s="10" t="inlineStr"/>
      <c r="I2106" s="11" t="n">
        <v>17.5</v>
      </c>
      <c r="J2106" s="6" t="n">
        <v>15</v>
      </c>
      <c r="K2106" s="7">
        <f>IF(I2106="","",I2106*(1+J2106/100))</f>
        <v/>
      </c>
      <c r="L2106" s="11" t="n">
        <v>190</v>
      </c>
      <c r="M2106" s="8">
        <f>IF(OR(L2106="",K2106="",L2106=0),"",
  (L2106-K2106)/L2106*100)</f>
        <v/>
      </c>
      <c r="N2106" s="13" t="n">
        <v>641</v>
      </c>
      <c r="O2106" s="10" t="inlineStr"/>
      <c r="P2106" s="10" t="inlineStr"/>
      <c r="Q2106" s="10" t="inlineStr"/>
      <c r="R2106" s="10" t="inlineStr">
        <is>
          <t>2026-03-12</t>
        </is>
      </c>
      <c r="S2106" s="10" t="inlineStr"/>
    </row>
    <row r="2107">
      <c r="A2107" s="3" t="inlineStr">
        <is>
          <t>F02566</t>
        </is>
      </c>
      <c r="B2107" s="4" t="inlineStr">
        <is>
          <t>F02566</t>
        </is>
      </c>
      <c r="C2107" s="4" t="inlineStr">
        <is>
          <t>20697</t>
        </is>
      </c>
      <c r="D2107" s="4" t="inlineStr">
        <is>
          <t>6009705650750</t>
        </is>
      </c>
      <c r="E2107" s="3" t="inlineStr">
        <is>
          <t>GLOVES BLUE&amp; GREY 10''</t>
        </is>
      </c>
      <c r="F2107" s="4" t="inlineStr"/>
      <c r="G2107" s="4" t="inlineStr"/>
      <c r="H2107" s="4" t="inlineStr"/>
      <c r="I2107" s="5" t="n">
        <v>10.95</v>
      </c>
      <c r="J2107" s="6" t="n">
        <v>15</v>
      </c>
      <c r="K2107" s="7">
        <f>IF(I2107="","",I2107*(1+J2107/100))</f>
        <v/>
      </c>
      <c r="L2107" s="5" t="n">
        <v>190</v>
      </c>
      <c r="M2107" s="8">
        <f>IF(OR(L2107="",K2107="",L2107=0),"",
  (L2107-K2107)/L2107*100)</f>
        <v/>
      </c>
      <c r="N2107" s="14" t="n">
        <v>3553</v>
      </c>
      <c r="O2107" s="4" t="inlineStr"/>
      <c r="P2107" s="4" t="inlineStr"/>
      <c r="Q2107" s="4" t="inlineStr"/>
      <c r="R2107" s="4" t="inlineStr">
        <is>
          <t>2026-03-12</t>
        </is>
      </c>
      <c r="S2107" s="4" t="inlineStr"/>
    </row>
    <row r="2108">
      <c r="A2108" s="10" t="inlineStr">
        <is>
          <t>F02567</t>
        </is>
      </c>
      <c r="B2108" s="10" t="inlineStr">
        <is>
          <t>F02567</t>
        </is>
      </c>
      <c r="C2108" s="10" t="inlineStr">
        <is>
          <t>20700</t>
        </is>
      </c>
      <c r="D2108" s="10" t="inlineStr">
        <is>
          <t>6009705650767</t>
        </is>
      </c>
      <c r="E2108" s="10" t="inlineStr">
        <is>
          <t>GLOVES LONG WELDING</t>
        </is>
      </c>
      <c r="F2108" s="10" t="inlineStr"/>
      <c r="G2108" s="10" t="inlineStr"/>
      <c r="H2108" s="10" t="inlineStr"/>
      <c r="I2108" s="11" t="n">
        <v>46.95</v>
      </c>
      <c r="J2108" s="6" t="n">
        <v>15</v>
      </c>
      <c r="K2108" s="7">
        <f>IF(I2108="","",I2108*(1+J2108/100))</f>
        <v/>
      </c>
      <c r="L2108" s="11" t="n">
        <v>250</v>
      </c>
      <c r="M2108" s="8">
        <f>IF(OR(L2108="",K2108="",L2108=0),"",
  (L2108-K2108)/L2108*100)</f>
        <v/>
      </c>
      <c r="N2108" s="13" t="n">
        <v>188</v>
      </c>
      <c r="O2108" s="10" t="inlineStr"/>
      <c r="P2108" s="10" t="inlineStr"/>
      <c r="Q2108" s="10" t="inlineStr"/>
      <c r="R2108" s="10" t="inlineStr">
        <is>
          <t>2026-03-12</t>
        </is>
      </c>
      <c r="S2108" s="10" t="inlineStr"/>
    </row>
    <row r="2109">
      <c r="A2109" s="3" t="inlineStr">
        <is>
          <t>F02568</t>
        </is>
      </c>
      <c r="B2109" s="4" t="inlineStr">
        <is>
          <t>F02568</t>
        </is>
      </c>
      <c r="C2109" s="4" t="inlineStr">
        <is>
          <t>20696</t>
        </is>
      </c>
      <c r="D2109" s="4" t="inlineStr">
        <is>
          <t>6009705650774</t>
        </is>
      </c>
      <c r="E2109" s="3" t="inlineStr">
        <is>
          <t>GLOVES , GENERAL WORK</t>
        </is>
      </c>
      <c r="F2109" s="4" t="inlineStr"/>
      <c r="G2109" s="4" t="inlineStr"/>
      <c r="H2109" s="4" t="inlineStr"/>
      <c r="I2109" s="5" t="n">
        <v>3.99</v>
      </c>
      <c r="J2109" s="6" t="n">
        <v>15</v>
      </c>
      <c r="K2109" s="7">
        <f>IF(I2109="","",I2109*(1+J2109/100))</f>
        <v/>
      </c>
      <c r="L2109" s="5" t="n">
        <v>90</v>
      </c>
      <c r="M2109" s="8">
        <f>IF(OR(L2109="",K2109="",L2109=0),"",
  (L2109-K2109)/L2109*100)</f>
        <v/>
      </c>
      <c r="N2109" s="14" t="n">
        <v>1732</v>
      </c>
      <c r="O2109" s="4" t="inlineStr"/>
      <c r="P2109" s="4" t="inlineStr"/>
      <c r="Q2109" s="4" t="inlineStr"/>
      <c r="R2109" s="4" t="inlineStr">
        <is>
          <t>2026-03-12</t>
        </is>
      </c>
      <c r="S2109" s="4" t="inlineStr"/>
    </row>
    <row r="2110">
      <c r="A2110" s="10" t="inlineStr">
        <is>
          <t>F02569</t>
        </is>
      </c>
      <c r="B2110" s="10" t="inlineStr">
        <is>
          <t>F02569</t>
        </is>
      </c>
      <c r="C2110" s="10" t="inlineStr">
        <is>
          <t>20699</t>
        </is>
      </c>
      <c r="D2110" s="10" t="inlineStr">
        <is>
          <t>6009705650781</t>
        </is>
      </c>
      <c r="E2110" s="10" t="inlineStr">
        <is>
          <t>GLOVES WELDING 11''</t>
        </is>
      </c>
      <c r="F2110" s="10" t="inlineStr"/>
      <c r="G2110" s="10" t="inlineStr"/>
      <c r="H2110" s="10" t="inlineStr"/>
      <c r="I2110" s="11" t="n">
        <v>34.95</v>
      </c>
      <c r="J2110" s="6" t="n">
        <v>15</v>
      </c>
      <c r="K2110" s="7">
        <f>IF(I2110="","",I2110*(1+J2110/100))</f>
        <v/>
      </c>
      <c r="L2110" s="11" t="n">
        <v>180</v>
      </c>
      <c r="M2110" s="8">
        <f>IF(OR(L2110="",K2110="",L2110=0),"",
  (L2110-K2110)/L2110*100)</f>
        <v/>
      </c>
      <c r="N2110" s="13" t="n">
        <v>294</v>
      </c>
      <c r="O2110" s="10" t="inlineStr"/>
      <c r="P2110" s="10" t="inlineStr"/>
      <c r="Q2110" s="10" t="inlineStr"/>
      <c r="R2110" s="10" t="inlineStr">
        <is>
          <t>2026-03-12</t>
        </is>
      </c>
      <c r="S2110" s="10" t="inlineStr"/>
    </row>
    <row r="2111">
      <c r="A2111" s="3" t="inlineStr">
        <is>
          <t>F02570</t>
        </is>
      </c>
      <c r="B2111" s="4" t="inlineStr">
        <is>
          <t>F02570</t>
        </is>
      </c>
      <c r="C2111" s="4" t="inlineStr">
        <is>
          <t>32105</t>
        </is>
      </c>
      <c r="D2111" s="4" t="inlineStr">
        <is>
          <t>6009705650798</t>
        </is>
      </c>
      <c r="E2111" s="3" t="inlineStr">
        <is>
          <t>GLOVES YELLOW RUBBER</t>
        </is>
      </c>
      <c r="F2111" s="4" t="inlineStr"/>
      <c r="G2111" s="4" t="inlineStr"/>
      <c r="H2111" s="4" t="inlineStr"/>
      <c r="I2111" s="5" t="n">
        <v>21.9</v>
      </c>
      <c r="J2111" s="6" t="n">
        <v>15</v>
      </c>
      <c r="K2111" s="7">
        <f>IF(I2111="","",I2111*(1+J2111/100))</f>
        <v/>
      </c>
      <c r="L2111" s="12" t="inlineStr"/>
      <c r="M2111" s="8">
        <f>IF(OR(L2111="",K2111="",L2111=0),"",
  (L2111-K2111)/L2111*100)</f>
        <v/>
      </c>
      <c r="N2111" s="14" t="n">
        <v>717</v>
      </c>
      <c r="O2111" s="4" t="inlineStr"/>
      <c r="P2111" s="4" t="inlineStr"/>
      <c r="Q2111" s="4" t="inlineStr"/>
      <c r="R2111" s="4" t="inlineStr">
        <is>
          <t>2026-03-12</t>
        </is>
      </c>
      <c r="S2111" s="4" t="inlineStr"/>
    </row>
    <row r="2112">
      <c r="A2112" s="10" t="inlineStr">
        <is>
          <t>F02571</t>
        </is>
      </c>
      <c r="B2112" s="10" t="inlineStr">
        <is>
          <t>F02571</t>
        </is>
      </c>
      <c r="C2112" s="10" t="inlineStr">
        <is>
          <t>19254</t>
        </is>
      </c>
      <c r="D2112" s="10" t="inlineStr">
        <is>
          <t>6009705650804</t>
        </is>
      </c>
      <c r="E2112" s="10" t="inlineStr">
        <is>
          <t>HELMET, BETTER QUALITY YELLOW</t>
        </is>
      </c>
      <c r="F2112" s="10" t="inlineStr"/>
      <c r="G2112" s="10" t="inlineStr"/>
      <c r="H2112" s="10" t="inlineStr"/>
      <c r="I2112" s="11" t="n">
        <v>26.45</v>
      </c>
      <c r="J2112" s="6" t="n">
        <v>15</v>
      </c>
      <c r="K2112" s="7">
        <f>IF(I2112="","",I2112*(1+J2112/100))</f>
        <v/>
      </c>
      <c r="L2112" s="11" t="n">
        <v>190</v>
      </c>
      <c r="M2112" s="8">
        <f>IF(OR(L2112="",K2112="",L2112=0),"",
  (L2112-K2112)/L2112*100)</f>
        <v/>
      </c>
      <c r="N2112" s="13" t="n">
        <v>220</v>
      </c>
      <c r="O2112" s="10" t="inlineStr"/>
      <c r="P2112" s="10" t="inlineStr"/>
      <c r="Q2112" s="10" t="inlineStr"/>
      <c r="R2112" s="10" t="inlineStr">
        <is>
          <t>2026-03-12</t>
        </is>
      </c>
      <c r="S2112" s="10" t="inlineStr"/>
    </row>
    <row r="2113">
      <c r="A2113" s="3" t="inlineStr">
        <is>
          <t>F02572</t>
        </is>
      </c>
      <c r="B2113" s="4" t="inlineStr">
        <is>
          <t>F02572</t>
        </is>
      </c>
      <c r="C2113" s="4" t="inlineStr">
        <is>
          <t>19251</t>
        </is>
      </c>
      <c r="D2113" s="4" t="inlineStr">
        <is>
          <t>6009705650828</t>
        </is>
      </c>
      <c r="E2113" s="3" t="inlineStr">
        <is>
          <t>HELMET , WORKERS YELLOW</t>
        </is>
      </c>
      <c r="F2113" s="4" t="inlineStr"/>
      <c r="G2113" s="4" t="inlineStr"/>
      <c r="H2113" s="4" t="inlineStr"/>
      <c r="I2113" s="5" t="n">
        <v>16.95</v>
      </c>
      <c r="J2113" s="6" t="n">
        <v>15</v>
      </c>
      <c r="K2113" s="7">
        <f>IF(I2113="","",I2113*(1+J2113/100))</f>
        <v/>
      </c>
      <c r="L2113" s="5" t="n">
        <v>160</v>
      </c>
      <c r="M2113" s="8">
        <f>IF(OR(L2113="",K2113="",L2113=0),"",
  (L2113-K2113)/L2113*100)</f>
        <v/>
      </c>
      <c r="N2113" s="14" t="n">
        <v>314</v>
      </c>
      <c r="O2113" s="4" t="inlineStr"/>
      <c r="P2113" s="4" t="inlineStr"/>
      <c r="Q2113" s="4" t="inlineStr"/>
      <c r="R2113" s="4" t="inlineStr">
        <is>
          <t>2026-03-12</t>
        </is>
      </c>
      <c r="S2113" s="4" t="inlineStr"/>
    </row>
    <row r="2114">
      <c r="A2114" s="10" t="inlineStr">
        <is>
          <t>F02573</t>
        </is>
      </c>
      <c r="B2114" s="10" t="inlineStr">
        <is>
          <t>F02573</t>
        </is>
      </c>
      <c r="C2114" s="10" t="inlineStr">
        <is>
          <t>19248</t>
        </is>
      </c>
      <c r="D2114" s="10" t="inlineStr">
        <is>
          <t>6009705650842</t>
        </is>
      </c>
      <c r="E2114" s="10" t="inlineStr">
        <is>
          <t>TAPE DANGER  SECURITY 7.5X500MT</t>
        </is>
      </c>
      <c r="F2114" s="10" t="inlineStr"/>
      <c r="G2114" s="10" t="inlineStr"/>
      <c r="H2114" s="10" t="inlineStr"/>
      <c r="I2114" s="11" t="n">
        <v>89.95</v>
      </c>
      <c r="J2114" s="6" t="n">
        <v>15</v>
      </c>
      <c r="K2114" s="7">
        <f>IF(I2114="","",I2114*(1+J2114/100))</f>
        <v/>
      </c>
      <c r="L2114" s="11" t="n">
        <v>199</v>
      </c>
      <c r="M2114" s="8">
        <f>IF(OR(L2114="",K2114="",L2114=0),"",
  (L2114-K2114)/L2114*100)</f>
        <v/>
      </c>
      <c r="N2114" s="9" t="inlineStr"/>
      <c r="O2114" s="10" t="inlineStr"/>
      <c r="P2114" s="10" t="inlineStr"/>
      <c r="Q2114" s="10" t="inlineStr"/>
      <c r="R2114" s="10" t="inlineStr">
        <is>
          <t>2026-03-12</t>
        </is>
      </c>
      <c r="S2114" s="10" t="inlineStr"/>
    </row>
    <row r="2115">
      <c r="A2115" s="3" t="inlineStr">
        <is>
          <t>F02574</t>
        </is>
      </c>
      <c r="B2115" s="4" t="inlineStr">
        <is>
          <t>F02574</t>
        </is>
      </c>
      <c r="C2115" s="4" t="inlineStr">
        <is>
          <t>19247</t>
        </is>
      </c>
      <c r="D2115" s="4" t="inlineStr">
        <is>
          <t>6009705650866</t>
        </is>
      </c>
      <c r="E2115" s="3" t="inlineStr">
        <is>
          <t>TAPE DANGER SECURITY 7.5X100MT</t>
        </is>
      </c>
      <c r="F2115" s="4" t="inlineStr"/>
      <c r="G2115" s="4" t="inlineStr"/>
      <c r="H2115" s="4" t="inlineStr"/>
      <c r="I2115" s="5" t="n">
        <v>19.5</v>
      </c>
      <c r="J2115" s="6" t="n">
        <v>15</v>
      </c>
      <c r="K2115" s="7">
        <f>IF(I2115="","",I2115*(1+J2115/100))</f>
        <v/>
      </c>
      <c r="L2115" s="5" t="n">
        <v>120</v>
      </c>
      <c r="M2115" s="8">
        <f>IF(OR(L2115="",K2115="",L2115=0),"",
  (L2115-K2115)/L2115*100)</f>
        <v/>
      </c>
      <c r="N2115" s="9" t="inlineStr"/>
      <c r="O2115" s="4" t="inlineStr"/>
      <c r="P2115" s="4" t="inlineStr"/>
      <c r="Q2115" s="4" t="inlineStr"/>
      <c r="R2115" s="4" t="inlineStr">
        <is>
          <t>2026-03-12</t>
        </is>
      </c>
      <c r="S2115" s="4" t="inlineStr"/>
    </row>
    <row r="2116">
      <c r="A2116" s="10" t="inlineStr">
        <is>
          <t>F02575</t>
        </is>
      </c>
      <c r="B2116" s="10" t="inlineStr">
        <is>
          <t>F02575</t>
        </is>
      </c>
      <c r="C2116" s="10" t="inlineStr"/>
      <c r="D2116" s="10" t="inlineStr">
        <is>
          <t>6009705650880</t>
        </is>
      </c>
      <c r="E2116" s="10" t="inlineStr">
        <is>
          <t>SAFTEY SHOES BETTER QUALITY</t>
        </is>
      </c>
      <c r="F2116" s="10" t="inlineStr"/>
      <c r="G2116" s="10" t="inlineStr"/>
      <c r="H2116" s="10" t="inlineStr"/>
      <c r="I2116" s="11" t="n">
        <v>2</v>
      </c>
      <c r="J2116" s="6" t="n">
        <v>15</v>
      </c>
      <c r="K2116" s="7">
        <f>IF(I2116="","",I2116*(1+J2116/100))</f>
        <v/>
      </c>
      <c r="L2116" s="12" t="inlineStr"/>
      <c r="M2116" s="8">
        <f>IF(OR(L2116="",K2116="",L2116=0),"",
  (L2116-K2116)/L2116*100)</f>
        <v/>
      </c>
      <c r="N2116" s="9" t="inlineStr"/>
      <c r="O2116" s="10" t="inlineStr"/>
      <c r="P2116" s="10" t="inlineStr"/>
      <c r="Q2116" s="10" t="inlineStr"/>
      <c r="R2116" s="10" t="inlineStr">
        <is>
          <t>2026-03-12</t>
        </is>
      </c>
      <c r="S2116" s="10" t="inlineStr"/>
    </row>
    <row r="2117">
      <c r="A2117" s="3" t="inlineStr">
        <is>
          <t>F02576</t>
        </is>
      </c>
      <c r="B2117" s="4" t="inlineStr">
        <is>
          <t>F02576</t>
        </is>
      </c>
      <c r="C2117" s="4" t="inlineStr"/>
      <c r="D2117" s="4" t="inlineStr">
        <is>
          <t>6009705650897</t>
        </is>
      </c>
      <c r="E2117" s="3" t="inlineStr">
        <is>
          <t>SAFTEY SHOES</t>
        </is>
      </c>
      <c r="F2117" s="4" t="inlineStr"/>
      <c r="G2117" s="4" t="inlineStr"/>
      <c r="H2117" s="4" t="inlineStr"/>
      <c r="I2117" s="5" t="n">
        <v>2</v>
      </c>
      <c r="J2117" s="6" t="n">
        <v>15</v>
      </c>
      <c r="K2117" s="7">
        <f>IF(I2117="","",I2117*(1+J2117/100))</f>
        <v/>
      </c>
      <c r="L2117" s="12" t="inlineStr"/>
      <c r="M2117" s="8">
        <f>IF(OR(L2117="",K2117="",L2117=0),"",
  (L2117-K2117)/L2117*100)</f>
        <v/>
      </c>
      <c r="N2117" s="9" t="inlineStr"/>
      <c r="O2117" s="4" t="inlineStr"/>
      <c r="P2117" s="4" t="inlineStr"/>
      <c r="Q2117" s="4" t="inlineStr"/>
      <c r="R2117" s="4" t="inlineStr">
        <is>
          <t>2026-03-12</t>
        </is>
      </c>
      <c r="S2117" s="4" t="inlineStr"/>
    </row>
    <row r="2118">
      <c r="A2118" s="10" t="inlineStr">
        <is>
          <t>F02577</t>
        </is>
      </c>
      <c r="B2118" s="10" t="inlineStr">
        <is>
          <t>F02577</t>
        </is>
      </c>
      <c r="C2118" s="10" t="inlineStr"/>
      <c r="D2118" s="10" t="inlineStr">
        <is>
          <t>6009705650903</t>
        </is>
      </c>
      <c r="E2118" s="10" t="inlineStr">
        <is>
          <t>KNEE PAD BLACK</t>
        </is>
      </c>
      <c r="F2118" s="10" t="inlineStr"/>
      <c r="G2118" s="10" t="inlineStr"/>
      <c r="H2118" s="10" t="inlineStr"/>
      <c r="I2118" s="11" t="n">
        <v>2</v>
      </c>
      <c r="J2118" s="6" t="n">
        <v>15</v>
      </c>
      <c r="K2118" s="7">
        <f>IF(I2118="","",I2118*(1+J2118/100))</f>
        <v/>
      </c>
      <c r="L2118" s="12" t="inlineStr"/>
      <c r="M2118" s="8">
        <f>IF(OR(L2118="",K2118="",L2118=0),"",
  (L2118-K2118)/L2118*100)</f>
        <v/>
      </c>
      <c r="N2118" s="9" t="inlineStr"/>
      <c r="O2118" s="10" t="inlineStr"/>
      <c r="P2118" s="10" t="inlineStr"/>
      <c r="Q2118" s="10" t="inlineStr"/>
      <c r="R2118" s="10" t="inlineStr">
        <is>
          <t>2026-03-12</t>
        </is>
      </c>
      <c r="S2118" s="10" t="inlineStr"/>
    </row>
    <row r="2119">
      <c r="A2119" s="3" t="inlineStr">
        <is>
          <t>F02578</t>
        </is>
      </c>
      <c r="B2119" s="4" t="inlineStr">
        <is>
          <t>F02578</t>
        </is>
      </c>
      <c r="C2119" s="4" t="inlineStr"/>
      <c r="D2119" s="4" t="inlineStr">
        <is>
          <t>6009705650910</t>
        </is>
      </c>
      <c r="E2119" s="3" t="inlineStr">
        <is>
          <t>PAINT TRAY SET BDGT RED HAND</t>
        </is>
      </c>
      <c r="F2119" s="4" t="inlineStr"/>
      <c r="G2119" s="4" t="inlineStr"/>
      <c r="H2119" s="4" t="inlineStr"/>
      <c r="I2119" s="5" t="n">
        <v>18.95</v>
      </c>
      <c r="J2119" s="6" t="n">
        <v>15</v>
      </c>
      <c r="K2119" s="7">
        <f>IF(I2119="","",I2119*(1+J2119/100))</f>
        <v/>
      </c>
      <c r="L2119" s="12" t="inlineStr"/>
      <c r="M2119" s="8">
        <f>IF(OR(L2119="",K2119="",L2119=0),"",
  (L2119-K2119)/L2119*100)</f>
        <v/>
      </c>
      <c r="N2119" s="9" t="inlineStr"/>
      <c r="O2119" s="4" t="inlineStr"/>
      <c r="P2119" s="4" t="inlineStr"/>
      <c r="Q2119" s="4" t="inlineStr"/>
      <c r="R2119" s="4" t="inlineStr">
        <is>
          <t>2026-03-12</t>
        </is>
      </c>
      <c r="S2119" s="4" t="inlineStr"/>
    </row>
    <row r="2120">
      <c r="A2120" s="10" t="inlineStr">
        <is>
          <t>F02579</t>
        </is>
      </c>
      <c r="B2120" s="10" t="inlineStr">
        <is>
          <t>F02579</t>
        </is>
      </c>
      <c r="C2120" s="10" t="inlineStr"/>
      <c r="D2120" s="10" t="inlineStr">
        <is>
          <t>6009705650927</t>
        </is>
      </c>
      <c r="E2120" s="10" t="inlineStr">
        <is>
          <t>PAINT TRAY SET BLUE DIY-BLUE</t>
        </is>
      </c>
      <c r="F2120" s="10" t="inlineStr"/>
      <c r="G2120" s="10" t="inlineStr"/>
      <c r="H2120" s="10" t="inlineStr"/>
      <c r="I2120" s="11" t="n">
        <v>22.95</v>
      </c>
      <c r="J2120" s="6" t="n">
        <v>15</v>
      </c>
      <c r="K2120" s="7">
        <f>IF(I2120="","",I2120*(1+J2120/100))</f>
        <v/>
      </c>
      <c r="L2120" s="12" t="inlineStr"/>
      <c r="M2120" s="8">
        <f>IF(OR(L2120="",K2120="",L2120=0),"",
  (L2120-K2120)/L2120*100)</f>
        <v/>
      </c>
      <c r="N2120" s="9" t="inlineStr"/>
      <c r="O2120" s="10" t="inlineStr"/>
      <c r="P2120" s="10" t="inlineStr"/>
      <c r="Q2120" s="10" t="inlineStr"/>
      <c r="R2120" s="10" t="inlineStr">
        <is>
          <t>2026-03-12</t>
        </is>
      </c>
      <c r="S2120" s="10" t="inlineStr"/>
    </row>
    <row r="2121">
      <c r="A2121" s="3" t="inlineStr">
        <is>
          <t>F02580</t>
        </is>
      </c>
      <c r="B2121" s="4" t="inlineStr">
        <is>
          <t>F02580</t>
        </is>
      </c>
      <c r="C2121" s="4" t="inlineStr"/>
      <c r="D2121" s="4" t="inlineStr">
        <is>
          <t>6009705650934</t>
        </is>
      </c>
      <c r="E2121" s="3" t="inlineStr">
        <is>
          <t>PAINT TRAY SET ORANGE SUPA PILE</t>
        </is>
      </c>
      <c r="F2121" s="4" t="inlineStr"/>
      <c r="G2121" s="4" t="inlineStr"/>
      <c r="H2121" s="4" t="inlineStr"/>
      <c r="I2121" s="5" t="n">
        <v>28.95</v>
      </c>
      <c r="J2121" s="6" t="n">
        <v>15</v>
      </c>
      <c r="K2121" s="7">
        <f>IF(I2121="","",I2121*(1+J2121/100))</f>
        <v/>
      </c>
      <c r="L2121" s="12" t="inlineStr"/>
      <c r="M2121" s="8">
        <f>IF(OR(L2121="",K2121="",L2121=0),"",
  (L2121-K2121)/L2121*100)</f>
        <v/>
      </c>
      <c r="N2121" s="14" t="n">
        <v>6744</v>
      </c>
      <c r="O2121" s="4" t="inlineStr"/>
      <c r="P2121" s="4" t="inlineStr"/>
      <c r="Q2121" s="4" t="inlineStr"/>
      <c r="R2121" s="4" t="inlineStr">
        <is>
          <t>2026-03-12</t>
        </is>
      </c>
      <c r="S2121" s="4" t="inlineStr"/>
    </row>
    <row r="2122">
      <c r="A2122" s="10" t="inlineStr">
        <is>
          <t>F02581</t>
        </is>
      </c>
      <c r="B2122" s="10" t="inlineStr">
        <is>
          <t>F02581</t>
        </is>
      </c>
      <c r="C2122" s="10" t="inlineStr"/>
      <c r="D2122" s="10" t="inlineStr">
        <is>
          <t>6009705650941</t>
        </is>
      </c>
      <c r="E2122" s="10" t="inlineStr">
        <is>
          <t>PAINT TRAY SET GREEN EAZI BRUSH</t>
        </is>
      </c>
      <c r="F2122" s="10" t="inlineStr"/>
      <c r="G2122" s="10" t="inlineStr"/>
      <c r="H2122" s="10" t="inlineStr"/>
      <c r="I2122" s="11" t="n">
        <v>36.95</v>
      </c>
      <c r="J2122" s="6" t="n">
        <v>15</v>
      </c>
      <c r="K2122" s="7">
        <f>IF(I2122="","",I2122*(1+J2122/100))</f>
        <v/>
      </c>
      <c r="L2122" s="12" t="inlineStr"/>
      <c r="M2122" s="8">
        <f>IF(OR(L2122="",K2122="",L2122=0),"",
  (L2122-K2122)/L2122*100)</f>
        <v/>
      </c>
      <c r="N2122" s="9" t="inlineStr"/>
      <c r="O2122" s="10" t="inlineStr"/>
      <c r="P2122" s="10" t="inlineStr"/>
      <c r="Q2122" s="10" t="inlineStr"/>
      <c r="R2122" s="10" t="inlineStr">
        <is>
          <t>2026-03-12</t>
        </is>
      </c>
      <c r="S2122" s="10" t="inlineStr"/>
    </row>
    <row r="2123">
      <c r="A2123" s="3" t="inlineStr">
        <is>
          <t>F02582</t>
        </is>
      </c>
      <c r="B2123" s="4" t="inlineStr">
        <is>
          <t>F02582</t>
        </is>
      </c>
      <c r="C2123" s="4" t="inlineStr"/>
      <c r="D2123" s="4" t="inlineStr">
        <is>
          <t>6009705650958</t>
        </is>
      </c>
      <c r="E2123" s="3" t="inlineStr">
        <is>
          <t>PAINT TRAY SET YELLOW  MICROFIBRE</t>
        </is>
      </c>
      <c r="F2123" s="4" t="inlineStr"/>
      <c r="G2123" s="4" t="inlineStr"/>
      <c r="H2123" s="4" t="inlineStr"/>
      <c r="I2123" s="5" t="n">
        <v>43.95</v>
      </c>
      <c r="J2123" s="6" t="n">
        <v>15</v>
      </c>
      <c r="K2123" s="7">
        <f>IF(I2123="","",I2123*(1+J2123/100))</f>
        <v/>
      </c>
      <c r="L2123" s="12" t="inlineStr"/>
      <c r="M2123" s="8">
        <f>IF(OR(L2123="",K2123="",L2123=0),"",
  (L2123-K2123)/L2123*100)</f>
        <v/>
      </c>
      <c r="N2123" s="14" t="n">
        <v>1289</v>
      </c>
      <c r="O2123" s="4" t="inlineStr"/>
      <c r="P2123" s="4" t="inlineStr"/>
      <c r="Q2123" s="4" t="inlineStr"/>
      <c r="R2123" s="4" t="inlineStr">
        <is>
          <t>2026-03-12</t>
        </is>
      </c>
      <c r="S2123" s="4" t="inlineStr"/>
    </row>
    <row r="2124">
      <c r="A2124" s="10" t="inlineStr">
        <is>
          <t>F02583</t>
        </is>
      </c>
      <c r="B2124" s="10" t="inlineStr">
        <is>
          <t>F02583</t>
        </is>
      </c>
      <c r="C2124" s="10" t="inlineStr">
        <is>
          <t>19295</t>
        </is>
      </c>
      <c r="D2124" s="10" t="inlineStr">
        <is>
          <t>6009705650965</t>
        </is>
      </c>
      <c r="E2124" s="10" t="inlineStr">
        <is>
          <t>CHAMOIS  YELLOW + CASE</t>
        </is>
      </c>
      <c r="F2124" s="10" t="inlineStr"/>
      <c r="G2124" s="10" t="inlineStr"/>
      <c r="H2124" s="10" t="inlineStr"/>
      <c r="I2124" s="11" t="n">
        <v>17.95</v>
      </c>
      <c r="J2124" s="6" t="n">
        <v>15</v>
      </c>
      <c r="K2124" s="7">
        <f>IF(I2124="","",I2124*(1+J2124/100))</f>
        <v/>
      </c>
      <c r="L2124" s="11" t="n">
        <v>150</v>
      </c>
      <c r="M2124" s="8">
        <f>IF(OR(L2124="",K2124="",L2124=0),"",
  (L2124-K2124)/L2124*100)</f>
        <v/>
      </c>
      <c r="N2124" s="13" t="n">
        <v>182</v>
      </c>
      <c r="O2124" s="10" t="inlineStr"/>
      <c r="P2124" s="10" t="inlineStr"/>
      <c r="Q2124" s="10" t="inlineStr"/>
      <c r="R2124" s="10" t="inlineStr">
        <is>
          <t>2026-03-12</t>
        </is>
      </c>
      <c r="S2124" s="10" t="inlineStr"/>
    </row>
    <row r="2125">
      <c r="A2125" s="3" t="inlineStr">
        <is>
          <t>F02584</t>
        </is>
      </c>
      <c r="B2125" s="4" t="inlineStr">
        <is>
          <t>F02584</t>
        </is>
      </c>
      <c r="C2125" s="4" t="inlineStr">
        <is>
          <t>19224</t>
        </is>
      </c>
      <c r="D2125" s="4" t="inlineStr">
        <is>
          <t>6009705650996</t>
        </is>
      </c>
      <c r="E2125" s="3" t="inlineStr">
        <is>
          <t>WIPES 25 SHEET ROLL</t>
        </is>
      </c>
      <c r="F2125" s="4" t="inlineStr"/>
      <c r="G2125" s="4" t="inlineStr"/>
      <c r="H2125" s="4" t="inlineStr"/>
      <c r="I2125" s="5" t="n">
        <v>17.95</v>
      </c>
      <c r="J2125" s="6" t="n">
        <v>15</v>
      </c>
      <c r="K2125" s="7">
        <f>IF(I2125="","",I2125*(1+J2125/100))</f>
        <v/>
      </c>
      <c r="L2125" s="5" t="n">
        <v>80</v>
      </c>
      <c r="M2125" s="8">
        <f>IF(OR(L2125="",K2125="",L2125=0),"",
  (L2125-K2125)/L2125*100)</f>
        <v/>
      </c>
      <c r="N2125" s="9" t="inlineStr"/>
      <c r="O2125" s="4" t="inlineStr"/>
      <c r="P2125" s="4" t="inlineStr"/>
      <c r="Q2125" s="4" t="inlineStr"/>
      <c r="R2125" s="4" t="inlineStr">
        <is>
          <t>2026-03-12</t>
        </is>
      </c>
      <c r="S2125" s="4" t="inlineStr"/>
    </row>
    <row r="2126">
      <c r="A2126" s="10" t="inlineStr">
        <is>
          <t>F02585</t>
        </is>
      </c>
      <c r="B2126" s="10" t="inlineStr">
        <is>
          <t>F02585</t>
        </is>
      </c>
      <c r="C2126" s="10" t="inlineStr"/>
      <c r="D2126" s="10" t="inlineStr">
        <is>
          <t>6009705650378</t>
        </is>
      </c>
      <c r="E2126" s="10" t="inlineStr">
        <is>
          <t>CAN OPENER PLASTIC HANDLE</t>
        </is>
      </c>
      <c r="F2126" s="10" t="inlineStr"/>
      <c r="G2126" s="10" t="inlineStr"/>
      <c r="H2126" s="10" t="inlineStr"/>
      <c r="I2126" s="11" t="n">
        <v>24.95</v>
      </c>
      <c r="J2126" s="6" t="n">
        <v>15</v>
      </c>
      <c r="K2126" s="7">
        <f>IF(I2126="","",I2126*(1+J2126/100))</f>
        <v/>
      </c>
      <c r="L2126" s="12" t="inlineStr"/>
      <c r="M2126" s="8">
        <f>IF(OR(L2126="",K2126="",L2126=0),"",
  (L2126-K2126)/L2126*100)</f>
        <v/>
      </c>
      <c r="N2126" s="13" t="n">
        <v>465</v>
      </c>
      <c r="O2126" s="10" t="inlineStr"/>
      <c r="P2126" s="10" t="inlineStr"/>
      <c r="Q2126" s="10" t="inlineStr"/>
      <c r="R2126" s="10" t="inlineStr">
        <is>
          <t>2026-03-12</t>
        </is>
      </c>
      <c r="S2126" s="10" t="inlineStr"/>
    </row>
    <row r="2127">
      <c r="A2127" s="3" t="inlineStr">
        <is>
          <t>F02586</t>
        </is>
      </c>
      <c r="B2127" s="4" t="inlineStr">
        <is>
          <t>F02586</t>
        </is>
      </c>
      <c r="C2127" s="4" t="inlineStr"/>
      <c r="D2127" s="4" t="inlineStr">
        <is>
          <t>6009705651023</t>
        </is>
      </c>
      <c r="E2127" s="3" t="inlineStr">
        <is>
          <t>CHALK LINE</t>
        </is>
      </c>
      <c r="F2127" s="4" t="inlineStr"/>
      <c r="G2127" s="4" t="inlineStr"/>
      <c r="H2127" s="4" t="inlineStr"/>
      <c r="I2127" s="5" t="n">
        <v>2</v>
      </c>
      <c r="J2127" s="6" t="n">
        <v>15</v>
      </c>
      <c r="K2127" s="7">
        <f>IF(I2127="","",I2127*(1+J2127/100))</f>
        <v/>
      </c>
      <c r="L2127" s="12" t="inlineStr"/>
      <c r="M2127" s="8">
        <f>IF(OR(L2127="",K2127="",L2127=0),"",
  (L2127-K2127)/L2127*100)</f>
        <v/>
      </c>
      <c r="N2127" s="9" t="inlineStr"/>
      <c r="O2127" s="4" t="inlineStr"/>
      <c r="P2127" s="4" t="inlineStr"/>
      <c r="Q2127" s="4" t="inlineStr"/>
      <c r="R2127" s="4" t="inlineStr">
        <is>
          <t>2026-03-12</t>
        </is>
      </c>
      <c r="S2127" s="4" t="inlineStr"/>
    </row>
    <row r="2128">
      <c r="A2128" s="10" t="inlineStr">
        <is>
          <t>F02587</t>
        </is>
      </c>
      <c r="B2128" s="10" t="inlineStr">
        <is>
          <t>F02587</t>
        </is>
      </c>
      <c r="C2128" s="10" t="inlineStr">
        <is>
          <t>19306</t>
        </is>
      </c>
      <c r="D2128" s="10" t="inlineStr">
        <is>
          <t>6009705651047</t>
        </is>
      </c>
      <c r="E2128" s="10" t="inlineStr">
        <is>
          <t>HOLE SAW KIT 5PCE</t>
        </is>
      </c>
      <c r="F2128" s="10" t="inlineStr"/>
      <c r="G2128" s="10" t="inlineStr"/>
      <c r="H2128" s="10" t="inlineStr"/>
      <c r="I2128" s="11" t="n">
        <v>28.95</v>
      </c>
      <c r="J2128" s="6" t="n">
        <v>15</v>
      </c>
      <c r="K2128" s="7">
        <f>IF(I2128="","",I2128*(1+J2128/100))</f>
        <v/>
      </c>
      <c r="L2128" s="11" t="n">
        <v>150</v>
      </c>
      <c r="M2128" s="8">
        <f>IF(OR(L2128="",K2128="",L2128=0),"",
  (L2128-K2128)/L2128*100)</f>
        <v/>
      </c>
      <c r="N2128" s="13" t="n">
        <v>130</v>
      </c>
      <c r="O2128" s="10" t="inlineStr"/>
      <c r="P2128" s="10" t="inlineStr"/>
      <c r="Q2128" s="10" t="inlineStr"/>
      <c r="R2128" s="10" t="inlineStr">
        <is>
          <t>2026-03-12</t>
        </is>
      </c>
      <c r="S2128" s="10" t="inlineStr"/>
    </row>
    <row r="2129">
      <c r="A2129" s="3" t="inlineStr">
        <is>
          <t>F02588</t>
        </is>
      </c>
      <c r="B2129" s="4" t="inlineStr">
        <is>
          <t>F02588</t>
        </is>
      </c>
      <c r="C2129" s="4" t="inlineStr">
        <is>
          <t>19305</t>
        </is>
      </c>
      <c r="D2129" s="4" t="inlineStr">
        <is>
          <t>6009705651054</t>
        </is>
      </c>
      <c r="E2129" s="3" t="inlineStr">
        <is>
          <t>HOLE SAW KIT 13PCE</t>
        </is>
      </c>
      <c r="F2129" s="4" t="inlineStr"/>
      <c r="G2129" s="4" t="inlineStr"/>
      <c r="H2129" s="4" t="inlineStr"/>
      <c r="I2129" s="5" t="n">
        <v>67.95</v>
      </c>
      <c r="J2129" s="6" t="n">
        <v>15</v>
      </c>
      <c r="K2129" s="7">
        <f>IF(I2129="","",I2129*(1+J2129/100))</f>
        <v/>
      </c>
      <c r="L2129" s="5" t="n">
        <v>190</v>
      </c>
      <c r="M2129" s="8">
        <f>IF(OR(L2129="",K2129="",L2129=0),"",
  (L2129-K2129)/L2129*100)</f>
        <v/>
      </c>
      <c r="N2129" s="14" t="n">
        <v>168</v>
      </c>
      <c r="O2129" s="4" t="inlineStr"/>
      <c r="P2129" s="4" t="inlineStr"/>
      <c r="Q2129" s="4" t="inlineStr"/>
      <c r="R2129" s="4" t="inlineStr">
        <is>
          <t>2026-03-12</t>
        </is>
      </c>
      <c r="S2129" s="4" t="inlineStr"/>
    </row>
    <row r="2130">
      <c r="A2130" s="10" t="inlineStr">
        <is>
          <t>F02589</t>
        </is>
      </c>
      <c r="B2130" s="10" t="inlineStr">
        <is>
          <t>F02589</t>
        </is>
      </c>
      <c r="C2130" s="10" t="inlineStr">
        <is>
          <t>19307</t>
        </is>
      </c>
      <c r="D2130" s="10" t="inlineStr">
        <is>
          <t>6009705651092</t>
        </is>
      </c>
      <c r="E2130" s="10" t="inlineStr">
        <is>
          <t>WOOD SPADE BIT 6PCE</t>
        </is>
      </c>
      <c r="F2130" s="10" t="inlineStr"/>
      <c r="G2130" s="10" t="inlineStr"/>
      <c r="H2130" s="10" t="inlineStr"/>
      <c r="I2130" s="11" t="n">
        <v>38.95</v>
      </c>
      <c r="J2130" s="6" t="n">
        <v>15</v>
      </c>
      <c r="K2130" s="7">
        <f>IF(I2130="","",I2130*(1+J2130/100))</f>
        <v/>
      </c>
      <c r="L2130" s="11" t="n">
        <v>180</v>
      </c>
      <c r="M2130" s="8">
        <f>IF(OR(L2130="",K2130="",L2130=0),"",
  (L2130-K2130)/L2130*100)</f>
        <v/>
      </c>
      <c r="N2130" s="13" t="n">
        <v>133</v>
      </c>
      <c r="O2130" s="10" t="inlineStr"/>
      <c r="P2130" s="10" t="inlineStr"/>
      <c r="Q2130" s="10" t="inlineStr"/>
      <c r="R2130" s="10" t="inlineStr">
        <is>
          <t>2026-03-12</t>
        </is>
      </c>
      <c r="S2130" s="10" t="inlineStr"/>
    </row>
    <row r="2131">
      <c r="A2131" s="3" t="inlineStr">
        <is>
          <t>F02590</t>
        </is>
      </c>
      <c r="B2131" s="4" t="inlineStr">
        <is>
          <t>F02590</t>
        </is>
      </c>
      <c r="C2131" s="4" t="inlineStr"/>
      <c r="D2131" s="4" t="inlineStr">
        <is>
          <t>6009705651108</t>
        </is>
      </c>
      <c r="E2131" s="3" t="inlineStr">
        <is>
          <t>WOOD SPADE BIT 10MM</t>
        </is>
      </c>
      <c r="F2131" s="4" t="inlineStr"/>
      <c r="G2131" s="4" t="inlineStr"/>
      <c r="H2131" s="4" t="inlineStr"/>
      <c r="I2131" s="5" t="n">
        <v>2</v>
      </c>
      <c r="J2131" s="6" t="n">
        <v>15</v>
      </c>
      <c r="K2131" s="7">
        <f>IF(I2131="","",I2131*(1+J2131/100))</f>
        <v/>
      </c>
      <c r="L2131" s="12" t="inlineStr"/>
      <c r="M2131" s="8">
        <f>IF(OR(L2131="",K2131="",L2131=0),"",
  (L2131-K2131)/L2131*100)</f>
        <v/>
      </c>
      <c r="N2131" s="9" t="inlineStr"/>
      <c r="O2131" s="4" t="inlineStr"/>
      <c r="P2131" s="4" t="inlineStr"/>
      <c r="Q2131" s="4" t="inlineStr"/>
      <c r="R2131" s="4" t="inlineStr">
        <is>
          <t>2026-03-12</t>
        </is>
      </c>
      <c r="S2131" s="4" t="inlineStr"/>
    </row>
    <row r="2132">
      <c r="A2132" s="10" t="inlineStr">
        <is>
          <t>F02591</t>
        </is>
      </c>
      <c r="B2132" s="10" t="inlineStr">
        <is>
          <t>F02591</t>
        </is>
      </c>
      <c r="C2132" s="10" t="inlineStr"/>
      <c r="D2132" s="10" t="inlineStr">
        <is>
          <t>6009705651115</t>
        </is>
      </c>
      <c r="E2132" s="10" t="inlineStr">
        <is>
          <t>WOOD SPADE BIT 12MM</t>
        </is>
      </c>
      <c r="F2132" s="10" t="inlineStr"/>
      <c r="G2132" s="10" t="inlineStr"/>
      <c r="H2132" s="10" t="inlineStr"/>
      <c r="I2132" s="11" t="n">
        <v>2</v>
      </c>
      <c r="J2132" s="6" t="n">
        <v>15</v>
      </c>
      <c r="K2132" s="7">
        <f>IF(I2132="","",I2132*(1+J2132/100))</f>
        <v/>
      </c>
      <c r="L2132" s="12" t="inlineStr"/>
      <c r="M2132" s="8">
        <f>IF(OR(L2132="",K2132="",L2132=0),"",
  (L2132-K2132)/L2132*100)</f>
        <v/>
      </c>
      <c r="N2132" s="9" t="inlineStr"/>
      <c r="O2132" s="10" t="inlineStr"/>
      <c r="P2132" s="10" t="inlineStr"/>
      <c r="Q2132" s="10" t="inlineStr"/>
      <c r="R2132" s="10" t="inlineStr">
        <is>
          <t>2026-03-12</t>
        </is>
      </c>
      <c r="S2132" s="10" t="inlineStr"/>
    </row>
    <row r="2133">
      <c r="A2133" s="3" t="inlineStr">
        <is>
          <t>F02592</t>
        </is>
      </c>
      <c r="B2133" s="4" t="inlineStr">
        <is>
          <t>F02592</t>
        </is>
      </c>
      <c r="C2133" s="4" t="inlineStr"/>
      <c r="D2133" s="4" t="inlineStr">
        <is>
          <t>6009705651122</t>
        </is>
      </c>
      <c r="E2133" s="3" t="inlineStr">
        <is>
          <t>WOOD SPADE BIT 13MM</t>
        </is>
      </c>
      <c r="F2133" s="4" t="inlineStr"/>
      <c r="G2133" s="4" t="inlineStr"/>
      <c r="H2133" s="4" t="inlineStr"/>
      <c r="I2133" s="5" t="n">
        <v>2</v>
      </c>
      <c r="J2133" s="6" t="n">
        <v>15</v>
      </c>
      <c r="K2133" s="7">
        <f>IF(I2133="","",I2133*(1+J2133/100))</f>
        <v/>
      </c>
      <c r="L2133" s="12" t="inlineStr"/>
      <c r="M2133" s="8">
        <f>IF(OR(L2133="",K2133="",L2133=0),"",
  (L2133-K2133)/L2133*100)</f>
        <v/>
      </c>
      <c r="N2133" s="9" t="inlineStr"/>
      <c r="O2133" s="4" t="inlineStr"/>
      <c r="P2133" s="4" t="inlineStr"/>
      <c r="Q2133" s="4" t="inlineStr"/>
      <c r="R2133" s="4" t="inlineStr">
        <is>
          <t>2026-03-12</t>
        </is>
      </c>
      <c r="S2133" s="4" t="inlineStr"/>
    </row>
    <row r="2134">
      <c r="A2134" s="10" t="inlineStr">
        <is>
          <t>F02593</t>
        </is>
      </c>
      <c r="B2134" s="10" t="inlineStr">
        <is>
          <t>F02593</t>
        </is>
      </c>
      <c r="C2134" s="10" t="inlineStr"/>
      <c r="D2134" s="10" t="inlineStr">
        <is>
          <t>6009705651139</t>
        </is>
      </c>
      <c r="E2134" s="10" t="inlineStr">
        <is>
          <t>WOOD SPADE BIT 16MM</t>
        </is>
      </c>
      <c r="F2134" s="10" t="inlineStr"/>
      <c r="G2134" s="10" t="inlineStr"/>
      <c r="H2134" s="10" t="inlineStr"/>
      <c r="I2134" s="11" t="n">
        <v>2</v>
      </c>
      <c r="J2134" s="6" t="n">
        <v>15</v>
      </c>
      <c r="K2134" s="7">
        <f>IF(I2134="","",I2134*(1+J2134/100))</f>
        <v/>
      </c>
      <c r="L2134" s="12" t="inlineStr"/>
      <c r="M2134" s="8">
        <f>IF(OR(L2134="",K2134="",L2134=0),"",
  (L2134-K2134)/L2134*100)</f>
        <v/>
      </c>
      <c r="N2134" s="9" t="inlineStr"/>
      <c r="O2134" s="10" t="inlineStr"/>
      <c r="P2134" s="10" t="inlineStr"/>
      <c r="Q2134" s="10" t="inlineStr"/>
      <c r="R2134" s="10" t="inlineStr">
        <is>
          <t>2026-03-12</t>
        </is>
      </c>
      <c r="S2134" s="10" t="inlineStr"/>
    </row>
    <row r="2135">
      <c r="A2135" s="3" t="inlineStr">
        <is>
          <t>F02594</t>
        </is>
      </c>
      <c r="B2135" s="4" t="inlineStr">
        <is>
          <t>F02594</t>
        </is>
      </c>
      <c r="C2135" s="4" t="inlineStr"/>
      <c r="D2135" s="4" t="inlineStr">
        <is>
          <t>6009705651153</t>
        </is>
      </c>
      <c r="E2135" s="3" t="inlineStr">
        <is>
          <t>WOOD SPADE BIT 18MM</t>
        </is>
      </c>
      <c r="F2135" s="4" t="inlineStr"/>
      <c r="G2135" s="4" t="inlineStr"/>
      <c r="H2135" s="4" t="inlineStr"/>
      <c r="I2135" s="5" t="n">
        <v>2</v>
      </c>
      <c r="J2135" s="6" t="n">
        <v>15</v>
      </c>
      <c r="K2135" s="7">
        <f>IF(I2135="","",I2135*(1+J2135/100))</f>
        <v/>
      </c>
      <c r="L2135" s="12" t="inlineStr"/>
      <c r="M2135" s="8">
        <f>IF(OR(L2135="",K2135="",L2135=0),"",
  (L2135-K2135)/L2135*100)</f>
        <v/>
      </c>
      <c r="N2135" s="9" t="inlineStr"/>
      <c r="O2135" s="4" t="inlineStr"/>
      <c r="P2135" s="4" t="inlineStr"/>
      <c r="Q2135" s="4" t="inlineStr"/>
      <c r="R2135" s="4" t="inlineStr">
        <is>
          <t>2026-03-12</t>
        </is>
      </c>
      <c r="S2135" s="4" t="inlineStr"/>
    </row>
    <row r="2136">
      <c r="A2136" s="10" t="inlineStr">
        <is>
          <t>F02595</t>
        </is>
      </c>
      <c r="B2136" s="10" t="inlineStr">
        <is>
          <t>F02595</t>
        </is>
      </c>
      <c r="C2136" s="10" t="inlineStr"/>
      <c r="D2136" s="10" t="inlineStr">
        <is>
          <t>6009705651160</t>
        </is>
      </c>
      <c r="E2136" s="10" t="inlineStr">
        <is>
          <t>WOOD SPADE BIT 20MM</t>
        </is>
      </c>
      <c r="F2136" s="10" t="inlineStr"/>
      <c r="G2136" s="10" t="inlineStr"/>
      <c r="H2136" s="10" t="inlineStr"/>
      <c r="I2136" s="11" t="n">
        <v>2</v>
      </c>
      <c r="J2136" s="6" t="n">
        <v>15</v>
      </c>
      <c r="K2136" s="7">
        <f>IF(I2136="","",I2136*(1+J2136/100))</f>
        <v/>
      </c>
      <c r="L2136" s="12" t="inlineStr"/>
      <c r="M2136" s="8">
        <f>IF(OR(L2136="",K2136="",L2136=0),"",
  (L2136-K2136)/L2136*100)</f>
        <v/>
      </c>
      <c r="N2136" s="9" t="inlineStr"/>
      <c r="O2136" s="10" t="inlineStr"/>
      <c r="P2136" s="10" t="inlineStr"/>
      <c r="Q2136" s="10" t="inlineStr"/>
      <c r="R2136" s="10" t="inlineStr">
        <is>
          <t>2026-03-12</t>
        </is>
      </c>
      <c r="S2136" s="10" t="inlineStr"/>
    </row>
    <row r="2137">
      <c r="A2137" s="3" t="inlineStr">
        <is>
          <t>F02596</t>
        </is>
      </c>
      <c r="B2137" s="4" t="inlineStr">
        <is>
          <t>F02596</t>
        </is>
      </c>
      <c r="C2137" s="4" t="inlineStr">
        <is>
          <t>20755</t>
        </is>
      </c>
      <c r="D2137" s="4" t="inlineStr">
        <is>
          <t>6009705651306</t>
        </is>
      </c>
      <c r="E2137" s="3" t="inlineStr">
        <is>
          <t>G -CLAMP 1''</t>
        </is>
      </c>
      <c r="F2137" s="4" t="inlineStr"/>
      <c r="G2137" s="4" t="inlineStr"/>
      <c r="H2137" s="4" t="inlineStr"/>
      <c r="I2137" s="5" t="n">
        <v>14.5</v>
      </c>
      <c r="J2137" s="6" t="n">
        <v>15</v>
      </c>
      <c r="K2137" s="7">
        <f>IF(I2137="","",I2137*(1+J2137/100))</f>
        <v/>
      </c>
      <c r="L2137" s="5" t="n">
        <v>50</v>
      </c>
      <c r="M2137" s="8">
        <f>IF(OR(L2137="",K2137="",L2137=0),"",
  (L2137-K2137)/L2137*100)</f>
        <v/>
      </c>
      <c r="N2137" s="14" t="n">
        <v>395</v>
      </c>
      <c r="O2137" s="4" t="inlineStr"/>
      <c r="P2137" s="4" t="inlineStr"/>
      <c r="Q2137" s="4" t="inlineStr"/>
      <c r="R2137" s="4" t="inlineStr">
        <is>
          <t>2026-03-12</t>
        </is>
      </c>
      <c r="S2137" s="4" t="inlineStr"/>
    </row>
    <row r="2138">
      <c r="A2138" s="10" t="inlineStr">
        <is>
          <t>F02597</t>
        </is>
      </c>
      <c r="B2138" s="10" t="inlineStr">
        <is>
          <t>F02597</t>
        </is>
      </c>
      <c r="C2138" s="10" t="inlineStr">
        <is>
          <t>20756</t>
        </is>
      </c>
      <c r="D2138" s="10" t="inlineStr">
        <is>
          <t>6009705651320</t>
        </is>
      </c>
      <c r="E2138" s="10" t="inlineStr">
        <is>
          <t>G CLAMP 2''</t>
        </is>
      </c>
      <c r="F2138" s="10" t="inlineStr"/>
      <c r="G2138" s="10" t="inlineStr"/>
      <c r="H2138" s="10" t="inlineStr"/>
      <c r="I2138" s="11" t="n">
        <v>18.5</v>
      </c>
      <c r="J2138" s="6" t="n">
        <v>15</v>
      </c>
      <c r="K2138" s="7">
        <f>IF(I2138="","",I2138*(1+J2138/100))</f>
        <v/>
      </c>
      <c r="L2138" s="11" t="n">
        <v>70</v>
      </c>
      <c r="M2138" s="8">
        <f>IF(OR(L2138="",K2138="",L2138=0),"",
  (L2138-K2138)/L2138*100)</f>
        <v/>
      </c>
      <c r="N2138" s="13" t="n">
        <v>146</v>
      </c>
      <c r="O2138" s="10" t="inlineStr"/>
      <c r="P2138" s="10" t="inlineStr"/>
      <c r="Q2138" s="10" t="inlineStr"/>
      <c r="R2138" s="10" t="inlineStr">
        <is>
          <t>2026-03-12</t>
        </is>
      </c>
      <c r="S2138" s="10" t="inlineStr"/>
    </row>
    <row r="2139">
      <c r="A2139" s="3" t="inlineStr">
        <is>
          <t>F02598</t>
        </is>
      </c>
      <c r="B2139" s="4" t="inlineStr">
        <is>
          <t>F02598</t>
        </is>
      </c>
      <c r="C2139" s="4" t="inlineStr">
        <is>
          <t>20757</t>
        </is>
      </c>
      <c r="D2139" s="4" t="inlineStr">
        <is>
          <t>6009705651337</t>
        </is>
      </c>
      <c r="E2139" s="3" t="inlineStr">
        <is>
          <t>G CLAMP 3''</t>
        </is>
      </c>
      <c r="F2139" s="4" t="inlineStr"/>
      <c r="G2139" s="4" t="inlineStr"/>
      <c r="H2139" s="4" t="inlineStr"/>
      <c r="I2139" s="5" t="n">
        <v>32.95</v>
      </c>
      <c r="J2139" s="6" t="n">
        <v>15</v>
      </c>
      <c r="K2139" s="7">
        <f>IF(I2139="","",I2139*(1+J2139/100))</f>
        <v/>
      </c>
      <c r="L2139" s="5" t="n">
        <v>80</v>
      </c>
      <c r="M2139" s="8">
        <f>IF(OR(L2139="",K2139="",L2139=0),"",
  (L2139-K2139)/L2139*100)</f>
        <v/>
      </c>
      <c r="N2139" s="14" t="n">
        <v>159</v>
      </c>
      <c r="O2139" s="4" t="inlineStr"/>
      <c r="P2139" s="4" t="inlineStr"/>
      <c r="Q2139" s="4" t="inlineStr"/>
      <c r="R2139" s="4" t="inlineStr">
        <is>
          <t>2026-03-12</t>
        </is>
      </c>
      <c r="S2139" s="4" t="inlineStr"/>
    </row>
    <row r="2140">
      <c r="A2140" s="10" t="inlineStr">
        <is>
          <t>F02599</t>
        </is>
      </c>
      <c r="B2140" s="10" t="inlineStr">
        <is>
          <t>F02599</t>
        </is>
      </c>
      <c r="C2140" s="10" t="inlineStr">
        <is>
          <t>20758</t>
        </is>
      </c>
      <c r="D2140" s="10" t="inlineStr">
        <is>
          <t>6009705651344</t>
        </is>
      </c>
      <c r="E2140" s="10" t="inlineStr">
        <is>
          <t>G CLAMP 4''</t>
        </is>
      </c>
      <c r="F2140" s="10" t="inlineStr"/>
      <c r="G2140" s="10" t="inlineStr"/>
      <c r="H2140" s="10" t="inlineStr"/>
      <c r="I2140" s="11" t="n">
        <v>43.5</v>
      </c>
      <c r="J2140" s="6" t="n">
        <v>15</v>
      </c>
      <c r="K2140" s="7">
        <f>IF(I2140="","",I2140*(1+J2140/100))</f>
        <v/>
      </c>
      <c r="L2140" s="11" t="n">
        <v>90</v>
      </c>
      <c r="M2140" s="8">
        <f>IF(OR(L2140="",K2140="",L2140=0),"",
  (L2140-K2140)/L2140*100)</f>
        <v/>
      </c>
      <c r="N2140" s="13" t="n">
        <v>149</v>
      </c>
      <c r="O2140" s="10" t="inlineStr"/>
      <c r="P2140" s="10" t="inlineStr"/>
      <c r="Q2140" s="10" t="inlineStr"/>
      <c r="R2140" s="10" t="inlineStr">
        <is>
          <t>2026-03-12</t>
        </is>
      </c>
      <c r="S2140" s="10" t="inlineStr"/>
    </row>
    <row r="2141">
      <c r="A2141" s="3" t="inlineStr">
        <is>
          <t>F02600</t>
        </is>
      </c>
      <c r="B2141" s="4" t="inlineStr">
        <is>
          <t>F02600</t>
        </is>
      </c>
      <c r="C2141" s="4" t="inlineStr">
        <is>
          <t>20759</t>
        </is>
      </c>
      <c r="D2141" s="4" t="inlineStr">
        <is>
          <t>6009705651351</t>
        </is>
      </c>
      <c r="E2141" s="3" t="inlineStr">
        <is>
          <t>G CLAMP 5''</t>
        </is>
      </c>
      <c r="F2141" s="4" t="inlineStr"/>
      <c r="G2141" s="4" t="inlineStr"/>
      <c r="H2141" s="4" t="inlineStr"/>
      <c r="I2141" s="5" t="n">
        <v>54.95</v>
      </c>
      <c r="J2141" s="6" t="n">
        <v>15</v>
      </c>
      <c r="K2141" s="7">
        <f>IF(I2141="","",I2141*(1+J2141/100))</f>
        <v/>
      </c>
      <c r="L2141" s="5" t="n">
        <v>120</v>
      </c>
      <c r="M2141" s="8">
        <f>IF(OR(L2141="",K2141="",L2141=0),"",
  (L2141-K2141)/L2141*100)</f>
        <v/>
      </c>
      <c r="N2141" s="14" t="n">
        <v>24</v>
      </c>
      <c r="O2141" s="4" t="inlineStr"/>
      <c r="P2141" s="4" t="inlineStr"/>
      <c r="Q2141" s="4" t="inlineStr"/>
      <c r="R2141" s="4" t="inlineStr">
        <is>
          <t>2026-03-12</t>
        </is>
      </c>
      <c r="S2141" s="4" t="inlineStr"/>
    </row>
    <row r="2142">
      <c r="A2142" s="10" t="inlineStr">
        <is>
          <t>F02601</t>
        </is>
      </c>
      <c r="B2142" s="10" t="inlineStr">
        <is>
          <t>F02601</t>
        </is>
      </c>
      <c r="C2142" s="10" t="inlineStr">
        <is>
          <t>20760</t>
        </is>
      </c>
      <c r="D2142" s="10" t="inlineStr">
        <is>
          <t>6009705651368</t>
        </is>
      </c>
      <c r="E2142" s="10" t="inlineStr">
        <is>
          <t>G CLAMP 6''</t>
        </is>
      </c>
      <c r="F2142" s="10" t="inlineStr"/>
      <c r="G2142" s="10" t="inlineStr"/>
      <c r="H2142" s="10" t="inlineStr"/>
      <c r="I2142" s="11" t="n">
        <v>72.95</v>
      </c>
      <c r="J2142" s="6" t="n">
        <v>15</v>
      </c>
      <c r="K2142" s="7">
        <f>IF(I2142="","",I2142*(1+J2142/100))</f>
        <v/>
      </c>
      <c r="L2142" s="11" t="n">
        <v>140</v>
      </c>
      <c r="M2142" s="8">
        <f>IF(OR(L2142="",K2142="",L2142=0),"",
  (L2142-K2142)/L2142*100)</f>
        <v/>
      </c>
      <c r="N2142" s="13" t="n">
        <v>101</v>
      </c>
      <c r="O2142" s="10" t="inlineStr"/>
      <c r="P2142" s="10" t="inlineStr"/>
      <c r="Q2142" s="10" t="inlineStr"/>
      <c r="R2142" s="10" t="inlineStr">
        <is>
          <t>2026-03-12</t>
        </is>
      </c>
      <c r="S2142" s="10" t="inlineStr"/>
    </row>
    <row r="2143">
      <c r="A2143" s="3" t="inlineStr">
        <is>
          <t>F02602</t>
        </is>
      </c>
      <c r="B2143" s="4" t="inlineStr">
        <is>
          <t>F02602</t>
        </is>
      </c>
      <c r="C2143" s="4" t="inlineStr">
        <is>
          <t>20762</t>
        </is>
      </c>
      <c r="D2143" s="4" t="inlineStr">
        <is>
          <t>6009705651375</t>
        </is>
      </c>
      <c r="E2143" s="3" t="inlineStr">
        <is>
          <t>G CLAMP 8''</t>
        </is>
      </c>
      <c r="F2143" s="4" t="inlineStr"/>
      <c r="G2143" s="4" t="inlineStr"/>
      <c r="H2143" s="4" t="inlineStr"/>
      <c r="I2143" s="5" t="n">
        <v>109.95</v>
      </c>
      <c r="J2143" s="6" t="n">
        <v>15</v>
      </c>
      <c r="K2143" s="7">
        <f>IF(I2143="","",I2143*(1+J2143/100))</f>
        <v/>
      </c>
      <c r="L2143" s="5" t="n">
        <v>170</v>
      </c>
      <c r="M2143" s="8">
        <f>IF(OR(L2143="",K2143="",L2143=0),"",
  (L2143-K2143)/L2143*100)</f>
        <v/>
      </c>
      <c r="N2143" s="9" t="inlineStr"/>
      <c r="O2143" s="4" t="inlineStr"/>
      <c r="P2143" s="4" t="inlineStr"/>
      <c r="Q2143" s="4" t="inlineStr"/>
      <c r="R2143" s="4" t="inlineStr">
        <is>
          <t>2026-03-12</t>
        </is>
      </c>
      <c r="S2143" s="4" t="inlineStr"/>
    </row>
    <row r="2144">
      <c r="A2144" s="10" t="inlineStr">
        <is>
          <t>F02603</t>
        </is>
      </c>
      <c r="B2144" s="10" t="inlineStr">
        <is>
          <t>F02603</t>
        </is>
      </c>
      <c r="C2144" s="10" t="inlineStr">
        <is>
          <t>20764</t>
        </is>
      </c>
      <c r="D2144" s="10" t="inlineStr">
        <is>
          <t>6009705651382</t>
        </is>
      </c>
      <c r="E2144" s="10" t="inlineStr">
        <is>
          <t>G CLAMP 10''</t>
        </is>
      </c>
      <c r="F2144" s="10" t="inlineStr"/>
      <c r="G2144" s="10" t="inlineStr"/>
      <c r="H2144" s="10" t="inlineStr"/>
      <c r="I2144" s="11" t="n">
        <v>149.95</v>
      </c>
      <c r="J2144" s="6" t="n">
        <v>15</v>
      </c>
      <c r="K2144" s="7">
        <f>IF(I2144="","",I2144*(1+J2144/100))</f>
        <v/>
      </c>
      <c r="L2144" s="11" t="n">
        <v>250</v>
      </c>
      <c r="M2144" s="8">
        <f>IF(OR(L2144="",K2144="",L2144=0),"",
  (L2144-K2144)/L2144*100)</f>
        <v/>
      </c>
      <c r="N2144" s="13" t="n">
        <v>12</v>
      </c>
      <c r="O2144" s="10" t="inlineStr"/>
      <c r="P2144" s="10" t="inlineStr"/>
      <c r="Q2144" s="10" t="inlineStr"/>
      <c r="R2144" s="10" t="inlineStr">
        <is>
          <t>2026-03-12</t>
        </is>
      </c>
      <c r="S2144" s="10" t="inlineStr"/>
    </row>
    <row r="2145">
      <c r="A2145" s="3" t="inlineStr">
        <is>
          <t>F02604</t>
        </is>
      </c>
      <c r="B2145" s="4" t="inlineStr">
        <is>
          <t>F02604</t>
        </is>
      </c>
      <c r="C2145" s="4" t="inlineStr">
        <is>
          <t>20765</t>
        </is>
      </c>
      <c r="D2145" s="4" t="inlineStr">
        <is>
          <t>6009705651399</t>
        </is>
      </c>
      <c r="E2145" s="3" t="inlineStr">
        <is>
          <t>G CLAMP 12''</t>
        </is>
      </c>
      <c r="F2145" s="4" t="inlineStr"/>
      <c r="G2145" s="4" t="inlineStr"/>
      <c r="H2145" s="4" t="inlineStr"/>
      <c r="I2145" s="5" t="n">
        <v>187</v>
      </c>
      <c r="J2145" s="6" t="n">
        <v>15</v>
      </c>
      <c r="K2145" s="7">
        <f>IF(I2145="","",I2145*(1+J2145/100))</f>
        <v/>
      </c>
      <c r="L2145" s="5" t="n">
        <v>295</v>
      </c>
      <c r="M2145" s="8">
        <f>IF(OR(L2145="",K2145="",L2145=0),"",
  (L2145-K2145)/L2145*100)</f>
        <v/>
      </c>
      <c r="N2145" s="14" t="n">
        <v>17</v>
      </c>
      <c r="O2145" s="4" t="inlineStr"/>
      <c r="P2145" s="4" t="inlineStr"/>
      <c r="Q2145" s="4" t="inlineStr"/>
      <c r="R2145" s="4" t="inlineStr">
        <is>
          <t>2026-03-12</t>
        </is>
      </c>
      <c r="S2145" s="4" t="inlineStr"/>
    </row>
    <row r="2146">
      <c r="A2146" s="10" t="inlineStr">
        <is>
          <t>F02605</t>
        </is>
      </c>
      <c r="B2146" s="10" t="inlineStr">
        <is>
          <t>F02605</t>
        </is>
      </c>
      <c r="C2146" s="10" t="inlineStr"/>
      <c r="D2146" s="10" t="inlineStr"/>
      <c r="E2146" s="10" t="inlineStr">
        <is>
          <t>PVC CELING (3058) CPT*3900*300 6MM</t>
        </is>
      </c>
      <c r="F2146" s="10" t="inlineStr"/>
      <c r="G2146" s="10" t="inlineStr"/>
      <c r="H2146" s="10" t="inlineStr"/>
      <c r="I2146" s="11" t="n">
        <v>479</v>
      </c>
      <c r="J2146" s="6" t="n">
        <v>15</v>
      </c>
      <c r="K2146" s="7">
        <f>IF(I2146="","",I2146*(1+J2146/100))</f>
        <v/>
      </c>
      <c r="L2146" s="12" t="inlineStr"/>
      <c r="M2146" s="8">
        <f>IF(OR(L2146="",K2146="",L2146=0),"",
  (L2146-K2146)/L2146*100)</f>
        <v/>
      </c>
      <c r="N2146" s="9" t="inlineStr"/>
      <c r="O2146" s="10" t="inlineStr"/>
      <c r="P2146" s="10" t="inlineStr"/>
      <c r="Q2146" s="10" t="inlineStr"/>
      <c r="R2146" s="10" t="inlineStr">
        <is>
          <t>2026-03-12</t>
        </is>
      </c>
      <c r="S2146" s="10" t="inlineStr"/>
    </row>
    <row r="2147">
      <c r="A2147" s="3" t="inlineStr">
        <is>
          <t>F02606</t>
        </is>
      </c>
      <c r="B2147" s="4" t="inlineStr">
        <is>
          <t>F02606</t>
        </is>
      </c>
      <c r="C2147" s="4" t="inlineStr"/>
      <c r="D2147" s="4" t="inlineStr"/>
      <c r="E2147" s="3" t="inlineStr">
        <is>
          <t>PVC CEILING (3073)CPT*3900*300 6MM</t>
        </is>
      </c>
      <c r="F2147" s="4" t="inlineStr"/>
      <c r="G2147" s="4" t="inlineStr"/>
      <c r="H2147" s="4" t="inlineStr"/>
      <c r="I2147" s="5" t="n">
        <v>449</v>
      </c>
      <c r="J2147" s="6" t="n">
        <v>15</v>
      </c>
      <c r="K2147" s="7">
        <f>IF(I2147="","",I2147*(1+J2147/100))</f>
        <v/>
      </c>
      <c r="L2147" s="12" t="inlineStr"/>
      <c r="M2147" s="8">
        <f>IF(OR(L2147="",K2147="",L2147=0),"",
  (L2147-K2147)/L2147*100)</f>
        <v/>
      </c>
      <c r="N2147" s="9" t="inlineStr"/>
      <c r="O2147" s="4" t="inlineStr"/>
      <c r="P2147" s="4" t="inlineStr"/>
      <c r="Q2147" s="4" t="inlineStr"/>
      <c r="R2147" s="4" t="inlineStr">
        <is>
          <t>2026-03-12</t>
        </is>
      </c>
      <c r="S2147" s="4" t="inlineStr"/>
    </row>
    <row r="2148">
      <c r="A2148" s="10" t="inlineStr">
        <is>
          <t>F02607</t>
        </is>
      </c>
      <c r="B2148" s="10" t="inlineStr">
        <is>
          <t>F02607</t>
        </is>
      </c>
      <c r="C2148" s="10" t="inlineStr"/>
      <c r="D2148" s="10" t="inlineStr"/>
      <c r="E2148" s="10" t="inlineStr">
        <is>
          <t>PVC CEILING (3086)CPT *3900*300 6MM</t>
        </is>
      </c>
      <c r="F2148" s="10" t="inlineStr"/>
      <c r="G2148" s="10" t="inlineStr"/>
      <c r="H2148" s="10" t="inlineStr"/>
      <c r="I2148" s="11" t="n">
        <v>449</v>
      </c>
      <c r="J2148" s="6" t="n">
        <v>15</v>
      </c>
      <c r="K2148" s="7">
        <f>IF(I2148="","",I2148*(1+J2148/100))</f>
        <v/>
      </c>
      <c r="L2148" s="12" t="inlineStr"/>
      <c r="M2148" s="8">
        <f>IF(OR(L2148="",K2148="",L2148=0),"",
  (L2148-K2148)/L2148*100)</f>
        <v/>
      </c>
      <c r="N2148" s="9" t="inlineStr"/>
      <c r="O2148" s="10" t="inlineStr"/>
      <c r="P2148" s="10" t="inlineStr"/>
      <c r="Q2148" s="10" t="inlineStr"/>
      <c r="R2148" s="10" t="inlineStr">
        <is>
          <t>2026-03-12</t>
        </is>
      </c>
      <c r="S2148" s="10" t="inlineStr"/>
    </row>
    <row r="2149">
      <c r="A2149" s="3" t="inlineStr">
        <is>
          <t>F02608</t>
        </is>
      </c>
      <c r="B2149" s="4" t="inlineStr">
        <is>
          <t>F02608</t>
        </is>
      </c>
      <c r="C2149" s="4" t="inlineStr"/>
      <c r="D2149" s="4" t="inlineStr"/>
      <c r="E2149" s="3" t="inlineStr">
        <is>
          <t>PVC CEILING (30116)CPT*3900*300 6MM</t>
        </is>
      </c>
      <c r="F2149" s="4" t="inlineStr"/>
      <c r="G2149" s="4" t="inlineStr"/>
      <c r="H2149" s="4" t="inlineStr"/>
      <c r="I2149" s="5" t="n">
        <v>449</v>
      </c>
      <c r="J2149" s="6" t="n">
        <v>15</v>
      </c>
      <c r="K2149" s="7">
        <f>IF(I2149="","",I2149*(1+J2149/100))</f>
        <v/>
      </c>
      <c r="L2149" s="12" t="inlineStr"/>
      <c r="M2149" s="8">
        <f>IF(OR(L2149="",K2149="",L2149=0),"",
  (L2149-K2149)/L2149*100)</f>
        <v/>
      </c>
      <c r="N2149" s="9" t="inlineStr"/>
      <c r="O2149" s="4" t="inlineStr"/>
      <c r="P2149" s="4" t="inlineStr"/>
      <c r="Q2149" s="4" t="inlineStr"/>
      <c r="R2149" s="4" t="inlineStr">
        <is>
          <t>2026-03-12</t>
        </is>
      </c>
      <c r="S2149" s="4" t="inlineStr"/>
    </row>
    <row r="2150">
      <c r="A2150" s="10" t="inlineStr">
        <is>
          <t>F02609</t>
        </is>
      </c>
      <c r="B2150" s="10" t="inlineStr">
        <is>
          <t>F02609</t>
        </is>
      </c>
      <c r="C2150" s="10" t="inlineStr"/>
      <c r="D2150" s="10" t="inlineStr"/>
      <c r="E2150" s="10" t="inlineStr">
        <is>
          <t>PVC CEILING (3056)CPT *3900*300 6MM</t>
        </is>
      </c>
      <c r="F2150" s="10" t="inlineStr"/>
      <c r="G2150" s="10" t="inlineStr"/>
      <c r="H2150" s="10" t="inlineStr"/>
      <c r="I2150" s="11" t="n">
        <v>479</v>
      </c>
      <c r="J2150" s="6" t="n">
        <v>15</v>
      </c>
      <c r="K2150" s="7">
        <f>IF(I2150="","",I2150*(1+J2150/100))</f>
        <v/>
      </c>
      <c r="L2150" s="12" t="inlineStr"/>
      <c r="M2150" s="8">
        <f>IF(OR(L2150="",K2150="",L2150=0),"",
  (L2150-K2150)/L2150*100)</f>
        <v/>
      </c>
      <c r="N2150" s="9" t="inlineStr"/>
      <c r="O2150" s="10" t="inlineStr"/>
      <c r="P2150" s="10" t="inlineStr"/>
      <c r="Q2150" s="10" t="inlineStr"/>
      <c r="R2150" s="10" t="inlineStr">
        <is>
          <t>2026-03-12</t>
        </is>
      </c>
      <c r="S2150" s="10" t="inlineStr"/>
    </row>
    <row r="2151">
      <c r="A2151" s="3" t="inlineStr">
        <is>
          <t>F02610</t>
        </is>
      </c>
      <c r="B2151" s="4" t="inlineStr">
        <is>
          <t>F02610</t>
        </is>
      </c>
      <c r="C2151" s="4" t="inlineStr"/>
      <c r="D2151" s="4" t="inlineStr"/>
      <c r="E2151" s="3" t="inlineStr">
        <is>
          <t>PVC CEILING (3018)CPT*3900*300 6MM</t>
        </is>
      </c>
      <c r="F2151" s="4" t="inlineStr"/>
      <c r="G2151" s="4" t="inlineStr"/>
      <c r="H2151" s="4" t="inlineStr"/>
      <c r="I2151" s="5" t="n">
        <v>479</v>
      </c>
      <c r="J2151" s="6" t="n">
        <v>15</v>
      </c>
      <c r="K2151" s="7">
        <f>IF(I2151="","",I2151*(1+J2151/100))</f>
        <v/>
      </c>
      <c r="L2151" s="12" t="inlineStr"/>
      <c r="M2151" s="8">
        <f>IF(OR(L2151="",K2151="",L2151=0),"",
  (L2151-K2151)/L2151*100)</f>
        <v/>
      </c>
      <c r="N2151" s="9" t="inlineStr"/>
      <c r="O2151" s="4" t="inlineStr"/>
      <c r="P2151" s="4" t="inlineStr"/>
      <c r="Q2151" s="4" t="inlineStr"/>
      <c r="R2151" s="4" t="inlineStr">
        <is>
          <t>2026-03-12</t>
        </is>
      </c>
      <c r="S2151" s="4" t="inlineStr"/>
    </row>
    <row r="2152">
      <c r="A2152" s="10" t="inlineStr">
        <is>
          <t>F02611</t>
        </is>
      </c>
      <c r="B2152" s="10" t="inlineStr">
        <is>
          <t>F02611</t>
        </is>
      </c>
      <c r="C2152" s="10" t="inlineStr"/>
      <c r="D2152" s="10" t="inlineStr"/>
      <c r="E2152" s="10" t="inlineStr">
        <is>
          <t>PVC CEILING (30120)CPT*3900*300 6MM</t>
        </is>
      </c>
      <c r="F2152" s="10" t="inlineStr"/>
      <c r="G2152" s="10" t="inlineStr"/>
      <c r="H2152" s="10" t="inlineStr"/>
      <c r="I2152" s="11" t="n">
        <v>479</v>
      </c>
      <c r="J2152" s="6" t="n">
        <v>15</v>
      </c>
      <c r="K2152" s="7">
        <f>IF(I2152="","",I2152*(1+J2152/100))</f>
        <v/>
      </c>
      <c r="L2152" s="12" t="inlineStr"/>
      <c r="M2152" s="8">
        <f>IF(OR(L2152="",K2152="",L2152=0),"",
  (L2152-K2152)/L2152*100)</f>
        <v/>
      </c>
      <c r="N2152" s="9" t="inlineStr"/>
      <c r="O2152" s="10" t="inlineStr"/>
      <c r="P2152" s="10" t="inlineStr"/>
      <c r="Q2152" s="10" t="inlineStr"/>
      <c r="R2152" s="10" t="inlineStr">
        <is>
          <t>2026-03-12</t>
        </is>
      </c>
      <c r="S2152" s="10" t="inlineStr"/>
    </row>
    <row r="2153">
      <c r="A2153" s="3" t="inlineStr">
        <is>
          <t>F02612</t>
        </is>
      </c>
      <c r="B2153" s="4" t="inlineStr">
        <is>
          <t>F02612</t>
        </is>
      </c>
      <c r="C2153" s="4" t="inlineStr"/>
      <c r="D2153" s="4" t="inlineStr"/>
      <c r="E2153" s="3" t="inlineStr">
        <is>
          <t>PVC CELING (8120)CPT*3900*300 6MM</t>
        </is>
      </c>
      <c r="F2153" s="4" t="inlineStr"/>
      <c r="G2153" s="4" t="inlineStr"/>
      <c r="H2153" s="4" t="inlineStr"/>
      <c r="I2153" s="5" t="n">
        <v>449</v>
      </c>
      <c r="J2153" s="6" t="n">
        <v>15</v>
      </c>
      <c r="K2153" s="7">
        <f>IF(I2153="","",I2153*(1+J2153/100))</f>
        <v/>
      </c>
      <c r="L2153" s="12" t="inlineStr"/>
      <c r="M2153" s="8">
        <f>IF(OR(L2153="",K2153="",L2153=0),"",
  (L2153-K2153)/L2153*100)</f>
        <v/>
      </c>
      <c r="N2153" s="9" t="inlineStr"/>
      <c r="O2153" s="4" t="inlineStr"/>
      <c r="P2153" s="4" t="inlineStr"/>
      <c r="Q2153" s="4" t="inlineStr"/>
      <c r="R2153" s="4" t="inlineStr">
        <is>
          <t>2026-03-12</t>
        </is>
      </c>
      <c r="S2153" s="4" t="inlineStr"/>
    </row>
    <row r="2154">
      <c r="A2154" s="10" t="inlineStr">
        <is>
          <t>F02613</t>
        </is>
      </c>
      <c r="B2154" s="10" t="inlineStr">
        <is>
          <t>F02613</t>
        </is>
      </c>
      <c r="C2154" s="10" t="inlineStr"/>
      <c r="D2154" s="10" t="inlineStr"/>
      <c r="E2154" s="10" t="inlineStr">
        <is>
          <t>PVC CEILING(8117)CPT*3900*300 6MM</t>
        </is>
      </c>
      <c r="F2154" s="10" t="inlineStr"/>
      <c r="G2154" s="10" t="inlineStr"/>
      <c r="H2154" s="10" t="inlineStr"/>
      <c r="I2154" s="11" t="n">
        <v>479</v>
      </c>
      <c r="J2154" s="6" t="n">
        <v>15</v>
      </c>
      <c r="K2154" s="7">
        <f>IF(I2154="","",I2154*(1+J2154/100))</f>
        <v/>
      </c>
      <c r="L2154" s="12" t="inlineStr"/>
      <c r="M2154" s="8">
        <f>IF(OR(L2154="",K2154="",L2154=0),"",
  (L2154-K2154)/L2154*100)</f>
        <v/>
      </c>
      <c r="N2154" s="9" t="inlineStr"/>
      <c r="O2154" s="10" t="inlineStr"/>
      <c r="P2154" s="10" t="inlineStr"/>
      <c r="Q2154" s="10" t="inlineStr"/>
      <c r="R2154" s="10" t="inlineStr">
        <is>
          <t>2026-03-12</t>
        </is>
      </c>
      <c r="S2154" s="10" t="inlineStr"/>
    </row>
    <row r="2155">
      <c r="A2155" s="3" t="inlineStr">
        <is>
          <t>F02614</t>
        </is>
      </c>
      <c r="B2155" s="4" t="inlineStr">
        <is>
          <t>F02614</t>
        </is>
      </c>
      <c r="C2155" s="4" t="inlineStr"/>
      <c r="D2155" s="4" t="inlineStr"/>
      <c r="E2155" s="3" t="inlineStr">
        <is>
          <t>PVC CEILING(8119)CPT*3900*300 6MM</t>
        </is>
      </c>
      <c r="F2155" s="4" t="inlineStr"/>
      <c r="G2155" s="4" t="inlineStr"/>
      <c r="H2155" s="4" t="inlineStr"/>
      <c r="I2155" s="5" t="n">
        <v>479</v>
      </c>
      <c r="J2155" s="6" t="n">
        <v>15</v>
      </c>
      <c r="K2155" s="7">
        <f>IF(I2155="","",I2155*(1+J2155/100))</f>
        <v/>
      </c>
      <c r="L2155" s="12" t="inlineStr"/>
      <c r="M2155" s="8">
        <f>IF(OR(L2155="",K2155="",L2155=0),"",
  (L2155-K2155)/L2155*100)</f>
        <v/>
      </c>
      <c r="N2155" s="9" t="inlineStr"/>
      <c r="O2155" s="4" t="inlineStr"/>
      <c r="P2155" s="4" t="inlineStr"/>
      <c r="Q2155" s="4" t="inlineStr"/>
      <c r="R2155" s="4" t="inlineStr">
        <is>
          <t>2026-03-12</t>
        </is>
      </c>
      <c r="S2155" s="4" t="inlineStr"/>
    </row>
    <row r="2156">
      <c r="A2156" s="10" t="inlineStr">
        <is>
          <t>F02615</t>
        </is>
      </c>
      <c r="B2156" s="10" t="inlineStr">
        <is>
          <t>F02615</t>
        </is>
      </c>
      <c r="C2156" s="10" t="inlineStr"/>
      <c r="D2156" s="10" t="inlineStr"/>
      <c r="E2156" s="10" t="inlineStr">
        <is>
          <t>PVC CEILING(8118)CPT*3900*300 6MM</t>
        </is>
      </c>
      <c r="F2156" s="10" t="inlineStr"/>
      <c r="G2156" s="10" t="inlineStr"/>
      <c r="H2156" s="10" t="inlineStr"/>
      <c r="I2156" s="11" t="n">
        <v>479</v>
      </c>
      <c r="J2156" s="6" t="n">
        <v>15</v>
      </c>
      <c r="K2156" s="7">
        <f>IF(I2156="","",I2156*(1+J2156/100))</f>
        <v/>
      </c>
      <c r="L2156" s="12" t="inlineStr"/>
      <c r="M2156" s="8">
        <f>IF(OR(L2156="",K2156="",L2156=0),"",
  (L2156-K2156)/L2156*100)</f>
        <v/>
      </c>
      <c r="N2156" s="9" t="inlineStr"/>
      <c r="O2156" s="10" t="inlineStr"/>
      <c r="P2156" s="10" t="inlineStr"/>
      <c r="Q2156" s="10" t="inlineStr"/>
      <c r="R2156" s="10" t="inlineStr">
        <is>
          <t>2026-03-12</t>
        </is>
      </c>
      <c r="S2156" s="10" t="inlineStr"/>
    </row>
    <row r="2157">
      <c r="A2157" s="3" t="inlineStr">
        <is>
          <t>F02616</t>
        </is>
      </c>
      <c r="B2157" s="4" t="inlineStr">
        <is>
          <t>F02616</t>
        </is>
      </c>
      <c r="C2157" s="4" t="inlineStr"/>
      <c r="D2157" s="4" t="inlineStr"/>
      <c r="E2157" s="3" t="inlineStr">
        <is>
          <t>PVC CEILING (8120)CPT*3900*300 6MM</t>
        </is>
      </c>
      <c r="F2157" s="4" t="inlineStr"/>
      <c r="G2157" s="4" t="inlineStr"/>
      <c r="H2157" s="4" t="inlineStr"/>
      <c r="I2157" s="5" t="n">
        <v>479</v>
      </c>
      <c r="J2157" s="6" t="n">
        <v>15</v>
      </c>
      <c r="K2157" s="7">
        <f>IF(I2157="","",I2157*(1+J2157/100))</f>
        <v/>
      </c>
      <c r="L2157" s="12" t="inlineStr"/>
      <c r="M2157" s="8">
        <f>IF(OR(L2157="",K2157="",L2157=0),"",
  (L2157-K2157)/L2157*100)</f>
        <v/>
      </c>
      <c r="N2157" s="9" t="inlineStr"/>
      <c r="O2157" s="4" t="inlineStr"/>
      <c r="P2157" s="4" t="inlineStr"/>
      <c r="Q2157" s="4" t="inlineStr"/>
      <c r="R2157" s="4" t="inlineStr">
        <is>
          <t>2026-03-12</t>
        </is>
      </c>
      <c r="S2157" s="4" t="inlineStr"/>
    </row>
    <row r="2158">
      <c r="A2158" s="10" t="inlineStr">
        <is>
          <t>F02617</t>
        </is>
      </c>
      <c r="B2158" s="10" t="inlineStr">
        <is>
          <t>F02617</t>
        </is>
      </c>
      <c r="C2158" s="10" t="inlineStr"/>
      <c r="D2158" s="10" t="inlineStr"/>
      <c r="E2158" s="10" t="inlineStr">
        <is>
          <t>PVC CEILING (CAP01)CPT*3900*300 6MM</t>
        </is>
      </c>
      <c r="F2158" s="10" t="inlineStr"/>
      <c r="G2158" s="10" t="inlineStr"/>
      <c r="H2158" s="10" t="inlineStr"/>
      <c r="I2158" s="11" t="n">
        <v>449</v>
      </c>
      <c r="J2158" s="6" t="n">
        <v>15</v>
      </c>
      <c r="K2158" s="7">
        <f>IF(I2158="","",I2158*(1+J2158/100))</f>
        <v/>
      </c>
      <c r="L2158" s="12" t="inlineStr"/>
      <c r="M2158" s="8">
        <f>IF(OR(L2158="",K2158="",L2158=0),"",
  (L2158-K2158)/L2158*100)</f>
        <v/>
      </c>
      <c r="N2158" s="9" t="inlineStr"/>
      <c r="O2158" s="10" t="inlineStr"/>
      <c r="P2158" s="10" t="inlineStr"/>
      <c r="Q2158" s="10" t="inlineStr"/>
      <c r="R2158" s="10" t="inlineStr">
        <is>
          <t>2026-03-12</t>
        </is>
      </c>
      <c r="S2158" s="10" t="inlineStr"/>
    </row>
    <row r="2159">
      <c r="A2159" s="3" t="inlineStr">
        <is>
          <t>F02618</t>
        </is>
      </c>
      <c r="B2159" s="4" t="inlineStr">
        <is>
          <t>F02618</t>
        </is>
      </c>
      <c r="C2159" s="4" t="inlineStr"/>
      <c r="D2159" s="4" t="inlineStr"/>
      <c r="E2159" s="3" t="inlineStr">
        <is>
          <t>PVC CEILING(86755)CPT*3900*300 6MM</t>
        </is>
      </c>
      <c r="F2159" s="4" t="inlineStr"/>
      <c r="G2159" s="4" t="inlineStr"/>
      <c r="H2159" s="4" t="inlineStr"/>
      <c r="I2159" s="5" t="n">
        <v>479</v>
      </c>
      <c r="J2159" s="6" t="n">
        <v>15</v>
      </c>
      <c r="K2159" s="7">
        <f>IF(I2159="","",I2159*(1+J2159/100))</f>
        <v/>
      </c>
      <c r="L2159" s="12" t="inlineStr"/>
      <c r="M2159" s="8">
        <f>IF(OR(L2159="",K2159="",L2159=0),"",
  (L2159-K2159)/L2159*100)</f>
        <v/>
      </c>
      <c r="N2159" s="9" t="inlineStr"/>
      <c r="O2159" s="4" t="inlineStr"/>
      <c r="P2159" s="4" t="inlineStr"/>
      <c r="Q2159" s="4" t="inlineStr"/>
      <c r="R2159" s="4" t="inlineStr">
        <is>
          <t>2026-03-12</t>
        </is>
      </c>
      <c r="S2159" s="4" t="inlineStr"/>
    </row>
    <row r="2160">
      <c r="A2160" s="10" t="inlineStr">
        <is>
          <t>F02619</t>
        </is>
      </c>
      <c r="B2160" s="10" t="inlineStr">
        <is>
          <t>F02619</t>
        </is>
      </c>
      <c r="C2160" s="10" t="inlineStr"/>
      <c r="D2160" s="10" t="inlineStr"/>
      <c r="E2160" s="10" t="inlineStr">
        <is>
          <t>PVC CEILING(30-8122)CPT*3900*300 6MM</t>
        </is>
      </c>
      <c r="F2160" s="10" t="inlineStr"/>
      <c r="G2160" s="10" t="inlineStr"/>
      <c r="H2160" s="10" t="inlineStr"/>
      <c r="I2160" s="11" t="n">
        <v>449</v>
      </c>
      <c r="J2160" s="6" t="n">
        <v>15</v>
      </c>
      <c r="K2160" s="7">
        <f>IF(I2160="","",I2160*(1+J2160/100))</f>
        <v/>
      </c>
      <c r="L2160" s="12" t="inlineStr"/>
      <c r="M2160" s="8">
        <f>IF(OR(L2160="",K2160="",L2160=0),"",
  (L2160-K2160)/L2160*100)</f>
        <v/>
      </c>
      <c r="N2160" s="9" t="inlineStr"/>
      <c r="O2160" s="10" t="inlineStr"/>
      <c r="P2160" s="10" t="inlineStr"/>
      <c r="Q2160" s="10" t="inlineStr"/>
      <c r="R2160" s="10" t="inlineStr">
        <is>
          <t>2026-03-12</t>
        </is>
      </c>
      <c r="S2160" s="10" t="inlineStr"/>
    </row>
    <row r="2161">
      <c r="A2161" s="3" t="inlineStr">
        <is>
          <t>F02620</t>
        </is>
      </c>
      <c r="B2161" s="4" t="inlineStr">
        <is>
          <t>F02620</t>
        </is>
      </c>
      <c r="C2161" s="4" t="inlineStr"/>
      <c r="D2161" s="4" t="inlineStr"/>
      <c r="E2161" s="3" t="inlineStr">
        <is>
          <t>PVC CEILING(3074)CPT*3900*300 6MM</t>
        </is>
      </c>
      <c r="F2161" s="4" t="inlineStr"/>
      <c r="G2161" s="4" t="inlineStr"/>
      <c r="H2161" s="4" t="inlineStr"/>
      <c r="I2161" s="5" t="n">
        <v>479</v>
      </c>
      <c r="J2161" s="6" t="n">
        <v>15</v>
      </c>
      <c r="K2161" s="7">
        <f>IF(I2161="","",I2161*(1+J2161/100))</f>
        <v/>
      </c>
      <c r="L2161" s="12" t="inlineStr"/>
      <c r="M2161" s="8">
        <f>IF(OR(L2161="",K2161="",L2161=0),"",
  (L2161-K2161)/L2161*100)</f>
        <v/>
      </c>
      <c r="N2161" s="9" t="inlineStr"/>
      <c r="O2161" s="4" t="inlineStr"/>
      <c r="P2161" s="4" t="inlineStr"/>
      <c r="Q2161" s="4" t="inlineStr"/>
      <c r="R2161" s="4" t="inlineStr">
        <is>
          <t>2026-03-12</t>
        </is>
      </c>
      <c r="S2161" s="4" t="inlineStr"/>
    </row>
    <row r="2162">
      <c r="A2162" s="10" t="inlineStr">
        <is>
          <t>F02621</t>
        </is>
      </c>
      <c r="B2162" s="10" t="inlineStr">
        <is>
          <t>F02621</t>
        </is>
      </c>
      <c r="C2162" s="10" t="inlineStr"/>
      <c r="D2162" s="10" t="inlineStr"/>
      <c r="E2162" s="10" t="inlineStr">
        <is>
          <t>PVC CEILING(3072)CPT*3900*300 6MM</t>
        </is>
      </c>
      <c r="F2162" s="10" t="inlineStr"/>
      <c r="G2162" s="10" t="inlineStr"/>
      <c r="H2162" s="10" t="inlineStr"/>
      <c r="I2162" s="11" t="n">
        <v>449</v>
      </c>
      <c r="J2162" s="6" t="n">
        <v>15</v>
      </c>
      <c r="K2162" s="7">
        <f>IF(I2162="","",I2162*(1+J2162/100))</f>
        <v/>
      </c>
      <c r="L2162" s="12" t="inlineStr"/>
      <c r="M2162" s="8">
        <f>IF(OR(L2162="",K2162="",L2162=0),"",
  (L2162-K2162)/L2162*100)</f>
        <v/>
      </c>
      <c r="N2162" s="9" t="inlineStr"/>
      <c r="O2162" s="10" t="inlineStr"/>
      <c r="P2162" s="10" t="inlineStr"/>
      <c r="Q2162" s="10" t="inlineStr"/>
      <c r="R2162" s="10" t="inlineStr">
        <is>
          <t>2026-03-12</t>
        </is>
      </c>
      <c r="S2162" s="10" t="inlineStr"/>
    </row>
    <row r="2163">
      <c r="A2163" s="3" t="inlineStr">
        <is>
          <t>F02622</t>
        </is>
      </c>
      <c r="B2163" s="4" t="inlineStr">
        <is>
          <t>F02622</t>
        </is>
      </c>
      <c r="C2163" s="4" t="inlineStr"/>
      <c r="D2163" s="4" t="inlineStr"/>
      <c r="E2163" s="3" t="inlineStr">
        <is>
          <t>PVC CEILING CPT(30WG)*3900*300 6MM</t>
        </is>
      </c>
      <c r="F2163" s="4" t="inlineStr"/>
      <c r="G2163" s="4" t="inlineStr"/>
      <c r="H2163" s="4" t="inlineStr"/>
      <c r="I2163" s="5" t="n">
        <v>449</v>
      </c>
      <c r="J2163" s="6" t="n">
        <v>15</v>
      </c>
      <c r="K2163" s="7">
        <f>IF(I2163="","",I2163*(1+J2163/100))</f>
        <v/>
      </c>
      <c r="L2163" s="12" t="inlineStr"/>
      <c r="M2163" s="8">
        <f>IF(OR(L2163="",K2163="",L2163=0),"",
  (L2163-K2163)/L2163*100)</f>
        <v/>
      </c>
      <c r="N2163" s="14" t="n">
        <v>1</v>
      </c>
      <c r="O2163" s="4" t="inlineStr"/>
      <c r="P2163" s="4" t="inlineStr"/>
      <c r="Q2163" s="4" t="inlineStr"/>
      <c r="R2163" s="4" t="inlineStr">
        <is>
          <t>2026-03-12</t>
        </is>
      </c>
      <c r="S2163" s="4" t="inlineStr"/>
    </row>
    <row r="2164">
      <c r="A2164" s="10" t="inlineStr">
        <is>
          <t>F02623</t>
        </is>
      </c>
      <c r="B2164" s="10" t="inlineStr">
        <is>
          <t>F02623</t>
        </is>
      </c>
      <c r="C2164" s="10" t="inlineStr"/>
      <c r="D2164" s="10" t="inlineStr"/>
      <c r="E2164" s="10" t="inlineStr">
        <is>
          <t>PVC CEILING (3082)CPT*3900*300 6MM</t>
        </is>
      </c>
      <c r="F2164" s="10" t="inlineStr"/>
      <c r="G2164" s="10" t="inlineStr"/>
      <c r="H2164" s="10" t="inlineStr"/>
      <c r="I2164" s="11" t="n">
        <v>479</v>
      </c>
      <c r="J2164" s="6" t="n">
        <v>15</v>
      </c>
      <c r="K2164" s="7">
        <f>IF(I2164="","",I2164*(1+J2164/100))</f>
        <v/>
      </c>
      <c r="L2164" s="12" t="inlineStr"/>
      <c r="M2164" s="8">
        <f>IF(OR(L2164="",K2164="",L2164=0),"",
  (L2164-K2164)/L2164*100)</f>
        <v/>
      </c>
      <c r="N2164" s="9" t="inlineStr"/>
      <c r="O2164" s="10" t="inlineStr"/>
      <c r="P2164" s="10" t="inlineStr"/>
      <c r="Q2164" s="10" t="inlineStr"/>
      <c r="R2164" s="10" t="inlineStr">
        <is>
          <t>2026-03-12</t>
        </is>
      </c>
      <c r="S2164" s="10" t="inlineStr"/>
    </row>
    <row r="2165">
      <c r="A2165" s="3" t="inlineStr">
        <is>
          <t>F02624</t>
        </is>
      </c>
      <c r="B2165" s="4" t="inlineStr">
        <is>
          <t>F02624</t>
        </is>
      </c>
      <c r="C2165" s="4" t="inlineStr"/>
      <c r="D2165" s="4" t="inlineStr"/>
      <c r="E2165" s="3" t="inlineStr">
        <is>
          <t>PVC CEILING CPT (3070)*3900*300 6MM</t>
        </is>
      </c>
      <c r="F2165" s="4" t="inlineStr"/>
      <c r="G2165" s="4" t="inlineStr"/>
      <c r="H2165" s="4" t="inlineStr"/>
      <c r="I2165" s="5" t="n">
        <v>449</v>
      </c>
      <c r="J2165" s="6" t="n">
        <v>15</v>
      </c>
      <c r="K2165" s="7">
        <f>IF(I2165="","",I2165*(1+J2165/100))</f>
        <v/>
      </c>
      <c r="L2165" s="12" t="inlineStr"/>
      <c r="M2165" s="8">
        <f>IF(OR(L2165="",K2165="",L2165=0),"",
  (L2165-K2165)/L2165*100)</f>
        <v/>
      </c>
      <c r="N2165" s="9" t="inlineStr"/>
      <c r="O2165" s="4" t="inlineStr"/>
      <c r="P2165" s="4" t="inlineStr"/>
      <c r="Q2165" s="4" t="inlineStr"/>
      <c r="R2165" s="4" t="inlineStr">
        <is>
          <t>2026-03-12</t>
        </is>
      </c>
      <c r="S2165" s="4" t="inlineStr"/>
    </row>
    <row r="2166">
      <c r="A2166" s="10" t="inlineStr">
        <is>
          <t>F02625</t>
        </is>
      </c>
      <c r="B2166" s="10" t="inlineStr">
        <is>
          <t>F02625</t>
        </is>
      </c>
      <c r="C2166" s="10" t="inlineStr"/>
      <c r="D2166" s="10" t="inlineStr"/>
      <c r="E2166" s="10" t="inlineStr">
        <is>
          <t>PVC CEILING (3065)CPT*3900*300 6MM</t>
        </is>
      </c>
      <c r="F2166" s="10" t="inlineStr"/>
      <c r="G2166" s="10" t="inlineStr"/>
      <c r="H2166" s="10" t="inlineStr"/>
      <c r="I2166" s="11" t="n">
        <v>479</v>
      </c>
      <c r="J2166" s="6" t="n">
        <v>15</v>
      </c>
      <c r="K2166" s="7">
        <f>IF(I2166="","",I2166*(1+J2166/100))</f>
        <v/>
      </c>
      <c r="L2166" s="12" t="inlineStr"/>
      <c r="M2166" s="8">
        <f>IF(OR(L2166="",K2166="",L2166=0),"",
  (L2166-K2166)/L2166*100)</f>
        <v/>
      </c>
      <c r="N2166" s="9" t="inlineStr"/>
      <c r="O2166" s="10" t="inlineStr"/>
      <c r="P2166" s="10" t="inlineStr"/>
      <c r="Q2166" s="10" t="inlineStr"/>
      <c r="R2166" s="10" t="inlineStr">
        <is>
          <t>2026-03-12</t>
        </is>
      </c>
      <c r="S2166" s="10" t="inlineStr"/>
    </row>
    <row r="2167">
      <c r="A2167" s="3" t="inlineStr">
        <is>
          <t>F02626</t>
        </is>
      </c>
      <c r="B2167" s="4" t="inlineStr">
        <is>
          <t>F02626</t>
        </is>
      </c>
      <c r="C2167" s="4" t="inlineStr"/>
      <c r="D2167" s="4" t="inlineStr"/>
      <c r="E2167" s="3" t="inlineStr">
        <is>
          <t>PVC CEILING (3071)CPT*3900*300 6MM</t>
        </is>
      </c>
      <c r="F2167" s="4" t="inlineStr"/>
      <c r="G2167" s="4" t="inlineStr"/>
      <c r="H2167" s="4" t="inlineStr"/>
      <c r="I2167" s="5" t="n">
        <v>479</v>
      </c>
      <c r="J2167" s="6" t="n">
        <v>15</v>
      </c>
      <c r="K2167" s="7">
        <f>IF(I2167="","",I2167*(1+J2167/100))</f>
        <v/>
      </c>
      <c r="L2167" s="12" t="inlineStr"/>
      <c r="M2167" s="8">
        <f>IF(OR(L2167="",K2167="",L2167=0),"",
  (L2167-K2167)/L2167*100)</f>
        <v/>
      </c>
      <c r="N2167" s="9" t="inlineStr"/>
      <c r="O2167" s="4" t="inlineStr"/>
      <c r="P2167" s="4" t="inlineStr"/>
      <c r="Q2167" s="4" t="inlineStr"/>
      <c r="R2167" s="4" t="inlineStr">
        <is>
          <t>2026-03-12</t>
        </is>
      </c>
      <c r="S2167" s="4" t="inlineStr"/>
    </row>
    <row r="2168">
      <c r="A2168" s="10" t="inlineStr">
        <is>
          <t>F02627</t>
        </is>
      </c>
      <c r="B2168" s="10" t="inlineStr">
        <is>
          <t>F02627</t>
        </is>
      </c>
      <c r="C2168" s="10" t="inlineStr"/>
      <c r="D2168" s="10" t="inlineStr"/>
      <c r="E2168" s="10" t="inlineStr">
        <is>
          <t>PVC CEILING(3067)CPT*3900*300 6MM</t>
        </is>
      </c>
      <c r="F2168" s="10" t="inlineStr"/>
      <c r="G2168" s="10" t="inlineStr"/>
      <c r="H2168" s="10" t="inlineStr"/>
      <c r="I2168" s="11" t="n">
        <v>479</v>
      </c>
      <c r="J2168" s="6" t="n">
        <v>15</v>
      </c>
      <c r="K2168" s="7">
        <f>IF(I2168="","",I2168*(1+J2168/100))</f>
        <v/>
      </c>
      <c r="L2168" s="12" t="inlineStr"/>
      <c r="M2168" s="8">
        <f>IF(OR(L2168="",K2168="",L2168=0),"",
  (L2168-K2168)/L2168*100)</f>
        <v/>
      </c>
      <c r="N2168" s="9" t="inlineStr"/>
      <c r="O2168" s="10" t="inlineStr"/>
      <c r="P2168" s="10" t="inlineStr"/>
      <c r="Q2168" s="10" t="inlineStr"/>
      <c r="R2168" s="10" t="inlineStr">
        <is>
          <t>2026-03-12</t>
        </is>
      </c>
      <c r="S2168" s="10" t="inlineStr"/>
    </row>
    <row r="2169">
      <c r="A2169" s="3" t="inlineStr">
        <is>
          <t>F02629</t>
        </is>
      </c>
      <c r="B2169" s="4" t="inlineStr">
        <is>
          <t>F02629</t>
        </is>
      </c>
      <c r="C2169" s="4" t="inlineStr"/>
      <c r="D2169" s="4" t="inlineStr"/>
      <c r="E2169" s="3" t="inlineStr">
        <is>
          <t>PVC CEILING (3002)CPT*3900*300 6MM</t>
        </is>
      </c>
      <c r="F2169" s="4" t="inlineStr"/>
      <c r="G2169" s="4" t="inlineStr"/>
      <c r="H2169" s="4" t="inlineStr"/>
      <c r="I2169" s="5" t="n">
        <v>479</v>
      </c>
      <c r="J2169" s="6" t="n">
        <v>15</v>
      </c>
      <c r="K2169" s="7">
        <f>IF(I2169="","",I2169*(1+J2169/100))</f>
        <v/>
      </c>
      <c r="L2169" s="12" t="inlineStr"/>
      <c r="M2169" s="8">
        <f>IF(OR(L2169="",K2169="",L2169=0),"",
  (L2169-K2169)/L2169*100)</f>
        <v/>
      </c>
      <c r="N2169" s="9" t="inlineStr"/>
      <c r="O2169" s="4" t="inlineStr"/>
      <c r="P2169" s="4" t="inlineStr"/>
      <c r="Q2169" s="4" t="inlineStr"/>
      <c r="R2169" s="4" t="inlineStr">
        <is>
          <t>2026-03-12</t>
        </is>
      </c>
      <c r="S2169" s="4" t="inlineStr"/>
    </row>
    <row r="2170">
      <c r="A2170" s="10" t="inlineStr">
        <is>
          <t>F02630</t>
        </is>
      </c>
      <c r="B2170" s="10" t="inlineStr">
        <is>
          <t>F02630</t>
        </is>
      </c>
      <c r="C2170" s="10" t="inlineStr"/>
      <c r="D2170" s="10" t="inlineStr"/>
      <c r="E2170" s="10" t="inlineStr">
        <is>
          <t>PVC CEILING(3006)CPT*3900*300 6MM</t>
        </is>
      </c>
      <c r="F2170" s="10" t="inlineStr"/>
      <c r="G2170" s="10" t="inlineStr"/>
      <c r="H2170" s="10" t="inlineStr"/>
      <c r="I2170" s="11" t="n">
        <v>479</v>
      </c>
      <c r="J2170" s="6" t="n">
        <v>15</v>
      </c>
      <c r="K2170" s="7">
        <f>IF(I2170="","",I2170*(1+J2170/100))</f>
        <v/>
      </c>
      <c r="L2170" s="12" t="inlineStr"/>
      <c r="M2170" s="8">
        <f>IF(OR(L2170="",K2170="",L2170=0),"",
  (L2170-K2170)/L2170*100)</f>
        <v/>
      </c>
      <c r="N2170" s="9" t="inlineStr"/>
      <c r="O2170" s="10" t="inlineStr"/>
      <c r="P2170" s="10" t="inlineStr"/>
      <c r="Q2170" s="10" t="inlineStr"/>
      <c r="R2170" s="10" t="inlineStr">
        <is>
          <t>2026-03-12</t>
        </is>
      </c>
      <c r="S2170" s="10" t="inlineStr"/>
    </row>
    <row r="2171">
      <c r="A2171" s="3" t="inlineStr">
        <is>
          <t>F02631</t>
        </is>
      </c>
      <c r="B2171" s="4" t="inlineStr">
        <is>
          <t>F02631</t>
        </is>
      </c>
      <c r="C2171" s="4" t="inlineStr"/>
      <c r="D2171" s="4" t="inlineStr"/>
      <c r="E2171" s="3" t="inlineStr">
        <is>
          <t>PVC CEILING (3005)CPT*3900 300 6MM</t>
        </is>
      </c>
      <c r="F2171" s="4" t="inlineStr"/>
      <c r="G2171" s="4" t="inlineStr"/>
      <c r="H2171" s="4" t="inlineStr"/>
      <c r="I2171" s="5" t="n">
        <v>449</v>
      </c>
      <c r="J2171" s="6" t="n">
        <v>15</v>
      </c>
      <c r="K2171" s="7">
        <f>IF(I2171="","",I2171*(1+J2171/100))</f>
        <v/>
      </c>
      <c r="L2171" s="12" t="inlineStr"/>
      <c r="M2171" s="8">
        <f>IF(OR(L2171="",K2171="",L2171=0),"",
  (L2171-K2171)/L2171*100)</f>
        <v/>
      </c>
      <c r="N2171" s="9" t="inlineStr"/>
      <c r="O2171" s="4" t="inlineStr"/>
      <c r="P2171" s="4" t="inlineStr"/>
      <c r="Q2171" s="4" t="inlineStr"/>
      <c r="R2171" s="4" t="inlineStr">
        <is>
          <t>2026-03-12</t>
        </is>
      </c>
      <c r="S2171" s="4" t="inlineStr"/>
    </row>
    <row r="2172">
      <c r="A2172" s="10" t="inlineStr">
        <is>
          <t>F02632</t>
        </is>
      </c>
      <c r="B2172" s="10" t="inlineStr">
        <is>
          <t>F02632</t>
        </is>
      </c>
      <c r="C2172" s="10" t="inlineStr"/>
      <c r="D2172" s="10" t="inlineStr"/>
      <c r="E2172" s="10" t="inlineStr">
        <is>
          <t>PVC CEILING (3013)CPT*3900*300 6MM</t>
        </is>
      </c>
      <c r="F2172" s="10" t="inlineStr"/>
      <c r="G2172" s="10" t="inlineStr"/>
      <c r="H2172" s="10" t="inlineStr"/>
      <c r="I2172" s="11" t="n">
        <v>479</v>
      </c>
      <c r="J2172" s="6" t="n">
        <v>15</v>
      </c>
      <c r="K2172" s="7">
        <f>IF(I2172="","",I2172*(1+J2172/100))</f>
        <v/>
      </c>
      <c r="L2172" s="12" t="inlineStr"/>
      <c r="M2172" s="8">
        <f>IF(OR(L2172="",K2172="",L2172=0),"",
  (L2172-K2172)/L2172*100)</f>
        <v/>
      </c>
      <c r="N2172" s="9" t="inlineStr"/>
      <c r="O2172" s="10" t="inlineStr"/>
      <c r="P2172" s="10" t="inlineStr"/>
      <c r="Q2172" s="10" t="inlineStr"/>
      <c r="R2172" s="10" t="inlineStr">
        <is>
          <t>2026-03-12</t>
        </is>
      </c>
      <c r="S2172" s="10" t="inlineStr"/>
    </row>
    <row r="2173">
      <c r="A2173" s="3" t="inlineStr">
        <is>
          <t>F02633</t>
        </is>
      </c>
      <c r="B2173" s="4" t="inlineStr">
        <is>
          <t>F02633</t>
        </is>
      </c>
      <c r="C2173" s="4" t="inlineStr"/>
      <c r="D2173" s="4" t="inlineStr"/>
      <c r="E2173" s="3" t="inlineStr">
        <is>
          <t>PVC CEILING (3035)CPT*3900*300 6MM</t>
        </is>
      </c>
      <c r="F2173" s="4" t="inlineStr"/>
      <c r="G2173" s="4" t="inlineStr"/>
      <c r="H2173" s="4" t="inlineStr"/>
      <c r="I2173" s="5" t="n">
        <v>449</v>
      </c>
      <c r="J2173" s="6" t="n">
        <v>15</v>
      </c>
      <c r="K2173" s="7">
        <f>IF(I2173="","",I2173*(1+J2173/100))</f>
        <v/>
      </c>
      <c r="L2173" s="12" t="inlineStr"/>
      <c r="M2173" s="8">
        <f>IF(OR(L2173="",K2173="",L2173=0),"",
  (L2173-K2173)/L2173*100)</f>
        <v/>
      </c>
      <c r="N2173" s="14" t="n">
        <v>1</v>
      </c>
      <c r="O2173" s="4" t="inlineStr"/>
      <c r="P2173" s="4" t="inlineStr"/>
      <c r="Q2173" s="4" t="inlineStr"/>
      <c r="R2173" s="4" t="inlineStr">
        <is>
          <t>2026-03-12</t>
        </is>
      </c>
      <c r="S2173" s="4" t="inlineStr"/>
    </row>
    <row r="2174">
      <c r="A2174" s="10" t="inlineStr">
        <is>
          <t>F02634</t>
        </is>
      </c>
      <c r="B2174" s="10" t="inlineStr">
        <is>
          <t>F02634</t>
        </is>
      </c>
      <c r="C2174" s="10" t="inlineStr"/>
      <c r="D2174" s="10" t="inlineStr"/>
      <c r="E2174" s="10" t="inlineStr">
        <is>
          <t>PVC CEILING(3019)CPT*3900*300 6MM</t>
        </is>
      </c>
      <c r="F2174" s="10" t="inlineStr"/>
      <c r="G2174" s="10" t="inlineStr"/>
      <c r="H2174" s="10" t="inlineStr"/>
      <c r="I2174" s="11" t="n">
        <v>479</v>
      </c>
      <c r="J2174" s="6" t="n">
        <v>15</v>
      </c>
      <c r="K2174" s="7">
        <f>IF(I2174="","",I2174*(1+J2174/100))</f>
        <v/>
      </c>
      <c r="L2174" s="12" t="inlineStr"/>
      <c r="M2174" s="8">
        <f>IF(OR(L2174="",K2174="",L2174=0),"",
  (L2174-K2174)/L2174*100)</f>
        <v/>
      </c>
      <c r="N2174" s="9" t="inlineStr"/>
      <c r="O2174" s="10" t="inlineStr"/>
      <c r="P2174" s="10" t="inlineStr"/>
      <c r="Q2174" s="10" t="inlineStr"/>
      <c r="R2174" s="10" t="inlineStr">
        <is>
          <t>2026-03-12</t>
        </is>
      </c>
      <c r="S2174" s="10" t="inlineStr"/>
    </row>
    <row r="2175">
      <c r="A2175" s="3" t="inlineStr">
        <is>
          <t>F02635</t>
        </is>
      </c>
      <c r="B2175" s="4" t="inlineStr">
        <is>
          <t>F02635</t>
        </is>
      </c>
      <c r="C2175" s="4" t="inlineStr"/>
      <c r="D2175" s="4" t="inlineStr"/>
      <c r="E2175" s="3" t="inlineStr">
        <is>
          <t>PVC CEILING(3033)CPT*3900*300 6MM</t>
        </is>
      </c>
      <c r="F2175" s="4" t="inlineStr"/>
      <c r="G2175" s="4" t="inlineStr"/>
      <c r="H2175" s="4" t="inlineStr"/>
      <c r="I2175" s="5" t="n">
        <v>479</v>
      </c>
      <c r="J2175" s="6" t="n">
        <v>15</v>
      </c>
      <c r="K2175" s="7">
        <f>IF(I2175="","",I2175*(1+J2175/100))</f>
        <v/>
      </c>
      <c r="L2175" s="12" t="inlineStr"/>
      <c r="M2175" s="8">
        <f>IF(OR(L2175="",K2175="",L2175=0),"",
  (L2175-K2175)/L2175*100)</f>
        <v/>
      </c>
      <c r="N2175" s="9" t="inlineStr"/>
      <c r="O2175" s="4" t="inlineStr"/>
      <c r="P2175" s="4" t="inlineStr"/>
      <c r="Q2175" s="4" t="inlineStr"/>
      <c r="R2175" s="4" t="inlineStr">
        <is>
          <t>2026-03-12</t>
        </is>
      </c>
      <c r="S2175" s="4" t="inlineStr"/>
    </row>
    <row r="2176">
      <c r="A2176" s="10" t="inlineStr">
        <is>
          <t>F02636</t>
        </is>
      </c>
      <c r="B2176" s="10" t="inlineStr">
        <is>
          <t>F02636</t>
        </is>
      </c>
      <c r="C2176" s="10" t="inlineStr"/>
      <c r="D2176" s="10" t="inlineStr"/>
      <c r="E2176" s="10" t="inlineStr">
        <is>
          <t>PVC CEILING(3026)CPT*3900*300 6MM</t>
        </is>
      </c>
      <c r="F2176" s="10" t="inlineStr"/>
      <c r="G2176" s="10" t="inlineStr"/>
      <c r="H2176" s="10" t="inlineStr"/>
      <c r="I2176" s="11" t="n">
        <v>479</v>
      </c>
      <c r="J2176" s="6" t="n">
        <v>15</v>
      </c>
      <c r="K2176" s="7">
        <f>IF(I2176="","",I2176*(1+J2176/100))</f>
        <v/>
      </c>
      <c r="L2176" s="12" t="inlineStr"/>
      <c r="M2176" s="8">
        <f>IF(OR(L2176="",K2176="",L2176=0),"",
  (L2176-K2176)/L2176*100)</f>
        <v/>
      </c>
      <c r="N2176" s="9" t="inlineStr"/>
      <c r="O2176" s="10" t="inlineStr"/>
      <c r="P2176" s="10" t="inlineStr"/>
      <c r="Q2176" s="10" t="inlineStr"/>
      <c r="R2176" s="10" t="inlineStr">
        <is>
          <t>2026-03-12</t>
        </is>
      </c>
      <c r="S2176" s="10" t="inlineStr"/>
    </row>
    <row r="2177">
      <c r="A2177" s="3" t="inlineStr">
        <is>
          <t>F02637</t>
        </is>
      </c>
      <c r="B2177" s="4" t="inlineStr">
        <is>
          <t>F02637</t>
        </is>
      </c>
      <c r="C2177" s="4" t="inlineStr"/>
      <c r="D2177" s="4" t="inlineStr"/>
      <c r="E2177" s="3" t="inlineStr">
        <is>
          <t>PVC CEILING (3014)CPT*3900*300 6MM</t>
        </is>
      </c>
      <c r="F2177" s="4" t="inlineStr"/>
      <c r="G2177" s="4" t="inlineStr"/>
      <c r="H2177" s="4" t="inlineStr"/>
      <c r="I2177" s="5" t="n">
        <v>479</v>
      </c>
      <c r="J2177" s="6" t="n">
        <v>15</v>
      </c>
      <c r="K2177" s="7">
        <f>IF(I2177="","",I2177*(1+J2177/100))</f>
        <v/>
      </c>
      <c r="L2177" s="12" t="inlineStr"/>
      <c r="M2177" s="8">
        <f>IF(OR(L2177="",K2177="",L2177=0),"",
  (L2177-K2177)/L2177*100)</f>
        <v/>
      </c>
      <c r="N2177" s="14" t="n">
        <v>10</v>
      </c>
      <c r="O2177" s="4" t="inlineStr"/>
      <c r="P2177" s="4" t="inlineStr"/>
      <c r="Q2177" s="4" t="inlineStr"/>
      <c r="R2177" s="4" t="inlineStr">
        <is>
          <t>2026-03-12</t>
        </is>
      </c>
      <c r="S2177" s="4" t="inlineStr"/>
    </row>
    <row r="2178">
      <c r="A2178" s="10" t="inlineStr">
        <is>
          <t>F02638</t>
        </is>
      </c>
      <c r="B2178" s="10" t="inlineStr">
        <is>
          <t>F02638</t>
        </is>
      </c>
      <c r="C2178" s="10" t="inlineStr"/>
      <c r="D2178" s="10" t="inlineStr"/>
      <c r="E2178" s="10" t="inlineStr">
        <is>
          <t>PVC CEILING (3020)CPT*3900*300 6MM</t>
        </is>
      </c>
      <c r="F2178" s="10" t="inlineStr"/>
      <c r="G2178" s="10" t="inlineStr"/>
      <c r="H2178" s="10" t="inlineStr"/>
      <c r="I2178" s="11" t="n">
        <v>449</v>
      </c>
      <c r="J2178" s="6" t="n">
        <v>15</v>
      </c>
      <c r="K2178" s="7">
        <f>IF(I2178="","",I2178*(1+J2178/100))</f>
        <v/>
      </c>
      <c r="L2178" s="12" t="inlineStr"/>
      <c r="M2178" s="8">
        <f>IF(OR(L2178="",K2178="",L2178=0),"",
  (L2178-K2178)/L2178*100)</f>
        <v/>
      </c>
      <c r="N2178" s="9" t="inlineStr"/>
      <c r="O2178" s="10" t="inlineStr"/>
      <c r="P2178" s="10" t="inlineStr"/>
      <c r="Q2178" s="10" t="inlineStr"/>
      <c r="R2178" s="10" t="inlineStr">
        <is>
          <t>2026-03-12</t>
        </is>
      </c>
      <c r="S2178" s="10" t="inlineStr"/>
    </row>
    <row r="2179">
      <c r="A2179" s="3" t="inlineStr">
        <is>
          <t>F02639</t>
        </is>
      </c>
      <c r="B2179" s="4" t="inlineStr">
        <is>
          <t>F02639</t>
        </is>
      </c>
      <c r="C2179" s="4" t="inlineStr"/>
      <c r="D2179" s="4" t="inlineStr"/>
      <c r="E2179" s="3" t="inlineStr">
        <is>
          <t>PVC CEILING (3034)CPT*3900*300 6MM</t>
        </is>
      </c>
      <c r="F2179" s="4" t="inlineStr"/>
      <c r="G2179" s="4" t="inlineStr"/>
      <c r="H2179" s="4" t="inlineStr"/>
      <c r="I2179" s="5" t="n">
        <v>479</v>
      </c>
      <c r="J2179" s="6" t="n">
        <v>15</v>
      </c>
      <c r="K2179" s="7">
        <f>IF(I2179="","",I2179*(1+J2179/100))</f>
        <v/>
      </c>
      <c r="L2179" s="12" t="inlineStr"/>
      <c r="M2179" s="8">
        <f>IF(OR(L2179="",K2179="",L2179=0),"",
  (L2179-K2179)/L2179*100)</f>
        <v/>
      </c>
      <c r="N2179" s="9" t="inlineStr"/>
      <c r="O2179" s="4" t="inlineStr"/>
      <c r="P2179" s="4" t="inlineStr"/>
      <c r="Q2179" s="4" t="inlineStr"/>
      <c r="R2179" s="4" t="inlineStr">
        <is>
          <t>2026-03-12</t>
        </is>
      </c>
      <c r="S2179" s="4" t="inlineStr"/>
    </row>
    <row r="2180">
      <c r="A2180" s="10" t="inlineStr">
        <is>
          <t>F02640</t>
        </is>
      </c>
      <c r="B2180" s="10" t="inlineStr">
        <is>
          <t>F02640</t>
        </is>
      </c>
      <c r="C2180" s="10" t="inlineStr"/>
      <c r="D2180" s="10" t="inlineStr"/>
      <c r="E2180" s="10" t="inlineStr">
        <is>
          <t>PVC CEILING(3083)CPT*3900*300 6MM</t>
        </is>
      </c>
      <c r="F2180" s="10" t="inlineStr"/>
      <c r="G2180" s="10" t="inlineStr"/>
      <c r="H2180" s="10" t="inlineStr"/>
      <c r="I2180" s="11" t="n">
        <v>479</v>
      </c>
      <c r="J2180" s="6" t="n">
        <v>15</v>
      </c>
      <c r="K2180" s="7">
        <f>IF(I2180="","",I2180*(1+J2180/100))</f>
        <v/>
      </c>
      <c r="L2180" s="12" t="inlineStr"/>
      <c r="M2180" s="8">
        <f>IF(OR(L2180="",K2180="",L2180=0),"",
  (L2180-K2180)/L2180*100)</f>
        <v/>
      </c>
      <c r="N2180" s="9" t="inlineStr"/>
      <c r="O2180" s="10" t="inlineStr"/>
      <c r="P2180" s="10" t="inlineStr"/>
      <c r="Q2180" s="10" t="inlineStr"/>
      <c r="R2180" s="10" t="inlineStr">
        <is>
          <t>2026-03-12</t>
        </is>
      </c>
      <c r="S2180" s="10" t="inlineStr"/>
    </row>
    <row r="2181">
      <c r="A2181" s="3" t="inlineStr">
        <is>
          <t>F02641</t>
        </is>
      </c>
      <c r="B2181" s="4" t="inlineStr">
        <is>
          <t>F02641</t>
        </is>
      </c>
      <c r="C2181" s="4" t="inlineStr"/>
      <c r="D2181" s="4" t="inlineStr"/>
      <c r="E2181" s="3" t="inlineStr">
        <is>
          <t>PVC CEILING (3033)CPT*3900*300 6MM</t>
        </is>
      </c>
      <c r="F2181" s="4" t="inlineStr"/>
      <c r="G2181" s="4" t="inlineStr"/>
      <c r="H2181" s="4" t="inlineStr"/>
      <c r="I2181" s="5" t="n">
        <v>449</v>
      </c>
      <c r="J2181" s="6" t="n">
        <v>15</v>
      </c>
      <c r="K2181" s="7">
        <f>IF(I2181="","",I2181*(1+J2181/100))</f>
        <v/>
      </c>
      <c r="L2181" s="12" t="inlineStr"/>
      <c r="M2181" s="8">
        <f>IF(OR(L2181="",K2181="",L2181=0),"",
  (L2181-K2181)/L2181*100)</f>
        <v/>
      </c>
      <c r="N2181" s="9" t="inlineStr"/>
      <c r="O2181" s="4" t="inlineStr"/>
      <c r="P2181" s="4" t="inlineStr"/>
      <c r="Q2181" s="4" t="inlineStr"/>
      <c r="R2181" s="4" t="inlineStr">
        <is>
          <t>2026-03-12</t>
        </is>
      </c>
      <c r="S2181" s="4" t="inlineStr"/>
    </row>
    <row r="2182">
      <c r="A2182" s="10" t="inlineStr">
        <is>
          <t>F02642</t>
        </is>
      </c>
      <c r="B2182" s="10" t="inlineStr">
        <is>
          <t>F02642</t>
        </is>
      </c>
      <c r="C2182" s="10" t="inlineStr"/>
      <c r="D2182" s="10" t="inlineStr"/>
      <c r="E2182" s="10" t="inlineStr">
        <is>
          <t>PVC CEILING(3092)CPT*3900*300 6MM</t>
        </is>
      </c>
      <c r="F2182" s="10" t="inlineStr"/>
      <c r="G2182" s="10" t="inlineStr"/>
      <c r="H2182" s="10" t="inlineStr"/>
      <c r="I2182" s="11" t="n">
        <v>479</v>
      </c>
      <c r="J2182" s="6" t="n">
        <v>15</v>
      </c>
      <c r="K2182" s="7">
        <f>IF(I2182="","",I2182*(1+J2182/100))</f>
        <v/>
      </c>
      <c r="L2182" s="12" t="inlineStr"/>
      <c r="M2182" s="8">
        <f>IF(OR(L2182="",K2182="",L2182=0),"",
  (L2182-K2182)/L2182*100)</f>
        <v/>
      </c>
      <c r="N2182" s="9" t="inlineStr"/>
      <c r="O2182" s="10" t="inlineStr"/>
      <c r="P2182" s="10" t="inlineStr"/>
      <c r="Q2182" s="10" t="inlineStr"/>
      <c r="R2182" s="10" t="inlineStr">
        <is>
          <t>2026-03-12</t>
        </is>
      </c>
      <c r="S2182" s="10" t="inlineStr"/>
    </row>
    <row r="2183">
      <c r="A2183" s="3" t="inlineStr">
        <is>
          <t>F02643</t>
        </is>
      </c>
      <c r="B2183" s="4" t="inlineStr">
        <is>
          <t>F02643</t>
        </is>
      </c>
      <c r="C2183" s="4" t="inlineStr"/>
      <c r="D2183" s="4" t="inlineStr"/>
      <c r="E2183" s="3" t="inlineStr">
        <is>
          <t>PVC CEILING (3057)CPT*3900*300 6MM</t>
        </is>
      </c>
      <c r="F2183" s="4" t="inlineStr"/>
      <c r="G2183" s="4" t="inlineStr"/>
      <c r="H2183" s="4" t="inlineStr"/>
      <c r="I2183" s="5" t="n">
        <v>479</v>
      </c>
      <c r="J2183" s="6" t="n">
        <v>15</v>
      </c>
      <c r="K2183" s="7">
        <f>IF(I2183="","",I2183*(1+J2183/100))</f>
        <v/>
      </c>
      <c r="L2183" s="12" t="inlineStr"/>
      <c r="M2183" s="8">
        <f>IF(OR(L2183="",K2183="",L2183=0),"",
  (L2183-K2183)/L2183*100)</f>
        <v/>
      </c>
      <c r="N2183" s="9" t="inlineStr"/>
      <c r="O2183" s="4" t="inlineStr"/>
      <c r="P2183" s="4" t="inlineStr"/>
      <c r="Q2183" s="4" t="inlineStr"/>
      <c r="R2183" s="4" t="inlineStr">
        <is>
          <t>2026-03-12</t>
        </is>
      </c>
      <c r="S2183" s="4" t="inlineStr"/>
    </row>
    <row r="2184">
      <c r="A2184" s="10" t="inlineStr">
        <is>
          <t>F02644</t>
        </is>
      </c>
      <c r="B2184" s="10" t="inlineStr">
        <is>
          <t>F02644</t>
        </is>
      </c>
      <c r="C2184" s="10" t="inlineStr"/>
      <c r="D2184" s="10" t="inlineStr"/>
      <c r="E2184" s="10" t="inlineStr">
        <is>
          <t>PVC CEILING (3085)CPT*3900*300 6MM</t>
        </is>
      </c>
      <c r="F2184" s="10" t="inlineStr"/>
      <c r="G2184" s="10" t="inlineStr"/>
      <c r="H2184" s="10" t="inlineStr"/>
      <c r="I2184" s="11" t="n">
        <v>449</v>
      </c>
      <c r="J2184" s="6" t="n">
        <v>15</v>
      </c>
      <c r="K2184" s="7">
        <f>IF(I2184="","",I2184*(1+J2184/100))</f>
        <v/>
      </c>
      <c r="L2184" s="12" t="inlineStr"/>
      <c r="M2184" s="8">
        <f>IF(OR(L2184="",K2184="",L2184=0),"",
  (L2184-K2184)/L2184*100)</f>
        <v/>
      </c>
      <c r="N2184" s="9" t="inlineStr"/>
      <c r="O2184" s="10" t="inlineStr"/>
      <c r="P2184" s="10" t="inlineStr"/>
      <c r="Q2184" s="10" t="inlineStr"/>
      <c r="R2184" s="10" t="inlineStr">
        <is>
          <t>2026-03-12</t>
        </is>
      </c>
      <c r="S2184" s="10" t="inlineStr"/>
    </row>
    <row r="2185">
      <c r="A2185" s="3" t="inlineStr">
        <is>
          <t>F02645</t>
        </is>
      </c>
      <c r="B2185" s="4" t="inlineStr">
        <is>
          <t>F02645</t>
        </is>
      </c>
      <c r="C2185" s="4" t="inlineStr"/>
      <c r="D2185" s="4" t="inlineStr"/>
      <c r="E2185" s="3" t="inlineStr">
        <is>
          <t>PVC CEILING(3053)CPT*3900*300 6MM</t>
        </is>
      </c>
      <c r="F2185" s="4" t="inlineStr"/>
      <c r="G2185" s="4" t="inlineStr"/>
      <c r="H2185" s="4" t="inlineStr"/>
      <c r="I2185" s="5" t="n">
        <v>479</v>
      </c>
      <c r="J2185" s="6" t="n">
        <v>15</v>
      </c>
      <c r="K2185" s="7">
        <f>IF(I2185="","",I2185*(1+J2185/100))</f>
        <v/>
      </c>
      <c r="L2185" s="12" t="inlineStr"/>
      <c r="M2185" s="8">
        <f>IF(OR(L2185="",K2185="",L2185=0),"",
  (L2185-K2185)/L2185*100)</f>
        <v/>
      </c>
      <c r="N2185" s="9" t="inlineStr"/>
      <c r="O2185" s="4" t="inlineStr"/>
      <c r="P2185" s="4" t="inlineStr"/>
      <c r="Q2185" s="4" t="inlineStr"/>
      <c r="R2185" s="4" t="inlineStr">
        <is>
          <t>2026-03-12</t>
        </is>
      </c>
      <c r="S2185" s="4" t="inlineStr"/>
    </row>
    <row r="2186">
      <c r="A2186" s="10" t="inlineStr">
        <is>
          <t>F02646</t>
        </is>
      </c>
      <c r="B2186" s="10" t="inlineStr">
        <is>
          <t>F02646</t>
        </is>
      </c>
      <c r="C2186" s="10" t="inlineStr"/>
      <c r="D2186" s="10" t="inlineStr"/>
      <c r="E2186" s="10" t="inlineStr">
        <is>
          <t>PVC CEILING (3054)CPT*3900*300 6MM</t>
        </is>
      </c>
      <c r="F2186" s="10" t="inlineStr"/>
      <c r="G2186" s="10" t="inlineStr"/>
      <c r="H2186" s="10" t="inlineStr"/>
      <c r="I2186" s="11" t="n">
        <v>479</v>
      </c>
      <c r="J2186" s="6" t="n">
        <v>15</v>
      </c>
      <c r="K2186" s="7">
        <f>IF(I2186="","",I2186*(1+J2186/100))</f>
        <v/>
      </c>
      <c r="L2186" s="12" t="inlineStr"/>
      <c r="M2186" s="8">
        <f>IF(OR(L2186="",K2186="",L2186=0),"",
  (L2186-K2186)/L2186*100)</f>
        <v/>
      </c>
      <c r="N2186" s="9" t="inlineStr"/>
      <c r="O2186" s="10" t="inlineStr"/>
      <c r="P2186" s="10" t="inlineStr"/>
      <c r="Q2186" s="10" t="inlineStr"/>
      <c r="R2186" s="10" t="inlineStr">
        <is>
          <t>2026-03-12</t>
        </is>
      </c>
      <c r="S2186" s="10" t="inlineStr"/>
    </row>
    <row r="2187">
      <c r="A2187" s="3" t="inlineStr">
        <is>
          <t>F02647</t>
        </is>
      </c>
      <c r="B2187" s="4" t="inlineStr">
        <is>
          <t>F02647</t>
        </is>
      </c>
      <c r="C2187" s="4" t="inlineStr"/>
      <c r="D2187" s="4" t="inlineStr"/>
      <c r="E2187" s="3" t="inlineStr">
        <is>
          <t>PVC CEILING(3084)CPT*3900*300 6MM</t>
        </is>
      </c>
      <c r="F2187" s="4" t="inlineStr"/>
      <c r="G2187" s="4" t="inlineStr"/>
      <c r="H2187" s="4" t="inlineStr"/>
      <c r="I2187" s="5" t="n">
        <v>449</v>
      </c>
      <c r="J2187" s="6" t="n">
        <v>15</v>
      </c>
      <c r="K2187" s="7">
        <f>IF(I2187="","",I2187*(1+J2187/100))</f>
        <v/>
      </c>
      <c r="L2187" s="12" t="inlineStr"/>
      <c r="M2187" s="8">
        <f>IF(OR(L2187="",K2187="",L2187=0),"",
  (L2187-K2187)/L2187*100)</f>
        <v/>
      </c>
      <c r="N2187" s="9" t="inlineStr"/>
      <c r="O2187" s="4" t="inlineStr"/>
      <c r="P2187" s="4" t="inlineStr"/>
      <c r="Q2187" s="4" t="inlineStr"/>
      <c r="R2187" s="4" t="inlineStr">
        <is>
          <t>2026-03-12</t>
        </is>
      </c>
      <c r="S2187" s="4" t="inlineStr"/>
    </row>
    <row r="2188">
      <c r="A2188" s="10" t="inlineStr">
        <is>
          <t>F02648</t>
        </is>
      </c>
      <c r="B2188" s="10" t="inlineStr">
        <is>
          <t>F02648</t>
        </is>
      </c>
      <c r="C2188" s="10" t="inlineStr"/>
      <c r="D2188" s="10" t="inlineStr"/>
      <c r="E2188" s="10" t="inlineStr">
        <is>
          <t>PVC CEILING(30113)CPT*3900*300 6MM</t>
        </is>
      </c>
      <c r="F2188" s="10" t="inlineStr"/>
      <c r="G2188" s="10" t="inlineStr"/>
      <c r="H2188" s="10" t="inlineStr"/>
      <c r="I2188" s="11" t="n">
        <v>479</v>
      </c>
      <c r="J2188" s="6" t="n">
        <v>15</v>
      </c>
      <c r="K2188" s="7">
        <f>IF(I2188="","",I2188*(1+J2188/100))</f>
        <v/>
      </c>
      <c r="L2188" s="12" t="inlineStr"/>
      <c r="M2188" s="8">
        <f>IF(OR(L2188="",K2188="",L2188=0),"",
  (L2188-K2188)/L2188*100)</f>
        <v/>
      </c>
      <c r="N2188" s="9" t="inlineStr"/>
      <c r="O2188" s="10" t="inlineStr"/>
      <c r="P2188" s="10" t="inlineStr"/>
      <c r="Q2188" s="10" t="inlineStr"/>
      <c r="R2188" s="10" t="inlineStr">
        <is>
          <t>2026-03-12</t>
        </is>
      </c>
      <c r="S2188" s="10" t="inlineStr"/>
    </row>
    <row r="2189">
      <c r="A2189" s="3" t="inlineStr">
        <is>
          <t>F02649</t>
        </is>
      </c>
      <c r="B2189" s="4" t="inlineStr">
        <is>
          <t>F02649</t>
        </is>
      </c>
      <c r="C2189" s="4" t="inlineStr"/>
      <c r="D2189" s="4" t="inlineStr"/>
      <c r="E2189" s="3" t="inlineStr">
        <is>
          <t>PVC CEILING(30118)CPT*3900*300 6MM</t>
        </is>
      </c>
      <c r="F2189" s="4" t="inlineStr"/>
      <c r="G2189" s="4" t="inlineStr"/>
      <c r="H2189" s="4" t="inlineStr"/>
      <c r="I2189" s="5" t="n">
        <v>449</v>
      </c>
      <c r="J2189" s="6" t="n">
        <v>15</v>
      </c>
      <c r="K2189" s="7">
        <f>IF(I2189="","",I2189*(1+J2189/100))</f>
        <v/>
      </c>
      <c r="L2189" s="12" t="inlineStr"/>
      <c r="M2189" s="8">
        <f>IF(OR(L2189="",K2189="",L2189=0),"",
  (L2189-K2189)/L2189*100)</f>
        <v/>
      </c>
      <c r="N2189" s="9" t="inlineStr"/>
      <c r="O2189" s="4" t="inlineStr"/>
      <c r="P2189" s="4" t="inlineStr"/>
      <c r="Q2189" s="4" t="inlineStr"/>
      <c r="R2189" s="4" t="inlineStr">
        <is>
          <t>2026-03-12</t>
        </is>
      </c>
      <c r="S2189" s="4" t="inlineStr"/>
    </row>
    <row r="2190">
      <c r="A2190" s="10" t="inlineStr">
        <is>
          <t>F02650</t>
        </is>
      </c>
      <c r="B2190" s="10" t="inlineStr">
        <is>
          <t>F02650</t>
        </is>
      </c>
      <c r="C2190" s="10" t="inlineStr"/>
      <c r="D2190" s="10" t="inlineStr"/>
      <c r="E2190" s="10" t="inlineStr">
        <is>
          <t>PVC CEILING (30115)CPT*3900*300 6MM</t>
        </is>
      </c>
      <c r="F2190" s="10" t="inlineStr"/>
      <c r="G2190" s="10" t="inlineStr"/>
      <c r="H2190" s="10" t="inlineStr"/>
      <c r="I2190" s="11" t="n">
        <v>479</v>
      </c>
      <c r="J2190" s="6" t="n">
        <v>15</v>
      </c>
      <c r="K2190" s="7">
        <f>IF(I2190="","",I2190*(1+J2190/100))</f>
        <v/>
      </c>
      <c r="L2190" s="12" t="inlineStr"/>
      <c r="M2190" s="8">
        <f>IF(OR(L2190="",K2190="",L2190=0),"",
  (L2190-K2190)/L2190*100)</f>
        <v/>
      </c>
      <c r="N2190" s="9" t="inlineStr"/>
      <c r="O2190" s="10" t="inlineStr"/>
      <c r="P2190" s="10" t="inlineStr"/>
      <c r="Q2190" s="10" t="inlineStr"/>
      <c r="R2190" s="10" t="inlineStr">
        <is>
          <t>2026-03-12</t>
        </is>
      </c>
      <c r="S2190" s="10" t="inlineStr"/>
    </row>
    <row r="2191">
      <c r="A2191" s="3" t="inlineStr">
        <is>
          <t>F02651</t>
        </is>
      </c>
      <c r="B2191" s="4" t="inlineStr">
        <is>
          <t>F02651</t>
        </is>
      </c>
      <c r="C2191" s="4" t="inlineStr"/>
      <c r="D2191" s="4" t="inlineStr"/>
      <c r="E2191" s="3" t="inlineStr">
        <is>
          <t>PVC CEILING (30114)CPT*3900*300 6MM</t>
        </is>
      </c>
      <c r="F2191" s="4" t="inlineStr"/>
      <c r="G2191" s="4" t="inlineStr"/>
      <c r="H2191" s="4" t="inlineStr"/>
      <c r="I2191" s="5" t="n">
        <v>479</v>
      </c>
      <c r="J2191" s="6" t="n">
        <v>15</v>
      </c>
      <c r="K2191" s="7">
        <f>IF(I2191="","",I2191*(1+J2191/100))</f>
        <v/>
      </c>
      <c r="L2191" s="12" t="inlineStr"/>
      <c r="M2191" s="8">
        <f>IF(OR(L2191="",K2191="",L2191=0),"",
  (L2191-K2191)/L2191*100)</f>
        <v/>
      </c>
      <c r="N2191" s="9" t="inlineStr"/>
      <c r="O2191" s="4" t="inlineStr"/>
      <c r="P2191" s="4" t="inlineStr"/>
      <c r="Q2191" s="4" t="inlineStr"/>
      <c r="R2191" s="4" t="inlineStr">
        <is>
          <t>2026-03-12</t>
        </is>
      </c>
      <c r="S2191" s="4" t="inlineStr"/>
    </row>
    <row r="2192">
      <c r="A2192" s="10" t="inlineStr">
        <is>
          <t>F02652</t>
        </is>
      </c>
      <c r="B2192" s="10" t="inlineStr">
        <is>
          <t>F02652</t>
        </is>
      </c>
      <c r="C2192" s="10" t="inlineStr"/>
      <c r="D2192" s="10" t="inlineStr"/>
      <c r="E2192" s="10" t="inlineStr">
        <is>
          <t>PVC CEILING(3001)CPT*3900*300 6MM</t>
        </is>
      </c>
      <c r="F2192" s="10" t="inlineStr"/>
      <c r="G2192" s="10" t="inlineStr"/>
      <c r="H2192" s="10" t="inlineStr"/>
      <c r="I2192" s="11" t="n">
        <v>449</v>
      </c>
      <c r="J2192" s="6" t="n">
        <v>15</v>
      </c>
      <c r="K2192" s="7">
        <f>IF(I2192="","",I2192*(1+J2192/100))</f>
        <v/>
      </c>
      <c r="L2192" s="12" t="inlineStr"/>
      <c r="M2192" s="8">
        <f>IF(OR(L2192="",K2192="",L2192=0),"",
  (L2192-K2192)/L2192*100)</f>
        <v/>
      </c>
      <c r="N2192" s="9" t="inlineStr"/>
      <c r="O2192" s="10" t="inlineStr"/>
      <c r="P2192" s="10" t="inlineStr"/>
      <c r="Q2192" s="10" t="inlineStr"/>
      <c r="R2192" s="10" t="inlineStr">
        <is>
          <t>2026-03-12</t>
        </is>
      </c>
      <c r="S2192" s="10" t="inlineStr"/>
    </row>
    <row r="2193">
      <c r="A2193" s="3" t="inlineStr">
        <is>
          <t>F02653</t>
        </is>
      </c>
      <c r="B2193" s="4" t="inlineStr">
        <is>
          <t>F02653</t>
        </is>
      </c>
      <c r="C2193" s="4" t="inlineStr"/>
      <c r="D2193" s="4" t="inlineStr"/>
      <c r="E2193" s="3" t="inlineStr">
        <is>
          <t>DADOO RAIL PU SERIE M1-WHT 2.4MX5CM 1'S</t>
        </is>
      </c>
      <c r="F2193" s="4" t="inlineStr"/>
      <c r="G2193" s="4" t="inlineStr"/>
      <c r="H2193" s="4" t="inlineStr"/>
      <c r="I2193" s="5" t="n">
        <v>42.3</v>
      </c>
      <c r="J2193" s="6" t="n">
        <v>15</v>
      </c>
      <c r="K2193" s="7">
        <f>IF(I2193="","",I2193*(1+J2193/100))</f>
        <v/>
      </c>
      <c r="L2193" s="12" t="inlineStr"/>
      <c r="M2193" s="8">
        <f>IF(OR(L2193="",K2193="",L2193=0),"",
  (L2193-K2193)/L2193*100)</f>
        <v/>
      </c>
      <c r="N2193" s="14" t="n">
        <v>1536</v>
      </c>
      <c r="O2193" s="4" t="inlineStr"/>
      <c r="P2193" s="4" t="inlineStr"/>
      <c r="Q2193" s="4" t="inlineStr"/>
      <c r="R2193" s="4" t="inlineStr">
        <is>
          <t>2026-03-12</t>
        </is>
      </c>
      <c r="S2193" s="4" t="inlineStr"/>
    </row>
    <row r="2194">
      <c r="A2194" s="10" t="inlineStr">
        <is>
          <t>F02654</t>
        </is>
      </c>
      <c r="B2194" s="10" t="inlineStr">
        <is>
          <t>F02654</t>
        </is>
      </c>
      <c r="C2194" s="10" t="inlineStr"/>
      <c r="D2194" s="10" t="inlineStr"/>
      <c r="E2194" s="10" t="inlineStr">
        <is>
          <t>DADOO RAIL PU SERIE M3-WHT 2.4MX5.2CM</t>
        </is>
      </c>
      <c r="F2194" s="10" t="inlineStr"/>
      <c r="G2194" s="10" t="inlineStr"/>
      <c r="H2194" s="10" t="inlineStr"/>
      <c r="I2194" s="11" t="n">
        <v>42.3</v>
      </c>
      <c r="J2194" s="6" t="n">
        <v>15</v>
      </c>
      <c r="K2194" s="7">
        <f>IF(I2194="","",I2194*(1+J2194/100))</f>
        <v/>
      </c>
      <c r="L2194" s="12" t="inlineStr"/>
      <c r="M2194" s="8">
        <f>IF(OR(L2194="",K2194="",L2194=0),"",
  (L2194-K2194)/L2194*100)</f>
        <v/>
      </c>
      <c r="N2194" s="13" t="n">
        <v>4</v>
      </c>
      <c r="O2194" s="10" t="inlineStr"/>
      <c r="P2194" s="10" t="inlineStr"/>
      <c r="Q2194" s="10" t="inlineStr"/>
      <c r="R2194" s="10" t="inlineStr">
        <is>
          <t>2026-03-12</t>
        </is>
      </c>
      <c r="S2194" s="10" t="inlineStr"/>
    </row>
    <row r="2195">
      <c r="A2195" s="3" t="inlineStr">
        <is>
          <t>F02655</t>
        </is>
      </c>
      <c r="B2195" s="4" t="inlineStr">
        <is>
          <t>F02655</t>
        </is>
      </c>
      <c r="C2195" s="4" t="inlineStr"/>
      <c r="D2195" s="4" t="inlineStr"/>
      <c r="E2195" s="3" t="inlineStr">
        <is>
          <t>DADOO RAIL PU SERIE M1S-SILVER 2.4MX5CM</t>
        </is>
      </c>
      <c r="F2195" s="4" t="inlineStr"/>
      <c r="G2195" s="4" t="inlineStr"/>
      <c r="H2195" s="4" t="inlineStr"/>
      <c r="I2195" s="5" t="n">
        <v>50.9</v>
      </c>
      <c r="J2195" s="6" t="n">
        <v>15</v>
      </c>
      <c r="K2195" s="7">
        <f>IF(I2195="","",I2195*(1+J2195/100))</f>
        <v/>
      </c>
      <c r="L2195" s="12" t="inlineStr"/>
      <c r="M2195" s="8">
        <f>IF(OR(L2195="",K2195="",L2195=0),"",
  (L2195-K2195)/L2195*100)</f>
        <v/>
      </c>
      <c r="N2195" s="14" t="n">
        <v>672</v>
      </c>
      <c r="O2195" s="4" t="inlineStr"/>
      <c r="P2195" s="4" t="inlineStr"/>
      <c r="Q2195" s="4" t="inlineStr"/>
      <c r="R2195" s="4" t="inlineStr">
        <is>
          <t>2026-03-12</t>
        </is>
      </c>
      <c r="S2195" s="4" t="inlineStr"/>
    </row>
    <row r="2196">
      <c r="A2196" s="10" t="inlineStr">
        <is>
          <t>F02656</t>
        </is>
      </c>
      <c r="B2196" s="10" t="inlineStr">
        <is>
          <t>F02656</t>
        </is>
      </c>
      <c r="C2196" s="10" t="inlineStr"/>
      <c r="D2196" s="10" t="inlineStr"/>
      <c r="E2196" s="10" t="inlineStr">
        <is>
          <t>DADOO RAIL PU SERIE M3S-SILVR 2.4MX5.2CM</t>
        </is>
      </c>
      <c r="F2196" s="10" t="inlineStr"/>
      <c r="G2196" s="10" t="inlineStr"/>
      <c r="H2196" s="10" t="inlineStr"/>
      <c r="I2196" s="11" t="n">
        <v>50.9</v>
      </c>
      <c r="J2196" s="6" t="n">
        <v>15</v>
      </c>
      <c r="K2196" s="7">
        <f>IF(I2196="","",I2196*(1+J2196/100))</f>
        <v/>
      </c>
      <c r="L2196" s="12" t="inlineStr"/>
      <c r="M2196" s="8">
        <f>IF(OR(L2196="",K2196="",L2196=0),"",
  (L2196-K2196)/L2196*100)</f>
        <v/>
      </c>
      <c r="N2196" s="13" t="n">
        <v>104</v>
      </c>
      <c r="O2196" s="10" t="inlineStr"/>
      <c r="P2196" s="10" t="inlineStr"/>
      <c r="Q2196" s="10" t="inlineStr"/>
      <c r="R2196" s="10" t="inlineStr">
        <is>
          <t>2026-03-12</t>
        </is>
      </c>
      <c r="S2196" s="10" t="inlineStr"/>
    </row>
    <row r="2197">
      <c r="A2197" s="3" t="inlineStr">
        <is>
          <t>F02657</t>
        </is>
      </c>
      <c r="B2197" s="4" t="inlineStr">
        <is>
          <t>F02657</t>
        </is>
      </c>
      <c r="C2197" s="4" t="inlineStr"/>
      <c r="D2197" s="4" t="inlineStr"/>
      <c r="E2197" s="3" t="inlineStr">
        <is>
          <t>DADOO RAIL PU SERIE M1G-GOLD 2.4MX5CM</t>
        </is>
      </c>
      <c r="F2197" s="4" t="inlineStr"/>
      <c r="G2197" s="4" t="inlineStr"/>
      <c r="H2197" s="4" t="inlineStr"/>
      <c r="I2197" s="5" t="n">
        <v>50.9</v>
      </c>
      <c r="J2197" s="6" t="n">
        <v>15</v>
      </c>
      <c r="K2197" s="7">
        <f>IF(I2197="","",I2197*(1+J2197/100))</f>
        <v/>
      </c>
      <c r="L2197" s="12" t="inlineStr"/>
      <c r="M2197" s="8">
        <f>IF(OR(L2197="",K2197="",L2197=0),"",
  (L2197-K2197)/L2197*100)</f>
        <v/>
      </c>
      <c r="N2197" s="14" t="n">
        <v>1536</v>
      </c>
      <c r="O2197" s="4" t="inlineStr"/>
      <c r="P2197" s="4" t="inlineStr"/>
      <c r="Q2197" s="4" t="inlineStr"/>
      <c r="R2197" s="4" t="inlineStr">
        <is>
          <t>2026-03-12</t>
        </is>
      </c>
      <c r="S2197" s="4" t="inlineStr"/>
    </row>
    <row r="2198">
      <c r="A2198" s="10" t="inlineStr">
        <is>
          <t>F02658</t>
        </is>
      </c>
      <c r="B2198" s="10" t="inlineStr">
        <is>
          <t>F02658</t>
        </is>
      </c>
      <c r="C2198" s="10" t="inlineStr"/>
      <c r="D2198" s="10" t="inlineStr"/>
      <c r="E2198" s="10" t="inlineStr">
        <is>
          <t>DADOO RAIL PU SERIE M3G-GOLD 2.4MX5.2CM</t>
        </is>
      </c>
      <c r="F2198" s="10" t="inlineStr"/>
      <c r="G2198" s="10" t="inlineStr"/>
      <c r="H2198" s="10" t="inlineStr"/>
      <c r="I2198" s="11" t="n">
        <v>50.9</v>
      </c>
      <c r="J2198" s="6" t="n">
        <v>15</v>
      </c>
      <c r="K2198" s="7">
        <f>IF(I2198="","",I2198*(1+J2198/100))</f>
        <v/>
      </c>
      <c r="L2198" s="12" t="inlineStr"/>
      <c r="M2198" s="8">
        <f>IF(OR(L2198="",K2198="",L2198=0),"",
  (L2198-K2198)/L2198*100)</f>
        <v/>
      </c>
      <c r="N2198" s="13" t="n">
        <v>764</v>
      </c>
      <c r="O2198" s="10" t="inlineStr"/>
      <c r="P2198" s="10" t="inlineStr"/>
      <c r="Q2198" s="10" t="inlineStr"/>
      <c r="R2198" s="10" t="inlineStr">
        <is>
          <t>2026-03-12</t>
        </is>
      </c>
      <c r="S2198" s="10" t="inlineStr"/>
    </row>
    <row r="2199">
      <c r="A2199" s="3" t="inlineStr">
        <is>
          <t>F02659</t>
        </is>
      </c>
      <c r="B2199" s="4" t="inlineStr">
        <is>
          <t>F02659</t>
        </is>
      </c>
      <c r="C2199" s="4" t="inlineStr"/>
      <c r="D2199" s="4" t="inlineStr"/>
      <c r="E2199" s="3" t="inlineStr">
        <is>
          <t>CORNICE PU SERIE M21-WHT 2.4MX10CM</t>
        </is>
      </c>
      <c r="F2199" s="4" t="inlineStr"/>
      <c r="G2199" s="4" t="inlineStr"/>
      <c r="H2199" s="4" t="inlineStr"/>
      <c r="I2199" s="5" t="n">
        <v>63.9</v>
      </c>
      <c r="J2199" s="6" t="n">
        <v>15</v>
      </c>
      <c r="K2199" s="7">
        <f>IF(I2199="","",I2199*(1+J2199/100))</f>
        <v/>
      </c>
      <c r="L2199" s="12" t="inlineStr"/>
      <c r="M2199" s="8">
        <f>IF(OR(L2199="",K2199="",L2199=0),"",
  (L2199-K2199)/L2199*100)</f>
        <v/>
      </c>
      <c r="N2199" s="9" t="inlineStr"/>
      <c r="O2199" s="4" t="inlineStr"/>
      <c r="P2199" s="4" t="inlineStr"/>
      <c r="Q2199" s="4" t="inlineStr"/>
      <c r="R2199" s="4" t="inlineStr">
        <is>
          <t>2026-03-12</t>
        </is>
      </c>
      <c r="S2199" s="4" t="inlineStr"/>
    </row>
    <row r="2200">
      <c r="A2200" s="10" t="inlineStr">
        <is>
          <t>F02660</t>
        </is>
      </c>
      <c r="B2200" s="10" t="inlineStr">
        <is>
          <t>F02660</t>
        </is>
      </c>
      <c r="C2200" s="10" t="inlineStr"/>
      <c r="D2200" s="10" t="inlineStr"/>
      <c r="E2200" s="10" t="inlineStr">
        <is>
          <t>CORNICE PU SERIE M22-WHT 2.4MX13.5CM</t>
        </is>
      </c>
      <c r="F2200" s="10" t="inlineStr"/>
      <c r="G2200" s="10" t="inlineStr"/>
      <c r="H2200" s="10" t="inlineStr"/>
      <c r="I2200" s="11" t="n">
        <v>68.90000000000001</v>
      </c>
      <c r="J2200" s="6" t="n">
        <v>15</v>
      </c>
      <c r="K2200" s="7">
        <f>IF(I2200="","",I2200*(1+J2200/100))</f>
        <v/>
      </c>
      <c r="L2200" s="12" t="inlineStr"/>
      <c r="M2200" s="8">
        <f>IF(OR(L2200="",K2200="",L2200=0),"",
  (L2200-K2200)/L2200*100)</f>
        <v/>
      </c>
      <c r="N2200" s="9" t="inlineStr"/>
      <c r="O2200" s="10" t="inlineStr"/>
      <c r="P2200" s="10" t="inlineStr"/>
      <c r="Q2200" s="10" t="inlineStr"/>
      <c r="R2200" s="10" t="inlineStr">
        <is>
          <t>2026-03-12</t>
        </is>
      </c>
      <c r="S2200" s="10" t="inlineStr"/>
    </row>
    <row r="2201">
      <c r="A2201" s="3" t="inlineStr">
        <is>
          <t>F02661</t>
        </is>
      </c>
      <c r="B2201" s="4" t="inlineStr">
        <is>
          <t>F02661</t>
        </is>
      </c>
      <c r="C2201" s="4" t="inlineStr"/>
      <c r="D2201" s="4" t="inlineStr"/>
      <c r="E2201" s="3" t="inlineStr">
        <is>
          <t>CORNICE PU SERIE M21S-SILVER 2.4MX10CM</t>
        </is>
      </c>
      <c r="F2201" s="4" t="inlineStr"/>
      <c r="G2201" s="4" t="inlineStr"/>
      <c r="H2201" s="4" t="inlineStr"/>
      <c r="I2201" s="5" t="n">
        <v>74.5</v>
      </c>
      <c r="J2201" s="6" t="n">
        <v>15</v>
      </c>
      <c r="K2201" s="7">
        <f>IF(I2201="","",I2201*(1+J2201/100))</f>
        <v/>
      </c>
      <c r="L2201" s="12" t="inlineStr"/>
      <c r="M2201" s="8">
        <f>IF(OR(L2201="",K2201="",L2201=0),"",
  (L2201-K2201)/L2201*100)</f>
        <v/>
      </c>
      <c r="N2201" s="9" t="inlineStr"/>
      <c r="O2201" s="4" t="inlineStr"/>
      <c r="P2201" s="4" t="inlineStr"/>
      <c r="Q2201" s="4" t="inlineStr"/>
      <c r="R2201" s="4" t="inlineStr">
        <is>
          <t>2026-03-12</t>
        </is>
      </c>
      <c r="S2201" s="4" t="inlineStr"/>
    </row>
    <row r="2202">
      <c r="A2202" s="10" t="inlineStr">
        <is>
          <t>F02662</t>
        </is>
      </c>
      <c r="B2202" s="10" t="inlineStr">
        <is>
          <t>F02662</t>
        </is>
      </c>
      <c r="C2202" s="10" t="inlineStr"/>
      <c r="D2202" s="10" t="inlineStr"/>
      <c r="E2202" s="10" t="inlineStr">
        <is>
          <t>CORNICE PU SERIE M22S-SILVER 2.4MX13.5CM</t>
        </is>
      </c>
      <c r="F2202" s="10" t="inlineStr"/>
      <c r="G2202" s="10" t="inlineStr"/>
      <c r="H2202" s="10" t="inlineStr"/>
      <c r="I2202" s="11" t="n">
        <v>78.90000000000001</v>
      </c>
      <c r="J2202" s="6" t="n">
        <v>15</v>
      </c>
      <c r="K2202" s="7">
        <f>IF(I2202="","",I2202*(1+J2202/100))</f>
        <v/>
      </c>
      <c r="L2202" s="12" t="inlineStr"/>
      <c r="M2202" s="8">
        <f>IF(OR(L2202="",K2202="",L2202=0),"",
  (L2202-K2202)/L2202*100)</f>
        <v/>
      </c>
      <c r="N2202" s="9" t="inlineStr"/>
      <c r="O2202" s="10" t="inlineStr"/>
      <c r="P2202" s="10" t="inlineStr"/>
      <c r="Q2202" s="10" t="inlineStr"/>
      <c r="R2202" s="10" t="inlineStr">
        <is>
          <t>2026-03-12</t>
        </is>
      </c>
      <c r="S2202" s="10" t="inlineStr"/>
    </row>
    <row r="2203">
      <c r="A2203" s="3" t="inlineStr">
        <is>
          <t>F02663</t>
        </is>
      </c>
      <c r="B2203" s="4" t="inlineStr">
        <is>
          <t>F02663</t>
        </is>
      </c>
      <c r="C2203" s="4" t="inlineStr"/>
      <c r="D2203" s="4" t="inlineStr"/>
      <c r="E2203" s="3" t="inlineStr">
        <is>
          <t>CORNICE PU SERIE M21G-GOLD 2.4MX10CM</t>
        </is>
      </c>
      <c r="F2203" s="4" t="inlineStr"/>
      <c r="G2203" s="4" t="inlineStr"/>
      <c r="H2203" s="4" t="inlineStr"/>
      <c r="I2203" s="5" t="n">
        <v>74.5</v>
      </c>
      <c r="J2203" s="6" t="n">
        <v>15</v>
      </c>
      <c r="K2203" s="7">
        <f>IF(I2203="","",I2203*(1+J2203/100))</f>
        <v/>
      </c>
      <c r="L2203" s="12" t="inlineStr"/>
      <c r="M2203" s="8">
        <f>IF(OR(L2203="",K2203="",L2203=0),"",
  (L2203-K2203)/L2203*100)</f>
        <v/>
      </c>
      <c r="N2203" s="9" t="inlineStr"/>
      <c r="O2203" s="4" t="inlineStr"/>
      <c r="P2203" s="4" t="inlineStr"/>
      <c r="Q2203" s="4" t="inlineStr"/>
      <c r="R2203" s="4" t="inlineStr">
        <is>
          <t>2026-03-12</t>
        </is>
      </c>
      <c r="S2203" s="4" t="inlineStr"/>
    </row>
    <row r="2204">
      <c r="A2204" s="10" t="inlineStr">
        <is>
          <t>F02664</t>
        </is>
      </c>
      <c r="B2204" s="10" t="inlineStr">
        <is>
          <t>F02664</t>
        </is>
      </c>
      <c r="C2204" s="10" t="inlineStr"/>
      <c r="D2204" s="10" t="inlineStr"/>
      <c r="E2204" s="10" t="inlineStr">
        <is>
          <t>CORNICE PU SERIE M22G-GOLD 2.4MX13.5CM</t>
        </is>
      </c>
      <c r="F2204" s="10" t="inlineStr"/>
      <c r="G2204" s="10" t="inlineStr"/>
      <c r="H2204" s="10" t="inlineStr"/>
      <c r="I2204" s="11" t="n">
        <v>78.90000000000001</v>
      </c>
      <c r="J2204" s="6" t="n">
        <v>15</v>
      </c>
      <c r="K2204" s="7">
        <f>IF(I2204="","",I2204*(1+J2204/100))</f>
        <v/>
      </c>
      <c r="L2204" s="12" t="inlineStr"/>
      <c r="M2204" s="8">
        <f>IF(OR(L2204="",K2204="",L2204=0),"",
  (L2204-K2204)/L2204*100)</f>
        <v/>
      </c>
      <c r="N2204" s="9" t="inlineStr"/>
      <c r="O2204" s="10" t="inlineStr"/>
      <c r="P2204" s="10" t="inlineStr"/>
      <c r="Q2204" s="10" t="inlineStr"/>
      <c r="R2204" s="10" t="inlineStr">
        <is>
          <t>2026-03-12</t>
        </is>
      </c>
      <c r="S2204" s="10" t="inlineStr"/>
    </row>
    <row r="2205">
      <c r="A2205" s="3" t="inlineStr">
        <is>
          <t>F02665</t>
        </is>
      </c>
      <c r="B2205" s="4" t="inlineStr">
        <is>
          <t>F02665</t>
        </is>
      </c>
      <c r="C2205" s="4" t="inlineStr"/>
      <c r="D2205" s="4" t="inlineStr"/>
      <c r="E2205" s="3" t="inlineStr">
        <is>
          <t>CORNICE PU SERIE M23-WHT 2.4MX12CM</t>
        </is>
      </c>
      <c r="F2205" s="4" t="inlineStr"/>
      <c r="G2205" s="4" t="inlineStr"/>
      <c r="H2205" s="4" t="inlineStr"/>
      <c r="I2205" s="5" t="n">
        <v>62.5</v>
      </c>
      <c r="J2205" s="6" t="n">
        <v>15</v>
      </c>
      <c r="K2205" s="7">
        <f>IF(I2205="","",I2205*(1+J2205/100))</f>
        <v/>
      </c>
      <c r="L2205" s="12" t="inlineStr"/>
      <c r="M2205" s="8">
        <f>IF(OR(L2205="",K2205="",L2205=0),"",
  (L2205-K2205)/L2205*100)</f>
        <v/>
      </c>
      <c r="N2205" s="9" t="inlineStr"/>
      <c r="O2205" s="4" t="inlineStr"/>
      <c r="P2205" s="4" t="inlineStr"/>
      <c r="Q2205" s="4" t="inlineStr"/>
      <c r="R2205" s="4" t="inlineStr">
        <is>
          <t>2026-03-12</t>
        </is>
      </c>
      <c r="S2205" s="4" t="inlineStr"/>
    </row>
    <row r="2206">
      <c r="A2206" s="10" t="inlineStr">
        <is>
          <t>F02666</t>
        </is>
      </c>
      <c r="B2206" s="10" t="inlineStr">
        <is>
          <t>F02666</t>
        </is>
      </c>
      <c r="C2206" s="10" t="inlineStr"/>
      <c r="D2206" s="10" t="inlineStr"/>
      <c r="E2206" s="10" t="inlineStr">
        <is>
          <t>CORNICE PU SERIE M24-WHT 2.4MX12CM</t>
        </is>
      </c>
      <c r="F2206" s="10" t="inlineStr"/>
      <c r="G2206" s="10" t="inlineStr"/>
      <c r="H2206" s="10" t="inlineStr"/>
      <c r="I2206" s="11" t="n">
        <v>62.9</v>
      </c>
      <c r="J2206" s="6" t="n">
        <v>15</v>
      </c>
      <c r="K2206" s="7">
        <f>IF(I2206="","",I2206*(1+J2206/100))</f>
        <v/>
      </c>
      <c r="L2206" s="12" t="inlineStr"/>
      <c r="M2206" s="8">
        <f>IF(OR(L2206="",K2206="",L2206=0),"",
  (L2206-K2206)/L2206*100)</f>
        <v/>
      </c>
      <c r="N2206" s="9" t="inlineStr"/>
      <c r="O2206" s="10" t="inlineStr"/>
      <c r="P2206" s="10" t="inlineStr"/>
      <c r="Q2206" s="10" t="inlineStr"/>
      <c r="R2206" s="10" t="inlineStr">
        <is>
          <t>2026-03-12</t>
        </is>
      </c>
      <c r="S2206" s="10" t="inlineStr"/>
    </row>
    <row r="2207">
      <c r="A2207" s="3" t="inlineStr">
        <is>
          <t>F02667</t>
        </is>
      </c>
      <c r="B2207" s="4" t="inlineStr">
        <is>
          <t>F02667</t>
        </is>
      </c>
      <c r="C2207" s="4" t="inlineStr"/>
      <c r="D2207" s="4" t="inlineStr"/>
      <c r="E2207" s="3" t="inlineStr">
        <is>
          <t>CORNICE PU SERIE M23S-SILVER 2.4MX12CM</t>
        </is>
      </c>
      <c r="F2207" s="4" t="inlineStr"/>
      <c r="G2207" s="4" t="inlineStr"/>
      <c r="H2207" s="4" t="inlineStr"/>
      <c r="I2207" s="5" t="n">
        <v>72.90000000000001</v>
      </c>
      <c r="J2207" s="6" t="n">
        <v>15</v>
      </c>
      <c r="K2207" s="7">
        <f>IF(I2207="","",I2207*(1+J2207/100))</f>
        <v/>
      </c>
      <c r="L2207" s="12" t="inlineStr"/>
      <c r="M2207" s="8">
        <f>IF(OR(L2207="",K2207="",L2207=0),"",
  (L2207-K2207)/L2207*100)</f>
        <v/>
      </c>
      <c r="N2207" s="9" t="inlineStr"/>
      <c r="O2207" s="4" t="inlineStr"/>
      <c r="P2207" s="4" t="inlineStr"/>
      <c r="Q2207" s="4" t="inlineStr"/>
      <c r="R2207" s="4" t="inlineStr">
        <is>
          <t>2026-03-12</t>
        </is>
      </c>
      <c r="S2207" s="4" t="inlineStr"/>
    </row>
    <row r="2208">
      <c r="A2208" s="10" t="inlineStr">
        <is>
          <t>F02668</t>
        </is>
      </c>
      <c r="B2208" s="10" t="inlineStr">
        <is>
          <t>F02668</t>
        </is>
      </c>
      <c r="C2208" s="10" t="inlineStr"/>
      <c r="D2208" s="10" t="inlineStr"/>
      <c r="E2208" s="10" t="inlineStr">
        <is>
          <t>CORNICE PU SERIE M24S-SILVER 2.4MX12CM</t>
        </is>
      </c>
      <c r="F2208" s="10" t="inlineStr"/>
      <c r="G2208" s="10" t="inlineStr"/>
      <c r="H2208" s="10" t="inlineStr"/>
      <c r="I2208" s="11" t="n">
        <v>72.90000000000001</v>
      </c>
      <c r="J2208" s="6" t="n">
        <v>15</v>
      </c>
      <c r="K2208" s="7">
        <f>IF(I2208="","",I2208*(1+J2208/100))</f>
        <v/>
      </c>
      <c r="L2208" s="12" t="inlineStr"/>
      <c r="M2208" s="8">
        <f>IF(OR(L2208="",K2208="",L2208=0),"",
  (L2208-K2208)/L2208*100)</f>
        <v/>
      </c>
      <c r="N2208" s="9" t="inlineStr"/>
      <c r="O2208" s="10" t="inlineStr"/>
      <c r="P2208" s="10" t="inlineStr"/>
      <c r="Q2208" s="10" t="inlineStr"/>
      <c r="R2208" s="10" t="inlineStr">
        <is>
          <t>2026-03-12</t>
        </is>
      </c>
      <c r="S2208" s="10" t="inlineStr"/>
    </row>
    <row r="2209">
      <c r="A2209" s="3" t="inlineStr">
        <is>
          <t>F02669</t>
        </is>
      </c>
      <c r="B2209" s="4" t="inlineStr">
        <is>
          <t>F02669</t>
        </is>
      </c>
      <c r="C2209" s="4" t="inlineStr"/>
      <c r="D2209" s="4" t="inlineStr"/>
      <c r="E2209" s="3" t="inlineStr">
        <is>
          <t>CORNICE PU SERIE M23G-GOLD 2.4MX12CM</t>
        </is>
      </c>
      <c r="F2209" s="4" t="inlineStr"/>
      <c r="G2209" s="4" t="inlineStr"/>
      <c r="H2209" s="4" t="inlineStr"/>
      <c r="I2209" s="5" t="n">
        <v>72.90000000000001</v>
      </c>
      <c r="J2209" s="6" t="n">
        <v>15</v>
      </c>
      <c r="K2209" s="7">
        <f>IF(I2209="","",I2209*(1+J2209/100))</f>
        <v/>
      </c>
      <c r="L2209" s="12" t="inlineStr"/>
      <c r="M2209" s="8">
        <f>IF(OR(L2209="",K2209="",L2209=0),"",
  (L2209-K2209)/L2209*100)</f>
        <v/>
      </c>
      <c r="N2209" s="9" t="inlineStr"/>
      <c r="O2209" s="4" t="inlineStr"/>
      <c r="P2209" s="4" t="inlineStr"/>
      <c r="Q2209" s="4" t="inlineStr"/>
      <c r="R2209" s="4" t="inlineStr">
        <is>
          <t>2026-03-12</t>
        </is>
      </c>
      <c r="S2209" s="4" t="inlineStr"/>
    </row>
    <row r="2210">
      <c r="A2210" s="10" t="inlineStr">
        <is>
          <t>F02670</t>
        </is>
      </c>
      <c r="B2210" s="10" t="inlineStr">
        <is>
          <t>F02670</t>
        </is>
      </c>
      <c r="C2210" s="10" t="inlineStr"/>
      <c r="D2210" s="10" t="inlineStr"/>
      <c r="E2210" s="10" t="inlineStr">
        <is>
          <t>CORNICE PU SERIE M24G-GOLD 2.4MX12CM</t>
        </is>
      </c>
      <c r="F2210" s="10" t="inlineStr"/>
      <c r="G2210" s="10" t="inlineStr"/>
      <c r="H2210" s="10" t="inlineStr"/>
      <c r="I2210" s="11" t="n">
        <v>72.90000000000001</v>
      </c>
      <c r="J2210" s="6" t="n">
        <v>15</v>
      </c>
      <c r="K2210" s="7">
        <f>IF(I2210="","",I2210*(1+J2210/100))</f>
        <v/>
      </c>
      <c r="L2210" s="12" t="inlineStr"/>
      <c r="M2210" s="8">
        <f>IF(OR(L2210="",K2210="",L2210=0),"",
  (L2210-K2210)/L2210*100)</f>
        <v/>
      </c>
      <c r="N2210" s="9" t="inlineStr"/>
      <c r="O2210" s="10" t="inlineStr"/>
      <c r="P2210" s="10" t="inlineStr"/>
      <c r="Q2210" s="10" t="inlineStr"/>
      <c r="R2210" s="10" t="inlineStr">
        <is>
          <t>2026-03-12</t>
        </is>
      </c>
      <c r="S2210" s="10" t="inlineStr"/>
    </row>
    <row r="2211">
      <c r="A2211" s="3" t="inlineStr">
        <is>
          <t>F02671</t>
        </is>
      </c>
      <c r="B2211" s="4" t="inlineStr">
        <is>
          <t>F02671</t>
        </is>
      </c>
      <c r="C2211" s="4" t="inlineStr"/>
      <c r="D2211" s="4" t="inlineStr"/>
      <c r="E2211" s="3" t="inlineStr">
        <is>
          <t>CORNICE PU SERIE M25-WHT 2.4MX13CM</t>
        </is>
      </c>
      <c r="F2211" s="4" t="inlineStr"/>
      <c r="G2211" s="4" t="inlineStr"/>
      <c r="H2211" s="4" t="inlineStr"/>
      <c r="I2211" s="5" t="n">
        <v>63.9</v>
      </c>
      <c r="J2211" s="6" t="n">
        <v>15</v>
      </c>
      <c r="K2211" s="7">
        <f>IF(I2211="","",I2211*(1+J2211/100))</f>
        <v/>
      </c>
      <c r="L2211" s="12" t="inlineStr"/>
      <c r="M2211" s="8">
        <f>IF(OR(L2211="",K2211="",L2211=0),"",
  (L2211-K2211)/L2211*100)</f>
        <v/>
      </c>
      <c r="N2211" s="9" t="inlineStr"/>
      <c r="O2211" s="4" t="inlineStr"/>
      <c r="P2211" s="4" t="inlineStr"/>
      <c r="Q2211" s="4" t="inlineStr"/>
      <c r="R2211" s="4" t="inlineStr">
        <is>
          <t>2026-03-12</t>
        </is>
      </c>
      <c r="S2211" s="4" t="inlineStr"/>
    </row>
    <row r="2212">
      <c r="A2212" s="10" t="inlineStr">
        <is>
          <t>F02672</t>
        </is>
      </c>
      <c r="B2212" s="10" t="inlineStr">
        <is>
          <t>F02672</t>
        </is>
      </c>
      <c r="C2212" s="10" t="inlineStr"/>
      <c r="D2212" s="10" t="inlineStr"/>
      <c r="E2212" s="10" t="inlineStr">
        <is>
          <t>CORNICE PU SERIE M26-WHT 2.4MX11CM</t>
        </is>
      </c>
      <c r="F2212" s="10" t="inlineStr"/>
      <c r="G2212" s="10" t="inlineStr"/>
      <c r="H2212" s="10" t="inlineStr"/>
      <c r="I2212" s="11" t="n">
        <v>62.9</v>
      </c>
      <c r="J2212" s="6" t="n">
        <v>15</v>
      </c>
      <c r="K2212" s="7">
        <f>IF(I2212="","",I2212*(1+J2212/100))</f>
        <v/>
      </c>
      <c r="L2212" s="12" t="inlineStr"/>
      <c r="M2212" s="8">
        <f>IF(OR(L2212="",K2212="",L2212=0),"",
  (L2212-K2212)/L2212*100)</f>
        <v/>
      </c>
      <c r="N2212" s="9" t="inlineStr"/>
      <c r="O2212" s="10" t="inlineStr"/>
      <c r="P2212" s="10" t="inlineStr"/>
      <c r="Q2212" s="10" t="inlineStr"/>
      <c r="R2212" s="10" t="inlineStr">
        <is>
          <t>2026-03-12</t>
        </is>
      </c>
      <c r="S2212" s="10" t="inlineStr"/>
    </row>
    <row r="2213">
      <c r="A2213" s="3" t="inlineStr">
        <is>
          <t>F02673</t>
        </is>
      </c>
      <c r="B2213" s="4" t="inlineStr">
        <is>
          <t>F02673</t>
        </is>
      </c>
      <c r="C2213" s="4" t="inlineStr"/>
      <c r="D2213" s="4" t="inlineStr"/>
      <c r="E2213" s="3" t="inlineStr">
        <is>
          <t>CORNICE PU SERIE M25S-SILVER 2.4MX13CM</t>
        </is>
      </c>
      <c r="F2213" s="4" t="inlineStr"/>
      <c r="G2213" s="4" t="inlineStr"/>
      <c r="H2213" s="4" t="inlineStr"/>
      <c r="I2213" s="5" t="n">
        <v>74.5</v>
      </c>
      <c r="J2213" s="6" t="n">
        <v>15</v>
      </c>
      <c r="K2213" s="7">
        <f>IF(I2213="","",I2213*(1+J2213/100))</f>
        <v/>
      </c>
      <c r="L2213" s="12" t="inlineStr"/>
      <c r="M2213" s="8">
        <f>IF(OR(L2213="",K2213="",L2213=0),"",
  (L2213-K2213)/L2213*100)</f>
        <v/>
      </c>
      <c r="N2213" s="9" t="inlineStr"/>
      <c r="O2213" s="4" t="inlineStr"/>
      <c r="P2213" s="4" t="inlineStr"/>
      <c r="Q2213" s="4" t="inlineStr"/>
      <c r="R2213" s="4" t="inlineStr">
        <is>
          <t>2026-03-12</t>
        </is>
      </c>
      <c r="S2213" s="4" t="inlineStr"/>
    </row>
    <row r="2214">
      <c r="A2214" s="10" t="inlineStr">
        <is>
          <t>F02674</t>
        </is>
      </c>
      <c r="B2214" s="10" t="inlineStr">
        <is>
          <t>F02674</t>
        </is>
      </c>
      <c r="C2214" s="10" t="inlineStr"/>
      <c r="D2214" s="10" t="inlineStr"/>
      <c r="E2214" s="10" t="inlineStr">
        <is>
          <t>CORNICE PU SERIE M26S-SILVER 2.4MX11CM</t>
        </is>
      </c>
      <c r="F2214" s="10" t="inlineStr"/>
      <c r="G2214" s="10" t="inlineStr"/>
      <c r="H2214" s="10" t="inlineStr"/>
      <c r="I2214" s="11" t="n">
        <v>72.90000000000001</v>
      </c>
      <c r="J2214" s="6" t="n">
        <v>15</v>
      </c>
      <c r="K2214" s="7">
        <f>IF(I2214="","",I2214*(1+J2214/100))</f>
        <v/>
      </c>
      <c r="L2214" s="12" t="inlineStr"/>
      <c r="M2214" s="8">
        <f>IF(OR(L2214="",K2214="",L2214=0),"",
  (L2214-K2214)/L2214*100)</f>
        <v/>
      </c>
      <c r="N2214" s="9" t="inlineStr"/>
      <c r="O2214" s="10" t="inlineStr"/>
      <c r="P2214" s="10" t="inlineStr"/>
      <c r="Q2214" s="10" t="inlineStr"/>
      <c r="R2214" s="10" t="inlineStr">
        <is>
          <t>2026-03-12</t>
        </is>
      </c>
      <c r="S2214" s="10" t="inlineStr"/>
    </row>
    <row r="2215">
      <c r="A2215" s="3" t="inlineStr">
        <is>
          <t>F02675</t>
        </is>
      </c>
      <c r="B2215" s="4" t="inlineStr">
        <is>
          <t>F02675</t>
        </is>
      </c>
      <c r="C2215" s="4" t="inlineStr"/>
      <c r="D2215" s="4" t="inlineStr"/>
      <c r="E2215" s="3" t="inlineStr">
        <is>
          <t>CORNICE PU SERIE M25G-GOLD 2.4MX13CM</t>
        </is>
      </c>
      <c r="F2215" s="4" t="inlineStr"/>
      <c r="G2215" s="4" t="inlineStr"/>
      <c r="H2215" s="4" t="inlineStr"/>
      <c r="I2215" s="5" t="n">
        <v>74.5</v>
      </c>
      <c r="J2215" s="6" t="n">
        <v>15</v>
      </c>
      <c r="K2215" s="7">
        <f>IF(I2215="","",I2215*(1+J2215/100))</f>
        <v/>
      </c>
      <c r="L2215" s="12" t="inlineStr"/>
      <c r="M2215" s="8">
        <f>IF(OR(L2215="",K2215="",L2215=0),"",
  (L2215-K2215)/L2215*100)</f>
        <v/>
      </c>
      <c r="N2215" s="9" t="inlineStr"/>
      <c r="O2215" s="4" t="inlineStr"/>
      <c r="P2215" s="4" t="inlineStr"/>
      <c r="Q2215" s="4" t="inlineStr"/>
      <c r="R2215" s="4" t="inlineStr">
        <is>
          <t>2026-03-12</t>
        </is>
      </c>
      <c r="S2215" s="4" t="inlineStr"/>
    </row>
    <row r="2216">
      <c r="A2216" s="10" t="inlineStr">
        <is>
          <t>F02676</t>
        </is>
      </c>
      <c r="B2216" s="10" t="inlineStr">
        <is>
          <t>F02676</t>
        </is>
      </c>
      <c r="C2216" s="10" t="inlineStr"/>
      <c r="D2216" s="10" t="inlineStr"/>
      <c r="E2216" s="10" t="inlineStr">
        <is>
          <t>CORNICE PU SERIE M26G-GOLD 2.4MX11CM</t>
        </is>
      </c>
      <c r="F2216" s="10" t="inlineStr"/>
      <c r="G2216" s="10" t="inlineStr"/>
      <c r="H2216" s="10" t="inlineStr"/>
      <c r="I2216" s="11" t="n">
        <v>72.90000000000001</v>
      </c>
      <c r="J2216" s="6" t="n">
        <v>15</v>
      </c>
      <c r="K2216" s="7">
        <f>IF(I2216="","",I2216*(1+J2216/100))</f>
        <v/>
      </c>
      <c r="L2216" s="12" t="inlineStr"/>
      <c r="M2216" s="8">
        <f>IF(OR(L2216="",K2216="",L2216=0),"",
  (L2216-K2216)/L2216*100)</f>
        <v/>
      </c>
      <c r="N2216" s="9" t="inlineStr"/>
      <c r="O2216" s="10" t="inlineStr"/>
      <c r="P2216" s="10" t="inlineStr"/>
      <c r="Q2216" s="10" t="inlineStr"/>
      <c r="R2216" s="10" t="inlineStr">
        <is>
          <t>2026-03-12</t>
        </is>
      </c>
      <c r="S2216" s="10" t="inlineStr"/>
    </row>
    <row r="2217">
      <c r="A2217" s="3" t="inlineStr">
        <is>
          <t>F02677</t>
        </is>
      </c>
      <c r="B2217" s="4" t="inlineStr">
        <is>
          <t>F02677</t>
        </is>
      </c>
      <c r="C2217" s="4" t="inlineStr"/>
      <c r="D2217" s="4" t="inlineStr"/>
      <c r="E2217" s="3" t="inlineStr">
        <is>
          <t>CORNICE PU CORNICE M27-WHT 2.4MX13CM</t>
        </is>
      </c>
      <c r="F2217" s="4" t="inlineStr"/>
      <c r="G2217" s="4" t="inlineStr"/>
      <c r="H2217" s="4" t="inlineStr"/>
      <c r="I2217" s="5" t="n">
        <v>65</v>
      </c>
      <c r="J2217" s="6" t="n">
        <v>15</v>
      </c>
      <c r="K2217" s="7">
        <f>IF(I2217="","",I2217*(1+J2217/100))</f>
        <v/>
      </c>
      <c r="L2217" s="12" t="inlineStr"/>
      <c r="M2217" s="8">
        <f>IF(OR(L2217="",K2217="",L2217=0),"",
  (L2217-K2217)/L2217*100)</f>
        <v/>
      </c>
      <c r="N2217" s="9" t="inlineStr"/>
      <c r="O2217" s="4" t="inlineStr"/>
      <c r="P2217" s="4" t="inlineStr"/>
      <c r="Q2217" s="4" t="inlineStr"/>
      <c r="R2217" s="4" t="inlineStr">
        <is>
          <t>2026-03-12</t>
        </is>
      </c>
      <c r="S2217" s="4" t="inlineStr"/>
    </row>
    <row r="2218">
      <c r="A2218" s="10" t="inlineStr">
        <is>
          <t>F02678</t>
        </is>
      </c>
      <c r="B2218" s="10" t="inlineStr">
        <is>
          <t>F02678</t>
        </is>
      </c>
      <c r="C2218" s="10" t="inlineStr"/>
      <c r="D2218" s="10" t="inlineStr"/>
      <c r="E2218" s="10" t="inlineStr">
        <is>
          <t>CORNICE PU SERIE M28-WHT 2.4MX10CM</t>
        </is>
      </c>
      <c r="F2218" s="10" t="inlineStr"/>
      <c r="G2218" s="10" t="inlineStr"/>
      <c r="H2218" s="10" t="inlineStr"/>
      <c r="I2218" s="11" t="n">
        <v>62.9</v>
      </c>
      <c r="J2218" s="6" t="n">
        <v>15</v>
      </c>
      <c r="K2218" s="7">
        <f>IF(I2218="","",I2218*(1+J2218/100))</f>
        <v/>
      </c>
      <c r="L2218" s="12" t="inlineStr"/>
      <c r="M2218" s="8">
        <f>IF(OR(L2218="",K2218="",L2218=0),"",
  (L2218-K2218)/L2218*100)</f>
        <v/>
      </c>
      <c r="N2218" s="13" t="n">
        <v>2</v>
      </c>
      <c r="O2218" s="10" t="inlineStr"/>
      <c r="P2218" s="10" t="inlineStr"/>
      <c r="Q2218" s="10" t="inlineStr"/>
      <c r="R2218" s="10" t="inlineStr">
        <is>
          <t>2026-03-12</t>
        </is>
      </c>
      <c r="S2218" s="10" t="inlineStr"/>
    </row>
    <row r="2219">
      <c r="A2219" s="3" t="inlineStr">
        <is>
          <t>F02679</t>
        </is>
      </c>
      <c r="B2219" s="4" t="inlineStr">
        <is>
          <t>F02679</t>
        </is>
      </c>
      <c r="C2219" s="4" t="inlineStr"/>
      <c r="D2219" s="4" t="inlineStr"/>
      <c r="E2219" s="3" t="inlineStr">
        <is>
          <t>CORNICE PU SERIE M27S-SILVER 2.4MX13CM</t>
        </is>
      </c>
      <c r="F2219" s="4" t="inlineStr"/>
      <c r="G2219" s="4" t="inlineStr"/>
      <c r="H2219" s="4" t="inlineStr"/>
      <c r="I2219" s="5" t="n">
        <v>75.90000000000001</v>
      </c>
      <c r="J2219" s="6" t="n">
        <v>15</v>
      </c>
      <c r="K2219" s="7">
        <f>IF(I2219="","",I2219*(1+J2219/100))</f>
        <v/>
      </c>
      <c r="L2219" s="12" t="inlineStr"/>
      <c r="M2219" s="8">
        <f>IF(OR(L2219="",K2219="",L2219=0),"",
  (L2219-K2219)/L2219*100)</f>
        <v/>
      </c>
      <c r="N2219" s="9" t="inlineStr"/>
      <c r="O2219" s="4" t="inlineStr"/>
      <c r="P2219" s="4" t="inlineStr"/>
      <c r="Q2219" s="4" t="inlineStr"/>
      <c r="R2219" s="4" t="inlineStr">
        <is>
          <t>2026-03-12</t>
        </is>
      </c>
      <c r="S2219" s="4" t="inlineStr"/>
    </row>
    <row r="2220">
      <c r="A2220" s="10" t="inlineStr">
        <is>
          <t>F02680</t>
        </is>
      </c>
      <c r="B2220" s="10" t="inlineStr">
        <is>
          <t>F02680</t>
        </is>
      </c>
      <c r="C2220" s="10" t="inlineStr"/>
      <c r="D2220" s="10" t="inlineStr"/>
      <c r="E2220" s="10" t="inlineStr">
        <is>
          <t>CORNICE PU SERIE M28S-SILVER 2.4MX10CM</t>
        </is>
      </c>
      <c r="F2220" s="10" t="inlineStr"/>
      <c r="G2220" s="10" t="inlineStr"/>
      <c r="H2220" s="10" t="inlineStr"/>
      <c r="I2220" s="11" t="n">
        <v>72.90000000000001</v>
      </c>
      <c r="J2220" s="6" t="n">
        <v>15</v>
      </c>
      <c r="K2220" s="7">
        <f>IF(I2220="","",I2220*(1+J2220/100))</f>
        <v/>
      </c>
      <c r="L2220" s="12" t="inlineStr"/>
      <c r="M2220" s="8">
        <f>IF(OR(L2220="",K2220="",L2220=0),"",
  (L2220-K2220)/L2220*100)</f>
        <v/>
      </c>
      <c r="N2220" s="9" t="inlineStr"/>
      <c r="O2220" s="10" t="inlineStr"/>
      <c r="P2220" s="10" t="inlineStr"/>
      <c r="Q2220" s="10" t="inlineStr"/>
      <c r="R2220" s="10" t="inlineStr">
        <is>
          <t>2026-03-12</t>
        </is>
      </c>
      <c r="S2220" s="10" t="inlineStr"/>
    </row>
    <row r="2221">
      <c r="A2221" s="3" t="inlineStr">
        <is>
          <t>F02681</t>
        </is>
      </c>
      <c r="B2221" s="4" t="inlineStr">
        <is>
          <t>F02681</t>
        </is>
      </c>
      <c r="C2221" s="4" t="inlineStr"/>
      <c r="D2221" s="4" t="inlineStr"/>
      <c r="E2221" s="3" t="inlineStr">
        <is>
          <t>CORNICE PU SERIE M27G-GOLD 2.4MX13CM</t>
        </is>
      </c>
      <c r="F2221" s="4" t="inlineStr"/>
      <c r="G2221" s="4" t="inlineStr"/>
      <c r="H2221" s="4" t="inlineStr"/>
      <c r="I2221" s="5" t="n">
        <v>75.90000000000001</v>
      </c>
      <c r="J2221" s="6" t="n">
        <v>15</v>
      </c>
      <c r="K2221" s="7">
        <f>IF(I2221="","",I2221*(1+J2221/100))</f>
        <v/>
      </c>
      <c r="L2221" s="12" t="inlineStr"/>
      <c r="M2221" s="8">
        <f>IF(OR(L2221="",K2221="",L2221=0),"",
  (L2221-K2221)/L2221*100)</f>
        <v/>
      </c>
      <c r="N2221" s="9" t="inlineStr"/>
      <c r="O2221" s="4" t="inlineStr"/>
      <c r="P2221" s="4" t="inlineStr"/>
      <c r="Q2221" s="4" t="inlineStr"/>
      <c r="R2221" s="4" t="inlineStr">
        <is>
          <t>2026-03-12</t>
        </is>
      </c>
      <c r="S2221" s="4" t="inlineStr"/>
    </row>
    <row r="2222">
      <c r="A2222" s="10" t="inlineStr">
        <is>
          <t>F02682</t>
        </is>
      </c>
      <c r="B2222" s="10" t="inlineStr">
        <is>
          <t>F02682</t>
        </is>
      </c>
      <c r="C2222" s="10" t="inlineStr"/>
      <c r="D2222" s="10" t="inlineStr"/>
      <c r="E2222" s="10" t="inlineStr">
        <is>
          <t>CORNICE PU SERIE M28G-GOLD 2.4MX10CM</t>
        </is>
      </c>
      <c r="F2222" s="10" t="inlineStr"/>
      <c r="G2222" s="10" t="inlineStr"/>
      <c r="H2222" s="10" t="inlineStr"/>
      <c r="I2222" s="11" t="n">
        <v>72.90000000000001</v>
      </c>
      <c r="J2222" s="6" t="n">
        <v>15</v>
      </c>
      <c r="K2222" s="7">
        <f>IF(I2222="","",I2222*(1+J2222/100))</f>
        <v/>
      </c>
      <c r="L2222" s="12" t="inlineStr"/>
      <c r="M2222" s="8">
        <f>IF(OR(L2222="",K2222="",L2222=0),"",
  (L2222-K2222)/L2222*100)</f>
        <v/>
      </c>
      <c r="N2222" s="9" t="inlineStr"/>
      <c r="O2222" s="10" t="inlineStr"/>
      <c r="P2222" s="10" t="inlineStr"/>
      <c r="Q2222" s="10" t="inlineStr"/>
      <c r="R2222" s="10" t="inlineStr">
        <is>
          <t>2026-03-12</t>
        </is>
      </c>
      <c r="S2222" s="10" t="inlineStr"/>
    </row>
    <row r="2223">
      <c r="A2223" s="3" t="inlineStr">
        <is>
          <t>F02683</t>
        </is>
      </c>
      <c r="B2223" s="4" t="inlineStr">
        <is>
          <t>F02683</t>
        </is>
      </c>
      <c r="C2223" s="4" t="inlineStr"/>
      <c r="D2223" s="4" t="inlineStr"/>
      <c r="E2223" s="3" t="inlineStr">
        <is>
          <t>CORNICE PU SERIE M29-WHT 2.4MX13CM</t>
        </is>
      </c>
      <c r="F2223" s="4" t="inlineStr"/>
      <c r="G2223" s="4" t="inlineStr"/>
      <c r="H2223" s="4" t="inlineStr"/>
      <c r="I2223" s="5" t="n">
        <v>52</v>
      </c>
      <c r="J2223" s="6" t="n">
        <v>15</v>
      </c>
      <c r="K2223" s="7">
        <f>IF(I2223="","",I2223*(1+J2223/100))</f>
        <v/>
      </c>
      <c r="L2223" s="12" t="inlineStr"/>
      <c r="M2223" s="8">
        <f>IF(OR(L2223="",K2223="",L2223=0),"",
  (L2223-K2223)/L2223*100)</f>
        <v/>
      </c>
      <c r="N2223" s="9" t="inlineStr"/>
      <c r="O2223" s="4" t="inlineStr"/>
      <c r="P2223" s="4" t="inlineStr"/>
      <c r="Q2223" s="4" t="inlineStr"/>
      <c r="R2223" s="4" t="inlineStr">
        <is>
          <t>2026-03-12</t>
        </is>
      </c>
      <c r="S2223" s="4" t="inlineStr"/>
    </row>
    <row r="2224">
      <c r="A2224" s="10" t="inlineStr">
        <is>
          <t>F02684</t>
        </is>
      </c>
      <c r="B2224" s="10" t="inlineStr">
        <is>
          <t>F02684</t>
        </is>
      </c>
      <c r="C2224" s="10" t="inlineStr"/>
      <c r="D2224" s="10" t="inlineStr"/>
      <c r="E2224" s="10" t="inlineStr">
        <is>
          <t>CORNICE PU SERIE M29S-SILVER 2.4MX13CM</t>
        </is>
      </c>
      <c r="F2224" s="10" t="inlineStr"/>
      <c r="G2224" s="10" t="inlineStr"/>
      <c r="H2224" s="10" t="inlineStr"/>
      <c r="I2224" s="11" t="n">
        <v>63.9</v>
      </c>
      <c r="J2224" s="6" t="n">
        <v>15</v>
      </c>
      <c r="K2224" s="7">
        <f>IF(I2224="","",I2224*(1+J2224/100))</f>
        <v/>
      </c>
      <c r="L2224" s="12" t="inlineStr"/>
      <c r="M2224" s="8">
        <f>IF(OR(L2224="",K2224="",L2224=0),"",
  (L2224-K2224)/L2224*100)</f>
        <v/>
      </c>
      <c r="N2224" s="9" t="inlineStr"/>
      <c r="O2224" s="10" t="inlineStr"/>
      <c r="P2224" s="10" t="inlineStr"/>
      <c r="Q2224" s="10" t="inlineStr"/>
      <c r="R2224" s="10" t="inlineStr">
        <is>
          <t>2026-03-12</t>
        </is>
      </c>
      <c r="S2224" s="10" t="inlineStr"/>
    </row>
    <row r="2225">
      <c r="A2225" s="3" t="inlineStr">
        <is>
          <t>F02685</t>
        </is>
      </c>
      <c r="B2225" s="4" t="inlineStr">
        <is>
          <t>F02685</t>
        </is>
      </c>
      <c r="C2225" s="4" t="inlineStr"/>
      <c r="D2225" s="4" t="inlineStr"/>
      <c r="E2225" s="3" t="inlineStr">
        <is>
          <t>CORNICE PU SERIE M29G-GOLD 2.4MX13CM</t>
        </is>
      </c>
      <c r="F2225" s="4" t="inlineStr"/>
      <c r="G2225" s="4" t="inlineStr"/>
      <c r="H2225" s="4" t="inlineStr"/>
      <c r="I2225" s="5" t="n">
        <v>63.9</v>
      </c>
      <c r="J2225" s="6" t="n">
        <v>15</v>
      </c>
      <c r="K2225" s="7">
        <f>IF(I2225="","",I2225*(1+J2225/100))</f>
        <v/>
      </c>
      <c r="L2225" s="12" t="inlineStr"/>
      <c r="M2225" s="8">
        <f>IF(OR(L2225="",K2225="",L2225=0),"",
  (L2225-K2225)/L2225*100)</f>
        <v/>
      </c>
      <c r="N2225" s="9" t="inlineStr"/>
      <c r="O2225" s="4" t="inlineStr"/>
      <c r="P2225" s="4" t="inlineStr"/>
      <c r="Q2225" s="4" t="inlineStr"/>
      <c r="R2225" s="4" t="inlineStr">
        <is>
          <t>2026-03-12</t>
        </is>
      </c>
      <c r="S2225" s="4" t="inlineStr"/>
    </row>
    <row r="2226">
      <c r="A2226" s="10" t="inlineStr">
        <is>
          <t>F02686</t>
        </is>
      </c>
      <c r="B2226" s="10" t="inlineStr">
        <is>
          <t>F02686</t>
        </is>
      </c>
      <c r="C2226" s="10" t="inlineStr"/>
      <c r="D2226" s="10" t="inlineStr"/>
      <c r="E2226" s="10" t="inlineStr">
        <is>
          <t>CORNICE PU SERIE M33-WHT 2.4MX8CM</t>
        </is>
      </c>
      <c r="F2226" s="10" t="inlineStr"/>
      <c r="G2226" s="10" t="inlineStr"/>
      <c r="H2226" s="10" t="inlineStr"/>
      <c r="I2226" s="11" t="n">
        <v>62</v>
      </c>
      <c r="J2226" s="6" t="n">
        <v>15</v>
      </c>
      <c r="K2226" s="7">
        <f>IF(I2226="","",I2226*(1+J2226/100))</f>
        <v/>
      </c>
      <c r="L2226" s="12" t="inlineStr"/>
      <c r="M2226" s="8">
        <f>IF(OR(L2226="",K2226="",L2226=0),"",
  (L2226-K2226)/L2226*100)</f>
        <v/>
      </c>
      <c r="N2226" s="9" t="inlineStr"/>
      <c r="O2226" s="10" t="inlineStr"/>
      <c r="P2226" s="10" t="inlineStr"/>
      <c r="Q2226" s="10" t="inlineStr"/>
      <c r="R2226" s="10" t="inlineStr">
        <is>
          <t>2026-03-12</t>
        </is>
      </c>
      <c r="S2226" s="10" t="inlineStr"/>
    </row>
    <row r="2227">
      <c r="A2227" s="3" t="inlineStr">
        <is>
          <t>F02687</t>
        </is>
      </c>
      <c r="B2227" s="4" t="inlineStr">
        <is>
          <t>F02687</t>
        </is>
      </c>
      <c r="C2227" s="4" t="inlineStr"/>
      <c r="D2227" s="4" t="inlineStr">
        <is>
          <t>6009705655981</t>
        </is>
      </c>
      <c r="E2227" s="3" t="inlineStr">
        <is>
          <t>MEDALION PU LH60-WHITE 60CM</t>
        </is>
      </c>
      <c r="F2227" s="4" t="inlineStr"/>
      <c r="G2227" s="4" t="inlineStr"/>
      <c r="H2227" s="4" t="inlineStr"/>
      <c r="I2227" s="5" t="n">
        <v>84.5</v>
      </c>
      <c r="J2227" s="6" t="n">
        <v>15</v>
      </c>
      <c r="K2227" s="7">
        <f>IF(I2227="","",I2227*(1+J2227/100))</f>
        <v/>
      </c>
      <c r="L2227" s="12" t="inlineStr"/>
      <c r="M2227" s="8">
        <f>IF(OR(L2227="",K2227="",L2227=0),"",
  (L2227-K2227)/L2227*100)</f>
        <v/>
      </c>
      <c r="N2227" s="14" t="n">
        <v>2</v>
      </c>
      <c r="O2227" s="4" t="inlineStr"/>
      <c r="P2227" s="4" t="inlineStr"/>
      <c r="Q2227" s="4" t="inlineStr"/>
      <c r="R2227" s="4" t="inlineStr">
        <is>
          <t>2026-03-12</t>
        </is>
      </c>
      <c r="S2227" s="4" t="inlineStr"/>
    </row>
    <row r="2228">
      <c r="A2228" s="10" t="inlineStr">
        <is>
          <t>F02688</t>
        </is>
      </c>
      <c r="B2228" s="10" t="inlineStr">
        <is>
          <t>F02688</t>
        </is>
      </c>
      <c r="C2228" s="10" t="inlineStr"/>
      <c r="D2228" s="10" t="inlineStr"/>
      <c r="E2228" s="10" t="inlineStr">
        <is>
          <t>MEDALION PU LH60S-SILVER 60CM</t>
        </is>
      </c>
      <c r="F2228" s="10" t="inlineStr"/>
      <c r="G2228" s="10" t="inlineStr"/>
      <c r="H2228" s="10" t="inlineStr"/>
      <c r="I2228" s="11" t="n">
        <v>102</v>
      </c>
      <c r="J2228" s="6" t="n">
        <v>15</v>
      </c>
      <c r="K2228" s="7">
        <f>IF(I2228="","",I2228*(1+J2228/100))</f>
        <v/>
      </c>
      <c r="L2228" s="12" t="inlineStr"/>
      <c r="M2228" s="8">
        <f>IF(OR(L2228="",K2228="",L2228=0),"",
  (L2228-K2228)/L2228*100)</f>
        <v/>
      </c>
      <c r="N2228" s="13" t="n">
        <v>4</v>
      </c>
      <c r="O2228" s="10" t="inlineStr"/>
      <c r="P2228" s="10" t="inlineStr"/>
      <c r="Q2228" s="10" t="inlineStr"/>
      <c r="R2228" s="10" t="inlineStr">
        <is>
          <t>2026-03-12</t>
        </is>
      </c>
      <c r="S2228" s="10" t="inlineStr"/>
    </row>
    <row r="2229">
      <c r="A2229" s="3" t="inlineStr">
        <is>
          <t>F02689</t>
        </is>
      </c>
      <c r="B2229" s="4" t="inlineStr">
        <is>
          <t>F02689</t>
        </is>
      </c>
      <c r="C2229" s="4" t="inlineStr"/>
      <c r="D2229" s="4" t="inlineStr"/>
      <c r="E2229" s="3" t="inlineStr">
        <is>
          <t>MEDALION PU LH60G-GOLD 60CM</t>
        </is>
      </c>
      <c r="F2229" s="4" t="inlineStr"/>
      <c r="G2229" s="4" t="inlineStr"/>
      <c r="H2229" s="4" t="inlineStr"/>
      <c r="I2229" s="5" t="n">
        <v>102</v>
      </c>
      <c r="J2229" s="6" t="n">
        <v>15</v>
      </c>
      <c r="K2229" s="7">
        <f>IF(I2229="","",I2229*(1+J2229/100))</f>
        <v/>
      </c>
      <c r="L2229" s="12" t="inlineStr"/>
      <c r="M2229" s="8">
        <f>IF(OR(L2229="",K2229="",L2229=0),"",
  (L2229-K2229)/L2229*100)</f>
        <v/>
      </c>
      <c r="N2229" s="9" t="inlineStr"/>
      <c r="O2229" s="4" t="inlineStr"/>
      <c r="P2229" s="4" t="inlineStr"/>
      <c r="Q2229" s="4" t="inlineStr"/>
      <c r="R2229" s="4" t="inlineStr">
        <is>
          <t>2026-03-12</t>
        </is>
      </c>
      <c r="S2229" s="4" t="inlineStr"/>
    </row>
    <row r="2230">
      <c r="A2230" s="10" t="inlineStr">
        <is>
          <t>F02690</t>
        </is>
      </c>
      <c r="B2230" s="10" t="inlineStr">
        <is>
          <t>F02690</t>
        </is>
      </c>
      <c r="C2230" s="10" t="inlineStr"/>
      <c r="D2230" s="10" t="inlineStr"/>
      <c r="E2230" s="10" t="inlineStr">
        <is>
          <t>MEDALION PU LH70-WHITE 60CM</t>
        </is>
      </c>
      <c r="F2230" s="10" t="inlineStr"/>
      <c r="G2230" s="10" t="inlineStr"/>
      <c r="H2230" s="10" t="inlineStr"/>
      <c r="I2230" s="11" t="n">
        <v>104</v>
      </c>
      <c r="J2230" s="6" t="n">
        <v>15</v>
      </c>
      <c r="K2230" s="7">
        <f>IF(I2230="","",I2230*(1+J2230/100))</f>
        <v/>
      </c>
      <c r="L2230" s="12" t="inlineStr"/>
      <c r="M2230" s="8">
        <f>IF(OR(L2230="",K2230="",L2230=0),"",
  (L2230-K2230)/L2230*100)</f>
        <v/>
      </c>
      <c r="N2230" s="13" t="n">
        <v>2</v>
      </c>
      <c r="O2230" s="10" t="inlineStr"/>
      <c r="P2230" s="10" t="inlineStr"/>
      <c r="Q2230" s="10" t="inlineStr"/>
      <c r="R2230" s="10" t="inlineStr">
        <is>
          <t>2026-03-12</t>
        </is>
      </c>
      <c r="S2230" s="10" t="inlineStr"/>
    </row>
    <row r="2231">
      <c r="A2231" s="3" t="inlineStr">
        <is>
          <t>F02691</t>
        </is>
      </c>
      <c r="B2231" s="4" t="inlineStr">
        <is>
          <t>F02691</t>
        </is>
      </c>
      <c r="C2231" s="4" t="inlineStr"/>
      <c r="D2231" s="4" t="inlineStr"/>
      <c r="E2231" s="3" t="inlineStr">
        <is>
          <t>MEDALION PU LH70S-SILVER 60CM</t>
        </is>
      </c>
      <c r="F2231" s="4" t="inlineStr"/>
      <c r="G2231" s="4" t="inlineStr"/>
      <c r="H2231" s="4" t="inlineStr"/>
      <c r="I2231" s="5" t="n">
        <v>122.5</v>
      </c>
      <c r="J2231" s="6" t="n">
        <v>15</v>
      </c>
      <c r="K2231" s="7">
        <f>IF(I2231="","",I2231*(1+J2231/100))</f>
        <v/>
      </c>
      <c r="L2231" s="12" t="inlineStr"/>
      <c r="M2231" s="8">
        <f>IF(OR(L2231="",K2231="",L2231=0),"",
  (L2231-K2231)/L2231*100)</f>
        <v/>
      </c>
      <c r="N2231" s="14" t="n">
        <v>7</v>
      </c>
      <c r="O2231" s="4" t="inlineStr"/>
      <c r="P2231" s="4" t="inlineStr"/>
      <c r="Q2231" s="4" t="inlineStr"/>
      <c r="R2231" s="4" t="inlineStr">
        <is>
          <t>2026-03-12</t>
        </is>
      </c>
      <c r="S2231" s="4" t="inlineStr"/>
    </row>
    <row r="2232">
      <c r="A2232" s="10" t="inlineStr">
        <is>
          <t>F02692</t>
        </is>
      </c>
      <c r="B2232" s="10" t="inlineStr">
        <is>
          <t>F02692</t>
        </is>
      </c>
      <c r="C2232" s="10" t="inlineStr"/>
      <c r="D2232" s="10" t="inlineStr"/>
      <c r="E2232" s="10" t="inlineStr">
        <is>
          <t>MEDALION PU LH70G-GOLD 60CM</t>
        </is>
      </c>
      <c r="F2232" s="10" t="inlineStr"/>
      <c r="G2232" s="10" t="inlineStr"/>
      <c r="H2232" s="10" t="inlineStr"/>
      <c r="I2232" s="11" t="n">
        <v>122.5</v>
      </c>
      <c r="J2232" s="6" t="n">
        <v>15</v>
      </c>
      <c r="K2232" s="7">
        <f>IF(I2232="","",I2232*(1+J2232/100))</f>
        <v/>
      </c>
      <c r="L2232" s="12" t="inlineStr"/>
      <c r="M2232" s="8">
        <f>IF(OR(L2232="",K2232="",L2232=0),"",
  (L2232-K2232)/L2232*100)</f>
        <v/>
      </c>
      <c r="N2232" s="9" t="inlineStr"/>
      <c r="O2232" s="10" t="inlineStr"/>
      <c r="P2232" s="10" t="inlineStr"/>
      <c r="Q2232" s="10" t="inlineStr"/>
      <c r="R2232" s="10" t="inlineStr">
        <is>
          <t>2026-03-12</t>
        </is>
      </c>
      <c r="S2232" s="10" t="inlineStr"/>
    </row>
    <row r="2233">
      <c r="A2233" s="3" t="inlineStr">
        <is>
          <t>F02693</t>
        </is>
      </c>
      <c r="B2233" s="4" t="inlineStr">
        <is>
          <t>F02693</t>
        </is>
      </c>
      <c r="C2233" s="4" t="inlineStr">
        <is>
          <t>24550</t>
        </is>
      </c>
      <c r="D2233" s="4" t="inlineStr"/>
      <c r="E2233" s="3" t="inlineStr">
        <is>
          <t>GAS STOVE WITH GAS HOSE/REGULTOR KIT</t>
        </is>
      </c>
      <c r="F2233" s="4" t="inlineStr"/>
      <c r="G2233" s="4" t="inlineStr"/>
      <c r="H2233" s="4" t="inlineStr"/>
      <c r="I2233" s="5" t="n">
        <v>265</v>
      </c>
      <c r="J2233" s="6" t="n">
        <v>15</v>
      </c>
      <c r="K2233" s="7">
        <f>IF(I2233="","",I2233*(1+J2233/100))</f>
        <v/>
      </c>
      <c r="L2233" s="5" t="n">
        <v>450</v>
      </c>
      <c r="M2233" s="8">
        <f>IF(OR(L2233="",K2233="",L2233=0),"",
  (L2233-K2233)/L2233*100)</f>
        <v/>
      </c>
      <c r="N2233" s="14" t="n">
        <v>8</v>
      </c>
      <c r="O2233" s="4" t="inlineStr"/>
      <c r="P2233" s="4" t="inlineStr"/>
      <c r="Q2233" s="4" t="inlineStr"/>
      <c r="R2233" s="4" t="inlineStr">
        <is>
          <t>2026-03-12</t>
        </is>
      </c>
      <c r="S2233" s="4" t="inlineStr"/>
    </row>
    <row r="2234">
      <c r="A2234" s="10" t="inlineStr">
        <is>
          <t>F02694</t>
        </is>
      </c>
      <c r="B2234" s="10" t="inlineStr">
        <is>
          <t>F02694</t>
        </is>
      </c>
      <c r="C2234" s="10" t="inlineStr">
        <is>
          <t>24554</t>
        </is>
      </c>
      <c r="D2234" s="10" t="inlineStr"/>
      <c r="E2234" s="10" t="inlineStr">
        <is>
          <t>GAS STOVE GLASS TOP BLACK WITH HOSE</t>
        </is>
      </c>
      <c r="F2234" s="10" t="inlineStr"/>
      <c r="G2234" s="10" t="inlineStr"/>
      <c r="H2234" s="10" t="inlineStr"/>
      <c r="I2234" s="11" t="n">
        <v>295</v>
      </c>
      <c r="J2234" s="6" t="n">
        <v>15</v>
      </c>
      <c r="K2234" s="7">
        <f>IF(I2234="","",I2234*(1+J2234/100))</f>
        <v/>
      </c>
      <c r="L2234" s="11" t="n">
        <v>599</v>
      </c>
      <c r="M2234" s="8">
        <f>IF(OR(L2234="",K2234="",L2234=0),"",
  (L2234-K2234)/L2234*100)</f>
        <v/>
      </c>
      <c r="N2234" s="13" t="n">
        <v>6</v>
      </c>
      <c r="O2234" s="10" t="inlineStr"/>
      <c r="P2234" s="10" t="inlineStr"/>
      <c r="Q2234" s="10" t="inlineStr"/>
      <c r="R2234" s="10" t="inlineStr">
        <is>
          <t>2026-03-12</t>
        </is>
      </c>
      <c r="S2234" s="10" t="inlineStr"/>
    </row>
    <row r="2235">
      <c r="A2235" s="3" t="inlineStr">
        <is>
          <t>F02695</t>
        </is>
      </c>
      <c r="B2235" s="4" t="inlineStr">
        <is>
          <t>F02695</t>
        </is>
      </c>
      <c r="C2235" s="4" t="inlineStr"/>
      <c r="D2235" s="4" t="inlineStr"/>
      <c r="E2235" s="3" t="inlineStr">
        <is>
          <t>CORD FOR HEATING ELEMENT</t>
        </is>
      </c>
      <c r="F2235" s="4" t="inlineStr"/>
      <c r="G2235" s="4" t="inlineStr"/>
      <c r="H2235" s="4" t="inlineStr"/>
      <c r="I2235" s="5" t="n">
        <v>12</v>
      </c>
      <c r="J2235" s="6" t="n">
        <v>15</v>
      </c>
      <c r="K2235" s="7">
        <f>IF(I2235="","",I2235*(1+J2235/100))</f>
        <v/>
      </c>
      <c r="L2235" s="12" t="inlineStr"/>
      <c r="M2235" s="8">
        <f>IF(OR(L2235="",K2235="",L2235=0),"",
  (L2235-K2235)/L2235*100)</f>
        <v/>
      </c>
      <c r="N2235" s="14" t="n">
        <v>3988</v>
      </c>
      <c r="O2235" s="4" t="inlineStr"/>
      <c r="P2235" s="4" t="inlineStr"/>
      <c r="Q2235" s="4" t="inlineStr"/>
      <c r="R2235" s="4" t="inlineStr">
        <is>
          <t>2026-03-12</t>
        </is>
      </c>
      <c r="S2235" s="4" t="inlineStr"/>
    </row>
    <row r="2236">
      <c r="A2236" s="10" t="inlineStr">
        <is>
          <t>F02696</t>
        </is>
      </c>
      <c r="B2236" s="10" t="inlineStr">
        <is>
          <t>F02696</t>
        </is>
      </c>
      <c r="C2236" s="10" t="inlineStr"/>
      <c r="D2236" s="10" t="inlineStr"/>
      <c r="E2236" s="10" t="inlineStr">
        <is>
          <t>ELEMENT FOR BUCKETS</t>
        </is>
      </c>
      <c r="F2236" s="10" t="inlineStr"/>
      <c r="G2236" s="10" t="inlineStr"/>
      <c r="H2236" s="10" t="inlineStr"/>
      <c r="I2236" s="11" t="n">
        <v>15</v>
      </c>
      <c r="J2236" s="6" t="n">
        <v>15</v>
      </c>
      <c r="K2236" s="7">
        <f>IF(I2236="","",I2236*(1+J2236/100))</f>
        <v/>
      </c>
      <c r="L2236" s="12" t="inlineStr"/>
      <c r="M2236" s="8">
        <f>IF(OR(L2236="",K2236="",L2236=0),"",
  (L2236-K2236)/L2236*100)</f>
        <v/>
      </c>
      <c r="N2236" s="13" t="n">
        <v>3771</v>
      </c>
      <c r="O2236" s="10" t="inlineStr"/>
      <c r="P2236" s="10" t="inlineStr"/>
      <c r="Q2236" s="10" t="inlineStr"/>
      <c r="R2236" s="10" t="inlineStr">
        <is>
          <t>2026-03-12</t>
        </is>
      </c>
      <c r="S2236" s="10" t="inlineStr"/>
    </row>
    <row r="2237">
      <c r="A2237" s="3" t="inlineStr">
        <is>
          <t>F02697</t>
        </is>
      </c>
      <c r="B2237" s="4" t="inlineStr">
        <is>
          <t>F02697</t>
        </is>
      </c>
      <c r="C2237" s="4" t="inlineStr"/>
      <c r="D2237" s="4" t="inlineStr"/>
      <c r="E2237" s="3" t="inlineStr">
        <is>
          <t>WALL PANEL GLACIER 3D 500MMX500MM</t>
        </is>
      </c>
      <c r="F2237" s="4" t="inlineStr"/>
      <c r="G2237" s="4" t="inlineStr"/>
      <c r="H2237" s="4" t="inlineStr"/>
      <c r="I2237" s="5" t="n">
        <v>321.73</v>
      </c>
      <c r="J2237" s="6" t="n">
        <v>15</v>
      </c>
      <c r="K2237" s="7">
        <f>IF(I2237="","",I2237*(1+J2237/100))</f>
        <v/>
      </c>
      <c r="L2237" s="12" t="inlineStr"/>
      <c r="M2237" s="8">
        <f>IF(OR(L2237="",K2237="",L2237=0),"",
  (L2237-K2237)/L2237*100)</f>
        <v/>
      </c>
      <c r="N2237" s="9" t="inlineStr"/>
      <c r="O2237" s="4" t="inlineStr"/>
      <c r="P2237" s="4" t="inlineStr"/>
      <c r="Q2237" s="4" t="inlineStr"/>
      <c r="R2237" s="4" t="inlineStr">
        <is>
          <t>2026-03-12</t>
        </is>
      </c>
      <c r="S2237" s="4" t="inlineStr"/>
    </row>
    <row r="2238">
      <c r="A2238" s="10" t="inlineStr">
        <is>
          <t>F02698</t>
        </is>
      </c>
      <c r="B2238" s="10" t="inlineStr">
        <is>
          <t>F02698</t>
        </is>
      </c>
      <c r="C2238" s="10" t="inlineStr"/>
      <c r="D2238" s="10" t="inlineStr"/>
      <c r="E2238" s="10" t="inlineStr">
        <is>
          <t>WALL PANEL CAROL 3D 500MMX500MM</t>
        </is>
      </c>
      <c r="F2238" s="10" t="inlineStr"/>
      <c r="G2238" s="10" t="inlineStr"/>
      <c r="H2238" s="10" t="inlineStr"/>
      <c r="I2238" s="11" t="n">
        <v>321.73</v>
      </c>
      <c r="J2238" s="6" t="n">
        <v>15</v>
      </c>
      <c r="K2238" s="7">
        <f>IF(I2238="","",I2238*(1+J2238/100))</f>
        <v/>
      </c>
      <c r="L2238" s="12" t="inlineStr"/>
      <c r="M2238" s="8">
        <f>IF(OR(L2238="",K2238="",L2238=0),"",
  (L2238-K2238)/L2238*100)</f>
        <v/>
      </c>
      <c r="N2238" s="9" t="inlineStr"/>
      <c r="O2238" s="10" t="inlineStr"/>
      <c r="P2238" s="10" t="inlineStr"/>
      <c r="Q2238" s="10" t="inlineStr"/>
      <c r="R2238" s="10" t="inlineStr">
        <is>
          <t>2026-03-12</t>
        </is>
      </c>
      <c r="S2238" s="10" t="inlineStr"/>
    </row>
    <row r="2239">
      <c r="A2239" s="3" t="inlineStr">
        <is>
          <t>F02699</t>
        </is>
      </c>
      <c r="B2239" s="4" t="inlineStr">
        <is>
          <t>F02699</t>
        </is>
      </c>
      <c r="C2239" s="4" t="inlineStr"/>
      <c r="D2239" s="4" t="inlineStr"/>
      <c r="E2239" s="3" t="inlineStr">
        <is>
          <t>WALL PANEL NEST 3D 500MMX500MM</t>
        </is>
      </c>
      <c r="F2239" s="4" t="inlineStr"/>
      <c r="G2239" s="4" t="inlineStr"/>
      <c r="H2239" s="4" t="inlineStr"/>
      <c r="I2239" s="5" t="n">
        <v>321.73</v>
      </c>
      <c r="J2239" s="6" t="n">
        <v>15</v>
      </c>
      <c r="K2239" s="7">
        <f>IF(I2239="","",I2239*(1+J2239/100))</f>
        <v/>
      </c>
      <c r="L2239" s="12" t="inlineStr"/>
      <c r="M2239" s="8">
        <f>IF(OR(L2239="",K2239="",L2239=0),"",
  (L2239-K2239)/L2239*100)</f>
        <v/>
      </c>
      <c r="N2239" s="9" t="inlineStr"/>
      <c r="O2239" s="4" t="inlineStr"/>
      <c r="P2239" s="4" t="inlineStr"/>
      <c r="Q2239" s="4" t="inlineStr"/>
      <c r="R2239" s="4" t="inlineStr">
        <is>
          <t>2026-03-12</t>
        </is>
      </c>
      <c r="S2239" s="4" t="inlineStr"/>
    </row>
    <row r="2240">
      <c r="A2240" s="10" t="inlineStr">
        <is>
          <t>F02700</t>
        </is>
      </c>
      <c r="B2240" s="10" t="inlineStr">
        <is>
          <t>F02700</t>
        </is>
      </c>
      <c r="C2240" s="10" t="inlineStr"/>
      <c r="D2240" s="10" t="inlineStr"/>
      <c r="E2240" s="10" t="inlineStr">
        <is>
          <t>WALL PANEL RAINBOW 3D 500MMX500MM</t>
        </is>
      </c>
      <c r="F2240" s="10" t="inlineStr"/>
      <c r="G2240" s="10" t="inlineStr"/>
      <c r="H2240" s="10" t="inlineStr"/>
      <c r="I2240" s="11" t="n">
        <v>321.73</v>
      </c>
      <c r="J2240" s="6" t="n">
        <v>15</v>
      </c>
      <c r="K2240" s="7">
        <f>IF(I2240="","",I2240*(1+J2240/100))</f>
        <v/>
      </c>
      <c r="L2240" s="12" t="inlineStr"/>
      <c r="M2240" s="8">
        <f>IF(OR(L2240="",K2240="",L2240=0),"",
  (L2240-K2240)/L2240*100)</f>
        <v/>
      </c>
      <c r="N2240" s="9" t="inlineStr"/>
      <c r="O2240" s="10" t="inlineStr"/>
      <c r="P2240" s="10" t="inlineStr"/>
      <c r="Q2240" s="10" t="inlineStr"/>
      <c r="R2240" s="10" t="inlineStr">
        <is>
          <t>2026-03-12</t>
        </is>
      </c>
      <c r="S2240" s="10" t="inlineStr"/>
    </row>
    <row r="2241">
      <c r="A2241" s="3" t="inlineStr">
        <is>
          <t>F02701</t>
        </is>
      </c>
      <c r="B2241" s="4" t="inlineStr">
        <is>
          <t>F02701</t>
        </is>
      </c>
      <c r="C2241" s="4" t="inlineStr"/>
      <c r="D2241" s="4" t="inlineStr">
        <is>
          <t>6009705651504</t>
        </is>
      </c>
      <c r="E2241" s="3" t="inlineStr">
        <is>
          <t>WALL PANEL-BLACKBURY' G 2.9MX 0.145MM</t>
        </is>
      </c>
      <c r="F2241" s="4" t="inlineStr"/>
      <c r="G2241" s="4" t="inlineStr"/>
      <c r="H2241" s="4" t="inlineStr"/>
      <c r="I2241" s="5" t="n">
        <v>3718</v>
      </c>
      <c r="J2241" s="6" t="n">
        <v>15</v>
      </c>
      <c r="K2241" s="7">
        <f>IF(I2241="","",I2241*(1+J2241/100))</f>
        <v/>
      </c>
      <c r="L2241" s="12" t="inlineStr"/>
      <c r="M2241" s="8">
        <f>IF(OR(L2241="",K2241="",L2241=0),"",
  (L2241-K2241)/L2241*100)</f>
        <v/>
      </c>
      <c r="N2241" s="9" t="inlineStr"/>
      <c r="O2241" s="4" t="inlineStr"/>
      <c r="P2241" s="4" t="inlineStr"/>
      <c r="Q2241" s="4" t="inlineStr"/>
      <c r="R2241" s="4" t="inlineStr">
        <is>
          <t>2026-03-12</t>
        </is>
      </c>
      <c r="S2241" s="4" t="inlineStr"/>
    </row>
    <row r="2242">
      <c r="A2242" s="10" t="inlineStr">
        <is>
          <t>F02702</t>
        </is>
      </c>
      <c r="B2242" s="10" t="inlineStr">
        <is>
          <t>F02702</t>
        </is>
      </c>
      <c r="C2242" s="10" t="inlineStr"/>
      <c r="D2242" s="10" t="inlineStr"/>
      <c r="E2242" s="10" t="inlineStr">
        <is>
          <t>WALL BRACKET STRAIGHT FOR RAZOR&amp; BARB</t>
        </is>
      </c>
      <c r="F2242" s="10" t="inlineStr"/>
      <c r="G2242" s="10" t="inlineStr"/>
      <c r="H2242" s="10" t="inlineStr"/>
      <c r="I2242" s="11" t="n">
        <v>45</v>
      </c>
      <c r="J2242" s="6" t="n">
        <v>15</v>
      </c>
      <c r="K2242" s="7">
        <f>IF(I2242="","",I2242*(1+J2242/100))</f>
        <v/>
      </c>
      <c r="L2242" s="12" t="inlineStr"/>
      <c r="M2242" s="8">
        <f>IF(OR(L2242="",K2242="",L2242=0),"",
  (L2242-K2242)/L2242*100)</f>
        <v/>
      </c>
      <c r="N2242" s="9" t="inlineStr"/>
      <c r="O2242" s="10" t="inlineStr"/>
      <c r="P2242" s="10" t="inlineStr"/>
      <c r="Q2242" s="10" t="inlineStr"/>
      <c r="R2242" s="10" t="inlineStr">
        <is>
          <t>2026-03-12</t>
        </is>
      </c>
      <c r="S2242" s="10" t="inlineStr"/>
    </row>
    <row r="2243">
      <c r="A2243" s="3" t="inlineStr">
        <is>
          <t>F02703</t>
        </is>
      </c>
      <c r="B2243" s="4" t="inlineStr">
        <is>
          <t>F02703</t>
        </is>
      </c>
      <c r="C2243" s="4" t="inlineStr"/>
      <c r="D2243" s="4" t="inlineStr"/>
      <c r="E2243" s="3" t="inlineStr">
        <is>
          <t>WALL BRACKET CRANK RAZOR&amp;BARBED WIRE</t>
        </is>
      </c>
      <c r="F2243" s="4" t="inlineStr"/>
      <c r="G2243" s="4" t="inlineStr"/>
      <c r="H2243" s="4" t="inlineStr"/>
      <c r="I2243" s="5" t="n">
        <v>55</v>
      </c>
      <c r="J2243" s="6" t="n">
        <v>15</v>
      </c>
      <c r="K2243" s="7">
        <f>IF(I2243="","",I2243*(1+J2243/100))</f>
        <v/>
      </c>
      <c r="L2243" s="12" t="inlineStr"/>
      <c r="M2243" s="8">
        <f>IF(OR(L2243="",K2243="",L2243=0),"",
  (L2243-K2243)/L2243*100)</f>
        <v/>
      </c>
      <c r="N2243" s="14" t="n">
        <v>10</v>
      </c>
      <c r="O2243" s="4" t="inlineStr"/>
      <c r="P2243" s="4" t="inlineStr"/>
      <c r="Q2243" s="4" t="inlineStr"/>
      <c r="R2243" s="4" t="inlineStr">
        <is>
          <t>2026-03-12</t>
        </is>
      </c>
      <c r="S2243" s="4" t="inlineStr"/>
    </row>
    <row r="2244">
      <c r="A2244" s="10" t="inlineStr">
        <is>
          <t>F02704</t>
        </is>
      </c>
      <c r="B2244" s="10" t="inlineStr">
        <is>
          <t>F02704</t>
        </is>
      </c>
      <c r="C2244" s="10" t="inlineStr"/>
      <c r="D2244" s="10" t="inlineStr"/>
      <c r="E2244" s="10" t="inlineStr">
        <is>
          <t>WALL PANEL BLANCO G LOOSE</t>
        </is>
      </c>
      <c r="F2244" s="10" t="inlineStr"/>
      <c r="G2244" s="10" t="inlineStr"/>
      <c r="H2244" s="10" t="inlineStr"/>
      <c r="I2244" s="11" t="n">
        <v>249</v>
      </c>
      <c r="J2244" s="6" t="n">
        <v>15</v>
      </c>
      <c r="K2244" s="7">
        <f>IF(I2244="","",I2244*(1+J2244/100))</f>
        <v/>
      </c>
      <c r="L2244" s="12" t="inlineStr"/>
      <c r="M2244" s="8">
        <f>IF(OR(L2244="",K2244="",L2244=0),"",
  (L2244-K2244)/L2244*100)</f>
        <v/>
      </c>
      <c r="N2244" s="9" t="inlineStr"/>
      <c r="O2244" s="10" t="inlineStr"/>
      <c r="P2244" s="10" t="inlineStr"/>
      <c r="Q2244" s="10" t="inlineStr"/>
      <c r="R2244" s="10" t="inlineStr">
        <is>
          <t>2026-03-12</t>
        </is>
      </c>
      <c r="S2244" s="10" t="inlineStr"/>
    </row>
    <row r="2245">
      <c r="A2245" s="3" t="inlineStr">
        <is>
          <t>F02705</t>
        </is>
      </c>
      <c r="B2245" s="4" t="inlineStr">
        <is>
          <t>F02705</t>
        </is>
      </c>
      <c r="C2245" s="4" t="inlineStr"/>
      <c r="D2245" s="4" t="inlineStr"/>
      <c r="E2245" s="3" t="inlineStr">
        <is>
          <t>WALL PANEL ROSE G LOOSE PANEL</t>
        </is>
      </c>
      <c r="F2245" s="4" t="inlineStr"/>
      <c r="G2245" s="4" t="inlineStr"/>
      <c r="H2245" s="4" t="inlineStr"/>
      <c r="I2245" s="5" t="n">
        <v>249</v>
      </c>
      <c r="J2245" s="6" t="n">
        <v>15</v>
      </c>
      <c r="K2245" s="7">
        <f>IF(I2245="","",I2245*(1+J2245/100))</f>
        <v/>
      </c>
      <c r="L2245" s="12" t="inlineStr"/>
      <c r="M2245" s="8">
        <f>IF(OR(L2245="",K2245="",L2245=0),"",
  (L2245-K2245)/L2245*100)</f>
        <v/>
      </c>
      <c r="N2245" s="9" t="inlineStr"/>
      <c r="O2245" s="4" t="inlineStr"/>
      <c r="P2245" s="4" t="inlineStr"/>
      <c r="Q2245" s="4" t="inlineStr"/>
      <c r="R2245" s="4" t="inlineStr">
        <is>
          <t>2026-03-12</t>
        </is>
      </c>
      <c r="S2245" s="4" t="inlineStr"/>
    </row>
    <row r="2246">
      <c r="A2246" s="10" t="inlineStr">
        <is>
          <t>F02706</t>
        </is>
      </c>
      <c r="B2246" s="10" t="inlineStr">
        <is>
          <t>F02706</t>
        </is>
      </c>
      <c r="C2246" s="10" t="inlineStr"/>
      <c r="D2246" s="10" t="inlineStr"/>
      <c r="E2246" s="10" t="inlineStr">
        <is>
          <t>WALL PANEL BRAWN G LOOSE PANEL</t>
        </is>
      </c>
      <c r="F2246" s="10" t="inlineStr"/>
      <c r="G2246" s="10" t="inlineStr"/>
      <c r="H2246" s="10" t="inlineStr"/>
      <c r="I2246" s="11" t="n">
        <v>249</v>
      </c>
      <c r="J2246" s="6" t="n">
        <v>15</v>
      </c>
      <c r="K2246" s="7">
        <f>IF(I2246="","",I2246*(1+J2246/100))</f>
        <v/>
      </c>
      <c r="L2246" s="12" t="inlineStr"/>
      <c r="M2246" s="8">
        <f>IF(OR(L2246="",K2246="",L2246=0),"",
  (L2246-K2246)/L2246*100)</f>
        <v/>
      </c>
      <c r="N2246" s="9" t="inlineStr"/>
      <c r="O2246" s="10" t="inlineStr"/>
      <c r="P2246" s="10" t="inlineStr"/>
      <c r="Q2246" s="10" t="inlineStr"/>
      <c r="R2246" s="10" t="inlineStr">
        <is>
          <t>2026-03-12</t>
        </is>
      </c>
      <c r="S2246" s="10" t="inlineStr"/>
    </row>
    <row r="2247">
      <c r="A2247" s="3" t="inlineStr">
        <is>
          <t>F02707</t>
        </is>
      </c>
      <c r="B2247" s="4" t="inlineStr">
        <is>
          <t>F02707</t>
        </is>
      </c>
      <c r="C2247" s="4" t="inlineStr"/>
      <c r="D2247" s="4" t="inlineStr"/>
      <c r="E2247" s="3" t="inlineStr">
        <is>
          <t>WALL PANEL SAND RUSTIC G LOOSE PANEL</t>
        </is>
      </c>
      <c r="F2247" s="4" t="inlineStr"/>
      <c r="G2247" s="4" t="inlineStr"/>
      <c r="H2247" s="4" t="inlineStr"/>
      <c r="I2247" s="5" t="n">
        <v>249</v>
      </c>
      <c r="J2247" s="6" t="n">
        <v>15</v>
      </c>
      <c r="K2247" s="7">
        <f>IF(I2247="","",I2247*(1+J2247/100))</f>
        <v/>
      </c>
      <c r="L2247" s="12" t="inlineStr"/>
      <c r="M2247" s="8">
        <f>IF(OR(L2247="",K2247="",L2247=0),"",
  (L2247-K2247)/L2247*100)</f>
        <v/>
      </c>
      <c r="N2247" s="9" t="inlineStr"/>
      <c r="O2247" s="4" t="inlineStr"/>
      <c r="P2247" s="4" t="inlineStr"/>
      <c r="Q2247" s="4" t="inlineStr"/>
      <c r="R2247" s="4" t="inlineStr">
        <is>
          <t>2026-03-12</t>
        </is>
      </c>
      <c r="S2247" s="4" t="inlineStr"/>
    </row>
    <row r="2248">
      <c r="A2248" s="10" t="inlineStr">
        <is>
          <t>F02708</t>
        </is>
      </c>
      <c r="B2248" s="10" t="inlineStr">
        <is>
          <t>F02708</t>
        </is>
      </c>
      <c r="C2248" s="10" t="inlineStr"/>
      <c r="D2248" s="10" t="inlineStr"/>
      <c r="E2248" s="10" t="inlineStr">
        <is>
          <t>WALL PANEL PECAN RUSTIC G LOOSE PANEL</t>
        </is>
      </c>
      <c r="F2248" s="10" t="inlineStr"/>
      <c r="G2248" s="10" t="inlineStr"/>
      <c r="H2248" s="10" t="inlineStr"/>
      <c r="I2248" s="11" t="n">
        <v>249</v>
      </c>
      <c r="J2248" s="6" t="n">
        <v>15</v>
      </c>
      <c r="K2248" s="7">
        <f>IF(I2248="","",I2248*(1+J2248/100))</f>
        <v/>
      </c>
      <c r="L2248" s="12" t="inlineStr"/>
      <c r="M2248" s="8">
        <f>IF(OR(L2248="",K2248="",L2248=0),"",
  (L2248-K2248)/L2248*100)</f>
        <v/>
      </c>
      <c r="N2248" s="9" t="inlineStr"/>
      <c r="O2248" s="10" t="inlineStr"/>
      <c r="P2248" s="10" t="inlineStr"/>
      <c r="Q2248" s="10" t="inlineStr"/>
      <c r="R2248" s="10" t="inlineStr">
        <is>
          <t>2026-03-12</t>
        </is>
      </c>
      <c r="S2248" s="10" t="inlineStr"/>
    </row>
    <row r="2249">
      <c r="A2249" s="3" t="inlineStr">
        <is>
          <t>F02709</t>
        </is>
      </c>
      <c r="B2249" s="4" t="inlineStr">
        <is>
          <t>F02709</t>
        </is>
      </c>
      <c r="C2249" s="4" t="inlineStr"/>
      <c r="D2249" s="4" t="inlineStr"/>
      <c r="E2249" s="3" t="inlineStr">
        <is>
          <t>WALL PANEL BARCELONA NERO LOOSE PANEL</t>
        </is>
      </c>
      <c r="F2249" s="4" t="inlineStr"/>
      <c r="G2249" s="4" t="inlineStr"/>
      <c r="H2249" s="4" t="inlineStr"/>
      <c r="I2249" s="5" t="n">
        <v>179</v>
      </c>
      <c r="J2249" s="6" t="n">
        <v>15</v>
      </c>
      <c r="K2249" s="7">
        <f>IF(I2249="","",I2249*(1+J2249/100))</f>
        <v/>
      </c>
      <c r="L2249" s="12" t="inlineStr"/>
      <c r="M2249" s="8">
        <f>IF(OR(L2249="",K2249="",L2249=0),"",
  (L2249-K2249)/L2249*100)</f>
        <v/>
      </c>
      <c r="N2249" s="9" t="inlineStr"/>
      <c r="O2249" s="4" t="inlineStr"/>
      <c r="P2249" s="4" t="inlineStr"/>
      <c r="Q2249" s="4" t="inlineStr"/>
      <c r="R2249" s="4" t="inlineStr">
        <is>
          <t>2026-03-12</t>
        </is>
      </c>
      <c r="S2249" s="4" t="inlineStr"/>
    </row>
    <row r="2250">
      <c r="A2250" s="10" t="inlineStr">
        <is>
          <t>F02710</t>
        </is>
      </c>
      <c r="B2250" s="10" t="inlineStr">
        <is>
          <t>F02710</t>
        </is>
      </c>
      <c r="C2250" s="10" t="inlineStr"/>
      <c r="D2250" s="10" t="inlineStr"/>
      <c r="E2250" s="10" t="inlineStr">
        <is>
          <t>WALL PANEL BARCELONA WENGE LOOSE PANEL</t>
        </is>
      </c>
      <c r="F2250" s="10" t="inlineStr"/>
      <c r="G2250" s="10" t="inlineStr"/>
      <c r="H2250" s="10" t="inlineStr"/>
      <c r="I2250" s="11" t="n">
        <v>179</v>
      </c>
      <c r="J2250" s="6" t="n">
        <v>15</v>
      </c>
      <c r="K2250" s="7">
        <f>IF(I2250="","",I2250*(1+J2250/100))</f>
        <v/>
      </c>
      <c r="L2250" s="12" t="inlineStr"/>
      <c r="M2250" s="8">
        <f>IF(OR(L2250="",K2250="",L2250=0),"",
  (L2250-K2250)/L2250*100)</f>
        <v/>
      </c>
      <c r="N2250" s="9" t="inlineStr"/>
      <c r="O2250" s="10" t="inlineStr"/>
      <c r="P2250" s="10" t="inlineStr"/>
      <c r="Q2250" s="10" t="inlineStr"/>
      <c r="R2250" s="10" t="inlineStr">
        <is>
          <t>2026-03-12</t>
        </is>
      </c>
      <c r="S2250" s="10" t="inlineStr"/>
    </row>
    <row r="2251">
      <c r="A2251" s="3" t="inlineStr">
        <is>
          <t>F02711</t>
        </is>
      </c>
      <c r="B2251" s="4" t="inlineStr">
        <is>
          <t>F02711</t>
        </is>
      </c>
      <c r="C2251" s="4" t="inlineStr"/>
      <c r="D2251" s="4" t="inlineStr"/>
      <c r="E2251" s="3" t="inlineStr">
        <is>
          <t>WALL PANEL BARCELONA GREY LOOSE PANEL</t>
        </is>
      </c>
      <c r="F2251" s="4" t="inlineStr"/>
      <c r="G2251" s="4" t="inlineStr"/>
      <c r="H2251" s="4" t="inlineStr"/>
      <c r="I2251" s="5" t="n">
        <v>179</v>
      </c>
      <c r="J2251" s="6" t="n">
        <v>15</v>
      </c>
      <c r="K2251" s="7">
        <f>IF(I2251="","",I2251*(1+J2251/100))</f>
        <v/>
      </c>
      <c r="L2251" s="12" t="inlineStr"/>
      <c r="M2251" s="8">
        <f>IF(OR(L2251="",K2251="",L2251=0),"",
  (L2251-K2251)/L2251*100)</f>
        <v/>
      </c>
      <c r="N2251" s="9" t="inlineStr"/>
      <c r="O2251" s="4" t="inlineStr"/>
      <c r="P2251" s="4" t="inlineStr"/>
      <c r="Q2251" s="4" t="inlineStr"/>
      <c r="R2251" s="4" t="inlineStr">
        <is>
          <t>2026-03-12</t>
        </is>
      </c>
      <c r="S2251" s="4" t="inlineStr"/>
    </row>
    <row r="2252">
      <c r="A2252" s="10" t="inlineStr">
        <is>
          <t>F02712</t>
        </is>
      </c>
      <c r="B2252" s="10" t="inlineStr">
        <is>
          <t>F02712</t>
        </is>
      </c>
      <c r="C2252" s="10" t="inlineStr"/>
      <c r="D2252" s="10" t="inlineStr"/>
      <c r="E2252" s="10" t="inlineStr">
        <is>
          <t>WALL PANEL BARCELONA TEAK LOOSE PANEL</t>
        </is>
      </c>
      <c r="F2252" s="10" t="inlineStr"/>
      <c r="G2252" s="10" t="inlineStr"/>
      <c r="H2252" s="10" t="inlineStr"/>
      <c r="I2252" s="11" t="n">
        <v>179</v>
      </c>
      <c r="J2252" s="6" t="n">
        <v>15</v>
      </c>
      <c r="K2252" s="7">
        <f>IF(I2252="","",I2252*(1+J2252/100))</f>
        <v/>
      </c>
      <c r="L2252" s="12" t="inlineStr"/>
      <c r="M2252" s="8">
        <f>IF(OR(L2252="",K2252="",L2252=0),"",
  (L2252-K2252)/L2252*100)</f>
        <v/>
      </c>
      <c r="N2252" s="9" t="inlineStr"/>
      <c r="O2252" s="10" t="inlineStr"/>
      <c r="P2252" s="10" t="inlineStr"/>
      <c r="Q2252" s="10" t="inlineStr"/>
      <c r="R2252" s="10" t="inlineStr">
        <is>
          <t>2026-03-12</t>
        </is>
      </c>
      <c r="S2252" s="10" t="inlineStr"/>
    </row>
    <row r="2253">
      <c r="A2253" s="3" t="inlineStr">
        <is>
          <t>F02713</t>
        </is>
      </c>
      <c r="B2253" s="4" t="inlineStr">
        <is>
          <t>F02713</t>
        </is>
      </c>
      <c r="C2253" s="4" t="inlineStr"/>
      <c r="D2253" s="4" t="inlineStr"/>
      <c r="E2253" s="3" t="inlineStr">
        <is>
          <t>WALL PANEL BARCELONA MARBLE LOOSE PANEL</t>
        </is>
      </c>
      <c r="F2253" s="4" t="inlineStr"/>
      <c r="G2253" s="4" t="inlineStr"/>
      <c r="H2253" s="4" t="inlineStr"/>
      <c r="I2253" s="5" t="n">
        <v>179</v>
      </c>
      <c r="J2253" s="6" t="n">
        <v>15</v>
      </c>
      <c r="K2253" s="7">
        <f>IF(I2253="","",I2253*(1+J2253/100))</f>
        <v/>
      </c>
      <c r="L2253" s="12" t="inlineStr"/>
      <c r="M2253" s="8">
        <f>IF(OR(L2253="",K2253="",L2253=0),"",
  (L2253-K2253)/L2253*100)</f>
        <v/>
      </c>
      <c r="N2253" s="9" t="inlineStr"/>
      <c r="O2253" s="4" t="inlineStr"/>
      <c r="P2253" s="4" t="inlineStr"/>
      <c r="Q2253" s="4" t="inlineStr"/>
      <c r="R2253" s="4" t="inlineStr">
        <is>
          <t>2026-03-12</t>
        </is>
      </c>
      <c r="S2253" s="4" t="inlineStr"/>
    </row>
    <row r="2254">
      <c r="A2254" s="10" t="inlineStr">
        <is>
          <t>F02714</t>
        </is>
      </c>
      <c r="B2254" s="10" t="inlineStr">
        <is>
          <t>F02714</t>
        </is>
      </c>
      <c r="C2254" s="10" t="inlineStr"/>
      <c r="D2254" s="10" t="inlineStr"/>
      <c r="E2254" s="10" t="inlineStr">
        <is>
          <t>ROOF TILE  UNDERL NHBRC 3OMx1.5M APPROVE</t>
        </is>
      </c>
      <c r="F2254" s="10" t="inlineStr"/>
      <c r="G2254" s="10" t="inlineStr"/>
      <c r="H2254" s="10" t="inlineStr"/>
      <c r="I2254" s="11" t="n">
        <v>269</v>
      </c>
      <c r="J2254" s="6" t="n">
        <v>15</v>
      </c>
      <c r="K2254" s="7">
        <f>IF(I2254="","",I2254*(1+J2254/100))</f>
        <v/>
      </c>
      <c r="L2254" s="12" t="inlineStr"/>
      <c r="M2254" s="8">
        <f>IF(OR(L2254="",K2254="",L2254=0),"",
  (L2254-K2254)/L2254*100)</f>
        <v/>
      </c>
      <c r="N2254" s="13" t="n">
        <v>5</v>
      </c>
      <c r="O2254" s="10" t="inlineStr"/>
      <c r="P2254" s="10" t="inlineStr"/>
      <c r="Q2254" s="10" t="inlineStr"/>
      <c r="R2254" s="10" t="inlineStr">
        <is>
          <t>2026-03-12</t>
        </is>
      </c>
      <c r="S2254" s="10" t="inlineStr"/>
    </row>
    <row r="2255">
      <c r="A2255" s="3" t="inlineStr">
        <is>
          <t>F02715</t>
        </is>
      </c>
      <c r="B2255" s="4" t="inlineStr">
        <is>
          <t>F02715</t>
        </is>
      </c>
      <c r="C2255" s="4" t="inlineStr"/>
      <c r="D2255" s="4" t="inlineStr"/>
      <c r="E2255" s="3" t="inlineStr">
        <is>
          <t>MORTICE LOCK FANCY SILVER TYSON</t>
        </is>
      </c>
      <c r="F2255" s="4" t="inlineStr"/>
      <c r="G2255" s="4" t="inlineStr"/>
      <c r="H2255" s="4" t="inlineStr"/>
      <c r="I2255" s="5" t="n">
        <v>99.95</v>
      </c>
      <c r="J2255" s="6" t="n">
        <v>15</v>
      </c>
      <c r="K2255" s="7">
        <f>IF(I2255="","",I2255*(1+J2255/100))</f>
        <v/>
      </c>
      <c r="L2255" s="12" t="inlineStr"/>
      <c r="M2255" s="8">
        <f>IF(OR(L2255="",K2255="",L2255=0),"",
  (L2255-K2255)/L2255*100)</f>
        <v/>
      </c>
      <c r="N2255" s="14" t="n">
        <v>2</v>
      </c>
      <c r="O2255" s="4" t="inlineStr"/>
      <c r="P2255" s="4" t="inlineStr"/>
      <c r="Q2255" s="4" t="inlineStr"/>
      <c r="R2255" s="4" t="inlineStr">
        <is>
          <t>2026-03-12</t>
        </is>
      </c>
      <c r="S2255" s="4" t="inlineStr"/>
    </row>
    <row r="2256">
      <c r="A2256" s="10" t="inlineStr">
        <is>
          <t>F02716</t>
        </is>
      </c>
      <c r="B2256" s="10" t="inlineStr">
        <is>
          <t>F02716</t>
        </is>
      </c>
      <c r="C2256" s="10" t="inlineStr"/>
      <c r="D2256" s="10" t="inlineStr"/>
      <c r="E2256" s="10" t="inlineStr">
        <is>
          <t>MORTICE LOCK FANCY BRASS TYSON</t>
        </is>
      </c>
      <c r="F2256" s="10" t="inlineStr"/>
      <c r="G2256" s="10" t="inlineStr"/>
      <c r="H2256" s="10" t="inlineStr"/>
      <c r="I2256" s="11" t="n">
        <v>99.95</v>
      </c>
      <c r="J2256" s="6" t="n">
        <v>15</v>
      </c>
      <c r="K2256" s="7">
        <f>IF(I2256="","",I2256*(1+J2256/100))</f>
        <v/>
      </c>
      <c r="L2256" s="12" t="inlineStr"/>
      <c r="M2256" s="8">
        <f>IF(OR(L2256="",K2256="",L2256=0),"",
  (L2256-K2256)/L2256*100)</f>
        <v/>
      </c>
      <c r="N2256" s="9" t="inlineStr"/>
      <c r="O2256" s="10" t="inlineStr"/>
      <c r="P2256" s="10" t="inlineStr"/>
      <c r="Q2256" s="10" t="inlineStr"/>
      <c r="R2256" s="10" t="inlineStr">
        <is>
          <t>2026-03-12</t>
        </is>
      </c>
      <c r="S2256" s="10" t="inlineStr"/>
    </row>
    <row r="2257">
      <c r="A2257" s="3" t="inlineStr">
        <is>
          <t>F02717</t>
        </is>
      </c>
      <c r="B2257" s="4" t="inlineStr">
        <is>
          <t>F02717</t>
        </is>
      </c>
      <c r="C2257" s="4" t="inlineStr"/>
      <c r="D2257" s="4" t="inlineStr"/>
      <c r="E2257" s="3" t="inlineStr">
        <is>
          <t>MORTICE LOCK FANCY GOLD TYSON</t>
        </is>
      </c>
      <c r="F2257" s="4" t="inlineStr"/>
      <c r="G2257" s="4" t="inlineStr"/>
      <c r="H2257" s="4" t="inlineStr"/>
      <c r="I2257" s="5" t="n">
        <v>99.95</v>
      </c>
      <c r="J2257" s="6" t="n">
        <v>15</v>
      </c>
      <c r="K2257" s="7">
        <f>IF(I2257="","",I2257*(1+J2257/100))</f>
        <v/>
      </c>
      <c r="L2257" s="12" t="inlineStr"/>
      <c r="M2257" s="8">
        <f>IF(OR(L2257="",K2257="",L2257=0),"",
  (L2257-K2257)/L2257*100)</f>
        <v/>
      </c>
      <c r="N2257" s="14" t="n">
        <v>20</v>
      </c>
      <c r="O2257" s="4" t="inlineStr"/>
      <c r="P2257" s="4" t="inlineStr"/>
      <c r="Q2257" s="4" t="inlineStr"/>
      <c r="R2257" s="4" t="inlineStr">
        <is>
          <t>2026-03-12</t>
        </is>
      </c>
      <c r="S2257" s="4" t="inlineStr"/>
    </row>
    <row r="2258">
      <c r="A2258" s="10" t="inlineStr">
        <is>
          <t>F02718</t>
        </is>
      </c>
      <c r="B2258" s="10" t="inlineStr">
        <is>
          <t>F02718</t>
        </is>
      </c>
      <c r="C2258" s="10" t="inlineStr"/>
      <c r="D2258" s="10" t="inlineStr"/>
      <c r="E2258" s="10" t="inlineStr">
        <is>
          <t>MORTICE LOCK FANCY CHROME TYSON</t>
        </is>
      </c>
      <c r="F2258" s="10" t="inlineStr"/>
      <c r="G2258" s="10" t="inlineStr"/>
      <c r="H2258" s="10" t="inlineStr"/>
      <c r="I2258" s="11" t="n">
        <v>99.95</v>
      </c>
      <c r="J2258" s="6" t="n">
        <v>15</v>
      </c>
      <c r="K2258" s="7">
        <f>IF(I2258="","",I2258*(1+J2258/100))</f>
        <v/>
      </c>
      <c r="L2258" s="12" t="inlineStr"/>
      <c r="M2258" s="8">
        <f>IF(OR(L2258="",K2258="",L2258=0),"",
  (L2258-K2258)/L2258*100)</f>
        <v/>
      </c>
      <c r="N2258" s="9" t="inlineStr"/>
      <c r="O2258" s="10" t="inlineStr"/>
      <c r="P2258" s="10" t="inlineStr"/>
      <c r="Q2258" s="10" t="inlineStr"/>
      <c r="R2258" s="10" t="inlineStr">
        <is>
          <t>2026-03-12</t>
        </is>
      </c>
      <c r="S2258" s="10" t="inlineStr"/>
    </row>
    <row r="2259">
      <c r="A2259" s="3" t="inlineStr">
        <is>
          <t>F02719</t>
        </is>
      </c>
      <c r="B2259" s="4" t="inlineStr">
        <is>
          <t>F02719</t>
        </is>
      </c>
      <c r="C2259" s="4" t="inlineStr"/>
      <c r="D2259" s="4" t="inlineStr"/>
      <c r="E2259" s="3" t="inlineStr">
        <is>
          <t>MORTICE LOCK FANCY SILVER FADE TYSON</t>
        </is>
      </c>
      <c r="F2259" s="4" t="inlineStr"/>
      <c r="G2259" s="4" t="inlineStr"/>
      <c r="H2259" s="4" t="inlineStr"/>
      <c r="I2259" s="5" t="n">
        <v>99.95</v>
      </c>
      <c r="J2259" s="6" t="n">
        <v>15</v>
      </c>
      <c r="K2259" s="7">
        <f>IF(I2259="","",I2259*(1+J2259/100))</f>
        <v/>
      </c>
      <c r="L2259" s="12" t="inlineStr"/>
      <c r="M2259" s="8">
        <f>IF(OR(L2259="",K2259="",L2259=0),"",
  (L2259-K2259)/L2259*100)</f>
        <v/>
      </c>
      <c r="N2259" s="9" t="inlineStr"/>
      <c r="O2259" s="4" t="inlineStr"/>
      <c r="P2259" s="4" t="inlineStr"/>
      <c r="Q2259" s="4" t="inlineStr"/>
      <c r="R2259" s="4" t="inlineStr">
        <is>
          <t>2026-03-12</t>
        </is>
      </c>
      <c r="S2259" s="4" t="inlineStr"/>
    </row>
    <row r="2260">
      <c r="A2260" s="10" t="inlineStr">
        <is>
          <t>F02720</t>
        </is>
      </c>
      <c r="B2260" s="10" t="inlineStr">
        <is>
          <t>F02720</t>
        </is>
      </c>
      <c r="C2260" s="10" t="inlineStr"/>
      <c r="D2260" s="10" t="inlineStr">
        <is>
          <t>6009705651580</t>
        </is>
      </c>
      <c r="E2260" s="10" t="inlineStr">
        <is>
          <t>PADDEL RACKET</t>
        </is>
      </c>
      <c r="F2260" s="10" t="inlineStr"/>
      <c r="G2260" s="10" t="inlineStr"/>
      <c r="H2260" s="10" t="inlineStr"/>
      <c r="I2260" s="11" t="n">
        <v>1000</v>
      </c>
      <c r="J2260" s="6" t="n">
        <v>15</v>
      </c>
      <c r="K2260" s="7">
        <f>IF(I2260="","",I2260*(1+J2260/100))</f>
        <v/>
      </c>
      <c r="L2260" s="12" t="inlineStr"/>
      <c r="M2260" s="8">
        <f>IF(OR(L2260="",K2260="",L2260=0),"",
  (L2260-K2260)/L2260*100)</f>
        <v/>
      </c>
      <c r="N2260" s="9" t="inlineStr"/>
      <c r="O2260" s="10" t="inlineStr"/>
      <c r="P2260" s="10" t="inlineStr"/>
      <c r="Q2260" s="10" t="inlineStr"/>
      <c r="R2260" s="10" t="inlineStr">
        <is>
          <t>2026-03-12</t>
        </is>
      </c>
      <c r="S2260" s="10" t="inlineStr"/>
    </row>
    <row r="2261">
      <c r="A2261" s="3" t="inlineStr">
        <is>
          <t>F02721</t>
        </is>
      </c>
      <c r="B2261" s="4" t="inlineStr">
        <is>
          <t>F02721</t>
        </is>
      </c>
      <c r="C2261" s="4" t="inlineStr">
        <is>
          <t>24664</t>
        </is>
      </c>
      <c r="D2261" s="4" t="inlineStr">
        <is>
          <t>6009705651658</t>
        </is>
      </c>
      <c r="E2261" s="3" t="inlineStr">
        <is>
          <t>PADDEL  BALL 3'S</t>
        </is>
      </c>
      <c r="F2261" s="4" t="inlineStr"/>
      <c r="G2261" s="4" t="inlineStr"/>
      <c r="H2261" s="4" t="inlineStr"/>
      <c r="I2261" s="5" t="n">
        <v>79.95</v>
      </c>
      <c r="J2261" s="6" t="n">
        <v>15</v>
      </c>
      <c r="K2261" s="7">
        <f>IF(I2261="","",I2261*(1+J2261/100))</f>
        <v/>
      </c>
      <c r="L2261" s="5" t="n">
        <v>130</v>
      </c>
      <c r="M2261" s="8">
        <f>IF(OR(L2261="",K2261="",L2261=0),"",
  (L2261-K2261)/L2261*100)</f>
        <v/>
      </c>
      <c r="N2261" s="14" t="n">
        <v>95</v>
      </c>
      <c r="O2261" s="4" t="inlineStr"/>
      <c r="P2261" s="4" t="inlineStr"/>
      <c r="Q2261" s="4" t="inlineStr"/>
      <c r="R2261" s="4" t="inlineStr">
        <is>
          <t>2026-03-12</t>
        </is>
      </c>
      <c r="S2261" s="4" t="inlineStr"/>
    </row>
    <row r="2262">
      <c r="A2262" s="10" t="inlineStr">
        <is>
          <t>F02722</t>
        </is>
      </c>
      <c r="B2262" s="10" t="inlineStr">
        <is>
          <t>F02722</t>
        </is>
      </c>
      <c r="C2262" s="10" t="inlineStr"/>
      <c r="D2262" s="10" t="inlineStr">
        <is>
          <t>6009713340049</t>
        </is>
      </c>
      <c r="E2262" s="10" t="inlineStr">
        <is>
          <t>EXTENTION CORD 3MTR SABS</t>
        </is>
      </c>
      <c r="F2262" s="10" t="inlineStr"/>
      <c r="G2262" s="10" t="inlineStr"/>
      <c r="H2262" s="10" t="inlineStr"/>
      <c r="I2262" s="11" t="n">
        <v>62.95</v>
      </c>
      <c r="J2262" s="6" t="n">
        <v>15</v>
      </c>
      <c r="K2262" s="7">
        <f>IF(I2262="","",I2262*(1+J2262/100))</f>
        <v/>
      </c>
      <c r="L2262" s="12" t="inlineStr"/>
      <c r="M2262" s="8">
        <f>IF(OR(L2262="",K2262="",L2262=0),"",
  (L2262-K2262)/L2262*100)</f>
        <v/>
      </c>
      <c r="N2262" s="13" t="n">
        <v>35</v>
      </c>
      <c r="O2262" s="10" t="inlineStr"/>
      <c r="P2262" s="10" t="inlineStr"/>
      <c r="Q2262" s="10" t="inlineStr"/>
      <c r="R2262" s="10" t="inlineStr">
        <is>
          <t>2026-03-12</t>
        </is>
      </c>
      <c r="S2262" s="10" t="inlineStr"/>
    </row>
    <row r="2263">
      <c r="A2263" s="3" t="inlineStr">
        <is>
          <t>F02723</t>
        </is>
      </c>
      <c r="B2263" s="4" t="inlineStr">
        <is>
          <t>F02723</t>
        </is>
      </c>
      <c r="C2263" s="4" t="inlineStr"/>
      <c r="D2263" s="4" t="inlineStr">
        <is>
          <t>6009713340056</t>
        </is>
      </c>
      <c r="E2263" s="3" t="inlineStr">
        <is>
          <t>EXTENTION CORD 5MTR SABS</t>
        </is>
      </c>
      <c r="F2263" s="4" t="inlineStr"/>
      <c r="G2263" s="4" t="inlineStr"/>
      <c r="H2263" s="4" t="inlineStr"/>
      <c r="I2263" s="5" t="n">
        <v>93</v>
      </c>
      <c r="J2263" s="6" t="n">
        <v>15</v>
      </c>
      <c r="K2263" s="7">
        <f>IF(I2263="","",I2263*(1+J2263/100))</f>
        <v/>
      </c>
      <c r="L2263" s="12" t="inlineStr"/>
      <c r="M2263" s="8">
        <f>IF(OR(L2263="",K2263="",L2263=0),"",
  (L2263-K2263)/L2263*100)</f>
        <v/>
      </c>
      <c r="N2263" s="14" t="n">
        <v>34</v>
      </c>
      <c r="O2263" s="4" t="inlineStr"/>
      <c r="P2263" s="4" t="inlineStr"/>
      <c r="Q2263" s="4" t="inlineStr"/>
      <c r="R2263" s="4" t="inlineStr">
        <is>
          <t>2026-03-12</t>
        </is>
      </c>
      <c r="S2263" s="4" t="inlineStr"/>
    </row>
    <row r="2264">
      <c r="A2264" s="10" t="inlineStr">
        <is>
          <t>F02724</t>
        </is>
      </c>
      <c r="B2264" s="10" t="inlineStr">
        <is>
          <t>F02724</t>
        </is>
      </c>
      <c r="C2264" s="10" t="inlineStr"/>
      <c r="D2264" s="10" t="inlineStr">
        <is>
          <t>6009713340063</t>
        </is>
      </c>
      <c r="E2264" s="10" t="inlineStr">
        <is>
          <t>EXTENTION CORD 10MTR SABS</t>
        </is>
      </c>
      <c r="F2264" s="10" t="inlineStr"/>
      <c r="G2264" s="10" t="inlineStr"/>
      <c r="H2264" s="10" t="inlineStr"/>
      <c r="I2264" s="11" t="n">
        <v>153.95</v>
      </c>
      <c r="J2264" s="6" t="n">
        <v>15</v>
      </c>
      <c r="K2264" s="7">
        <f>IF(I2264="","",I2264*(1+J2264/100))</f>
        <v/>
      </c>
      <c r="L2264" s="12" t="inlineStr"/>
      <c r="M2264" s="8">
        <f>IF(OR(L2264="",K2264="",L2264=0),"",
  (L2264-K2264)/L2264*100)</f>
        <v/>
      </c>
      <c r="N2264" s="13" t="n">
        <v>36</v>
      </c>
      <c r="O2264" s="10" t="inlineStr"/>
      <c r="P2264" s="10" t="inlineStr"/>
      <c r="Q2264" s="10" t="inlineStr"/>
      <c r="R2264" s="10" t="inlineStr">
        <is>
          <t>2026-03-12</t>
        </is>
      </c>
      <c r="S2264" s="10" t="inlineStr"/>
    </row>
    <row r="2265">
      <c r="A2265" s="3" t="inlineStr">
        <is>
          <t>F02725</t>
        </is>
      </c>
      <c r="B2265" s="4" t="inlineStr">
        <is>
          <t>F02725</t>
        </is>
      </c>
      <c r="C2265" s="4" t="inlineStr"/>
      <c r="D2265" s="4" t="inlineStr">
        <is>
          <t>6009697343166</t>
        </is>
      </c>
      <c r="E2265" s="3" t="inlineStr">
        <is>
          <t>EXTENTION CORD 15MTR SABS</t>
        </is>
      </c>
      <c r="F2265" s="4" t="inlineStr"/>
      <c r="G2265" s="4" t="inlineStr"/>
      <c r="H2265" s="4" t="inlineStr"/>
      <c r="I2265" s="5" t="n">
        <v>193</v>
      </c>
      <c r="J2265" s="6" t="n">
        <v>15</v>
      </c>
      <c r="K2265" s="7">
        <f>IF(I2265="","",I2265*(1+J2265/100))</f>
        <v/>
      </c>
      <c r="L2265" s="12" t="inlineStr"/>
      <c r="M2265" s="8">
        <f>IF(OR(L2265="",K2265="",L2265=0),"",
  (L2265-K2265)/L2265*100)</f>
        <v/>
      </c>
      <c r="N2265" s="14" t="n">
        <v>6</v>
      </c>
      <c r="O2265" s="4" t="inlineStr"/>
      <c r="P2265" s="4" t="inlineStr"/>
      <c r="Q2265" s="4" t="inlineStr"/>
      <c r="R2265" s="4" t="inlineStr">
        <is>
          <t>2026-03-12</t>
        </is>
      </c>
      <c r="S2265" s="4" t="inlineStr"/>
    </row>
    <row r="2266">
      <c r="A2266" s="10" t="inlineStr">
        <is>
          <t>F02726</t>
        </is>
      </c>
      <c r="B2266" s="10" t="inlineStr">
        <is>
          <t>F02726</t>
        </is>
      </c>
      <c r="C2266" s="10" t="inlineStr"/>
      <c r="D2266" s="10" t="inlineStr">
        <is>
          <t>6009713340087</t>
        </is>
      </c>
      <c r="E2266" s="10" t="inlineStr">
        <is>
          <t>EXTENTION CORD 20MTR SABS</t>
        </is>
      </c>
      <c r="F2266" s="10" t="inlineStr"/>
      <c r="G2266" s="10" t="inlineStr"/>
      <c r="H2266" s="10" t="inlineStr"/>
      <c r="I2266" s="11" t="n">
        <v>240</v>
      </c>
      <c r="J2266" s="6" t="n">
        <v>15</v>
      </c>
      <c r="K2266" s="7">
        <f>IF(I2266="","",I2266*(1+J2266/100))</f>
        <v/>
      </c>
      <c r="L2266" s="12" t="inlineStr"/>
      <c r="M2266" s="8">
        <f>IF(OR(L2266="",K2266="",L2266=0),"",
  (L2266-K2266)/L2266*100)</f>
        <v/>
      </c>
      <c r="N2266" s="13" t="n">
        <v>19</v>
      </c>
      <c r="O2266" s="10" t="inlineStr"/>
      <c r="P2266" s="10" t="inlineStr"/>
      <c r="Q2266" s="10" t="inlineStr"/>
      <c r="R2266" s="10" t="inlineStr">
        <is>
          <t>2026-03-12</t>
        </is>
      </c>
      <c r="S2266" s="10" t="inlineStr"/>
    </row>
    <row r="2267">
      <c r="A2267" s="3" t="inlineStr">
        <is>
          <t>F02727</t>
        </is>
      </c>
      <c r="B2267" s="4" t="inlineStr">
        <is>
          <t>F02727</t>
        </is>
      </c>
      <c r="C2267" s="4" t="inlineStr"/>
      <c r="D2267" s="4" t="inlineStr">
        <is>
          <t>6009705651672</t>
        </is>
      </c>
      <c r="E2267" s="3" t="inlineStr">
        <is>
          <t>TABLE FOLDING BLACK 1.8MTR CP</t>
        </is>
      </c>
      <c r="F2267" s="4" t="inlineStr"/>
      <c r="G2267" s="4" t="inlineStr"/>
      <c r="H2267" s="4" t="inlineStr"/>
      <c r="I2267" s="5" t="n">
        <v>479</v>
      </c>
      <c r="J2267" s="6" t="n">
        <v>15</v>
      </c>
      <c r="K2267" s="7">
        <f>IF(I2267="","",I2267*(1+J2267/100))</f>
        <v/>
      </c>
      <c r="L2267" s="12" t="inlineStr"/>
      <c r="M2267" s="8">
        <f>IF(OR(L2267="",K2267="",L2267=0),"",
  (L2267-K2267)/L2267*100)</f>
        <v/>
      </c>
      <c r="N2267" s="14" t="n">
        <v>95</v>
      </c>
      <c r="O2267" s="4" t="inlineStr"/>
      <c r="P2267" s="4" t="inlineStr"/>
      <c r="Q2267" s="4" t="inlineStr"/>
      <c r="R2267" s="4" t="inlineStr">
        <is>
          <t>2026-03-12</t>
        </is>
      </c>
      <c r="S2267" s="4" t="inlineStr"/>
    </row>
    <row r="2268">
      <c r="A2268" s="10" t="inlineStr">
        <is>
          <t>F02729</t>
        </is>
      </c>
      <c r="B2268" s="10" t="inlineStr">
        <is>
          <t>F02729</t>
        </is>
      </c>
      <c r="C2268" s="10" t="inlineStr"/>
      <c r="D2268" s="10" t="inlineStr"/>
      <c r="E2268" s="10" t="inlineStr">
        <is>
          <t>WATER BOTTLE MOTIVATIONAL 1.5LTR</t>
        </is>
      </c>
      <c r="F2268" s="10" t="inlineStr"/>
      <c r="G2268" s="10" t="inlineStr"/>
      <c r="H2268" s="10" t="inlineStr"/>
      <c r="I2268" s="11" t="n">
        <v>59.95</v>
      </c>
      <c r="J2268" s="6" t="n">
        <v>15</v>
      </c>
      <c r="K2268" s="7">
        <f>IF(I2268="","",I2268*(1+J2268/100))</f>
        <v/>
      </c>
      <c r="L2268" s="12" t="inlineStr"/>
      <c r="M2268" s="8">
        <f>IF(OR(L2268="",K2268="",L2268=0),"",
  (L2268-K2268)/L2268*100)</f>
        <v/>
      </c>
      <c r="N2268" s="9" t="inlineStr"/>
      <c r="O2268" s="10" t="inlineStr"/>
      <c r="P2268" s="10" t="inlineStr"/>
      <c r="Q2268" s="10" t="inlineStr"/>
      <c r="R2268" s="10" t="inlineStr">
        <is>
          <t>2026-03-12</t>
        </is>
      </c>
      <c r="S2268" s="10" t="inlineStr"/>
    </row>
    <row r="2269">
      <c r="A2269" s="3" t="inlineStr">
        <is>
          <t>F02730</t>
        </is>
      </c>
      <c r="B2269" s="4" t="inlineStr">
        <is>
          <t>F02730</t>
        </is>
      </c>
      <c r="C2269" s="4" t="inlineStr"/>
      <c r="D2269" s="4" t="inlineStr">
        <is>
          <t>6009705651689</t>
        </is>
      </c>
      <c r="E2269" s="3" t="inlineStr">
        <is>
          <t>BUCKET 20LTR TRIPLE LOCK LID BLACK</t>
        </is>
      </c>
      <c r="F2269" s="4" t="inlineStr"/>
      <c r="G2269" s="4" t="inlineStr"/>
      <c r="H2269" s="4" t="inlineStr"/>
      <c r="I2269" s="5" t="n">
        <v>25</v>
      </c>
      <c r="J2269" s="6" t="n">
        <v>15</v>
      </c>
      <c r="K2269" s="7">
        <f>IF(I2269="","",I2269*(1+J2269/100))</f>
        <v/>
      </c>
      <c r="L2269" s="12" t="inlineStr"/>
      <c r="M2269" s="8">
        <f>IF(OR(L2269="",K2269="",L2269=0),"",
  (L2269-K2269)/L2269*100)</f>
        <v/>
      </c>
      <c r="N2269" s="9" t="inlineStr"/>
      <c r="O2269" s="4" t="inlineStr"/>
      <c r="P2269" s="4" t="inlineStr"/>
      <c r="Q2269" s="4" t="inlineStr"/>
      <c r="R2269" s="4" t="inlineStr">
        <is>
          <t>2026-03-12</t>
        </is>
      </c>
      <c r="S2269" s="4" t="inlineStr"/>
    </row>
    <row r="2270">
      <c r="A2270" s="10" t="inlineStr">
        <is>
          <t>F02731</t>
        </is>
      </c>
      <c r="B2270" s="10" t="inlineStr">
        <is>
          <t>F02731</t>
        </is>
      </c>
      <c r="C2270" s="10" t="inlineStr">
        <is>
          <t>19561</t>
        </is>
      </c>
      <c r="D2270" s="10" t="inlineStr">
        <is>
          <t>6009705651696</t>
        </is>
      </c>
      <c r="E2270" s="10" t="inlineStr">
        <is>
          <t>UV PANEL RETRO GRIS  1220*2700*2.5MM</t>
        </is>
      </c>
      <c r="F2270" s="10" t="inlineStr"/>
      <c r="G2270" s="10" t="inlineStr"/>
      <c r="H2270" s="10" t="inlineStr"/>
      <c r="I2270" s="11" t="n">
        <v>379</v>
      </c>
      <c r="J2270" s="6" t="n">
        <v>15</v>
      </c>
      <c r="K2270" s="7">
        <f>IF(I2270="","",I2270*(1+J2270/100))</f>
        <v/>
      </c>
      <c r="L2270" s="11" t="n">
        <v>1300</v>
      </c>
      <c r="M2270" s="8">
        <f>IF(OR(L2270="",K2270="",L2270=0),"",
  (L2270-K2270)/L2270*100)</f>
        <v/>
      </c>
      <c r="N2270" s="13" t="n">
        <v>2</v>
      </c>
      <c r="O2270" s="10" t="inlineStr"/>
      <c r="P2270" s="10" t="inlineStr"/>
      <c r="Q2270" s="10" t="inlineStr"/>
      <c r="R2270" s="10" t="inlineStr">
        <is>
          <t>2026-03-12</t>
        </is>
      </c>
      <c r="S2270" s="10" t="inlineStr"/>
    </row>
    <row r="2271">
      <c r="A2271" s="3" t="inlineStr">
        <is>
          <t>F02732</t>
        </is>
      </c>
      <c r="B2271" s="4" t="inlineStr">
        <is>
          <t>F02732</t>
        </is>
      </c>
      <c r="C2271" s="4" t="inlineStr">
        <is>
          <t>19549</t>
        </is>
      </c>
      <c r="D2271" s="4" t="inlineStr">
        <is>
          <t>6009705651726</t>
        </is>
      </c>
      <c r="E2271" s="3" t="inlineStr">
        <is>
          <t>UV PANEL AMAZE GRIS 1220*2700*2.5MM</t>
        </is>
      </c>
      <c r="F2271" s="4" t="inlineStr"/>
      <c r="G2271" s="4" t="inlineStr"/>
      <c r="H2271" s="4" t="inlineStr"/>
      <c r="I2271" s="5" t="n">
        <v>379</v>
      </c>
      <c r="J2271" s="6" t="n">
        <v>15</v>
      </c>
      <c r="K2271" s="7">
        <f>IF(I2271="","",I2271*(1+J2271/100))</f>
        <v/>
      </c>
      <c r="L2271" s="5" t="n">
        <v>1300</v>
      </c>
      <c r="M2271" s="8">
        <f>IF(OR(L2271="",K2271="",L2271=0),"",
  (L2271-K2271)/L2271*100)</f>
        <v/>
      </c>
      <c r="N2271" s="9" t="inlineStr"/>
      <c r="O2271" s="4" t="inlineStr"/>
      <c r="P2271" s="4" t="inlineStr"/>
      <c r="Q2271" s="4" t="inlineStr"/>
      <c r="R2271" s="4" t="inlineStr">
        <is>
          <t>2026-03-12</t>
        </is>
      </c>
      <c r="S2271" s="4" t="inlineStr"/>
    </row>
    <row r="2272">
      <c r="A2272" s="10" t="inlineStr">
        <is>
          <t>F02733</t>
        </is>
      </c>
      <c r="B2272" s="10" t="inlineStr">
        <is>
          <t>F02733</t>
        </is>
      </c>
      <c r="C2272" s="10" t="inlineStr">
        <is>
          <t>19562</t>
        </is>
      </c>
      <c r="D2272" s="10" t="inlineStr">
        <is>
          <t>6009705651740</t>
        </is>
      </c>
      <c r="E2272" s="10" t="inlineStr">
        <is>
          <t>UV PANEL FRESCO GRIS 1220*2700*2.5MM</t>
        </is>
      </c>
      <c r="F2272" s="10" t="inlineStr"/>
      <c r="G2272" s="10" t="inlineStr"/>
      <c r="H2272" s="10" t="inlineStr"/>
      <c r="I2272" s="11" t="n">
        <v>379</v>
      </c>
      <c r="J2272" s="6" t="n">
        <v>15</v>
      </c>
      <c r="K2272" s="7">
        <f>IF(I2272="","",I2272*(1+J2272/100))</f>
        <v/>
      </c>
      <c r="L2272" s="11" t="n">
        <v>1300</v>
      </c>
      <c r="M2272" s="8">
        <f>IF(OR(L2272="",K2272="",L2272=0),"",
  (L2272-K2272)/L2272*100)</f>
        <v/>
      </c>
      <c r="N2272" s="9" t="inlineStr"/>
      <c r="O2272" s="10" t="inlineStr"/>
      <c r="P2272" s="10" t="inlineStr"/>
      <c r="Q2272" s="10" t="inlineStr"/>
      <c r="R2272" s="10" t="inlineStr">
        <is>
          <t>2026-03-12</t>
        </is>
      </c>
      <c r="S2272" s="10" t="inlineStr"/>
    </row>
    <row r="2273">
      <c r="A2273" s="3" t="inlineStr">
        <is>
          <t>F02734</t>
        </is>
      </c>
      <c r="B2273" s="4" t="inlineStr">
        <is>
          <t>F02734</t>
        </is>
      </c>
      <c r="C2273" s="4" t="inlineStr">
        <is>
          <t>22562</t>
        </is>
      </c>
      <c r="D2273" s="4" t="inlineStr">
        <is>
          <t>6009705651771</t>
        </is>
      </c>
      <c r="E2273" s="3" t="inlineStr">
        <is>
          <t>UV PANEL FRESCO NERO 1220*2700*2.5MM</t>
        </is>
      </c>
      <c r="F2273" s="4" t="inlineStr"/>
      <c r="G2273" s="4" t="inlineStr"/>
      <c r="H2273" s="4" t="inlineStr"/>
      <c r="I2273" s="5" t="n">
        <v>469</v>
      </c>
      <c r="J2273" s="6" t="n">
        <v>15</v>
      </c>
      <c r="K2273" s="7">
        <f>IF(I2273="","",I2273*(1+J2273/100))</f>
        <v/>
      </c>
      <c r="L2273" s="5" t="n">
        <v>1300</v>
      </c>
      <c r="M2273" s="8">
        <f>IF(OR(L2273="",K2273="",L2273=0),"",
  (L2273-K2273)/L2273*100)</f>
        <v/>
      </c>
      <c r="N2273" s="9" t="inlineStr"/>
      <c r="O2273" s="4" t="inlineStr"/>
      <c r="P2273" s="4" t="inlineStr"/>
      <c r="Q2273" s="4" t="inlineStr"/>
      <c r="R2273" s="4" t="inlineStr">
        <is>
          <t>2026-03-12</t>
        </is>
      </c>
      <c r="S2273" s="4" t="inlineStr"/>
    </row>
    <row r="2274">
      <c r="A2274" s="10" t="inlineStr">
        <is>
          <t>F02735</t>
        </is>
      </c>
      <c r="B2274" s="10" t="inlineStr">
        <is>
          <t>F02735</t>
        </is>
      </c>
      <c r="C2274" s="10" t="inlineStr">
        <is>
          <t>19551</t>
        </is>
      </c>
      <c r="D2274" s="10" t="inlineStr">
        <is>
          <t>6009705651788</t>
        </is>
      </c>
      <c r="E2274" s="10" t="inlineStr">
        <is>
          <t>UV PANEL DAWN BEIGE 1220*2700*2.5MM</t>
        </is>
      </c>
      <c r="F2274" s="10" t="inlineStr"/>
      <c r="G2274" s="10" t="inlineStr"/>
      <c r="H2274" s="10" t="inlineStr"/>
      <c r="I2274" s="11" t="n">
        <v>469</v>
      </c>
      <c r="J2274" s="6" t="n">
        <v>15</v>
      </c>
      <c r="K2274" s="7">
        <f>IF(I2274="","",I2274*(1+J2274/100))</f>
        <v/>
      </c>
      <c r="L2274" s="11" t="n">
        <v>1300</v>
      </c>
      <c r="M2274" s="8">
        <f>IF(OR(L2274="",K2274="",L2274=0),"",
  (L2274-K2274)/L2274*100)</f>
        <v/>
      </c>
      <c r="N2274" s="9" t="inlineStr"/>
      <c r="O2274" s="10" t="inlineStr"/>
      <c r="P2274" s="10" t="inlineStr"/>
      <c r="Q2274" s="10" t="inlineStr"/>
      <c r="R2274" s="10" t="inlineStr">
        <is>
          <t>2026-03-12</t>
        </is>
      </c>
      <c r="S2274" s="10" t="inlineStr"/>
    </row>
    <row r="2275">
      <c r="A2275" s="3" t="inlineStr">
        <is>
          <t>F02736</t>
        </is>
      </c>
      <c r="B2275" s="4" t="inlineStr">
        <is>
          <t>F02736</t>
        </is>
      </c>
      <c r="C2275" s="4" t="inlineStr">
        <is>
          <t>19553</t>
        </is>
      </c>
      <c r="D2275" s="4" t="inlineStr">
        <is>
          <t>6009705651795</t>
        </is>
      </c>
      <c r="E2275" s="3" t="inlineStr">
        <is>
          <t>UV PANEL CASTANI NERO 1220*2700*2.5MM</t>
        </is>
      </c>
      <c r="F2275" s="4" t="inlineStr"/>
      <c r="G2275" s="4" t="inlineStr"/>
      <c r="H2275" s="4" t="inlineStr"/>
      <c r="I2275" s="5" t="n">
        <v>469</v>
      </c>
      <c r="J2275" s="6" t="n">
        <v>15</v>
      </c>
      <c r="K2275" s="7">
        <f>IF(I2275="","",I2275*(1+J2275/100))</f>
        <v/>
      </c>
      <c r="L2275" s="5" t="n">
        <v>1300</v>
      </c>
      <c r="M2275" s="8">
        <f>IF(OR(L2275="",K2275="",L2275=0),"",
  (L2275-K2275)/L2275*100)</f>
        <v/>
      </c>
      <c r="N2275" s="9" t="inlineStr"/>
      <c r="O2275" s="4" t="inlineStr"/>
      <c r="P2275" s="4" t="inlineStr"/>
      <c r="Q2275" s="4" t="inlineStr"/>
      <c r="R2275" s="4" t="inlineStr">
        <is>
          <t>2026-03-12</t>
        </is>
      </c>
      <c r="S2275" s="4" t="inlineStr"/>
    </row>
    <row r="2276">
      <c r="A2276" s="10" t="inlineStr">
        <is>
          <t>F02737</t>
        </is>
      </c>
      <c r="B2276" s="10" t="inlineStr">
        <is>
          <t>F02737</t>
        </is>
      </c>
      <c r="C2276" s="10" t="inlineStr"/>
      <c r="D2276" s="10" t="inlineStr">
        <is>
          <t>6009705651801</t>
        </is>
      </c>
      <c r="E2276" s="10" t="inlineStr">
        <is>
          <t>UV PANEL PANDA WHITE /B 1200*2700*2.5MM</t>
        </is>
      </c>
      <c r="F2276" s="10" t="inlineStr"/>
      <c r="G2276" s="10" t="inlineStr"/>
      <c r="H2276" s="10" t="inlineStr"/>
      <c r="I2276" s="11" t="n">
        <v>379</v>
      </c>
      <c r="J2276" s="6" t="n">
        <v>15</v>
      </c>
      <c r="K2276" s="7">
        <f>IF(I2276="","",I2276*(1+J2276/100))</f>
        <v/>
      </c>
      <c r="L2276" s="12" t="inlineStr"/>
      <c r="M2276" s="8">
        <f>IF(OR(L2276="",K2276="",L2276=0),"",
  (L2276-K2276)/L2276*100)</f>
        <v/>
      </c>
      <c r="N2276" s="13" t="n">
        <v>185</v>
      </c>
      <c r="O2276" s="10" t="inlineStr"/>
      <c r="P2276" s="10" t="inlineStr"/>
      <c r="Q2276" s="10" t="inlineStr"/>
      <c r="R2276" s="10" t="inlineStr">
        <is>
          <t>2026-03-12</t>
        </is>
      </c>
      <c r="S2276" s="10" t="inlineStr"/>
    </row>
    <row r="2277">
      <c r="A2277" s="3" t="inlineStr">
        <is>
          <t>F02738</t>
        </is>
      </c>
      <c r="B2277" s="4" t="inlineStr">
        <is>
          <t>F02738</t>
        </is>
      </c>
      <c r="C2277" s="4" t="inlineStr">
        <is>
          <t>22418</t>
        </is>
      </c>
      <c r="D2277" s="4" t="inlineStr">
        <is>
          <t>6009705651818</t>
        </is>
      </c>
      <c r="E2277" s="3" t="inlineStr">
        <is>
          <t>UV PANEL PANDA WHITE /A 1200*2700*2.5MM</t>
        </is>
      </c>
      <c r="F2277" s="4" t="inlineStr"/>
      <c r="G2277" s="4" t="inlineStr"/>
      <c r="H2277" s="4" t="inlineStr"/>
      <c r="I2277" s="5" t="n">
        <v>379</v>
      </c>
      <c r="J2277" s="6" t="n">
        <v>15</v>
      </c>
      <c r="K2277" s="7">
        <f>IF(I2277="","",I2277*(1+J2277/100))</f>
        <v/>
      </c>
      <c r="L2277" s="5" t="n">
        <v>1300</v>
      </c>
      <c r="M2277" s="8">
        <f>IF(OR(L2277="",K2277="",L2277=0),"",
  (L2277-K2277)/L2277*100)</f>
        <v/>
      </c>
      <c r="N2277" s="14" t="n">
        <v>5</v>
      </c>
      <c r="O2277" s="4" t="inlineStr"/>
      <c r="P2277" s="4" t="inlineStr"/>
      <c r="Q2277" s="4" t="inlineStr"/>
      <c r="R2277" s="4" t="inlineStr">
        <is>
          <t>2026-03-12</t>
        </is>
      </c>
      <c r="S2277" s="4" t="inlineStr"/>
    </row>
    <row r="2278">
      <c r="A2278" s="10" t="inlineStr">
        <is>
          <t>F02739</t>
        </is>
      </c>
      <c r="B2278" s="10" t="inlineStr">
        <is>
          <t>F02739</t>
        </is>
      </c>
      <c r="C2278" s="10" t="inlineStr">
        <is>
          <t>22460</t>
        </is>
      </c>
      <c r="D2278" s="10" t="inlineStr">
        <is>
          <t>6009705651825</t>
        </is>
      </c>
      <c r="E2278" s="10" t="inlineStr">
        <is>
          <t>UV PANEL MILAN INK 1200*2700*2.5MM</t>
        </is>
      </c>
      <c r="F2278" s="10" t="inlineStr"/>
      <c r="G2278" s="10" t="inlineStr"/>
      <c r="H2278" s="10" t="inlineStr"/>
      <c r="I2278" s="11" t="n">
        <v>379</v>
      </c>
      <c r="J2278" s="6" t="n">
        <v>15</v>
      </c>
      <c r="K2278" s="7">
        <f>IF(I2278="","",I2278*(1+J2278/100))</f>
        <v/>
      </c>
      <c r="L2278" s="11" t="n">
        <v>1300</v>
      </c>
      <c r="M2278" s="8">
        <f>IF(OR(L2278="",K2278="",L2278=0),"",
  (L2278-K2278)/L2278*100)</f>
        <v/>
      </c>
      <c r="N2278" s="13" t="n">
        <v>111</v>
      </c>
      <c r="O2278" s="10" t="inlineStr"/>
      <c r="P2278" s="10" t="inlineStr"/>
      <c r="Q2278" s="10" t="inlineStr"/>
      <c r="R2278" s="10" t="inlineStr">
        <is>
          <t>2026-03-12</t>
        </is>
      </c>
      <c r="S2278" s="10" t="inlineStr"/>
    </row>
    <row r="2279">
      <c r="A2279" s="3" t="inlineStr">
        <is>
          <t>F02740</t>
        </is>
      </c>
      <c r="B2279" s="4" t="inlineStr">
        <is>
          <t>F02740</t>
        </is>
      </c>
      <c r="C2279" s="4" t="inlineStr">
        <is>
          <t>19560</t>
        </is>
      </c>
      <c r="D2279" s="4" t="inlineStr">
        <is>
          <t>6009705651832</t>
        </is>
      </c>
      <c r="E2279" s="3" t="inlineStr">
        <is>
          <t>UV PANEL OROBICO BROWN  1200*2700*2.5MM</t>
        </is>
      </c>
      <c r="F2279" s="4" t="inlineStr"/>
      <c r="G2279" s="4" t="inlineStr"/>
      <c r="H2279" s="4" t="inlineStr"/>
      <c r="I2279" s="5" t="n">
        <v>379</v>
      </c>
      <c r="J2279" s="6" t="n">
        <v>15</v>
      </c>
      <c r="K2279" s="7">
        <f>IF(I2279="","",I2279*(1+J2279/100))</f>
        <v/>
      </c>
      <c r="L2279" s="5" t="n">
        <v>1300</v>
      </c>
      <c r="M2279" s="8">
        <f>IF(OR(L2279="",K2279="",L2279=0),"",
  (L2279-K2279)/L2279*100)</f>
        <v/>
      </c>
      <c r="N2279" s="9" t="inlineStr"/>
      <c r="O2279" s="4" t="inlineStr"/>
      <c r="P2279" s="4" t="inlineStr"/>
      <c r="Q2279" s="4" t="inlineStr"/>
      <c r="R2279" s="4" t="inlineStr">
        <is>
          <t>2026-03-12</t>
        </is>
      </c>
      <c r="S2279" s="4" t="inlineStr"/>
    </row>
    <row r="2280">
      <c r="A2280" s="10" t="inlineStr">
        <is>
          <t>F02741</t>
        </is>
      </c>
      <c r="B2280" s="10" t="inlineStr">
        <is>
          <t>F02741</t>
        </is>
      </c>
      <c r="C2280" s="10" t="inlineStr">
        <is>
          <t>22462</t>
        </is>
      </c>
      <c r="D2280" s="10" t="inlineStr">
        <is>
          <t>6009705651849</t>
        </is>
      </c>
      <c r="E2280" s="10" t="inlineStr">
        <is>
          <t>UV PANEL MILAN WHITE 1200*2700*2.5MM</t>
        </is>
      </c>
      <c r="F2280" s="10" t="inlineStr"/>
      <c r="G2280" s="10" t="inlineStr"/>
      <c r="H2280" s="10" t="inlineStr"/>
      <c r="I2280" s="11" t="n">
        <v>379</v>
      </c>
      <c r="J2280" s="6" t="n">
        <v>15</v>
      </c>
      <c r="K2280" s="7">
        <f>IF(I2280="","",I2280*(1+J2280/100))</f>
        <v/>
      </c>
      <c r="L2280" s="11" t="n">
        <v>1300</v>
      </c>
      <c r="M2280" s="8">
        <f>IF(OR(L2280="",K2280="",L2280=0),"",
  (L2280-K2280)/L2280*100)</f>
        <v/>
      </c>
      <c r="N2280" s="13" t="n">
        <v>208</v>
      </c>
      <c r="O2280" s="10" t="inlineStr"/>
      <c r="P2280" s="10" t="inlineStr"/>
      <c r="Q2280" s="10" t="inlineStr"/>
      <c r="R2280" s="10" t="inlineStr">
        <is>
          <t>2026-03-12</t>
        </is>
      </c>
      <c r="S2280" s="10" t="inlineStr"/>
    </row>
    <row r="2281">
      <c r="A2281" s="3" t="inlineStr">
        <is>
          <t>F02742</t>
        </is>
      </c>
      <c r="B2281" s="4" t="inlineStr">
        <is>
          <t>F02742</t>
        </is>
      </c>
      <c r="C2281" s="4" t="inlineStr">
        <is>
          <t>22473</t>
        </is>
      </c>
      <c r="D2281" s="4" t="inlineStr">
        <is>
          <t>6009705651856</t>
        </is>
      </c>
      <c r="E2281" s="3" t="inlineStr">
        <is>
          <t>UV PANEL TEMPO GOLD 1200*2700*2.5MM</t>
        </is>
      </c>
      <c r="F2281" s="4" t="inlineStr"/>
      <c r="G2281" s="4" t="inlineStr"/>
      <c r="H2281" s="4" t="inlineStr"/>
      <c r="I2281" s="5" t="n">
        <v>399</v>
      </c>
      <c r="J2281" s="6" t="n">
        <v>15</v>
      </c>
      <c r="K2281" s="7">
        <f>IF(I2281="","",I2281*(1+J2281/100))</f>
        <v/>
      </c>
      <c r="L2281" s="5" t="n">
        <v>1300</v>
      </c>
      <c r="M2281" s="8">
        <f>IF(OR(L2281="",K2281="",L2281=0),"",
  (L2281-K2281)/L2281*100)</f>
        <v/>
      </c>
      <c r="N2281" s="14" t="n">
        <v>381</v>
      </c>
      <c r="O2281" s="4" t="inlineStr"/>
      <c r="P2281" s="4" t="inlineStr"/>
      <c r="Q2281" s="4" t="inlineStr"/>
      <c r="R2281" s="4" t="inlineStr">
        <is>
          <t>2026-03-12</t>
        </is>
      </c>
      <c r="S2281" s="4" t="inlineStr"/>
    </row>
    <row r="2282">
      <c r="A2282" s="10" t="inlineStr">
        <is>
          <t>F02743</t>
        </is>
      </c>
      <c r="B2282" s="10" t="inlineStr">
        <is>
          <t>F02743</t>
        </is>
      </c>
      <c r="C2282" s="10" t="inlineStr">
        <is>
          <t>22433</t>
        </is>
      </c>
      <c r="D2282" s="10" t="inlineStr">
        <is>
          <t>6009705651863</t>
        </is>
      </c>
      <c r="E2282" s="10" t="inlineStr">
        <is>
          <t>UV PANEL CALCUTTA GOLD 1200*2700*2.5MM</t>
        </is>
      </c>
      <c r="F2282" s="10" t="inlineStr"/>
      <c r="G2282" s="10" t="inlineStr"/>
      <c r="H2282" s="10" t="inlineStr"/>
      <c r="I2282" s="11" t="n">
        <v>399</v>
      </c>
      <c r="J2282" s="6" t="n">
        <v>15</v>
      </c>
      <c r="K2282" s="7">
        <f>IF(I2282="","",I2282*(1+J2282/100))</f>
        <v/>
      </c>
      <c r="L2282" s="11" t="n">
        <v>1300</v>
      </c>
      <c r="M2282" s="8">
        <f>IF(OR(L2282="",K2282="",L2282=0),"",
  (L2282-K2282)/L2282*100)</f>
        <v/>
      </c>
      <c r="N2282" s="13" t="n">
        <v>464</v>
      </c>
      <c r="O2282" s="10" t="inlineStr"/>
      <c r="P2282" s="10" t="inlineStr"/>
      <c r="Q2282" s="10" t="inlineStr"/>
      <c r="R2282" s="10" t="inlineStr">
        <is>
          <t>2026-03-12</t>
        </is>
      </c>
      <c r="S2282" s="10" t="inlineStr"/>
    </row>
    <row r="2283">
      <c r="A2283" s="3" t="inlineStr">
        <is>
          <t>F02744</t>
        </is>
      </c>
      <c r="B2283" s="4" t="inlineStr">
        <is>
          <t>F02744</t>
        </is>
      </c>
      <c r="C2283" s="4" t="inlineStr"/>
      <c r="D2283" s="4" t="inlineStr">
        <is>
          <t>6009705651870</t>
        </is>
      </c>
      <c r="E2283" s="3" t="inlineStr">
        <is>
          <t>UV PANEL JAKARTA MARBLE 1200*2700*2.5MM</t>
        </is>
      </c>
      <c r="F2283" s="4" t="inlineStr"/>
      <c r="G2283" s="4" t="inlineStr"/>
      <c r="H2283" s="4" t="inlineStr"/>
      <c r="I2283" s="5" t="n">
        <v>379</v>
      </c>
      <c r="J2283" s="6" t="n">
        <v>15</v>
      </c>
      <c r="K2283" s="7">
        <f>IF(I2283="","",I2283*(1+J2283/100))</f>
        <v/>
      </c>
      <c r="L2283" s="12" t="inlineStr"/>
      <c r="M2283" s="8">
        <f>IF(OR(L2283="",K2283="",L2283=0),"",
  (L2283-K2283)/L2283*100)</f>
        <v/>
      </c>
      <c r="N2283" s="14" t="n">
        <v>245</v>
      </c>
      <c r="O2283" s="4" t="inlineStr"/>
      <c r="P2283" s="4" t="inlineStr"/>
      <c r="Q2283" s="4" t="inlineStr"/>
      <c r="R2283" s="4" t="inlineStr">
        <is>
          <t>2026-03-12</t>
        </is>
      </c>
      <c r="S2283" s="4" t="inlineStr"/>
    </row>
    <row r="2284">
      <c r="A2284" s="10" t="inlineStr">
        <is>
          <t>F02745</t>
        </is>
      </c>
      <c r="B2284" s="10" t="inlineStr">
        <is>
          <t>F02745</t>
        </is>
      </c>
      <c r="C2284" s="10" t="inlineStr">
        <is>
          <t>22441</t>
        </is>
      </c>
      <c r="D2284" s="10" t="inlineStr">
        <is>
          <t>6009705651887</t>
        </is>
      </c>
      <c r="E2284" s="10" t="inlineStr">
        <is>
          <t>UV PANEL AMALFI BEIGE 1200*2700*2.5MM</t>
        </is>
      </c>
      <c r="F2284" s="10" t="inlineStr"/>
      <c r="G2284" s="10" t="inlineStr"/>
      <c r="H2284" s="10" t="inlineStr"/>
      <c r="I2284" s="11" t="n">
        <v>469</v>
      </c>
      <c r="J2284" s="6" t="n">
        <v>15</v>
      </c>
      <c r="K2284" s="7">
        <f>IF(I2284="","",I2284*(1+J2284/100))</f>
        <v/>
      </c>
      <c r="L2284" s="11" t="n">
        <v>1300</v>
      </c>
      <c r="M2284" s="8">
        <f>IF(OR(L2284="",K2284="",L2284=0),"",
  (L2284-K2284)/L2284*100)</f>
        <v/>
      </c>
      <c r="N2284" s="9" t="inlineStr"/>
      <c r="O2284" s="10" t="inlineStr"/>
      <c r="P2284" s="10" t="inlineStr"/>
      <c r="Q2284" s="10" t="inlineStr"/>
      <c r="R2284" s="10" t="inlineStr">
        <is>
          <t>2026-03-12</t>
        </is>
      </c>
      <c r="S2284" s="10" t="inlineStr"/>
    </row>
    <row r="2285">
      <c r="A2285" s="3" t="inlineStr">
        <is>
          <t>F02746</t>
        </is>
      </c>
      <c r="B2285" s="4" t="inlineStr">
        <is>
          <t>F02746</t>
        </is>
      </c>
      <c r="C2285" s="4" t="inlineStr">
        <is>
          <t>22400</t>
        </is>
      </c>
      <c r="D2285" s="4" t="inlineStr">
        <is>
          <t>6009705651894</t>
        </is>
      </c>
      <c r="E2285" s="3" t="inlineStr">
        <is>
          <t>UV PANEL ARMANI AZUL 1200*2700*2.5MM</t>
        </is>
      </c>
      <c r="F2285" s="4" t="inlineStr"/>
      <c r="G2285" s="4" t="inlineStr"/>
      <c r="H2285" s="4" t="inlineStr"/>
      <c r="I2285" s="5" t="n">
        <v>469</v>
      </c>
      <c r="J2285" s="6" t="n">
        <v>15</v>
      </c>
      <c r="K2285" s="7">
        <f>IF(I2285="","",I2285*(1+J2285/100))</f>
        <v/>
      </c>
      <c r="L2285" s="5" t="n">
        <v>1300</v>
      </c>
      <c r="M2285" s="8">
        <f>IF(OR(L2285="",K2285="",L2285=0),"",
  (L2285-K2285)/L2285*100)</f>
        <v/>
      </c>
      <c r="N2285" s="9" t="inlineStr"/>
      <c r="O2285" s="4" t="inlineStr"/>
      <c r="P2285" s="4" t="inlineStr"/>
      <c r="Q2285" s="4" t="inlineStr"/>
      <c r="R2285" s="4" t="inlineStr">
        <is>
          <t>2026-03-12</t>
        </is>
      </c>
      <c r="S2285" s="4" t="inlineStr"/>
    </row>
    <row r="2286">
      <c r="A2286" s="10" t="inlineStr">
        <is>
          <t>F02747</t>
        </is>
      </c>
      <c r="B2286" s="10" t="inlineStr">
        <is>
          <t>F02747</t>
        </is>
      </c>
      <c r="C2286" s="10" t="inlineStr">
        <is>
          <t>19555</t>
        </is>
      </c>
      <c r="D2286" s="10" t="inlineStr">
        <is>
          <t>6009705651900</t>
        </is>
      </c>
      <c r="E2286" s="10" t="inlineStr">
        <is>
          <t>UV PANEL ASTRUM SMOKE 1200*2700*2.5MM</t>
        </is>
      </c>
      <c r="F2286" s="10" t="inlineStr"/>
      <c r="G2286" s="10" t="inlineStr"/>
      <c r="H2286" s="10" t="inlineStr"/>
      <c r="I2286" s="11" t="n">
        <v>379</v>
      </c>
      <c r="J2286" s="6" t="n">
        <v>15</v>
      </c>
      <c r="K2286" s="7">
        <f>IF(I2286="","",I2286*(1+J2286/100))</f>
        <v/>
      </c>
      <c r="L2286" s="11" t="n">
        <v>1300</v>
      </c>
      <c r="M2286" s="8">
        <f>IF(OR(L2286="",K2286="",L2286=0),"",
  (L2286-K2286)/L2286*100)</f>
        <v/>
      </c>
      <c r="N2286" s="9" t="inlineStr"/>
      <c r="O2286" s="10" t="inlineStr"/>
      <c r="P2286" s="10" t="inlineStr"/>
      <c r="Q2286" s="10" t="inlineStr"/>
      <c r="R2286" s="10" t="inlineStr">
        <is>
          <t>2026-03-12</t>
        </is>
      </c>
      <c r="S2286" s="10" t="inlineStr"/>
    </row>
    <row r="2287">
      <c r="A2287" s="3" t="inlineStr">
        <is>
          <t>F02748</t>
        </is>
      </c>
      <c r="B2287" s="4" t="inlineStr">
        <is>
          <t>F02748</t>
        </is>
      </c>
      <c r="C2287" s="4" t="inlineStr">
        <is>
          <t>22404</t>
        </is>
      </c>
      <c r="D2287" s="4" t="inlineStr">
        <is>
          <t>6009705651917</t>
        </is>
      </c>
      <c r="E2287" s="3" t="inlineStr">
        <is>
          <t>UV PANEL ASTON GRIS 1200*2700*2.5MM</t>
        </is>
      </c>
      <c r="F2287" s="4" t="inlineStr"/>
      <c r="G2287" s="4" t="inlineStr"/>
      <c r="H2287" s="4" t="inlineStr"/>
      <c r="I2287" s="5" t="n">
        <v>379</v>
      </c>
      <c r="J2287" s="6" t="n">
        <v>15</v>
      </c>
      <c r="K2287" s="7">
        <f>IF(I2287="","",I2287*(1+J2287/100))</f>
        <v/>
      </c>
      <c r="L2287" s="5" t="n">
        <v>1300</v>
      </c>
      <c r="M2287" s="8">
        <f>IF(OR(L2287="",K2287="",L2287=0),"",
  (L2287-K2287)/L2287*100)</f>
        <v/>
      </c>
      <c r="N2287" s="9" t="inlineStr"/>
      <c r="O2287" s="4" t="inlineStr"/>
      <c r="P2287" s="4" t="inlineStr"/>
      <c r="Q2287" s="4" t="inlineStr"/>
      <c r="R2287" s="4" t="inlineStr">
        <is>
          <t>2026-03-12</t>
        </is>
      </c>
      <c r="S2287" s="4" t="inlineStr"/>
    </row>
    <row r="2288">
      <c r="A2288" s="10" t="inlineStr">
        <is>
          <t>F02749</t>
        </is>
      </c>
      <c r="B2288" s="10" t="inlineStr">
        <is>
          <t>F02749</t>
        </is>
      </c>
      <c r="C2288" s="10" t="inlineStr">
        <is>
          <t>22406</t>
        </is>
      </c>
      <c r="D2288" s="10" t="inlineStr">
        <is>
          <t>6009705651924</t>
        </is>
      </c>
      <c r="E2288" s="10" t="inlineStr">
        <is>
          <t>UV PANEL ASTON COAL 1200*2700*2.5MM</t>
        </is>
      </c>
      <c r="F2288" s="10" t="inlineStr"/>
      <c r="G2288" s="10" t="inlineStr"/>
      <c r="H2288" s="10" t="inlineStr"/>
      <c r="I2288" s="11" t="n">
        <v>379</v>
      </c>
      <c r="J2288" s="6" t="n">
        <v>15</v>
      </c>
      <c r="K2288" s="7">
        <f>IF(I2288="","",I2288*(1+J2288/100))</f>
        <v/>
      </c>
      <c r="L2288" s="11" t="n">
        <v>1300</v>
      </c>
      <c r="M2288" s="8">
        <f>IF(OR(L2288="",K2288="",L2288=0),"",
  (L2288-K2288)/L2288*100)</f>
        <v/>
      </c>
      <c r="N2288" s="9" t="inlineStr"/>
      <c r="O2288" s="10" t="inlineStr"/>
      <c r="P2288" s="10" t="inlineStr"/>
      <c r="Q2288" s="10" t="inlineStr"/>
      <c r="R2288" s="10" t="inlineStr">
        <is>
          <t>2026-03-12</t>
        </is>
      </c>
      <c r="S2288" s="10" t="inlineStr"/>
    </row>
    <row r="2289">
      <c r="A2289" s="3" t="inlineStr">
        <is>
          <t>F02750</t>
        </is>
      </c>
      <c r="B2289" s="4" t="inlineStr">
        <is>
          <t>F02750</t>
        </is>
      </c>
      <c r="C2289" s="4" t="inlineStr"/>
      <c r="D2289" s="4" t="inlineStr">
        <is>
          <t>6009705651931</t>
        </is>
      </c>
      <c r="E2289" s="3" t="inlineStr">
        <is>
          <t>UV PANEL RIMONY BLUE 1200*2700*2.5MM</t>
        </is>
      </c>
      <c r="F2289" s="4" t="inlineStr"/>
      <c r="G2289" s="4" t="inlineStr"/>
      <c r="H2289" s="4" t="inlineStr"/>
      <c r="I2289" s="5" t="n">
        <v>469</v>
      </c>
      <c r="J2289" s="6" t="n">
        <v>15</v>
      </c>
      <c r="K2289" s="7">
        <f>IF(I2289="","",I2289*(1+J2289/100))</f>
        <v/>
      </c>
      <c r="L2289" s="12" t="inlineStr"/>
      <c r="M2289" s="8">
        <f>IF(OR(L2289="",K2289="",L2289=0),"",
  (L2289-K2289)/L2289*100)</f>
        <v/>
      </c>
      <c r="N2289" s="9" t="inlineStr"/>
      <c r="O2289" s="4" t="inlineStr"/>
      <c r="P2289" s="4" t="inlineStr"/>
      <c r="Q2289" s="4" t="inlineStr"/>
      <c r="R2289" s="4" t="inlineStr">
        <is>
          <t>2026-03-12</t>
        </is>
      </c>
      <c r="S2289" s="4" t="inlineStr"/>
    </row>
    <row r="2290">
      <c r="A2290" s="10" t="inlineStr">
        <is>
          <t>F02751</t>
        </is>
      </c>
      <c r="B2290" s="10" t="inlineStr">
        <is>
          <t>F02751</t>
        </is>
      </c>
      <c r="C2290" s="10" t="inlineStr"/>
      <c r="D2290" s="10" t="inlineStr"/>
      <c r="E2290" s="10" t="inlineStr">
        <is>
          <t>BUCKET 10LTR  ASSORTED WITH LOCK LID</t>
        </is>
      </c>
      <c r="F2290" s="10" t="inlineStr"/>
      <c r="G2290" s="10" t="inlineStr"/>
      <c r="H2290" s="10" t="inlineStr"/>
      <c r="I2290" s="11" t="n">
        <v>22.5</v>
      </c>
      <c r="J2290" s="6" t="n">
        <v>15</v>
      </c>
      <c r="K2290" s="7">
        <f>IF(I2290="","",I2290*(1+J2290/100))</f>
        <v/>
      </c>
      <c r="L2290" s="12" t="inlineStr"/>
      <c r="M2290" s="8">
        <f>IF(OR(L2290="",K2290="",L2290=0),"",
  (L2290-K2290)/L2290*100)</f>
        <v/>
      </c>
      <c r="N2290" s="13" t="n">
        <v>1754</v>
      </c>
      <c r="O2290" s="10" t="inlineStr"/>
      <c r="P2290" s="10" t="inlineStr"/>
      <c r="Q2290" s="10" t="inlineStr"/>
      <c r="R2290" s="10" t="inlineStr">
        <is>
          <t>2026-03-12</t>
        </is>
      </c>
      <c r="S2290" s="10" t="inlineStr"/>
    </row>
    <row r="2291">
      <c r="A2291" s="3" t="inlineStr">
        <is>
          <t>F02752</t>
        </is>
      </c>
      <c r="B2291" s="4" t="inlineStr">
        <is>
          <t>F02752</t>
        </is>
      </c>
      <c r="C2291" s="4" t="inlineStr"/>
      <c r="D2291" s="4" t="inlineStr">
        <is>
          <t>6009705651948</t>
        </is>
      </c>
      <c r="E2291" s="3" t="inlineStr">
        <is>
          <t>WALL PANEL-BARCELONA RUSTIC 2.9MX0.175MM</t>
        </is>
      </c>
      <c r="F2291" s="4" t="inlineStr"/>
      <c r="G2291" s="4" t="inlineStr"/>
      <c r="H2291" s="4" t="inlineStr"/>
      <c r="I2291" s="5" t="n">
        <v>950</v>
      </c>
      <c r="J2291" s="6" t="n">
        <v>15</v>
      </c>
      <c r="K2291" s="7">
        <f>IF(I2291="","",I2291*(1+J2291/100))</f>
        <v/>
      </c>
      <c r="L2291" s="12" t="inlineStr"/>
      <c r="M2291" s="8">
        <f>IF(OR(L2291="",K2291="",L2291=0),"",
  (L2291-K2291)/L2291*100)</f>
        <v/>
      </c>
      <c r="N2291" s="14" t="n">
        <v>85</v>
      </c>
      <c r="O2291" s="4" t="inlineStr"/>
      <c r="P2291" s="4" t="inlineStr"/>
      <c r="Q2291" s="4" t="inlineStr"/>
      <c r="R2291" s="4" t="inlineStr">
        <is>
          <t>2026-03-12</t>
        </is>
      </c>
      <c r="S2291" s="4" t="inlineStr"/>
    </row>
    <row r="2292">
      <c r="A2292" s="10" t="inlineStr">
        <is>
          <t>F02753</t>
        </is>
      </c>
      <c r="B2292" s="10" t="inlineStr">
        <is>
          <t>F02753</t>
        </is>
      </c>
      <c r="C2292" s="10" t="inlineStr"/>
      <c r="D2292" s="10" t="inlineStr">
        <is>
          <t>6009705651955</t>
        </is>
      </c>
      <c r="E2292" s="10" t="inlineStr">
        <is>
          <t>WALL PANEL-BARCELONA MAHOGANY 2.9MX0.175</t>
        </is>
      </c>
      <c r="F2292" s="10" t="inlineStr"/>
      <c r="G2292" s="10" t="inlineStr"/>
      <c r="H2292" s="10" t="inlineStr"/>
      <c r="I2292" s="11" t="n">
        <v>950</v>
      </c>
      <c r="J2292" s="6" t="n">
        <v>15</v>
      </c>
      <c r="K2292" s="7">
        <f>IF(I2292="","",I2292*(1+J2292/100))</f>
        <v/>
      </c>
      <c r="L2292" s="12" t="inlineStr"/>
      <c r="M2292" s="8">
        <f>IF(OR(L2292="",K2292="",L2292=0),"",
  (L2292-K2292)/L2292*100)</f>
        <v/>
      </c>
      <c r="N2292" s="13" t="n">
        <v>184</v>
      </c>
      <c r="O2292" s="10" t="inlineStr"/>
      <c r="P2292" s="10" t="inlineStr"/>
      <c r="Q2292" s="10" t="inlineStr"/>
      <c r="R2292" s="10" t="inlineStr">
        <is>
          <t>2026-03-12</t>
        </is>
      </c>
      <c r="S2292" s="10" t="inlineStr"/>
    </row>
    <row r="2293">
      <c r="A2293" s="3" t="inlineStr">
        <is>
          <t>F02754</t>
        </is>
      </c>
      <c r="B2293" s="4" t="inlineStr">
        <is>
          <t>F02754</t>
        </is>
      </c>
      <c r="C2293" s="4" t="inlineStr"/>
      <c r="D2293" s="4" t="inlineStr"/>
      <c r="E2293" s="3" t="inlineStr">
        <is>
          <t>GAS STOVE 4 PLATE GLASS TABLE TOP</t>
        </is>
      </c>
      <c r="F2293" s="4" t="inlineStr"/>
      <c r="G2293" s="4" t="inlineStr"/>
      <c r="H2293" s="4" t="inlineStr"/>
      <c r="I2293" s="5" t="n">
        <v>1665</v>
      </c>
      <c r="J2293" s="6" t="n">
        <v>15</v>
      </c>
      <c r="K2293" s="7">
        <f>IF(I2293="","",I2293*(1+J2293/100))</f>
        <v/>
      </c>
      <c r="L2293" s="12" t="inlineStr"/>
      <c r="M2293" s="8">
        <f>IF(OR(L2293="",K2293="",L2293=0),"",
  (L2293-K2293)/L2293*100)</f>
        <v/>
      </c>
      <c r="N2293" s="9" t="inlineStr"/>
      <c r="O2293" s="4" t="inlineStr"/>
      <c r="P2293" s="4" t="inlineStr"/>
      <c r="Q2293" s="4" t="inlineStr"/>
      <c r="R2293" s="4" t="inlineStr">
        <is>
          <t>2026-03-12</t>
        </is>
      </c>
      <c r="S2293" s="4" t="inlineStr"/>
    </row>
    <row r="2294">
      <c r="A2294" s="10" t="inlineStr">
        <is>
          <t>F02755</t>
        </is>
      </c>
      <c r="B2294" s="10" t="inlineStr">
        <is>
          <t>F02755</t>
        </is>
      </c>
      <c r="C2294" s="10" t="inlineStr"/>
      <c r="D2294" s="10" t="inlineStr"/>
      <c r="E2294" s="10" t="inlineStr">
        <is>
          <t>GAS STOVE 5 PLATE GLASS TABLE TOP</t>
        </is>
      </c>
      <c r="F2294" s="10" t="inlineStr"/>
      <c r="G2294" s="10" t="inlineStr"/>
      <c r="H2294" s="10" t="inlineStr"/>
      <c r="I2294" s="11" t="n">
        <v>1465</v>
      </c>
      <c r="J2294" s="6" t="n">
        <v>15</v>
      </c>
      <c r="K2294" s="7">
        <f>IF(I2294="","",I2294*(1+J2294/100))</f>
        <v/>
      </c>
      <c r="L2294" s="12" t="inlineStr"/>
      <c r="M2294" s="8">
        <f>IF(OR(L2294="",K2294="",L2294=0),"",
  (L2294-K2294)/L2294*100)</f>
        <v/>
      </c>
      <c r="N2294" s="9" t="inlineStr"/>
      <c r="O2294" s="10" t="inlineStr"/>
      <c r="P2294" s="10" t="inlineStr"/>
      <c r="Q2294" s="10" t="inlineStr"/>
      <c r="R2294" s="10" t="inlineStr">
        <is>
          <t>2026-03-12</t>
        </is>
      </c>
      <c r="S2294" s="10" t="inlineStr"/>
    </row>
    <row r="2295">
      <c r="A2295" s="3" t="inlineStr">
        <is>
          <t>F02756</t>
        </is>
      </c>
      <c r="B2295" s="4" t="inlineStr">
        <is>
          <t>F02756</t>
        </is>
      </c>
      <c r="C2295" s="4" t="inlineStr"/>
      <c r="D2295" s="4" t="inlineStr"/>
      <c r="E2295" s="3" t="inlineStr">
        <is>
          <t>ROOF FOIL SINGLE SIDED</t>
        </is>
      </c>
      <c r="F2295" s="4" t="inlineStr"/>
      <c r="G2295" s="4" t="inlineStr"/>
      <c r="H2295" s="4" t="inlineStr"/>
      <c r="I2295" s="5" t="n">
        <v>750</v>
      </c>
      <c r="J2295" s="6" t="n">
        <v>15</v>
      </c>
      <c r="K2295" s="7">
        <f>IF(I2295="","",I2295*(1+J2295/100))</f>
        <v/>
      </c>
      <c r="L2295" s="12" t="inlineStr"/>
      <c r="M2295" s="8">
        <f>IF(OR(L2295="",K2295="",L2295=0),"",
  (L2295-K2295)/L2295*100)</f>
        <v/>
      </c>
      <c r="N2295" s="9" t="inlineStr"/>
      <c r="O2295" s="4" t="inlineStr"/>
      <c r="P2295" s="4" t="inlineStr"/>
      <c r="Q2295" s="4" t="inlineStr"/>
      <c r="R2295" s="4" t="inlineStr">
        <is>
          <t>2026-03-12</t>
        </is>
      </c>
      <c r="S2295" s="4" t="inlineStr"/>
    </row>
    <row r="2296">
      <c r="A2296" s="10" t="inlineStr">
        <is>
          <t>F02757</t>
        </is>
      </c>
      <c r="B2296" s="10" t="inlineStr">
        <is>
          <t>F02757</t>
        </is>
      </c>
      <c r="C2296" s="10" t="inlineStr"/>
      <c r="D2296" s="10" t="inlineStr"/>
      <c r="E2296" s="10" t="inlineStr">
        <is>
          <t>ROOF FOIL DOUBLE SIDED</t>
        </is>
      </c>
      <c r="F2296" s="10" t="inlineStr"/>
      <c r="G2296" s="10" t="inlineStr"/>
      <c r="H2296" s="10" t="inlineStr"/>
      <c r="I2296" s="11" t="n">
        <v>850</v>
      </c>
      <c r="J2296" s="6" t="n">
        <v>15</v>
      </c>
      <c r="K2296" s="7">
        <f>IF(I2296="","",I2296*(1+J2296/100))</f>
        <v/>
      </c>
      <c r="L2296" s="12" t="inlineStr"/>
      <c r="M2296" s="8">
        <f>IF(OR(L2296="",K2296="",L2296=0),"",
  (L2296-K2296)/L2296*100)</f>
        <v/>
      </c>
      <c r="N2296" s="9" t="inlineStr"/>
      <c r="O2296" s="10" t="inlineStr"/>
      <c r="P2296" s="10" t="inlineStr"/>
      <c r="Q2296" s="10" t="inlineStr"/>
      <c r="R2296" s="10" t="inlineStr">
        <is>
          <t>2026-03-12</t>
        </is>
      </c>
      <c r="S2296" s="10" t="inlineStr"/>
    </row>
    <row r="2297">
      <c r="A2297" s="3" t="inlineStr">
        <is>
          <t>F02758</t>
        </is>
      </c>
      <c r="B2297" s="4" t="inlineStr">
        <is>
          <t>F02758</t>
        </is>
      </c>
      <c r="C2297" s="4" t="inlineStr">
        <is>
          <t>32212</t>
        </is>
      </c>
      <c r="D2297" s="4" t="inlineStr">
        <is>
          <t>6009705651979</t>
        </is>
      </c>
      <c r="E2297" s="3" t="inlineStr">
        <is>
          <t>PLATE 10.5'' REACTIVE GLAZED</t>
        </is>
      </c>
      <c r="F2297" s="4" t="inlineStr"/>
      <c r="G2297" s="4" t="inlineStr"/>
      <c r="H2297" s="4" t="inlineStr"/>
      <c r="I2297" s="5" t="n">
        <v>16.95</v>
      </c>
      <c r="J2297" s="6" t="n">
        <v>15</v>
      </c>
      <c r="K2297" s="7">
        <f>IF(I2297="","",I2297*(1+J2297/100))</f>
        <v/>
      </c>
      <c r="L2297" s="12" t="inlineStr"/>
      <c r="M2297" s="8">
        <f>IF(OR(L2297="",K2297="",L2297=0),"",
  (L2297-K2297)/L2297*100)</f>
        <v/>
      </c>
      <c r="N2297" s="14" t="n">
        <v>1505</v>
      </c>
      <c r="O2297" s="4" t="inlineStr"/>
      <c r="P2297" s="4" t="inlineStr"/>
      <c r="Q2297" s="4" t="inlineStr"/>
      <c r="R2297" s="4" t="inlineStr">
        <is>
          <t>2026-03-12</t>
        </is>
      </c>
      <c r="S2297" s="4" t="inlineStr"/>
    </row>
    <row r="2298">
      <c r="A2298" s="10" t="inlineStr">
        <is>
          <t>F02759</t>
        </is>
      </c>
      <c r="B2298" s="10" t="inlineStr">
        <is>
          <t>F02759</t>
        </is>
      </c>
      <c r="C2298" s="10" t="inlineStr"/>
      <c r="D2298" s="10" t="inlineStr">
        <is>
          <t>6009705651993</t>
        </is>
      </c>
      <c r="E2298" s="10" t="inlineStr">
        <is>
          <t>BOWL 6'' REACTIVE GLAZED</t>
        </is>
      </c>
      <c r="F2298" s="10" t="inlineStr"/>
      <c r="G2298" s="10" t="inlineStr"/>
      <c r="H2298" s="10" t="inlineStr"/>
      <c r="I2298" s="11" t="n">
        <v>11.95</v>
      </c>
      <c r="J2298" s="6" t="n">
        <v>15</v>
      </c>
      <c r="K2298" s="7">
        <f>IF(I2298="","",I2298*(1+J2298/100))</f>
        <v/>
      </c>
      <c r="L2298" s="12" t="inlineStr"/>
      <c r="M2298" s="8">
        <f>IF(OR(L2298="",K2298="",L2298=0),"",
  (L2298-K2298)/L2298*100)</f>
        <v/>
      </c>
      <c r="N2298" s="13" t="n">
        <v>269</v>
      </c>
      <c r="O2298" s="10" t="inlineStr"/>
      <c r="P2298" s="10" t="inlineStr"/>
      <c r="Q2298" s="10" t="inlineStr"/>
      <c r="R2298" s="10" t="inlineStr">
        <is>
          <t>2026-03-12</t>
        </is>
      </c>
      <c r="S2298" s="10" t="inlineStr"/>
    </row>
    <row r="2299">
      <c r="A2299" s="3" t="inlineStr">
        <is>
          <t>F02760</t>
        </is>
      </c>
      <c r="B2299" s="4" t="inlineStr">
        <is>
          <t>F02760</t>
        </is>
      </c>
      <c r="C2299" s="4" t="inlineStr"/>
      <c r="D2299" s="4" t="inlineStr">
        <is>
          <t>6009705652006</t>
        </is>
      </c>
      <c r="E2299" s="3" t="inlineStr">
        <is>
          <t>BOWL DEEP 8'' REACTIVE GLAZED</t>
        </is>
      </c>
      <c r="F2299" s="4" t="inlineStr"/>
      <c r="G2299" s="4" t="inlineStr"/>
      <c r="H2299" s="4" t="inlineStr"/>
      <c r="I2299" s="5" t="n">
        <v>13.95</v>
      </c>
      <c r="J2299" s="6" t="n">
        <v>15</v>
      </c>
      <c r="K2299" s="7">
        <f>IF(I2299="","",I2299*(1+J2299/100))</f>
        <v/>
      </c>
      <c r="L2299" s="12" t="inlineStr"/>
      <c r="M2299" s="8">
        <f>IF(OR(L2299="",K2299="",L2299=0),"",
  (L2299-K2299)/L2299*100)</f>
        <v/>
      </c>
      <c r="N2299" s="14" t="n">
        <v>6236</v>
      </c>
      <c r="O2299" s="4" t="inlineStr"/>
      <c r="P2299" s="4" t="inlineStr"/>
      <c r="Q2299" s="4" t="inlineStr"/>
      <c r="R2299" s="4" t="inlineStr">
        <is>
          <t>2026-03-12</t>
        </is>
      </c>
      <c r="S2299" s="4" t="inlineStr"/>
    </row>
    <row r="2300">
      <c r="A2300" s="10" t="inlineStr">
        <is>
          <t>F02761</t>
        </is>
      </c>
      <c r="B2300" s="10" t="inlineStr">
        <is>
          <t>F02761</t>
        </is>
      </c>
      <c r="C2300" s="10" t="inlineStr"/>
      <c r="D2300" s="10" t="inlineStr">
        <is>
          <t>6009705652013</t>
        </is>
      </c>
      <c r="E2300" s="10" t="inlineStr">
        <is>
          <t>MUG 16OZ REACTIVE GLAZED</t>
        </is>
      </c>
      <c r="F2300" s="10" t="inlineStr"/>
      <c r="G2300" s="10" t="inlineStr"/>
      <c r="H2300" s="10" t="inlineStr"/>
      <c r="I2300" s="11" t="n">
        <v>9.949999999999999</v>
      </c>
      <c r="J2300" s="6" t="n">
        <v>15</v>
      </c>
      <c r="K2300" s="7">
        <f>IF(I2300="","",I2300*(1+J2300/100))</f>
        <v/>
      </c>
      <c r="L2300" s="12" t="inlineStr"/>
      <c r="M2300" s="8">
        <f>IF(OR(L2300="",K2300="",L2300=0),"",
  (L2300-K2300)/L2300*100)</f>
        <v/>
      </c>
      <c r="N2300" s="13" t="n">
        <v>2</v>
      </c>
      <c r="O2300" s="10" t="inlineStr"/>
      <c r="P2300" s="10" t="inlineStr"/>
      <c r="Q2300" s="10" t="inlineStr"/>
      <c r="R2300" s="10" t="inlineStr">
        <is>
          <t>2026-03-12</t>
        </is>
      </c>
      <c r="S2300" s="10" t="inlineStr"/>
    </row>
    <row r="2301">
      <c r="A2301" s="3" t="inlineStr">
        <is>
          <t>F02762</t>
        </is>
      </c>
      <c r="B2301" s="4" t="inlineStr">
        <is>
          <t>F02762</t>
        </is>
      </c>
      <c r="C2301" s="4" t="inlineStr"/>
      <c r="D2301" s="4" t="inlineStr">
        <is>
          <t>6009705655622</t>
        </is>
      </c>
      <c r="E2301" s="3" t="inlineStr">
        <is>
          <t>MUG 11OZ MATT GLAZED 2 COLOR</t>
        </is>
      </c>
      <c r="F2301" s="4" t="inlineStr"/>
      <c r="G2301" s="4" t="inlineStr"/>
      <c r="H2301" s="4" t="inlineStr"/>
      <c r="I2301" s="5" t="n">
        <v>6.79</v>
      </c>
      <c r="J2301" s="6" t="n">
        <v>15</v>
      </c>
      <c r="K2301" s="7">
        <f>IF(I2301="","",I2301*(1+J2301/100))</f>
        <v/>
      </c>
      <c r="L2301" s="12" t="inlineStr"/>
      <c r="M2301" s="8">
        <f>IF(OR(L2301="",K2301="",L2301=0),"",
  (L2301-K2301)/L2301*100)</f>
        <v/>
      </c>
      <c r="N2301" s="9" t="inlineStr"/>
      <c r="O2301" s="4" t="inlineStr"/>
      <c r="P2301" s="4" t="inlineStr"/>
      <c r="Q2301" s="4" t="inlineStr"/>
      <c r="R2301" s="4" t="inlineStr">
        <is>
          <t>2026-03-12</t>
        </is>
      </c>
      <c r="S2301" s="4" t="inlineStr"/>
    </row>
    <row r="2302">
      <c r="A2302" s="10" t="inlineStr">
        <is>
          <t>F02763</t>
        </is>
      </c>
      <c r="B2302" s="10" t="inlineStr">
        <is>
          <t>F02763</t>
        </is>
      </c>
      <c r="C2302" s="10" t="inlineStr"/>
      <c r="D2302" s="10" t="inlineStr">
        <is>
          <t>6009705652037</t>
        </is>
      </c>
      <c r="E2302" s="10" t="inlineStr">
        <is>
          <t>PLATE SIDE 7'' BLACK MATT GLAZED</t>
        </is>
      </c>
      <c r="F2302" s="10" t="inlineStr"/>
      <c r="G2302" s="10" t="inlineStr"/>
      <c r="H2302" s="10" t="inlineStr"/>
      <c r="I2302" s="11" t="n">
        <v>5.95</v>
      </c>
      <c r="J2302" s="6" t="n">
        <v>15</v>
      </c>
      <c r="K2302" s="7">
        <f>IF(I2302="","",I2302*(1+J2302/100))</f>
        <v/>
      </c>
      <c r="L2302" s="12" t="inlineStr"/>
      <c r="M2302" s="8">
        <f>IF(OR(L2302="",K2302="",L2302=0),"",
  (L2302-K2302)/L2302*100)</f>
        <v/>
      </c>
      <c r="N2302" s="9" t="inlineStr"/>
      <c r="O2302" s="10" t="inlineStr"/>
      <c r="P2302" s="10" t="inlineStr"/>
      <c r="Q2302" s="10" t="inlineStr"/>
      <c r="R2302" s="10" t="inlineStr">
        <is>
          <t>2026-03-12</t>
        </is>
      </c>
      <c r="S2302" s="10" t="inlineStr"/>
    </row>
    <row r="2303">
      <c r="A2303" s="3" t="inlineStr">
        <is>
          <t>F02764</t>
        </is>
      </c>
      <c r="B2303" s="4" t="inlineStr">
        <is>
          <t>F02764</t>
        </is>
      </c>
      <c r="C2303" s="4" t="inlineStr"/>
      <c r="D2303" s="4" t="inlineStr">
        <is>
          <t>6009705652086</t>
        </is>
      </c>
      <c r="E2303" s="3" t="inlineStr">
        <is>
          <t>SAUCER 5.75'' MATT GLAZED</t>
        </is>
      </c>
      <c r="F2303" s="4" t="inlineStr"/>
      <c r="G2303" s="4" t="inlineStr"/>
      <c r="H2303" s="4" t="inlineStr"/>
      <c r="I2303" s="5" t="n">
        <v>2.79</v>
      </c>
      <c r="J2303" s="6" t="n">
        <v>15</v>
      </c>
      <c r="K2303" s="7">
        <f>IF(I2303="","",I2303*(1+J2303/100))</f>
        <v/>
      </c>
      <c r="L2303" s="12" t="inlineStr"/>
      <c r="M2303" s="8">
        <f>IF(OR(L2303="",K2303="",L2303=0),"",
  (L2303-K2303)/L2303*100)</f>
        <v/>
      </c>
      <c r="N2303" s="9" t="inlineStr"/>
      <c r="O2303" s="4" t="inlineStr"/>
      <c r="P2303" s="4" t="inlineStr"/>
      <c r="Q2303" s="4" t="inlineStr"/>
      <c r="R2303" s="4" t="inlineStr">
        <is>
          <t>2026-03-12</t>
        </is>
      </c>
      <c r="S2303" s="4" t="inlineStr"/>
    </row>
    <row r="2304">
      <c r="A2304" s="10" t="inlineStr">
        <is>
          <t>F02765</t>
        </is>
      </c>
      <c r="B2304" s="10" t="inlineStr">
        <is>
          <t>F02765</t>
        </is>
      </c>
      <c r="C2304" s="10" t="inlineStr"/>
      <c r="D2304" s="10" t="inlineStr">
        <is>
          <t>6009705656462</t>
        </is>
      </c>
      <c r="E2304" s="10" t="inlineStr">
        <is>
          <t>CORNICE T-SERIE 1408 WHITE (2M)(4S)</t>
        </is>
      </c>
      <c r="F2304" s="10" t="inlineStr"/>
      <c r="G2304" s="10" t="inlineStr"/>
      <c r="H2304" s="10" t="inlineStr"/>
      <c r="I2304" s="11" t="n">
        <v>59.8</v>
      </c>
      <c r="J2304" s="6" t="n">
        <v>15</v>
      </c>
      <c r="K2304" s="7">
        <f>IF(I2304="","",I2304*(1+J2304/100))</f>
        <v/>
      </c>
      <c r="L2304" s="12" t="inlineStr"/>
      <c r="M2304" s="8">
        <f>IF(OR(L2304="",K2304="",L2304=0),"",
  (L2304-K2304)/L2304*100)</f>
        <v/>
      </c>
      <c r="N2304" s="9" t="inlineStr"/>
      <c r="O2304" s="10" t="inlineStr"/>
      <c r="P2304" s="10" t="inlineStr"/>
      <c r="Q2304" s="10" t="inlineStr"/>
      <c r="R2304" s="10" t="inlineStr">
        <is>
          <t>2026-03-12</t>
        </is>
      </c>
      <c r="S2304" s="10" t="inlineStr"/>
    </row>
    <row r="2305">
      <c r="A2305" s="3" t="inlineStr">
        <is>
          <t>F02766</t>
        </is>
      </c>
      <c r="B2305" s="4" t="inlineStr">
        <is>
          <t>F02766</t>
        </is>
      </c>
      <c r="C2305" s="4" t="inlineStr"/>
      <c r="D2305" s="4" t="inlineStr">
        <is>
          <t>6009705656479</t>
        </is>
      </c>
      <c r="E2305" s="3" t="inlineStr">
        <is>
          <t>CORNICE T-SERIE 1450 OFFWHT (2M)(4S)</t>
        </is>
      </c>
      <c r="F2305" s="4" t="inlineStr"/>
      <c r="G2305" s="4" t="inlineStr"/>
      <c r="H2305" s="4" t="inlineStr"/>
      <c r="I2305" s="5" t="n">
        <v>59.8</v>
      </c>
      <c r="J2305" s="6" t="n">
        <v>15</v>
      </c>
      <c r="K2305" s="7">
        <f>IF(I2305="","",I2305*(1+J2305/100))</f>
        <v/>
      </c>
      <c r="L2305" s="12" t="inlineStr"/>
      <c r="M2305" s="8">
        <f>IF(OR(L2305="",K2305="",L2305=0),"",
  (L2305-K2305)/L2305*100)</f>
        <v/>
      </c>
      <c r="N2305" s="9" t="inlineStr"/>
      <c r="O2305" s="4" t="inlineStr"/>
      <c r="P2305" s="4" t="inlineStr"/>
      <c r="Q2305" s="4" t="inlineStr"/>
      <c r="R2305" s="4" t="inlineStr">
        <is>
          <t>2026-03-12</t>
        </is>
      </c>
      <c r="S2305" s="4" t="inlineStr"/>
    </row>
    <row r="2306">
      <c r="A2306" s="10" t="inlineStr">
        <is>
          <t>F02767</t>
        </is>
      </c>
      <c r="B2306" s="10" t="inlineStr">
        <is>
          <t>F02767</t>
        </is>
      </c>
      <c r="C2306" s="10" t="inlineStr"/>
      <c r="D2306" s="10" t="inlineStr">
        <is>
          <t>6009705656486</t>
        </is>
      </c>
      <c r="E2306" s="10" t="inlineStr">
        <is>
          <t>CORNICE T-SERIE 1411 CREAM (2M)(4S)</t>
        </is>
      </c>
      <c r="F2306" s="10" t="inlineStr"/>
      <c r="G2306" s="10" t="inlineStr"/>
      <c r="H2306" s="10" t="inlineStr"/>
      <c r="I2306" s="11" t="n">
        <v>59.8</v>
      </c>
      <c r="J2306" s="6" t="n">
        <v>15</v>
      </c>
      <c r="K2306" s="7">
        <f>IF(I2306="","",I2306*(1+J2306/100))</f>
        <v/>
      </c>
      <c r="L2306" s="12" t="inlineStr"/>
      <c r="M2306" s="8">
        <f>IF(OR(L2306="",K2306="",L2306=0),"",
  (L2306-K2306)/L2306*100)</f>
        <v/>
      </c>
      <c r="N2306" s="13" t="n">
        <v>36</v>
      </c>
      <c r="O2306" s="10" t="inlineStr"/>
      <c r="P2306" s="10" t="inlineStr"/>
      <c r="Q2306" s="10" t="inlineStr"/>
      <c r="R2306" s="10" t="inlineStr">
        <is>
          <t>2026-03-12</t>
        </is>
      </c>
      <c r="S2306" s="10" t="inlineStr"/>
    </row>
    <row r="2307">
      <c r="A2307" s="3" t="inlineStr">
        <is>
          <t>F02768</t>
        </is>
      </c>
      <c r="B2307" s="4" t="inlineStr">
        <is>
          <t>F02768</t>
        </is>
      </c>
      <c r="C2307" s="4" t="inlineStr"/>
      <c r="D2307" s="4" t="inlineStr">
        <is>
          <t>6009705656493</t>
        </is>
      </c>
      <c r="E2307" s="3" t="inlineStr">
        <is>
          <t>CORNICE T-SERIE 14WS WHT SILV (2M)(4S)</t>
        </is>
      </c>
      <c r="F2307" s="4" t="inlineStr"/>
      <c r="G2307" s="4" t="inlineStr"/>
      <c r="H2307" s="4" t="inlineStr"/>
      <c r="I2307" s="5" t="n">
        <v>65.36</v>
      </c>
      <c r="J2307" s="6" t="n">
        <v>15</v>
      </c>
      <c r="K2307" s="7">
        <f>IF(I2307="","",I2307*(1+J2307/100))</f>
        <v/>
      </c>
      <c r="L2307" s="12" t="inlineStr"/>
      <c r="M2307" s="8">
        <f>IF(OR(L2307="",K2307="",L2307=0),"",
  (L2307-K2307)/L2307*100)</f>
        <v/>
      </c>
      <c r="N2307" s="9" t="inlineStr"/>
      <c r="O2307" s="4" t="inlineStr"/>
      <c r="P2307" s="4" t="inlineStr"/>
      <c r="Q2307" s="4" t="inlineStr"/>
      <c r="R2307" s="4" t="inlineStr">
        <is>
          <t>2026-03-12</t>
        </is>
      </c>
      <c r="S2307" s="4" t="inlineStr"/>
    </row>
    <row r="2308">
      <c r="A2308" s="10" t="inlineStr">
        <is>
          <t>F02769</t>
        </is>
      </c>
      <c r="B2308" s="10" t="inlineStr">
        <is>
          <t>F02769</t>
        </is>
      </c>
      <c r="C2308" s="10" t="inlineStr"/>
      <c r="D2308" s="10" t="inlineStr">
        <is>
          <t>6009705656509</t>
        </is>
      </c>
      <c r="E2308" s="10" t="inlineStr">
        <is>
          <t>CORNICE T-SERIE 14WG WHT GOLD (2M)(4S)</t>
        </is>
      </c>
      <c r="F2308" s="10" t="inlineStr"/>
      <c r="G2308" s="10" t="inlineStr"/>
      <c r="H2308" s="10" t="inlineStr"/>
      <c r="I2308" s="11" t="n">
        <v>65.36</v>
      </c>
      <c r="J2308" s="6" t="n">
        <v>15</v>
      </c>
      <c r="K2308" s="7">
        <f>IF(I2308="","",I2308*(1+J2308/100))</f>
        <v/>
      </c>
      <c r="L2308" s="12" t="inlineStr"/>
      <c r="M2308" s="8">
        <f>IF(OR(L2308="",K2308="",L2308=0),"",
  (L2308-K2308)/L2308*100)</f>
        <v/>
      </c>
      <c r="N2308" s="9" t="inlineStr"/>
      <c r="O2308" s="10" t="inlineStr"/>
      <c r="P2308" s="10" t="inlineStr"/>
      <c r="Q2308" s="10" t="inlineStr"/>
      <c r="R2308" s="10" t="inlineStr">
        <is>
          <t>2026-03-12</t>
        </is>
      </c>
      <c r="S2308" s="10" t="inlineStr"/>
    </row>
    <row r="2309">
      <c r="A2309" s="3" t="inlineStr">
        <is>
          <t>F02770</t>
        </is>
      </c>
      <c r="B2309" s="4" t="inlineStr">
        <is>
          <t>F02770</t>
        </is>
      </c>
      <c r="C2309" s="4" t="inlineStr"/>
      <c r="D2309" s="4" t="inlineStr">
        <is>
          <t>6009705656516</t>
        </is>
      </c>
      <c r="E2309" s="3" t="inlineStr">
        <is>
          <t>CORNICE T-SERIE 1508 WHITE(2M)(4S)</t>
        </is>
      </c>
      <c r="F2309" s="4" t="inlineStr"/>
      <c r="G2309" s="4" t="inlineStr"/>
      <c r="H2309" s="4" t="inlineStr"/>
      <c r="I2309" s="5" t="n">
        <v>59.8</v>
      </c>
      <c r="J2309" s="6" t="n">
        <v>15</v>
      </c>
      <c r="K2309" s="7">
        <f>IF(I2309="","",I2309*(1+J2309/100))</f>
        <v/>
      </c>
      <c r="L2309" s="12" t="inlineStr"/>
      <c r="M2309" s="8">
        <f>IF(OR(L2309="",K2309="",L2309=0),"",
  (L2309-K2309)/L2309*100)</f>
        <v/>
      </c>
      <c r="N2309" s="9" t="inlineStr"/>
      <c r="O2309" s="4" t="inlineStr"/>
      <c r="P2309" s="4" t="inlineStr"/>
      <c r="Q2309" s="4" t="inlineStr"/>
      <c r="R2309" s="4" t="inlineStr">
        <is>
          <t>2026-03-12</t>
        </is>
      </c>
      <c r="S2309" s="4" t="inlineStr"/>
    </row>
    <row r="2310">
      <c r="A2310" s="10" t="inlineStr">
        <is>
          <t>F02771</t>
        </is>
      </c>
      <c r="B2310" s="10" t="inlineStr">
        <is>
          <t>F02771</t>
        </is>
      </c>
      <c r="C2310" s="10" t="inlineStr"/>
      <c r="D2310" s="10" t="inlineStr">
        <is>
          <t>6009705656523</t>
        </is>
      </c>
      <c r="E2310" s="10" t="inlineStr">
        <is>
          <t>CORNICE T-SERIE 1550 OFFWHT (2M)(4S)</t>
        </is>
      </c>
      <c r="F2310" s="10" t="inlineStr"/>
      <c r="G2310" s="10" t="inlineStr"/>
      <c r="H2310" s="10" t="inlineStr"/>
      <c r="I2310" s="11" t="n">
        <v>59.8</v>
      </c>
      <c r="J2310" s="6" t="n">
        <v>15</v>
      </c>
      <c r="K2310" s="7">
        <f>IF(I2310="","",I2310*(1+J2310/100))</f>
        <v/>
      </c>
      <c r="L2310" s="12" t="inlineStr"/>
      <c r="M2310" s="8">
        <f>IF(OR(L2310="",K2310="",L2310=0),"",
  (L2310-K2310)/L2310*100)</f>
        <v/>
      </c>
      <c r="N2310" s="9" t="inlineStr"/>
      <c r="O2310" s="10" t="inlineStr"/>
      <c r="P2310" s="10" t="inlineStr"/>
      <c r="Q2310" s="10" t="inlineStr"/>
      <c r="R2310" s="10" t="inlineStr">
        <is>
          <t>2026-03-12</t>
        </is>
      </c>
      <c r="S2310" s="10" t="inlineStr"/>
    </row>
    <row r="2311">
      <c r="A2311" s="3" t="inlineStr">
        <is>
          <t>F02772</t>
        </is>
      </c>
      <c r="B2311" s="4" t="inlineStr">
        <is>
          <t>F02772</t>
        </is>
      </c>
      <c r="C2311" s="4" t="inlineStr"/>
      <c r="D2311" s="4" t="inlineStr">
        <is>
          <t>6009705656530</t>
        </is>
      </c>
      <c r="E2311" s="3" t="inlineStr">
        <is>
          <t>CORNICE T-SERIE 1511 CREAM (2M)(4S)</t>
        </is>
      </c>
      <c r="F2311" s="4" t="inlineStr"/>
      <c r="G2311" s="4" t="inlineStr"/>
      <c r="H2311" s="4" t="inlineStr"/>
      <c r="I2311" s="5" t="n">
        <v>59.8</v>
      </c>
      <c r="J2311" s="6" t="n">
        <v>15</v>
      </c>
      <c r="K2311" s="7">
        <f>IF(I2311="","",I2311*(1+J2311/100))</f>
        <v/>
      </c>
      <c r="L2311" s="12" t="inlineStr"/>
      <c r="M2311" s="8">
        <f>IF(OR(L2311="",K2311="",L2311=0),"",
  (L2311-K2311)/L2311*100)</f>
        <v/>
      </c>
      <c r="N2311" s="14" t="n">
        <v>302</v>
      </c>
      <c r="O2311" s="4" t="inlineStr"/>
      <c r="P2311" s="4" t="inlineStr"/>
      <c r="Q2311" s="4" t="inlineStr"/>
      <c r="R2311" s="4" t="inlineStr">
        <is>
          <t>2026-03-12</t>
        </is>
      </c>
      <c r="S2311" s="4" t="inlineStr"/>
    </row>
    <row r="2312">
      <c r="A2312" s="10" t="inlineStr">
        <is>
          <t>F02773</t>
        </is>
      </c>
      <c r="B2312" s="10" t="inlineStr">
        <is>
          <t>F02773</t>
        </is>
      </c>
      <c r="C2312" s="10" t="inlineStr"/>
      <c r="D2312" s="10" t="inlineStr">
        <is>
          <t>6009705656913</t>
        </is>
      </c>
      <c r="E2312" s="10" t="inlineStr">
        <is>
          <t>CORNICE T-SERIE 15WS WHT SILV (2M)(4S)</t>
        </is>
      </c>
      <c r="F2312" s="10" t="inlineStr"/>
      <c r="G2312" s="10" t="inlineStr"/>
      <c r="H2312" s="10" t="inlineStr"/>
      <c r="I2312" s="11" t="n">
        <v>65.36</v>
      </c>
      <c r="J2312" s="6" t="n">
        <v>15</v>
      </c>
      <c r="K2312" s="7">
        <f>IF(I2312="","",I2312*(1+J2312/100))</f>
        <v/>
      </c>
      <c r="L2312" s="12" t="inlineStr"/>
      <c r="M2312" s="8">
        <f>IF(OR(L2312="",K2312="",L2312=0),"",
  (L2312-K2312)/L2312*100)</f>
        <v/>
      </c>
      <c r="N2312" s="9" t="inlineStr"/>
      <c r="O2312" s="10" t="inlineStr"/>
      <c r="P2312" s="10" t="inlineStr"/>
      <c r="Q2312" s="10" t="inlineStr"/>
      <c r="R2312" s="10" t="inlineStr">
        <is>
          <t>2026-03-12</t>
        </is>
      </c>
      <c r="S2312" s="10" t="inlineStr"/>
    </row>
    <row r="2313">
      <c r="A2313" s="3" t="inlineStr">
        <is>
          <t>F02774</t>
        </is>
      </c>
      <c r="B2313" s="4" t="inlineStr">
        <is>
          <t>F02774</t>
        </is>
      </c>
      <c r="C2313" s="4" t="inlineStr"/>
      <c r="D2313" s="4" t="inlineStr">
        <is>
          <t>6009705656920</t>
        </is>
      </c>
      <c r="E2313" s="3" t="inlineStr">
        <is>
          <t>CORNICE T-SERIE 15WG WHT GOLD (2M)(4S)</t>
        </is>
      </c>
      <c r="F2313" s="4" t="inlineStr"/>
      <c r="G2313" s="4" t="inlineStr"/>
      <c r="H2313" s="4" t="inlineStr"/>
      <c r="I2313" s="5" t="n">
        <v>65.36</v>
      </c>
      <c r="J2313" s="6" t="n">
        <v>15</v>
      </c>
      <c r="K2313" s="7">
        <f>IF(I2313="","",I2313*(1+J2313/100))</f>
        <v/>
      </c>
      <c r="L2313" s="12" t="inlineStr"/>
      <c r="M2313" s="8">
        <f>IF(OR(L2313="",K2313="",L2313=0),"",
  (L2313-K2313)/L2313*100)</f>
        <v/>
      </c>
      <c r="N2313" s="9" t="inlineStr"/>
      <c r="O2313" s="4" t="inlineStr"/>
      <c r="P2313" s="4" t="inlineStr"/>
      <c r="Q2313" s="4" t="inlineStr"/>
      <c r="R2313" s="4" t="inlineStr">
        <is>
          <t>2026-03-12</t>
        </is>
      </c>
      <c r="S2313" s="4" t="inlineStr"/>
    </row>
    <row r="2314">
      <c r="A2314" s="10" t="inlineStr">
        <is>
          <t>F02775</t>
        </is>
      </c>
      <c r="B2314" s="10" t="inlineStr">
        <is>
          <t>F02775</t>
        </is>
      </c>
      <c r="C2314" s="10" t="inlineStr"/>
      <c r="D2314" s="10" t="inlineStr"/>
      <c r="E2314" s="10" t="inlineStr">
        <is>
          <t>BRAAI STAND MEDIUM</t>
        </is>
      </c>
      <c r="F2314" s="10" t="inlineStr"/>
      <c r="G2314" s="10" t="inlineStr"/>
      <c r="H2314" s="10" t="inlineStr"/>
      <c r="I2314" s="11" t="n">
        <v>145</v>
      </c>
      <c r="J2314" s="6" t="n">
        <v>15</v>
      </c>
      <c r="K2314" s="7">
        <f>IF(I2314="","",I2314*(1+J2314/100))</f>
        <v/>
      </c>
      <c r="L2314" s="12" t="inlineStr"/>
      <c r="M2314" s="8">
        <f>IF(OR(L2314="",K2314="",L2314=0),"",
  (L2314-K2314)/L2314*100)</f>
        <v/>
      </c>
      <c r="N2314" s="9" t="inlineStr"/>
      <c r="O2314" s="10" t="inlineStr"/>
      <c r="P2314" s="10" t="inlineStr"/>
      <c r="Q2314" s="10" t="inlineStr"/>
      <c r="R2314" s="10" t="inlineStr">
        <is>
          <t>2026-03-12</t>
        </is>
      </c>
      <c r="S2314" s="10" t="inlineStr"/>
    </row>
    <row r="2315">
      <c r="A2315" s="3" t="inlineStr">
        <is>
          <t>F02776</t>
        </is>
      </c>
      <c r="B2315" s="4" t="inlineStr">
        <is>
          <t>F02776</t>
        </is>
      </c>
      <c r="C2315" s="4" t="inlineStr">
        <is>
          <t>19284</t>
        </is>
      </c>
      <c r="D2315" s="4" t="inlineStr"/>
      <c r="E2315" s="3" t="inlineStr">
        <is>
          <t>BRAAI STAND LARGE</t>
        </is>
      </c>
      <c r="F2315" s="4" t="inlineStr"/>
      <c r="G2315" s="4" t="inlineStr"/>
      <c r="H2315" s="4" t="inlineStr"/>
      <c r="I2315" s="5" t="n">
        <v>179</v>
      </c>
      <c r="J2315" s="6" t="n">
        <v>15</v>
      </c>
      <c r="K2315" s="7">
        <f>IF(I2315="","",I2315*(1+J2315/100))</f>
        <v/>
      </c>
      <c r="L2315" s="5" t="n">
        <v>350</v>
      </c>
      <c r="M2315" s="8">
        <f>IF(OR(L2315="",K2315="",L2315=0),"",
  (L2315-K2315)/L2315*100)</f>
        <v/>
      </c>
      <c r="N2315" s="14" t="n">
        <v>20</v>
      </c>
      <c r="O2315" s="4" t="inlineStr"/>
      <c r="P2315" s="4" t="inlineStr"/>
      <c r="Q2315" s="4" t="inlineStr"/>
      <c r="R2315" s="4" t="inlineStr">
        <is>
          <t>2026-03-12</t>
        </is>
      </c>
      <c r="S2315" s="4" t="inlineStr"/>
    </row>
    <row r="2316">
      <c r="A2316" s="10" t="inlineStr">
        <is>
          <t>F02777</t>
        </is>
      </c>
      <c r="B2316" s="10" t="inlineStr">
        <is>
          <t>F02777</t>
        </is>
      </c>
      <c r="C2316" s="10" t="inlineStr"/>
      <c r="D2316" s="10" t="inlineStr">
        <is>
          <t>60096898801057</t>
        </is>
      </c>
      <c r="E2316" s="10" t="inlineStr">
        <is>
          <t>MOP METAL CLIP 200g</t>
        </is>
      </c>
      <c r="F2316" s="10" t="inlineStr"/>
      <c r="G2316" s="10" t="inlineStr"/>
      <c r="H2316" s="10" t="inlineStr"/>
      <c r="I2316" s="11" t="n">
        <v>16.25</v>
      </c>
      <c r="J2316" s="6" t="n">
        <v>15</v>
      </c>
      <c r="K2316" s="7">
        <f>IF(I2316="","",I2316*(1+J2316/100))</f>
        <v/>
      </c>
      <c r="L2316" s="12" t="inlineStr"/>
      <c r="M2316" s="8">
        <f>IF(OR(L2316="",K2316="",L2316=0),"",
  (L2316-K2316)/L2316*100)</f>
        <v/>
      </c>
      <c r="N2316" s="13" t="n">
        <v>78</v>
      </c>
      <c r="O2316" s="10" t="inlineStr"/>
      <c r="P2316" s="10" t="inlineStr"/>
      <c r="Q2316" s="10" t="inlineStr"/>
      <c r="R2316" s="10" t="inlineStr">
        <is>
          <t>2026-03-12</t>
        </is>
      </c>
      <c r="S2316" s="10" t="inlineStr"/>
    </row>
    <row r="2317">
      <c r="A2317" s="3" t="inlineStr">
        <is>
          <t>F02778</t>
        </is>
      </c>
      <c r="B2317" s="4" t="inlineStr">
        <is>
          <t>F02778</t>
        </is>
      </c>
      <c r="C2317" s="4" t="inlineStr"/>
      <c r="D2317" s="4" t="inlineStr"/>
      <c r="E2317" s="3" t="inlineStr">
        <is>
          <t>LED LIGHT CEILING 28W CRYSTAL NEW</t>
        </is>
      </c>
      <c r="F2317" s="4" t="inlineStr"/>
      <c r="G2317" s="4" t="inlineStr"/>
      <c r="H2317" s="4" t="inlineStr"/>
      <c r="I2317" s="5" t="n">
        <v>215</v>
      </c>
      <c r="J2317" s="6" t="n">
        <v>15</v>
      </c>
      <c r="K2317" s="7">
        <f>IF(I2317="","",I2317*(1+J2317/100))</f>
        <v/>
      </c>
      <c r="L2317" s="12" t="inlineStr"/>
      <c r="M2317" s="8">
        <f>IF(OR(L2317="",K2317="",L2317=0),"",
  (L2317-K2317)/L2317*100)</f>
        <v/>
      </c>
      <c r="N2317" s="14" t="n">
        <v>3</v>
      </c>
      <c r="O2317" s="4" t="inlineStr"/>
      <c r="P2317" s="4" t="inlineStr"/>
      <c r="Q2317" s="4" t="inlineStr"/>
      <c r="R2317" s="4" t="inlineStr">
        <is>
          <t>2026-03-12</t>
        </is>
      </c>
      <c r="S2317" s="4" t="inlineStr"/>
    </row>
    <row r="2318">
      <c r="A2318" s="10" t="inlineStr">
        <is>
          <t>F02780</t>
        </is>
      </c>
      <c r="B2318" s="10" t="inlineStr">
        <is>
          <t>F02780</t>
        </is>
      </c>
      <c r="C2318" s="10" t="inlineStr"/>
      <c r="D2318" s="10" t="inlineStr"/>
      <c r="E2318" s="10" t="inlineStr">
        <is>
          <t>LED LIGHT CEILING 28W DOUBLE DIAMOND NEW</t>
        </is>
      </c>
      <c r="F2318" s="10" t="inlineStr"/>
      <c r="G2318" s="10" t="inlineStr"/>
      <c r="H2318" s="10" t="inlineStr"/>
      <c r="I2318" s="11" t="n">
        <v>215</v>
      </c>
      <c r="J2318" s="6" t="n">
        <v>15</v>
      </c>
      <c r="K2318" s="7">
        <f>IF(I2318="","",I2318*(1+J2318/100))</f>
        <v/>
      </c>
      <c r="L2318" s="12" t="inlineStr"/>
      <c r="M2318" s="8">
        <f>IF(OR(L2318="",K2318="",L2318=0),"",
  (L2318-K2318)/L2318*100)</f>
        <v/>
      </c>
      <c r="N2318" s="13" t="n">
        <v>1</v>
      </c>
      <c r="O2318" s="10" t="inlineStr"/>
      <c r="P2318" s="10" t="inlineStr"/>
      <c r="Q2318" s="10" t="inlineStr"/>
      <c r="R2318" s="10" t="inlineStr">
        <is>
          <t>2026-03-12</t>
        </is>
      </c>
      <c r="S2318" s="10" t="inlineStr"/>
    </row>
    <row r="2319">
      <c r="A2319" s="3" t="inlineStr">
        <is>
          <t>F02781</t>
        </is>
      </c>
      <c r="B2319" s="4" t="inlineStr">
        <is>
          <t>F02781</t>
        </is>
      </c>
      <c r="C2319" s="4" t="inlineStr">
        <is>
          <t>18919</t>
        </is>
      </c>
      <c r="D2319" s="4" t="inlineStr"/>
      <c r="E2319" s="3" t="inlineStr">
        <is>
          <t>LED LIGHT CEILING 28W EARTH NEW</t>
        </is>
      </c>
      <c r="F2319" s="4" t="inlineStr"/>
      <c r="G2319" s="4" t="inlineStr"/>
      <c r="H2319" s="4" t="inlineStr"/>
      <c r="I2319" s="5" t="n">
        <v>215</v>
      </c>
      <c r="J2319" s="6" t="n">
        <v>15</v>
      </c>
      <c r="K2319" s="7">
        <f>IF(I2319="","",I2319*(1+J2319/100))</f>
        <v/>
      </c>
      <c r="L2319" s="5" t="n">
        <v>380</v>
      </c>
      <c r="M2319" s="8">
        <f>IF(OR(L2319="",K2319="",L2319=0),"",
  (L2319-K2319)/L2319*100)</f>
        <v/>
      </c>
      <c r="N2319" s="14" t="n">
        <v>22</v>
      </c>
      <c r="O2319" s="4" t="inlineStr"/>
      <c r="P2319" s="4" t="inlineStr"/>
      <c r="Q2319" s="4" t="inlineStr"/>
      <c r="R2319" s="4" t="inlineStr">
        <is>
          <t>2026-03-12</t>
        </is>
      </c>
      <c r="S2319" s="4" t="inlineStr"/>
    </row>
    <row r="2320">
      <c r="A2320" s="10" t="inlineStr">
        <is>
          <t>F02782</t>
        </is>
      </c>
      <c r="B2320" s="10" t="inlineStr">
        <is>
          <t>F02782</t>
        </is>
      </c>
      <c r="C2320" s="10" t="inlineStr">
        <is>
          <t>18920</t>
        </is>
      </c>
      <c r="D2320" s="10" t="inlineStr"/>
      <c r="E2320" s="10" t="inlineStr">
        <is>
          <t>LED LIGHT CEILING 28W HIGH DIAMOND</t>
        </is>
      </c>
      <c r="F2320" s="10" t="inlineStr"/>
      <c r="G2320" s="10" t="inlineStr"/>
      <c r="H2320" s="10" t="inlineStr"/>
      <c r="I2320" s="11" t="n">
        <v>215</v>
      </c>
      <c r="J2320" s="6" t="n">
        <v>15</v>
      </c>
      <c r="K2320" s="7">
        <f>IF(I2320="","",I2320*(1+J2320/100))</f>
        <v/>
      </c>
      <c r="L2320" s="11" t="n">
        <v>380</v>
      </c>
      <c r="M2320" s="8">
        <f>IF(OR(L2320="",K2320="",L2320=0),"",
  (L2320-K2320)/L2320*100)</f>
        <v/>
      </c>
      <c r="N2320" s="9" t="inlineStr"/>
      <c r="O2320" s="10" t="inlineStr"/>
      <c r="P2320" s="10" t="inlineStr"/>
      <c r="Q2320" s="10" t="inlineStr"/>
      <c r="R2320" s="10" t="inlineStr">
        <is>
          <t>2026-03-12</t>
        </is>
      </c>
      <c r="S2320" s="10" t="inlineStr"/>
    </row>
    <row r="2321">
      <c r="A2321" s="3" t="inlineStr">
        <is>
          <t>F02784</t>
        </is>
      </c>
      <c r="B2321" s="4" t="inlineStr">
        <is>
          <t>F02784</t>
        </is>
      </c>
      <c r="C2321" s="4" t="inlineStr"/>
      <c r="D2321" s="4" t="inlineStr">
        <is>
          <t>6009705652082</t>
        </is>
      </c>
      <c r="E2321" s="3" t="inlineStr">
        <is>
          <t>FOIL CONTAINER 15x12cm 10PC+PAPER LID</t>
        </is>
      </c>
      <c r="F2321" s="4" t="inlineStr"/>
      <c r="G2321" s="4" t="inlineStr"/>
      <c r="H2321" s="4" t="inlineStr"/>
      <c r="I2321" s="5" t="n">
        <v>24.95</v>
      </c>
      <c r="J2321" s="6" t="n">
        <v>15</v>
      </c>
      <c r="K2321" s="7">
        <f>IF(I2321="","",I2321*(1+J2321/100))</f>
        <v/>
      </c>
      <c r="L2321" s="12" t="inlineStr"/>
      <c r="M2321" s="8">
        <f>IF(OR(L2321="",K2321="",L2321=0),"",
  (L2321-K2321)/L2321*100)</f>
        <v/>
      </c>
      <c r="N2321" s="14" t="n">
        <v>1004</v>
      </c>
      <c r="O2321" s="4" t="inlineStr"/>
      <c r="P2321" s="4" t="inlineStr"/>
      <c r="Q2321" s="4" t="inlineStr"/>
      <c r="R2321" s="4" t="inlineStr">
        <is>
          <t>2026-03-12</t>
        </is>
      </c>
      <c r="S2321" s="4" t="inlineStr"/>
    </row>
    <row r="2322">
      <c r="A2322" s="10" t="inlineStr">
        <is>
          <t>F02785</t>
        </is>
      </c>
      <c r="B2322" s="10" t="inlineStr">
        <is>
          <t>F02785</t>
        </is>
      </c>
      <c r="C2322" s="10" t="inlineStr"/>
      <c r="D2322" s="10" t="inlineStr">
        <is>
          <t>6009705652099</t>
        </is>
      </c>
      <c r="E2322" s="10" t="inlineStr">
        <is>
          <t>FOIL CONTAINER 22X16CM 10PC+PAPER LID</t>
        </is>
      </c>
      <c r="F2322" s="10" t="inlineStr"/>
      <c r="G2322" s="10" t="inlineStr"/>
      <c r="H2322" s="10" t="inlineStr"/>
      <c r="I2322" s="11" t="n">
        <v>32.95</v>
      </c>
      <c r="J2322" s="6" t="n">
        <v>15</v>
      </c>
      <c r="K2322" s="7">
        <f>IF(I2322="","",I2322*(1+J2322/100))</f>
        <v/>
      </c>
      <c r="L2322" s="12" t="inlineStr"/>
      <c r="M2322" s="8">
        <f>IF(OR(L2322="",K2322="",L2322=0),"",
  (L2322-K2322)/L2322*100)</f>
        <v/>
      </c>
      <c r="N2322" s="13" t="n">
        <v>821</v>
      </c>
      <c r="O2322" s="10" t="inlineStr"/>
      <c r="P2322" s="10" t="inlineStr"/>
      <c r="Q2322" s="10" t="inlineStr"/>
      <c r="R2322" s="10" t="inlineStr">
        <is>
          <t>2026-03-12</t>
        </is>
      </c>
      <c r="S2322" s="10" t="inlineStr"/>
    </row>
    <row r="2323">
      <c r="A2323" s="3" t="inlineStr">
        <is>
          <t>F02786</t>
        </is>
      </c>
      <c r="B2323" s="4" t="inlineStr">
        <is>
          <t>F02786</t>
        </is>
      </c>
      <c r="C2323" s="4" t="inlineStr"/>
      <c r="D2323" s="4" t="inlineStr">
        <is>
          <t>6009705652105</t>
        </is>
      </c>
      <c r="E2323" s="3" t="inlineStr">
        <is>
          <t>FOIL CONTAINER 25X19CM 5PC+PAPER LID</t>
        </is>
      </c>
      <c r="F2323" s="4" t="inlineStr"/>
      <c r="G2323" s="4" t="inlineStr"/>
      <c r="H2323" s="4" t="inlineStr"/>
      <c r="I2323" s="5" t="n">
        <v>28.95</v>
      </c>
      <c r="J2323" s="6" t="n">
        <v>15</v>
      </c>
      <c r="K2323" s="7">
        <f>IF(I2323="","",I2323*(1+J2323/100))</f>
        <v/>
      </c>
      <c r="L2323" s="12" t="inlineStr"/>
      <c r="M2323" s="8">
        <f>IF(OR(L2323="",K2323="",L2323=0),"",
  (L2323-K2323)/L2323*100)</f>
        <v/>
      </c>
      <c r="N2323" s="9" t="inlineStr"/>
      <c r="O2323" s="4" t="inlineStr"/>
      <c r="P2323" s="4" t="inlineStr"/>
      <c r="Q2323" s="4" t="inlineStr"/>
      <c r="R2323" s="4" t="inlineStr">
        <is>
          <t>2026-03-12</t>
        </is>
      </c>
      <c r="S2323" s="4" t="inlineStr"/>
    </row>
    <row r="2324">
      <c r="A2324" s="10" t="inlineStr">
        <is>
          <t>F02787</t>
        </is>
      </c>
      <c r="B2324" s="10" t="inlineStr">
        <is>
          <t>F02787</t>
        </is>
      </c>
      <c r="C2324" s="10" t="inlineStr">
        <is>
          <t>32214</t>
        </is>
      </c>
      <c r="D2324" s="10" t="inlineStr">
        <is>
          <t>6009705652112</t>
        </is>
      </c>
      <c r="E2324" s="10" t="inlineStr">
        <is>
          <t>FOIL CONTAINER 32X26.5CM 5PC+FOIL LID</t>
        </is>
      </c>
      <c r="F2324" s="10" t="inlineStr"/>
      <c r="G2324" s="10" t="inlineStr"/>
      <c r="H2324" s="10" t="inlineStr"/>
      <c r="I2324" s="11" t="n">
        <v>69.95</v>
      </c>
      <c r="J2324" s="6" t="n">
        <v>15</v>
      </c>
      <c r="K2324" s="7">
        <f>IF(I2324="","",I2324*(1+J2324/100))</f>
        <v/>
      </c>
      <c r="L2324" s="12" t="inlineStr"/>
      <c r="M2324" s="8">
        <f>IF(OR(L2324="",K2324="",L2324=0),"",
  (L2324-K2324)/L2324*100)</f>
        <v/>
      </c>
      <c r="N2324" s="9" t="inlineStr"/>
      <c r="O2324" s="10" t="inlineStr"/>
      <c r="P2324" s="10" t="inlineStr"/>
      <c r="Q2324" s="10" t="inlineStr"/>
      <c r="R2324" s="10" t="inlineStr">
        <is>
          <t>2026-03-12</t>
        </is>
      </c>
      <c r="S2324" s="10" t="inlineStr"/>
    </row>
    <row r="2325">
      <c r="A2325" s="3" t="inlineStr">
        <is>
          <t>F02788</t>
        </is>
      </c>
      <c r="B2325" s="4" t="inlineStr">
        <is>
          <t>F02788</t>
        </is>
      </c>
      <c r="C2325" s="4" t="inlineStr">
        <is>
          <t>32216</t>
        </is>
      </c>
      <c r="D2325" s="4" t="inlineStr">
        <is>
          <t>6009705652129</t>
        </is>
      </c>
      <c r="E2325" s="3" t="inlineStr">
        <is>
          <t>FOIL CONTAINER 37X27CM 5PC+FOILID</t>
        </is>
      </c>
      <c r="F2325" s="4" t="inlineStr"/>
      <c r="G2325" s="4" t="inlineStr"/>
      <c r="H2325" s="4" t="inlineStr"/>
      <c r="I2325" s="5" t="n">
        <v>79.95</v>
      </c>
      <c r="J2325" s="6" t="n">
        <v>15</v>
      </c>
      <c r="K2325" s="7">
        <f>IF(I2325="","",I2325*(1+J2325/100))</f>
        <v/>
      </c>
      <c r="L2325" s="12" t="inlineStr"/>
      <c r="M2325" s="8">
        <f>IF(OR(L2325="",K2325="",L2325=0),"",
  (L2325-K2325)/L2325*100)</f>
        <v/>
      </c>
      <c r="N2325" s="14" t="n">
        <v>27</v>
      </c>
      <c r="O2325" s="4" t="inlineStr"/>
      <c r="P2325" s="4" t="inlineStr"/>
      <c r="Q2325" s="4" t="inlineStr"/>
      <c r="R2325" s="4" t="inlineStr">
        <is>
          <t>2026-03-12</t>
        </is>
      </c>
      <c r="S2325" s="4" t="inlineStr"/>
    </row>
    <row r="2326">
      <c r="A2326" s="10" t="inlineStr">
        <is>
          <t>F02789</t>
        </is>
      </c>
      <c r="B2326" s="10" t="inlineStr">
        <is>
          <t>F02789</t>
        </is>
      </c>
      <c r="C2326" s="10" t="inlineStr"/>
      <c r="D2326" s="10" t="inlineStr">
        <is>
          <t>6009705652136</t>
        </is>
      </c>
      <c r="E2326" s="10" t="inlineStr">
        <is>
          <t>FOIL CONTAINER 52.5X32.8CM 2SET+PL LID</t>
        </is>
      </c>
      <c r="F2326" s="10" t="inlineStr"/>
      <c r="G2326" s="10" t="inlineStr"/>
      <c r="H2326" s="10" t="inlineStr"/>
      <c r="I2326" s="11" t="n">
        <v>57.95</v>
      </c>
      <c r="J2326" s="6" t="n">
        <v>15</v>
      </c>
      <c r="K2326" s="7">
        <f>IF(I2326="","",I2326*(1+J2326/100))</f>
        <v/>
      </c>
      <c r="L2326" s="12" t="inlineStr"/>
      <c r="M2326" s="8">
        <f>IF(OR(L2326="",K2326="",L2326=0),"",
  (L2326-K2326)/L2326*100)</f>
        <v/>
      </c>
      <c r="N2326" s="13" t="n">
        <v>549</v>
      </c>
      <c r="O2326" s="10" t="inlineStr"/>
      <c r="P2326" s="10" t="inlineStr"/>
      <c r="Q2326" s="10" t="inlineStr"/>
      <c r="R2326" s="10" t="inlineStr">
        <is>
          <t>2026-03-12</t>
        </is>
      </c>
      <c r="S2326" s="10" t="inlineStr"/>
    </row>
    <row r="2327">
      <c r="A2327" s="3" t="inlineStr">
        <is>
          <t>F02790</t>
        </is>
      </c>
      <c r="B2327" s="4" t="inlineStr">
        <is>
          <t>F02790</t>
        </is>
      </c>
      <c r="C2327" s="4" t="inlineStr"/>
      <c r="D2327" s="4" t="inlineStr"/>
      <c r="E2327" s="3" t="inlineStr">
        <is>
          <t>WALL PANEL BLACKBURY LOOSE</t>
        </is>
      </c>
      <c r="F2327" s="4" t="inlineStr"/>
      <c r="G2327" s="4" t="inlineStr"/>
      <c r="H2327" s="4" t="inlineStr"/>
      <c r="I2327" s="5" t="n">
        <v>169</v>
      </c>
      <c r="J2327" s="6" t="n">
        <v>15</v>
      </c>
      <c r="K2327" s="7">
        <f>IF(I2327="","",I2327*(1+J2327/100))</f>
        <v/>
      </c>
      <c r="L2327" s="12" t="inlineStr"/>
      <c r="M2327" s="8">
        <f>IF(OR(L2327="",K2327="",L2327=0),"",
  (L2327-K2327)/L2327*100)</f>
        <v/>
      </c>
      <c r="N2327" s="9" t="inlineStr"/>
      <c r="O2327" s="4" t="inlineStr"/>
      <c r="P2327" s="4" t="inlineStr"/>
      <c r="Q2327" s="4" t="inlineStr"/>
      <c r="R2327" s="4" t="inlineStr">
        <is>
          <t>2026-03-12</t>
        </is>
      </c>
      <c r="S2327" s="4" t="inlineStr"/>
    </row>
    <row r="2328">
      <c r="A2328" s="10" t="inlineStr">
        <is>
          <t>F02791</t>
        </is>
      </c>
      <c r="B2328" s="10" t="inlineStr">
        <is>
          <t>F02791</t>
        </is>
      </c>
      <c r="C2328" s="10" t="inlineStr">
        <is>
          <t>18918</t>
        </is>
      </c>
      <c r="D2328" s="10" t="inlineStr"/>
      <c r="E2328" s="10" t="inlineStr">
        <is>
          <t>LED LIGHT CEILING  28W WATER DROPLETS</t>
        </is>
      </c>
      <c r="F2328" s="10" t="inlineStr"/>
      <c r="G2328" s="10" t="inlineStr"/>
      <c r="H2328" s="10" t="inlineStr"/>
      <c r="I2328" s="11" t="n">
        <v>215</v>
      </c>
      <c r="J2328" s="6" t="n">
        <v>15</v>
      </c>
      <c r="K2328" s="7">
        <f>IF(I2328="","",I2328*(1+J2328/100))</f>
        <v/>
      </c>
      <c r="L2328" s="11" t="n">
        <v>380</v>
      </c>
      <c r="M2328" s="8">
        <f>IF(OR(L2328="",K2328="",L2328=0),"",
  (L2328-K2328)/L2328*100)</f>
        <v/>
      </c>
      <c r="N2328" s="9" t="inlineStr"/>
      <c r="O2328" s="10" t="inlineStr"/>
      <c r="P2328" s="10" t="inlineStr"/>
      <c r="Q2328" s="10" t="inlineStr"/>
      <c r="R2328" s="10" t="inlineStr">
        <is>
          <t>2026-03-12</t>
        </is>
      </c>
      <c r="S2328" s="10" t="inlineStr"/>
    </row>
    <row r="2329">
      <c r="A2329" s="3" t="inlineStr">
        <is>
          <t>F02792</t>
        </is>
      </c>
      <c r="B2329" s="4" t="inlineStr">
        <is>
          <t>F02792</t>
        </is>
      </c>
      <c r="C2329" s="4" t="inlineStr"/>
      <c r="D2329" s="4" t="inlineStr">
        <is>
          <t>6009705656657</t>
        </is>
      </c>
      <c r="E2329" s="3" t="inlineStr">
        <is>
          <t>LED STRIP LIGHT 15CM 1.5W   WALL PANEL</t>
        </is>
      </c>
      <c r="F2329" s="4" t="inlineStr"/>
      <c r="G2329" s="4" t="inlineStr"/>
      <c r="H2329" s="4" t="inlineStr"/>
      <c r="I2329" s="5" t="n">
        <v>47.95</v>
      </c>
      <c r="J2329" s="6" t="n">
        <v>15</v>
      </c>
      <c r="K2329" s="7">
        <f>IF(I2329="","",I2329*(1+J2329/100))</f>
        <v/>
      </c>
      <c r="L2329" s="12" t="inlineStr"/>
      <c r="M2329" s="8">
        <f>IF(OR(L2329="",K2329="",L2329=0),"",
  (L2329-K2329)/L2329*100)</f>
        <v/>
      </c>
      <c r="N2329" s="9" t="inlineStr"/>
      <c r="O2329" s="4" t="inlineStr"/>
      <c r="P2329" s="4" t="inlineStr"/>
      <c r="Q2329" s="4" t="inlineStr"/>
      <c r="R2329" s="4" t="inlineStr">
        <is>
          <t>2026-03-12</t>
        </is>
      </c>
      <c r="S2329" s="4" t="inlineStr"/>
    </row>
    <row r="2330">
      <c r="A2330" s="10" t="inlineStr">
        <is>
          <t>F02793</t>
        </is>
      </c>
      <c r="B2330" s="10" t="inlineStr">
        <is>
          <t>F02793</t>
        </is>
      </c>
      <c r="C2330" s="10" t="inlineStr"/>
      <c r="D2330" s="10" t="inlineStr">
        <is>
          <t>6009705656664</t>
        </is>
      </c>
      <c r="E2330" s="10" t="inlineStr">
        <is>
          <t>LED STRIP LIGHT 30CM 3W   WALL PANEL</t>
        </is>
      </c>
      <c r="F2330" s="10" t="inlineStr"/>
      <c r="G2330" s="10" t="inlineStr"/>
      <c r="H2330" s="10" t="inlineStr"/>
      <c r="I2330" s="11" t="n">
        <v>59.95</v>
      </c>
      <c r="J2330" s="6" t="n">
        <v>15</v>
      </c>
      <c r="K2330" s="7">
        <f>IF(I2330="","",I2330*(1+J2330/100))</f>
        <v/>
      </c>
      <c r="L2330" s="12" t="inlineStr"/>
      <c r="M2330" s="8">
        <f>IF(OR(L2330="",K2330="",L2330=0),"",
  (L2330-K2330)/L2330*100)</f>
        <v/>
      </c>
      <c r="N2330" s="9" t="inlineStr"/>
      <c r="O2330" s="10" t="inlineStr"/>
      <c r="P2330" s="10" t="inlineStr"/>
      <c r="Q2330" s="10" t="inlineStr"/>
      <c r="R2330" s="10" t="inlineStr">
        <is>
          <t>2026-03-12</t>
        </is>
      </c>
      <c r="S2330" s="10" t="inlineStr"/>
    </row>
    <row r="2331">
      <c r="A2331" s="3" t="inlineStr">
        <is>
          <t>F02794</t>
        </is>
      </c>
      <c r="B2331" s="4" t="inlineStr">
        <is>
          <t>F02794</t>
        </is>
      </c>
      <c r="C2331" s="4" t="inlineStr"/>
      <c r="D2331" s="4" t="inlineStr">
        <is>
          <t>6009705656671</t>
        </is>
      </c>
      <c r="E2331" s="3" t="inlineStr">
        <is>
          <t>LED STRIP LIGHT 45CM 4W  WALL PANEL</t>
        </is>
      </c>
      <c r="F2331" s="4" t="inlineStr"/>
      <c r="G2331" s="4" t="inlineStr"/>
      <c r="H2331" s="4" t="inlineStr"/>
      <c r="I2331" s="5" t="n">
        <v>95</v>
      </c>
      <c r="J2331" s="6" t="n">
        <v>15</v>
      </c>
      <c r="K2331" s="7">
        <f>IF(I2331="","",I2331*(1+J2331/100))</f>
        <v/>
      </c>
      <c r="L2331" s="12" t="inlineStr"/>
      <c r="M2331" s="8">
        <f>IF(OR(L2331="",K2331="",L2331=0),"",
  (L2331-K2331)/L2331*100)</f>
        <v/>
      </c>
      <c r="N2331" s="9" t="inlineStr"/>
      <c r="O2331" s="4" t="inlineStr"/>
      <c r="P2331" s="4" t="inlineStr"/>
      <c r="Q2331" s="4" t="inlineStr"/>
      <c r="R2331" s="4" t="inlineStr">
        <is>
          <t>2026-03-12</t>
        </is>
      </c>
      <c r="S2331" s="4" t="inlineStr"/>
    </row>
    <row r="2332">
      <c r="A2332" s="10" t="inlineStr">
        <is>
          <t>F02795</t>
        </is>
      </c>
      <c r="B2332" s="10" t="inlineStr">
        <is>
          <t>F02795</t>
        </is>
      </c>
      <c r="C2332" s="10" t="inlineStr"/>
      <c r="D2332" s="10" t="inlineStr">
        <is>
          <t>6009705656688</t>
        </is>
      </c>
      <c r="E2332" s="10" t="inlineStr">
        <is>
          <t>LED STRIP LIGHT 60CM 6W   WALL PANEL</t>
        </is>
      </c>
      <c r="F2332" s="10" t="inlineStr"/>
      <c r="G2332" s="10" t="inlineStr"/>
      <c r="H2332" s="10" t="inlineStr"/>
      <c r="I2332" s="11" t="n">
        <v>139</v>
      </c>
      <c r="J2332" s="6" t="n">
        <v>15</v>
      </c>
      <c r="K2332" s="7">
        <f>IF(I2332="","",I2332*(1+J2332/100))</f>
        <v/>
      </c>
      <c r="L2332" s="12" t="inlineStr"/>
      <c r="M2332" s="8">
        <f>IF(OR(L2332="",K2332="",L2332=0),"",
  (L2332-K2332)/L2332*100)</f>
        <v/>
      </c>
      <c r="N2332" s="9" t="inlineStr"/>
      <c r="O2332" s="10" t="inlineStr"/>
      <c r="P2332" s="10" t="inlineStr"/>
      <c r="Q2332" s="10" t="inlineStr"/>
      <c r="R2332" s="10" t="inlineStr">
        <is>
          <t>2026-03-12</t>
        </is>
      </c>
      <c r="S2332" s="10" t="inlineStr"/>
    </row>
    <row r="2333">
      <c r="A2333" s="3" t="inlineStr">
        <is>
          <t>F02796</t>
        </is>
      </c>
      <c r="B2333" s="4" t="inlineStr">
        <is>
          <t>F02796</t>
        </is>
      </c>
      <c r="C2333" s="4" t="inlineStr"/>
      <c r="D2333" s="4" t="inlineStr">
        <is>
          <t>6009705656695</t>
        </is>
      </c>
      <c r="E2333" s="3" t="inlineStr">
        <is>
          <t>LED STRIP LIGHT 75CM 9W  WALL PANEL</t>
        </is>
      </c>
      <c r="F2333" s="4" t="inlineStr"/>
      <c r="G2333" s="4" t="inlineStr"/>
      <c r="H2333" s="4" t="inlineStr"/>
      <c r="I2333" s="5" t="n">
        <v>189</v>
      </c>
      <c r="J2333" s="6" t="n">
        <v>15</v>
      </c>
      <c r="K2333" s="7">
        <f>IF(I2333="","",I2333*(1+J2333/100))</f>
        <v/>
      </c>
      <c r="L2333" s="12" t="inlineStr"/>
      <c r="M2333" s="8">
        <f>IF(OR(L2333="",K2333="",L2333=0),"",
  (L2333-K2333)/L2333*100)</f>
        <v/>
      </c>
      <c r="N2333" s="9" t="inlineStr"/>
      <c r="O2333" s="4" t="inlineStr"/>
      <c r="P2333" s="4" t="inlineStr"/>
      <c r="Q2333" s="4" t="inlineStr"/>
      <c r="R2333" s="4" t="inlineStr">
        <is>
          <t>2026-03-12</t>
        </is>
      </c>
      <c r="S2333" s="4" t="inlineStr"/>
    </row>
    <row r="2334">
      <c r="A2334" s="10" t="inlineStr">
        <is>
          <t>F02797</t>
        </is>
      </c>
      <c r="B2334" s="10" t="inlineStr">
        <is>
          <t>F02797</t>
        </is>
      </c>
      <c r="C2334" s="10" t="inlineStr"/>
      <c r="D2334" s="10" t="inlineStr">
        <is>
          <t>6009705656701</t>
        </is>
      </c>
      <c r="E2334" s="10" t="inlineStr">
        <is>
          <t>LED STRIP LIGHT 90CM 12W WALL PANEL</t>
        </is>
      </c>
      <c r="F2334" s="10" t="inlineStr"/>
      <c r="G2334" s="10" t="inlineStr"/>
      <c r="H2334" s="10" t="inlineStr"/>
      <c r="I2334" s="11" t="n">
        <v>229</v>
      </c>
      <c r="J2334" s="6" t="n">
        <v>15</v>
      </c>
      <c r="K2334" s="7">
        <f>IF(I2334="","",I2334*(1+J2334/100))</f>
        <v/>
      </c>
      <c r="L2334" s="12" t="inlineStr"/>
      <c r="M2334" s="8">
        <f>IF(OR(L2334="",K2334="",L2334=0),"",
  (L2334-K2334)/L2334*100)</f>
        <v/>
      </c>
      <c r="N2334" s="9" t="inlineStr"/>
      <c r="O2334" s="10" t="inlineStr"/>
      <c r="P2334" s="10" t="inlineStr"/>
      <c r="Q2334" s="10" t="inlineStr"/>
      <c r="R2334" s="10" t="inlineStr">
        <is>
          <t>2026-03-12</t>
        </is>
      </c>
      <c r="S2334" s="10" t="inlineStr"/>
    </row>
    <row r="2335">
      <c r="A2335" s="3" t="inlineStr">
        <is>
          <t>F02798</t>
        </is>
      </c>
      <c r="B2335" s="4" t="inlineStr">
        <is>
          <t>F02798</t>
        </is>
      </c>
      <c r="C2335" s="4" t="inlineStr"/>
      <c r="D2335" s="4" t="inlineStr"/>
      <c r="E2335" s="3" t="inlineStr">
        <is>
          <t>ADAPTOR  100W(24V) FOR LED LIGHT</t>
        </is>
      </c>
      <c r="F2335" s="4" t="inlineStr"/>
      <c r="G2335" s="4" t="inlineStr"/>
      <c r="H2335" s="4" t="inlineStr"/>
      <c r="I2335" s="5" t="n">
        <v>182.5</v>
      </c>
      <c r="J2335" s="6" t="n">
        <v>15</v>
      </c>
      <c r="K2335" s="7">
        <f>IF(I2335="","",I2335*(1+J2335/100))</f>
        <v/>
      </c>
      <c r="L2335" s="12" t="inlineStr"/>
      <c r="M2335" s="8">
        <f>IF(OR(L2335="",K2335="",L2335=0),"",
  (L2335-K2335)/L2335*100)</f>
        <v/>
      </c>
      <c r="N2335" s="9" t="inlineStr"/>
      <c r="O2335" s="4" t="inlineStr"/>
      <c r="P2335" s="4" t="inlineStr"/>
      <c r="Q2335" s="4" t="inlineStr"/>
      <c r="R2335" s="4" t="inlineStr">
        <is>
          <t>2026-03-12</t>
        </is>
      </c>
      <c r="S2335" s="4" t="inlineStr"/>
    </row>
    <row r="2336">
      <c r="A2336" s="10" t="inlineStr">
        <is>
          <t>F02799</t>
        </is>
      </c>
      <c r="B2336" s="10" t="inlineStr">
        <is>
          <t>F02799</t>
        </is>
      </c>
      <c r="C2336" s="10" t="inlineStr"/>
      <c r="D2336" s="10" t="inlineStr">
        <is>
          <t>6009705657599</t>
        </is>
      </c>
      <c r="E2336" s="10" t="inlineStr">
        <is>
          <t>LIGHT SPOT FOR WPC 23X23MM PANEL 0.5WAT</t>
        </is>
      </c>
      <c r="F2336" s="10" t="inlineStr"/>
      <c r="G2336" s="10" t="inlineStr"/>
      <c r="H2336" s="10" t="inlineStr"/>
      <c r="I2336" s="11" t="n">
        <v>34.95</v>
      </c>
      <c r="J2336" s="6" t="n">
        <v>15</v>
      </c>
      <c r="K2336" s="7">
        <f>IF(I2336="","",I2336*(1+J2336/100))</f>
        <v/>
      </c>
      <c r="L2336" s="12" t="inlineStr"/>
      <c r="M2336" s="8">
        <f>IF(OR(L2336="",K2336="",L2336=0),"",
  (L2336-K2336)/L2336*100)</f>
        <v/>
      </c>
      <c r="N2336" s="9" t="inlineStr"/>
      <c r="O2336" s="10" t="inlineStr"/>
      <c r="P2336" s="10" t="inlineStr"/>
      <c r="Q2336" s="10" t="inlineStr"/>
      <c r="R2336" s="10" t="inlineStr">
        <is>
          <t>2026-03-12</t>
        </is>
      </c>
      <c r="S2336" s="10" t="inlineStr"/>
    </row>
    <row r="2337">
      <c r="A2337" s="3" t="inlineStr">
        <is>
          <t>F02800</t>
        </is>
      </c>
      <c r="B2337" s="4" t="inlineStr">
        <is>
          <t>F02800</t>
        </is>
      </c>
      <c r="C2337" s="4" t="inlineStr"/>
      <c r="D2337" s="4" t="inlineStr"/>
      <c r="E2337" s="3" t="inlineStr">
        <is>
          <t>ADAPTOR 24VOLT  100W FOR LED LIGHT</t>
        </is>
      </c>
      <c r="F2337" s="4" t="inlineStr"/>
      <c r="G2337" s="4" t="inlineStr"/>
      <c r="H2337" s="4" t="inlineStr"/>
      <c r="I2337" s="5" t="n">
        <v>165</v>
      </c>
      <c r="J2337" s="6" t="n">
        <v>15</v>
      </c>
      <c r="K2337" s="7">
        <f>IF(I2337="","",I2337*(1+J2337/100))</f>
        <v/>
      </c>
      <c r="L2337" s="12" t="inlineStr"/>
      <c r="M2337" s="8">
        <f>IF(OR(L2337="",K2337="",L2337=0),"",
  (L2337-K2337)/L2337*100)</f>
        <v/>
      </c>
      <c r="N2337" s="14" t="n">
        <v>180</v>
      </c>
      <c r="O2337" s="4" t="inlineStr"/>
      <c r="P2337" s="4" t="inlineStr"/>
      <c r="Q2337" s="4" t="inlineStr"/>
      <c r="R2337" s="4" t="inlineStr">
        <is>
          <t>2026-03-12</t>
        </is>
      </c>
      <c r="S2337" s="4" t="inlineStr"/>
    </row>
    <row r="2338">
      <c r="A2338" s="10" t="inlineStr">
        <is>
          <t>F02801</t>
        </is>
      </c>
      <c r="B2338" s="10" t="inlineStr">
        <is>
          <t>F02801</t>
        </is>
      </c>
      <c r="C2338" s="10" t="inlineStr"/>
      <c r="D2338" s="10" t="inlineStr"/>
      <c r="E2338" s="10" t="inlineStr">
        <is>
          <t>CUTTING DISC PACKING 115</t>
        </is>
      </c>
      <c r="F2338" s="10" t="inlineStr"/>
      <c r="G2338" s="10" t="inlineStr"/>
      <c r="H2338" s="10" t="inlineStr"/>
      <c r="I2338" s="11" t="n">
        <v>2</v>
      </c>
      <c r="J2338" s="6" t="n">
        <v>15</v>
      </c>
      <c r="K2338" s="7">
        <f>IF(I2338="","",I2338*(1+J2338/100))</f>
        <v/>
      </c>
      <c r="L2338" s="12" t="inlineStr"/>
      <c r="M2338" s="8">
        <f>IF(OR(L2338="",K2338="",L2338=0),"",
  (L2338-K2338)/L2338*100)</f>
        <v/>
      </c>
      <c r="N2338" s="13" t="n">
        <v>466</v>
      </c>
      <c r="O2338" s="10" t="inlineStr"/>
      <c r="P2338" s="10" t="inlineStr"/>
      <c r="Q2338" s="10" t="inlineStr"/>
      <c r="R2338" s="10" t="inlineStr">
        <is>
          <t>2026-03-12</t>
        </is>
      </c>
      <c r="S2338" s="10" t="inlineStr"/>
    </row>
    <row r="2339">
      <c r="A2339" s="3" t="inlineStr">
        <is>
          <t>F02802</t>
        </is>
      </c>
      <c r="B2339" s="4" t="inlineStr">
        <is>
          <t>F02802</t>
        </is>
      </c>
      <c r="C2339" s="4" t="inlineStr"/>
      <c r="D2339" s="4" t="inlineStr"/>
      <c r="E2339" s="3" t="inlineStr">
        <is>
          <t>CUTTING DISC 230 PACKING</t>
        </is>
      </c>
      <c r="F2339" s="4" t="inlineStr"/>
      <c r="G2339" s="4" t="inlineStr"/>
      <c r="H2339" s="4" t="inlineStr"/>
      <c r="I2339" s="5" t="n">
        <v>2</v>
      </c>
      <c r="J2339" s="6" t="n">
        <v>15</v>
      </c>
      <c r="K2339" s="7">
        <f>IF(I2339="","",I2339*(1+J2339/100))</f>
        <v/>
      </c>
      <c r="L2339" s="12" t="inlineStr"/>
      <c r="M2339" s="8">
        <f>IF(OR(L2339="",K2339="",L2339=0),"",
  (L2339-K2339)/L2339*100)</f>
        <v/>
      </c>
      <c r="N2339" s="14" t="n">
        <v>746</v>
      </c>
      <c r="O2339" s="4" t="inlineStr"/>
      <c r="P2339" s="4" t="inlineStr"/>
      <c r="Q2339" s="4" t="inlineStr"/>
      <c r="R2339" s="4" t="inlineStr">
        <is>
          <t>2026-03-12</t>
        </is>
      </c>
      <c r="S2339" s="4" t="inlineStr"/>
    </row>
    <row r="2340">
      <c r="A2340" s="10" t="inlineStr">
        <is>
          <t>F02803</t>
        </is>
      </c>
      <c r="B2340" s="10" t="inlineStr">
        <is>
          <t>F02803</t>
        </is>
      </c>
      <c r="C2340" s="10" t="inlineStr"/>
      <c r="D2340" s="10" t="inlineStr"/>
      <c r="E2340" s="10" t="inlineStr">
        <is>
          <t>FOOD CONTAINER 1</t>
        </is>
      </c>
      <c r="F2340" s="10" t="inlineStr"/>
      <c r="G2340" s="10" t="inlineStr"/>
      <c r="H2340" s="10" t="inlineStr"/>
      <c r="I2340" s="11" t="n">
        <v>2</v>
      </c>
      <c r="J2340" s="6" t="n">
        <v>15</v>
      </c>
      <c r="K2340" s="7">
        <f>IF(I2340="","",I2340*(1+J2340/100))</f>
        <v/>
      </c>
      <c r="L2340" s="12" t="inlineStr"/>
      <c r="M2340" s="8">
        <f>IF(OR(L2340="",K2340="",L2340=0),"",
  (L2340-K2340)/L2340*100)</f>
        <v/>
      </c>
      <c r="N2340" s="9" t="inlineStr"/>
      <c r="O2340" s="10" t="inlineStr"/>
      <c r="P2340" s="10" t="inlineStr"/>
      <c r="Q2340" s="10" t="inlineStr"/>
      <c r="R2340" s="10" t="inlineStr">
        <is>
          <t>2026-03-12</t>
        </is>
      </c>
      <c r="S2340" s="10" t="inlineStr"/>
    </row>
    <row r="2341">
      <c r="A2341" s="3" t="inlineStr">
        <is>
          <t>F02804</t>
        </is>
      </c>
      <c r="B2341" s="4" t="inlineStr">
        <is>
          <t>F02804</t>
        </is>
      </c>
      <c r="C2341" s="4" t="inlineStr"/>
      <c r="D2341" s="4" t="inlineStr"/>
      <c r="E2341" s="3" t="inlineStr">
        <is>
          <t>FOOD CONTAINER 2</t>
        </is>
      </c>
      <c r="F2341" s="4" t="inlineStr"/>
      <c r="G2341" s="4" t="inlineStr"/>
      <c r="H2341" s="4" t="inlineStr"/>
      <c r="I2341" s="5" t="n">
        <v>2</v>
      </c>
      <c r="J2341" s="6" t="n">
        <v>15</v>
      </c>
      <c r="K2341" s="7">
        <f>IF(I2341="","",I2341*(1+J2341/100))</f>
        <v/>
      </c>
      <c r="L2341" s="12" t="inlineStr"/>
      <c r="M2341" s="8">
        <f>IF(OR(L2341="",K2341="",L2341=0),"",
  (L2341-K2341)/L2341*100)</f>
        <v/>
      </c>
      <c r="N2341" s="9" t="inlineStr"/>
      <c r="O2341" s="4" t="inlineStr"/>
      <c r="P2341" s="4" t="inlineStr"/>
      <c r="Q2341" s="4" t="inlineStr"/>
      <c r="R2341" s="4" t="inlineStr">
        <is>
          <t>2026-03-12</t>
        </is>
      </c>
      <c r="S2341" s="4" t="inlineStr"/>
    </row>
    <row r="2342">
      <c r="A2342" s="10" t="inlineStr">
        <is>
          <t>F02805</t>
        </is>
      </c>
      <c r="B2342" s="10" t="inlineStr">
        <is>
          <t>F02805</t>
        </is>
      </c>
      <c r="C2342" s="10" t="inlineStr"/>
      <c r="D2342" s="10" t="inlineStr"/>
      <c r="E2342" s="10" t="inlineStr">
        <is>
          <t>FOOD CONTAINER 3</t>
        </is>
      </c>
      <c r="F2342" s="10" t="inlineStr"/>
      <c r="G2342" s="10" t="inlineStr"/>
      <c r="H2342" s="10" t="inlineStr"/>
      <c r="I2342" s="11" t="n">
        <v>2</v>
      </c>
      <c r="J2342" s="6" t="n">
        <v>15</v>
      </c>
      <c r="K2342" s="7">
        <f>IF(I2342="","",I2342*(1+J2342/100))</f>
        <v/>
      </c>
      <c r="L2342" s="12" t="inlineStr"/>
      <c r="M2342" s="8">
        <f>IF(OR(L2342="",K2342="",L2342=0),"",
  (L2342-K2342)/L2342*100)</f>
        <v/>
      </c>
      <c r="N2342" s="9" t="inlineStr"/>
      <c r="O2342" s="10" t="inlineStr"/>
      <c r="P2342" s="10" t="inlineStr"/>
      <c r="Q2342" s="10" t="inlineStr"/>
      <c r="R2342" s="10" t="inlineStr">
        <is>
          <t>2026-03-12</t>
        </is>
      </c>
      <c r="S2342" s="10" t="inlineStr"/>
    </row>
    <row r="2343">
      <c r="A2343" s="3" t="inlineStr">
        <is>
          <t>F02806</t>
        </is>
      </c>
      <c r="B2343" s="4" t="inlineStr">
        <is>
          <t>F02806</t>
        </is>
      </c>
      <c r="C2343" s="4" t="inlineStr">
        <is>
          <t>20693</t>
        </is>
      </c>
      <c r="D2343" s="4" t="inlineStr">
        <is>
          <t>6009705651962</t>
        </is>
      </c>
      <c r="E2343" s="3" t="inlineStr">
        <is>
          <t>CAMPHOR BLOCKS</t>
        </is>
      </c>
      <c r="F2343" s="4" t="inlineStr"/>
      <c r="G2343" s="4" t="inlineStr"/>
      <c r="H2343" s="4" t="inlineStr"/>
      <c r="I2343" s="5" t="n">
        <v>87.5</v>
      </c>
      <c r="J2343" s="6" t="n">
        <v>15</v>
      </c>
      <c r="K2343" s="7">
        <f>IF(I2343="","",I2343*(1+J2343/100))</f>
        <v/>
      </c>
      <c r="L2343" s="5" t="n">
        <v>250</v>
      </c>
      <c r="M2343" s="8">
        <f>IF(OR(L2343="",K2343="",L2343=0),"",
  (L2343-K2343)/L2343*100)</f>
        <v/>
      </c>
      <c r="N2343" s="14" t="n">
        <v>1470</v>
      </c>
      <c r="O2343" s="4" t="inlineStr"/>
      <c r="P2343" s="4" t="inlineStr"/>
      <c r="Q2343" s="4" t="inlineStr"/>
      <c r="R2343" s="4" t="inlineStr">
        <is>
          <t>2026-03-12</t>
        </is>
      </c>
      <c r="S2343" s="4" t="inlineStr"/>
    </row>
    <row r="2344">
      <c r="A2344" s="10" t="inlineStr">
        <is>
          <t>F02807</t>
        </is>
      </c>
      <c r="B2344" s="10" t="inlineStr">
        <is>
          <t>F02807</t>
        </is>
      </c>
      <c r="C2344" s="10" t="inlineStr"/>
      <c r="D2344" s="10" t="inlineStr"/>
      <c r="E2344" s="10" t="inlineStr">
        <is>
          <t>DOUBLE BUCKET + WRINGER 50LTR</t>
        </is>
      </c>
      <c r="F2344" s="10" t="inlineStr"/>
      <c r="G2344" s="10" t="inlineStr"/>
      <c r="H2344" s="10" t="inlineStr"/>
      <c r="I2344" s="11" t="n">
        <v>1495</v>
      </c>
      <c r="J2344" s="6" t="n">
        <v>15</v>
      </c>
      <c r="K2344" s="7">
        <f>IF(I2344="","",I2344*(1+J2344/100))</f>
        <v/>
      </c>
      <c r="L2344" s="12" t="inlineStr"/>
      <c r="M2344" s="8">
        <f>IF(OR(L2344="",K2344="",L2344=0),"",
  (L2344-K2344)/L2344*100)</f>
        <v/>
      </c>
      <c r="N2344" s="9" t="inlineStr"/>
      <c r="O2344" s="10" t="inlineStr"/>
      <c r="P2344" s="10" t="inlineStr"/>
      <c r="Q2344" s="10" t="inlineStr"/>
      <c r="R2344" s="10" t="inlineStr">
        <is>
          <t>2026-03-12</t>
        </is>
      </c>
      <c r="S2344" s="10" t="inlineStr"/>
    </row>
    <row r="2345">
      <c r="A2345" s="3" t="inlineStr">
        <is>
          <t>F02808</t>
        </is>
      </c>
      <c r="B2345" s="4" t="inlineStr">
        <is>
          <t>F02808</t>
        </is>
      </c>
      <c r="C2345" s="4" t="inlineStr"/>
      <c r="D2345" s="4" t="inlineStr"/>
      <c r="E2345" s="3" t="inlineStr">
        <is>
          <t>SINGLE BUCKET + WRINGER 36LTR</t>
        </is>
      </c>
      <c r="F2345" s="4" t="inlineStr"/>
      <c r="G2345" s="4" t="inlineStr"/>
      <c r="H2345" s="4" t="inlineStr"/>
      <c r="I2345" s="5" t="n">
        <v>1150</v>
      </c>
      <c r="J2345" s="6" t="n">
        <v>15</v>
      </c>
      <c r="K2345" s="7">
        <f>IF(I2345="","",I2345*(1+J2345/100))</f>
        <v/>
      </c>
      <c r="L2345" s="12" t="inlineStr"/>
      <c r="M2345" s="8">
        <f>IF(OR(L2345="",K2345="",L2345=0),"",
  (L2345-K2345)/L2345*100)</f>
        <v/>
      </c>
      <c r="N2345" s="9" t="inlineStr"/>
      <c r="O2345" s="4" t="inlineStr"/>
      <c r="P2345" s="4" t="inlineStr"/>
      <c r="Q2345" s="4" t="inlineStr"/>
      <c r="R2345" s="4" t="inlineStr">
        <is>
          <t>2026-03-12</t>
        </is>
      </c>
      <c r="S2345" s="4" t="inlineStr"/>
    </row>
    <row r="2346">
      <c r="A2346" s="10" t="inlineStr">
        <is>
          <t>F02809</t>
        </is>
      </c>
      <c r="B2346" s="10" t="inlineStr">
        <is>
          <t>F02809</t>
        </is>
      </c>
      <c r="C2346" s="10" t="inlineStr"/>
      <c r="D2346" s="10" t="inlineStr">
        <is>
          <t>6009699453696</t>
        </is>
      </c>
      <c r="E2346" s="10" t="inlineStr">
        <is>
          <t>REFUSE BAGS TUFFONE 10'S</t>
        </is>
      </c>
      <c r="F2346" s="10" t="inlineStr"/>
      <c r="G2346" s="10" t="inlineStr"/>
      <c r="H2346" s="10" t="inlineStr"/>
      <c r="I2346" s="11" t="n">
        <v>10.5</v>
      </c>
      <c r="J2346" s="6" t="n">
        <v>15</v>
      </c>
      <c r="K2346" s="7">
        <f>IF(I2346="","",I2346*(1+J2346/100))</f>
        <v/>
      </c>
      <c r="L2346" s="12" t="inlineStr"/>
      <c r="M2346" s="8">
        <f>IF(OR(L2346="",K2346="",L2346=0),"",
  (L2346-K2346)/L2346*100)</f>
        <v/>
      </c>
      <c r="N2346" s="13" t="n">
        <v>637</v>
      </c>
      <c r="O2346" s="10" t="inlineStr"/>
      <c r="P2346" s="10" t="inlineStr"/>
      <c r="Q2346" s="10" t="inlineStr"/>
      <c r="R2346" s="10" t="inlineStr">
        <is>
          <t>2026-03-12</t>
        </is>
      </c>
      <c r="S2346" s="10" t="inlineStr"/>
    </row>
    <row r="2347">
      <c r="A2347" s="3" t="inlineStr">
        <is>
          <t>F02810</t>
        </is>
      </c>
      <c r="B2347" s="4" t="inlineStr">
        <is>
          <t>F02810</t>
        </is>
      </c>
      <c r="C2347" s="4" t="inlineStr"/>
      <c r="D2347" s="4" t="inlineStr">
        <is>
          <t>6009699450688</t>
        </is>
      </c>
      <c r="E2347" s="3" t="inlineStr">
        <is>
          <t>REFUSE BAGS TUFFONE 20'S</t>
        </is>
      </c>
      <c r="F2347" s="4" t="inlineStr"/>
      <c r="G2347" s="4" t="inlineStr"/>
      <c r="H2347" s="4" t="inlineStr"/>
      <c r="I2347" s="5" t="n">
        <v>15.5</v>
      </c>
      <c r="J2347" s="6" t="n">
        <v>15</v>
      </c>
      <c r="K2347" s="7">
        <f>IF(I2347="","",I2347*(1+J2347/100))</f>
        <v/>
      </c>
      <c r="L2347" s="12" t="inlineStr"/>
      <c r="M2347" s="8">
        <f>IF(OR(L2347="",K2347="",L2347=0),"",
  (L2347-K2347)/L2347*100)</f>
        <v/>
      </c>
      <c r="N2347" s="14" t="n">
        <v>540</v>
      </c>
      <c r="O2347" s="4" t="inlineStr"/>
      <c r="P2347" s="4" t="inlineStr"/>
      <c r="Q2347" s="4" t="inlineStr"/>
      <c r="R2347" s="4" t="inlineStr">
        <is>
          <t>2026-03-12</t>
        </is>
      </c>
      <c r="S2347" s="4" t="inlineStr"/>
    </row>
    <row r="2348">
      <c r="A2348" s="10" t="inlineStr">
        <is>
          <t>F02811</t>
        </is>
      </c>
      <c r="B2348" s="10" t="inlineStr">
        <is>
          <t>F02811</t>
        </is>
      </c>
      <c r="C2348" s="10" t="inlineStr">
        <is>
          <t>32201</t>
        </is>
      </c>
      <c r="D2348" s="10" t="inlineStr"/>
      <c r="E2348" s="10" t="inlineStr">
        <is>
          <t>CLEAR VEG PACKETS 500 PER ROLL</t>
        </is>
      </c>
      <c r="F2348" s="10" t="inlineStr"/>
      <c r="G2348" s="10" t="inlineStr"/>
      <c r="H2348" s="10" t="inlineStr"/>
      <c r="I2348" s="11" t="n">
        <v>30.95</v>
      </c>
      <c r="J2348" s="6" t="n">
        <v>15</v>
      </c>
      <c r="K2348" s="7">
        <f>IF(I2348="","",I2348*(1+J2348/100))</f>
        <v/>
      </c>
      <c r="L2348" s="12" t="inlineStr"/>
      <c r="M2348" s="8">
        <f>IF(OR(L2348="",K2348="",L2348=0),"",
  (L2348-K2348)/L2348*100)</f>
        <v/>
      </c>
      <c r="N2348" s="13" t="n">
        <v>7</v>
      </c>
      <c r="O2348" s="10" t="inlineStr"/>
      <c r="P2348" s="10" t="inlineStr"/>
      <c r="Q2348" s="10" t="inlineStr"/>
      <c r="R2348" s="10" t="inlineStr">
        <is>
          <t>2026-03-12</t>
        </is>
      </c>
      <c r="S2348" s="10" t="inlineStr"/>
    </row>
    <row r="2349">
      <c r="A2349" s="3" t="inlineStr">
        <is>
          <t>F02812</t>
        </is>
      </c>
      <c r="B2349" s="4" t="inlineStr">
        <is>
          <t>F02812</t>
        </is>
      </c>
      <c r="C2349" s="4" t="inlineStr">
        <is>
          <t>20669</t>
        </is>
      </c>
      <c r="D2349" s="4" t="inlineStr"/>
      <c r="E2349" s="3" t="inlineStr">
        <is>
          <t>HELMET SABS 6 COLOURS</t>
        </is>
      </c>
      <c r="F2349" s="4" t="inlineStr"/>
      <c r="G2349" s="4" t="inlineStr"/>
      <c r="H2349" s="4" t="inlineStr"/>
      <c r="I2349" s="5" t="n">
        <v>34.95</v>
      </c>
      <c r="J2349" s="6" t="n">
        <v>15</v>
      </c>
      <c r="K2349" s="7">
        <f>IF(I2349="","",I2349*(1+J2349/100))</f>
        <v/>
      </c>
      <c r="L2349" s="12" t="inlineStr"/>
      <c r="M2349" s="8">
        <f>IF(OR(L2349="",K2349="",L2349=0),"",
  (L2349-K2349)/L2349*100)</f>
        <v/>
      </c>
      <c r="N2349" s="14" t="n">
        <v>1</v>
      </c>
      <c r="O2349" s="4" t="inlineStr"/>
      <c r="P2349" s="4" t="inlineStr"/>
      <c r="Q2349" s="4" t="inlineStr"/>
      <c r="R2349" s="4" t="inlineStr">
        <is>
          <t>2026-03-12</t>
        </is>
      </c>
      <c r="S2349" s="4" t="inlineStr"/>
    </row>
    <row r="2350">
      <c r="A2350" s="10" t="inlineStr">
        <is>
          <t>F02813</t>
        </is>
      </c>
      <c r="B2350" s="10" t="inlineStr">
        <is>
          <t>F02813</t>
        </is>
      </c>
      <c r="C2350" s="10" t="inlineStr">
        <is>
          <t>20664</t>
        </is>
      </c>
      <c r="D2350" s="10" t="inlineStr">
        <is>
          <t>6009705378364</t>
        </is>
      </c>
      <c r="E2350" s="10" t="inlineStr">
        <is>
          <t>DANGER WAIST COAT ORANGE/GREEN POLYESTER</t>
        </is>
      </c>
      <c r="F2350" s="10" t="inlineStr"/>
      <c r="G2350" s="10" t="inlineStr"/>
      <c r="H2350" s="10" t="inlineStr"/>
      <c r="I2350" s="11" t="n">
        <v>46</v>
      </c>
      <c r="J2350" s="6" t="n">
        <v>15</v>
      </c>
      <c r="K2350" s="7">
        <f>IF(I2350="","",I2350*(1+J2350/100))</f>
        <v/>
      </c>
      <c r="L2350" s="12" t="inlineStr"/>
      <c r="M2350" s="8">
        <f>IF(OR(L2350="",K2350="",L2350=0),"",
  (L2350-K2350)/L2350*100)</f>
        <v/>
      </c>
      <c r="N2350" s="13" t="n">
        <v>65</v>
      </c>
      <c r="O2350" s="10" t="inlineStr"/>
      <c r="P2350" s="10" t="inlineStr"/>
      <c r="Q2350" s="10" t="inlineStr"/>
      <c r="R2350" s="10" t="inlineStr">
        <is>
          <t>2026-03-12</t>
        </is>
      </c>
      <c r="S2350" s="10" t="inlineStr"/>
    </row>
    <row r="2351">
      <c r="A2351" s="3" t="inlineStr">
        <is>
          <t>F02814</t>
        </is>
      </c>
      <c r="B2351" s="4" t="inlineStr">
        <is>
          <t>F02814</t>
        </is>
      </c>
      <c r="C2351" s="4" t="inlineStr">
        <is>
          <t>20682</t>
        </is>
      </c>
      <c r="D2351" s="4" t="inlineStr">
        <is>
          <t>6009703920619</t>
        </is>
      </c>
      <c r="E2351" s="3" t="inlineStr">
        <is>
          <t>SAFETY GLASS ANTI SCRATCH</t>
        </is>
      </c>
      <c r="F2351" s="4" t="inlineStr"/>
      <c r="G2351" s="4" t="inlineStr"/>
      <c r="H2351" s="4" t="inlineStr"/>
      <c r="I2351" s="5" t="n">
        <v>25.95</v>
      </c>
      <c r="J2351" s="6" t="n">
        <v>15</v>
      </c>
      <c r="K2351" s="7">
        <f>IF(I2351="","",I2351*(1+J2351/100))</f>
        <v/>
      </c>
      <c r="L2351" s="5" t="n">
        <v>130</v>
      </c>
      <c r="M2351" s="8">
        <f>IF(OR(L2351="",K2351="",L2351=0),"",
  (L2351-K2351)/L2351*100)</f>
        <v/>
      </c>
      <c r="N2351" s="14" t="n">
        <v>1</v>
      </c>
      <c r="O2351" s="4" t="inlineStr"/>
      <c r="P2351" s="4" t="inlineStr"/>
      <c r="Q2351" s="4" t="inlineStr"/>
      <c r="R2351" s="4" t="inlineStr">
        <is>
          <t>2026-03-12</t>
        </is>
      </c>
      <c r="S2351" s="4" t="inlineStr"/>
    </row>
    <row r="2352">
      <c r="A2352" s="10" t="inlineStr">
        <is>
          <t>F02815</t>
        </is>
      </c>
      <c r="B2352" s="10" t="inlineStr">
        <is>
          <t>F02815</t>
        </is>
      </c>
      <c r="C2352" s="10" t="inlineStr">
        <is>
          <t>20686</t>
        </is>
      </c>
      <c r="D2352" s="10" t="inlineStr">
        <is>
          <t>6009703136690</t>
        </is>
      </c>
      <c r="E2352" s="10" t="inlineStr">
        <is>
          <t>GOGGLE POLYBAG 36GM</t>
        </is>
      </c>
      <c r="F2352" s="10" t="inlineStr"/>
      <c r="G2352" s="10" t="inlineStr"/>
      <c r="H2352" s="10" t="inlineStr"/>
      <c r="I2352" s="11" t="n">
        <v>12.3</v>
      </c>
      <c r="J2352" s="6" t="n">
        <v>15</v>
      </c>
      <c r="K2352" s="7">
        <f>IF(I2352="","",I2352*(1+J2352/100))</f>
        <v/>
      </c>
      <c r="L2352" s="11" t="n">
        <v>120</v>
      </c>
      <c r="M2352" s="8">
        <f>IF(OR(L2352="",K2352="",L2352=0),"",
  (L2352-K2352)/L2352*100)</f>
        <v/>
      </c>
      <c r="N2352" s="13" t="n">
        <v>27</v>
      </c>
      <c r="O2352" s="10" t="inlineStr"/>
      <c r="P2352" s="10" t="inlineStr"/>
      <c r="Q2352" s="10" t="inlineStr"/>
      <c r="R2352" s="10" t="inlineStr">
        <is>
          <t>2026-03-12</t>
        </is>
      </c>
      <c r="S2352" s="10" t="inlineStr"/>
    </row>
    <row r="2353">
      <c r="A2353" s="3" t="inlineStr">
        <is>
          <t>F02816</t>
        </is>
      </c>
      <c r="B2353" s="4" t="inlineStr">
        <is>
          <t>F02816</t>
        </is>
      </c>
      <c r="C2353" s="4" t="inlineStr">
        <is>
          <t>20687</t>
        </is>
      </c>
      <c r="D2353" s="4" t="inlineStr"/>
      <c r="E2353" s="3" t="inlineStr">
        <is>
          <t>EAR PLUG REUSABLE CORDED</t>
        </is>
      </c>
      <c r="F2353" s="4" t="inlineStr"/>
      <c r="G2353" s="4" t="inlineStr"/>
      <c r="H2353" s="4" t="inlineStr"/>
      <c r="I2353" s="5" t="n">
        <v>4.5</v>
      </c>
      <c r="J2353" s="6" t="n">
        <v>15</v>
      </c>
      <c r="K2353" s="7">
        <f>IF(I2353="","",I2353*(1+J2353/100))</f>
        <v/>
      </c>
      <c r="L2353" s="5" t="n">
        <v>25</v>
      </c>
      <c r="M2353" s="8">
        <f>IF(OR(L2353="",K2353="",L2353=0),"",
  (L2353-K2353)/L2353*100)</f>
        <v/>
      </c>
      <c r="N2353" s="14" t="n">
        <v>61</v>
      </c>
      <c r="O2353" s="4" t="inlineStr"/>
      <c r="P2353" s="4" t="inlineStr"/>
      <c r="Q2353" s="4" t="inlineStr"/>
      <c r="R2353" s="4" t="inlineStr">
        <is>
          <t>2026-03-12</t>
        </is>
      </c>
      <c r="S2353" s="4" t="inlineStr"/>
    </row>
    <row r="2354">
      <c r="A2354" s="10" t="inlineStr">
        <is>
          <t>F02817</t>
        </is>
      </c>
      <c r="B2354" s="10" t="inlineStr">
        <is>
          <t>F02817</t>
        </is>
      </c>
      <c r="C2354" s="10" t="inlineStr">
        <is>
          <t>20691</t>
        </is>
      </c>
      <c r="D2354" s="10" t="inlineStr"/>
      <c r="E2354" s="10" t="inlineStr">
        <is>
          <t>EAR PLUG DISPOSABLE CORDLESS</t>
        </is>
      </c>
      <c r="F2354" s="10" t="inlineStr"/>
      <c r="G2354" s="10" t="inlineStr"/>
      <c r="H2354" s="10" t="inlineStr"/>
      <c r="I2354" s="11" t="n">
        <v>2.95</v>
      </c>
      <c r="J2354" s="6" t="n">
        <v>15</v>
      </c>
      <c r="K2354" s="7">
        <f>IF(I2354="","",I2354*(1+J2354/100))</f>
        <v/>
      </c>
      <c r="L2354" s="11" t="n">
        <v>2.5</v>
      </c>
      <c r="M2354" s="8">
        <f>IF(OR(L2354="",K2354="",L2354=0),"",
  (L2354-K2354)/L2354*100)</f>
        <v/>
      </c>
      <c r="N2354" s="13" t="n">
        <v>85</v>
      </c>
      <c r="O2354" s="10" t="inlineStr"/>
      <c r="P2354" s="10" t="inlineStr"/>
      <c r="Q2354" s="10" t="inlineStr"/>
      <c r="R2354" s="10" t="inlineStr">
        <is>
          <t>2026-03-12</t>
        </is>
      </c>
      <c r="S2354" s="10" t="inlineStr"/>
    </row>
    <row r="2355">
      <c r="A2355" s="3" t="inlineStr">
        <is>
          <t>F02818</t>
        </is>
      </c>
      <c r="B2355" s="4" t="inlineStr">
        <is>
          <t>F02818</t>
        </is>
      </c>
      <c r="C2355" s="4" t="inlineStr">
        <is>
          <t>20692</t>
        </is>
      </c>
      <c r="D2355" s="4" t="inlineStr">
        <is>
          <t>600970370474</t>
        </is>
      </c>
      <c r="E2355" s="3" t="inlineStr">
        <is>
          <t>EAR MUFF PROTECTOR</t>
        </is>
      </c>
      <c r="F2355" s="4" t="inlineStr"/>
      <c r="G2355" s="4" t="inlineStr"/>
      <c r="H2355" s="4" t="inlineStr"/>
      <c r="I2355" s="5" t="n">
        <v>32.5</v>
      </c>
      <c r="J2355" s="6" t="n">
        <v>15</v>
      </c>
      <c r="K2355" s="7">
        <f>IF(I2355="","",I2355*(1+J2355/100))</f>
        <v/>
      </c>
      <c r="L2355" s="5" t="n">
        <v>120</v>
      </c>
      <c r="M2355" s="8">
        <f>IF(OR(L2355="",K2355="",L2355=0),"",
  (L2355-K2355)/L2355*100)</f>
        <v/>
      </c>
      <c r="N2355" s="14" t="n">
        <v>21</v>
      </c>
      <c r="O2355" s="4" t="inlineStr"/>
      <c r="P2355" s="4" t="inlineStr"/>
      <c r="Q2355" s="4" t="inlineStr"/>
      <c r="R2355" s="4" t="inlineStr">
        <is>
          <t>2026-03-12</t>
        </is>
      </c>
      <c r="S2355" s="4" t="inlineStr"/>
    </row>
    <row r="2356">
      <c r="A2356" s="10" t="inlineStr">
        <is>
          <t>F02819</t>
        </is>
      </c>
      <c r="B2356" s="10" t="inlineStr">
        <is>
          <t>F02819</t>
        </is>
      </c>
      <c r="C2356" s="10" t="inlineStr"/>
      <c r="D2356" s="10" t="inlineStr">
        <is>
          <t>6080202310040</t>
        </is>
      </c>
      <c r="E2356" s="10" t="inlineStr">
        <is>
          <t>RATCHET TIE DOWN 3.5MX25MM 122.5/245KG</t>
        </is>
      </c>
      <c r="F2356" s="10" t="inlineStr"/>
      <c r="G2356" s="10" t="inlineStr"/>
      <c r="H2356" s="10" t="inlineStr"/>
      <c r="I2356" s="11" t="n">
        <v>46.5</v>
      </c>
      <c r="J2356" s="6" t="n">
        <v>15</v>
      </c>
      <c r="K2356" s="7">
        <f>IF(I2356="","",I2356*(1+J2356/100))</f>
        <v/>
      </c>
      <c r="L2356" s="12" t="inlineStr"/>
      <c r="M2356" s="8">
        <f>IF(OR(L2356="",K2356="",L2356=0),"",
  (L2356-K2356)/L2356*100)</f>
        <v/>
      </c>
      <c r="N2356" s="9" t="inlineStr"/>
      <c r="O2356" s="10" t="inlineStr"/>
      <c r="P2356" s="10" t="inlineStr"/>
      <c r="Q2356" s="10" t="inlineStr"/>
      <c r="R2356" s="10" t="inlineStr">
        <is>
          <t>2026-03-12</t>
        </is>
      </c>
      <c r="S2356" s="10" t="inlineStr"/>
    </row>
    <row r="2357">
      <c r="A2357" s="3" t="inlineStr">
        <is>
          <t>F02820</t>
        </is>
      </c>
      <c r="B2357" s="4" t="inlineStr">
        <is>
          <t>F02820</t>
        </is>
      </c>
      <c r="C2357" s="4" t="inlineStr"/>
      <c r="D2357" s="4" t="inlineStr">
        <is>
          <t>6080202310057</t>
        </is>
      </c>
      <c r="E2357" s="3" t="inlineStr">
        <is>
          <t>RATCHET TIE DOWN 4.5MX25MM 350/700KG</t>
        </is>
      </c>
      <c r="F2357" s="4" t="inlineStr"/>
      <c r="G2357" s="4" t="inlineStr"/>
      <c r="H2357" s="4" t="inlineStr"/>
      <c r="I2357" s="5" t="n">
        <v>66</v>
      </c>
      <c r="J2357" s="6" t="n">
        <v>15</v>
      </c>
      <c r="K2357" s="7">
        <f>IF(I2357="","",I2357*(1+J2357/100))</f>
        <v/>
      </c>
      <c r="L2357" s="12" t="inlineStr"/>
      <c r="M2357" s="8">
        <f>IF(OR(L2357="",K2357="",L2357=0),"",
  (L2357-K2357)/L2357*100)</f>
        <v/>
      </c>
      <c r="N2357" s="9" t="inlineStr"/>
      <c r="O2357" s="4" t="inlineStr"/>
      <c r="P2357" s="4" t="inlineStr"/>
      <c r="Q2357" s="4" t="inlineStr"/>
      <c r="R2357" s="4" t="inlineStr">
        <is>
          <t>2026-03-12</t>
        </is>
      </c>
      <c r="S2357" s="4" t="inlineStr"/>
    </row>
    <row r="2358">
      <c r="A2358" s="10" t="inlineStr">
        <is>
          <t>F02821</t>
        </is>
      </c>
      <c r="B2358" s="10" t="inlineStr">
        <is>
          <t>F02821</t>
        </is>
      </c>
      <c r="C2358" s="10" t="inlineStr"/>
      <c r="D2358" s="10" t="inlineStr">
        <is>
          <t>6080202310071</t>
        </is>
      </c>
      <c r="E2358" s="10" t="inlineStr">
        <is>
          <t>RATCHET TIE DOWN 2PC  5MX25MM 250/500KG</t>
        </is>
      </c>
      <c r="F2358" s="10" t="inlineStr"/>
      <c r="G2358" s="10" t="inlineStr"/>
      <c r="H2358" s="10" t="inlineStr"/>
      <c r="I2358" s="11" t="n">
        <v>112</v>
      </c>
      <c r="J2358" s="6" t="n">
        <v>15</v>
      </c>
      <c r="K2358" s="7">
        <f>IF(I2358="","",I2358*(1+J2358/100))</f>
        <v/>
      </c>
      <c r="L2358" s="12" t="inlineStr"/>
      <c r="M2358" s="8">
        <f>IF(OR(L2358="",K2358="",L2358=0),"",
  (L2358-K2358)/L2358*100)</f>
        <v/>
      </c>
      <c r="N2358" s="13" t="n">
        <v>1</v>
      </c>
      <c r="O2358" s="10" t="inlineStr"/>
      <c r="P2358" s="10" t="inlineStr"/>
      <c r="Q2358" s="10" t="inlineStr"/>
      <c r="R2358" s="10" t="inlineStr">
        <is>
          <t>2026-03-12</t>
        </is>
      </c>
      <c r="S2358" s="10" t="inlineStr"/>
    </row>
    <row r="2359">
      <c r="A2359" s="3" t="inlineStr">
        <is>
          <t>F02822</t>
        </is>
      </c>
      <c r="B2359" s="4" t="inlineStr">
        <is>
          <t>F02822</t>
        </is>
      </c>
      <c r="C2359" s="4" t="inlineStr"/>
      <c r="D2359" s="4" t="inlineStr"/>
      <c r="E2359" s="3" t="inlineStr">
        <is>
          <t>WALL PANEL BARCELONA MAHOGANY LOOSE</t>
        </is>
      </c>
      <c r="F2359" s="4" t="inlineStr"/>
      <c r="G2359" s="4" t="inlineStr"/>
      <c r="H2359" s="4" t="inlineStr"/>
      <c r="I2359" s="5" t="n">
        <v>169</v>
      </c>
      <c r="J2359" s="6" t="n">
        <v>15</v>
      </c>
      <c r="K2359" s="7">
        <f>IF(I2359="","",I2359*(1+J2359/100))</f>
        <v/>
      </c>
      <c r="L2359" s="12" t="inlineStr"/>
      <c r="M2359" s="8">
        <f>IF(OR(L2359="",K2359="",L2359=0),"",
  (L2359-K2359)/L2359*100)</f>
        <v/>
      </c>
      <c r="N2359" s="9" t="inlineStr"/>
      <c r="O2359" s="4" t="inlineStr"/>
      <c r="P2359" s="4" t="inlineStr"/>
      <c r="Q2359" s="4" t="inlineStr"/>
      <c r="R2359" s="4" t="inlineStr">
        <is>
          <t>2026-03-12</t>
        </is>
      </c>
      <c r="S2359" s="4" t="inlineStr"/>
    </row>
    <row r="2360">
      <c r="A2360" s="10" t="inlineStr">
        <is>
          <t>F02823</t>
        </is>
      </c>
      <c r="B2360" s="10" t="inlineStr">
        <is>
          <t>F02823</t>
        </is>
      </c>
      <c r="C2360" s="10" t="inlineStr"/>
      <c r="D2360" s="10" t="inlineStr"/>
      <c r="E2360" s="10" t="inlineStr">
        <is>
          <t>WALL PANEL RUSTIC LOOSE</t>
        </is>
      </c>
      <c r="F2360" s="10" t="inlineStr"/>
      <c r="G2360" s="10" t="inlineStr"/>
      <c r="H2360" s="10" t="inlineStr"/>
      <c r="I2360" s="11" t="n">
        <v>169</v>
      </c>
      <c r="J2360" s="6" t="n">
        <v>15</v>
      </c>
      <c r="K2360" s="7">
        <f>IF(I2360="","",I2360*(1+J2360/100))</f>
        <v/>
      </c>
      <c r="L2360" s="12" t="inlineStr"/>
      <c r="M2360" s="8">
        <f>IF(OR(L2360="",K2360="",L2360=0),"",
  (L2360-K2360)/L2360*100)</f>
        <v/>
      </c>
      <c r="N2360" s="9" t="inlineStr"/>
      <c r="O2360" s="10" t="inlineStr"/>
      <c r="P2360" s="10" t="inlineStr"/>
      <c r="Q2360" s="10" t="inlineStr"/>
      <c r="R2360" s="10" t="inlineStr">
        <is>
          <t>2026-03-12</t>
        </is>
      </c>
      <c r="S2360" s="10" t="inlineStr"/>
    </row>
    <row r="2361">
      <c r="A2361" s="3" t="inlineStr">
        <is>
          <t>F02824</t>
        </is>
      </c>
      <c r="B2361" s="4" t="inlineStr">
        <is>
          <t>F02824</t>
        </is>
      </c>
      <c r="C2361" s="4" t="inlineStr">
        <is>
          <t>13829</t>
        </is>
      </c>
      <c r="D2361" s="4" t="inlineStr">
        <is>
          <t>6009705652143</t>
        </is>
      </c>
      <c r="E2361" s="3" t="inlineStr">
        <is>
          <t>JUG 1.8LT GLASS WITH LID</t>
        </is>
      </c>
      <c r="F2361" s="4" t="inlineStr"/>
      <c r="G2361" s="4" t="inlineStr"/>
      <c r="H2361" s="4" t="inlineStr"/>
      <c r="I2361" s="5" t="n">
        <v>23.95</v>
      </c>
      <c r="J2361" s="6" t="n">
        <v>15</v>
      </c>
      <c r="K2361" s="7">
        <f>IF(I2361="","",I2361*(1+J2361/100))</f>
        <v/>
      </c>
      <c r="L2361" s="5" t="n">
        <v>280</v>
      </c>
      <c r="M2361" s="8">
        <f>IF(OR(L2361="",K2361="",L2361=0),"",
  (L2361-K2361)/L2361*100)</f>
        <v/>
      </c>
      <c r="N2361" s="14" t="n">
        <v>7178</v>
      </c>
      <c r="O2361" s="4" t="inlineStr"/>
      <c r="P2361" s="4" t="inlineStr"/>
      <c r="Q2361" s="4" t="inlineStr"/>
      <c r="R2361" s="4" t="inlineStr">
        <is>
          <t>2026-03-12</t>
        </is>
      </c>
      <c r="S2361" s="4" t="inlineStr"/>
    </row>
    <row r="2362">
      <c r="A2362" s="10" t="inlineStr">
        <is>
          <t>F02825</t>
        </is>
      </c>
      <c r="B2362" s="10" t="inlineStr">
        <is>
          <t>F02825</t>
        </is>
      </c>
      <c r="C2362" s="10" t="inlineStr"/>
      <c r="D2362" s="10" t="inlineStr">
        <is>
          <t>6009705652150</t>
        </is>
      </c>
      <c r="E2362" s="10" t="inlineStr">
        <is>
          <t>JUG 2LTR GLASS, WITH LID</t>
        </is>
      </c>
      <c r="F2362" s="10" t="inlineStr"/>
      <c r="G2362" s="10" t="inlineStr"/>
      <c r="H2362" s="10" t="inlineStr"/>
      <c r="I2362" s="11" t="n">
        <v>25.95</v>
      </c>
      <c r="J2362" s="6" t="n">
        <v>15</v>
      </c>
      <c r="K2362" s="7">
        <f>IF(I2362="","",I2362*(1+J2362/100))</f>
        <v/>
      </c>
      <c r="L2362" s="12" t="inlineStr"/>
      <c r="M2362" s="8">
        <f>IF(OR(L2362="",K2362="",L2362=0),"",
  (L2362-K2362)/L2362*100)</f>
        <v/>
      </c>
      <c r="N2362" s="13" t="n">
        <v>849</v>
      </c>
      <c r="O2362" s="10" t="inlineStr"/>
      <c r="P2362" s="10" t="inlineStr"/>
      <c r="Q2362" s="10" t="inlineStr"/>
      <c r="R2362" s="10" t="inlineStr">
        <is>
          <t>2026-03-12</t>
        </is>
      </c>
      <c r="S2362" s="10" t="inlineStr"/>
    </row>
    <row r="2363">
      <c r="A2363" s="3" t="inlineStr">
        <is>
          <t>F02826</t>
        </is>
      </c>
      <c r="B2363" s="4" t="inlineStr">
        <is>
          <t>F02826</t>
        </is>
      </c>
      <c r="C2363" s="4" t="inlineStr"/>
      <c r="D2363" s="4" t="inlineStr">
        <is>
          <t>6009705652754</t>
        </is>
      </c>
      <c r="E2363" s="3" t="inlineStr">
        <is>
          <t>JUG 1.6LTR GLASS RECTANGULAR WITH LID</t>
        </is>
      </c>
      <c r="F2363" s="4" t="inlineStr"/>
      <c r="G2363" s="4" t="inlineStr"/>
      <c r="H2363" s="4" t="inlineStr"/>
      <c r="I2363" s="5" t="n">
        <v>24.95</v>
      </c>
      <c r="J2363" s="6" t="n">
        <v>15</v>
      </c>
      <c r="K2363" s="7">
        <f>IF(I2363="","",I2363*(1+J2363/100))</f>
        <v/>
      </c>
      <c r="L2363" s="12" t="inlineStr"/>
      <c r="M2363" s="8">
        <f>IF(OR(L2363="",K2363="",L2363=0),"",
  (L2363-K2363)/L2363*100)</f>
        <v/>
      </c>
      <c r="N2363" s="14" t="n">
        <v>2188</v>
      </c>
      <c r="O2363" s="4" t="inlineStr"/>
      <c r="P2363" s="4" t="inlineStr"/>
      <c r="Q2363" s="4" t="inlineStr"/>
      <c r="R2363" s="4" t="inlineStr">
        <is>
          <t>2026-03-12</t>
        </is>
      </c>
      <c r="S2363" s="4" t="inlineStr"/>
    </row>
    <row r="2364">
      <c r="A2364" s="10" t="inlineStr">
        <is>
          <t>F02827</t>
        </is>
      </c>
      <c r="B2364" s="10" t="inlineStr">
        <is>
          <t>F02827</t>
        </is>
      </c>
      <c r="C2364" s="10" t="inlineStr"/>
      <c r="D2364" s="10" t="inlineStr"/>
      <c r="E2364" s="10" t="inlineStr">
        <is>
          <t>PAINT TRAY ORANGE</t>
        </is>
      </c>
      <c r="F2364" s="10" t="inlineStr"/>
      <c r="G2364" s="10" t="inlineStr"/>
      <c r="H2364" s="10" t="inlineStr"/>
      <c r="I2364" s="11" t="n">
        <v>9</v>
      </c>
      <c r="J2364" s="6" t="n">
        <v>15</v>
      </c>
      <c r="K2364" s="7">
        <f>IF(I2364="","",I2364*(1+J2364/100))</f>
        <v/>
      </c>
      <c r="L2364" s="12" t="inlineStr"/>
      <c r="M2364" s="8">
        <f>IF(OR(L2364="",K2364="",L2364=0),"",
  (L2364-K2364)/L2364*100)</f>
        <v/>
      </c>
      <c r="N2364" s="13" t="n">
        <v>5056</v>
      </c>
      <c r="O2364" s="10" t="inlineStr"/>
      <c r="P2364" s="10" t="inlineStr"/>
      <c r="Q2364" s="10" t="inlineStr"/>
      <c r="R2364" s="10" t="inlineStr">
        <is>
          <t>2026-03-12</t>
        </is>
      </c>
      <c r="S2364" s="10" t="inlineStr"/>
    </row>
    <row r="2365">
      <c r="A2365" s="3" t="inlineStr">
        <is>
          <t>F02828</t>
        </is>
      </c>
      <c r="B2365" s="4" t="inlineStr">
        <is>
          <t>F02828</t>
        </is>
      </c>
      <c r="C2365" s="4" t="inlineStr"/>
      <c r="D2365" s="4" t="inlineStr"/>
      <c r="E2365" s="3" t="inlineStr">
        <is>
          <t>PAINT TRAY LIGHT BLUE</t>
        </is>
      </c>
      <c r="F2365" s="4" t="inlineStr"/>
      <c r="G2365" s="4" t="inlineStr"/>
      <c r="H2365" s="4" t="inlineStr"/>
      <c r="I2365" s="5" t="n">
        <v>9</v>
      </c>
      <c r="J2365" s="6" t="n">
        <v>15</v>
      </c>
      <c r="K2365" s="7">
        <f>IF(I2365="","",I2365*(1+J2365/100))</f>
        <v/>
      </c>
      <c r="L2365" s="12" t="inlineStr"/>
      <c r="M2365" s="8">
        <f>IF(OR(L2365="",K2365="",L2365=0),"",
  (L2365-K2365)/L2365*100)</f>
        <v/>
      </c>
      <c r="N2365" s="14" t="n">
        <v>4130</v>
      </c>
      <c r="O2365" s="4" t="inlineStr"/>
      <c r="P2365" s="4" t="inlineStr"/>
      <c r="Q2365" s="4" t="inlineStr"/>
      <c r="R2365" s="4" t="inlineStr">
        <is>
          <t>2026-03-12</t>
        </is>
      </c>
      <c r="S2365" s="4" t="inlineStr"/>
    </row>
    <row r="2366">
      <c r="A2366" s="10" t="inlineStr">
        <is>
          <t>F02829</t>
        </is>
      </c>
      <c r="B2366" s="10" t="inlineStr">
        <is>
          <t>F02829</t>
        </is>
      </c>
      <c r="C2366" s="10" t="inlineStr"/>
      <c r="D2366" s="10" t="inlineStr"/>
      <c r="E2366" s="10" t="inlineStr">
        <is>
          <t>PAINT TRAY YELLOW</t>
        </is>
      </c>
      <c r="F2366" s="10" t="inlineStr"/>
      <c r="G2366" s="10" t="inlineStr"/>
      <c r="H2366" s="10" t="inlineStr"/>
      <c r="I2366" s="11" t="n">
        <v>9</v>
      </c>
      <c r="J2366" s="6" t="n">
        <v>15</v>
      </c>
      <c r="K2366" s="7">
        <f>IF(I2366="","",I2366*(1+J2366/100))</f>
        <v/>
      </c>
      <c r="L2366" s="12" t="inlineStr"/>
      <c r="M2366" s="8">
        <f>IF(OR(L2366="",K2366="",L2366=0),"",
  (L2366-K2366)/L2366*100)</f>
        <v/>
      </c>
      <c r="N2366" s="13" t="n">
        <v>2458</v>
      </c>
      <c r="O2366" s="10" t="inlineStr"/>
      <c r="P2366" s="10" t="inlineStr"/>
      <c r="Q2366" s="10" t="inlineStr"/>
      <c r="R2366" s="10" t="inlineStr">
        <is>
          <t>2026-03-12</t>
        </is>
      </c>
      <c r="S2366" s="10" t="inlineStr"/>
    </row>
    <row r="2367">
      <c r="A2367" s="3" t="inlineStr">
        <is>
          <t>F02830</t>
        </is>
      </c>
      <c r="B2367" s="4" t="inlineStr">
        <is>
          <t>F02830</t>
        </is>
      </c>
      <c r="C2367" s="4" t="inlineStr"/>
      <c r="D2367" s="4" t="inlineStr"/>
      <c r="E2367" s="3" t="inlineStr">
        <is>
          <t>PAINT TRAY LIME GREEN</t>
        </is>
      </c>
      <c r="F2367" s="4" t="inlineStr"/>
      <c r="G2367" s="4" t="inlineStr"/>
      <c r="H2367" s="4" t="inlineStr"/>
      <c r="I2367" s="5" t="n">
        <v>9</v>
      </c>
      <c r="J2367" s="6" t="n">
        <v>15</v>
      </c>
      <c r="K2367" s="7">
        <f>IF(I2367="","",I2367*(1+J2367/100))</f>
        <v/>
      </c>
      <c r="L2367" s="12" t="inlineStr"/>
      <c r="M2367" s="8">
        <f>IF(OR(L2367="",K2367="",L2367=0),"",
  (L2367-K2367)/L2367*100)</f>
        <v/>
      </c>
      <c r="N2367" s="14" t="n">
        <v>2510</v>
      </c>
      <c r="O2367" s="4" t="inlineStr"/>
      <c r="P2367" s="4" t="inlineStr"/>
      <c r="Q2367" s="4" t="inlineStr"/>
      <c r="R2367" s="4" t="inlineStr">
        <is>
          <t>2026-03-12</t>
        </is>
      </c>
      <c r="S2367" s="4" t="inlineStr"/>
    </row>
    <row r="2368">
      <c r="A2368" s="10" t="inlineStr">
        <is>
          <t>F02831</t>
        </is>
      </c>
      <c r="B2368" s="10" t="inlineStr">
        <is>
          <t>F02831</t>
        </is>
      </c>
      <c r="C2368" s="10" t="inlineStr"/>
      <c r="D2368" s="10" t="inlineStr">
        <is>
          <t>6971419778573</t>
        </is>
      </c>
      <c r="E2368" s="10" t="inlineStr">
        <is>
          <t>LIGHT TUBE LED 5FT 24W TYSON</t>
        </is>
      </c>
      <c r="F2368" s="10" t="inlineStr"/>
      <c r="G2368" s="10" t="inlineStr"/>
      <c r="H2368" s="10" t="inlineStr"/>
      <c r="I2368" s="11" t="n">
        <v>30.95</v>
      </c>
      <c r="J2368" s="6" t="n">
        <v>15</v>
      </c>
      <c r="K2368" s="7">
        <f>IF(I2368="","",I2368*(1+J2368/100))</f>
        <v/>
      </c>
      <c r="L2368" s="12" t="inlineStr"/>
      <c r="M2368" s="8">
        <f>IF(OR(L2368="",K2368="",L2368=0),"",
  (L2368-K2368)/L2368*100)</f>
        <v/>
      </c>
      <c r="N2368" s="9" t="inlineStr"/>
      <c r="O2368" s="10" t="inlineStr"/>
      <c r="P2368" s="10" t="inlineStr"/>
      <c r="Q2368" s="10" t="inlineStr"/>
      <c r="R2368" s="10" t="inlineStr">
        <is>
          <t>2026-03-12</t>
        </is>
      </c>
      <c r="S2368" s="10" t="inlineStr"/>
    </row>
    <row r="2369">
      <c r="A2369" s="3" t="inlineStr">
        <is>
          <t>F02832</t>
        </is>
      </c>
      <c r="B2369" s="4" t="inlineStr">
        <is>
          <t>F02832</t>
        </is>
      </c>
      <c r="C2369" s="4" t="inlineStr"/>
      <c r="D2369" s="4" t="inlineStr">
        <is>
          <t>6971419778559</t>
        </is>
      </c>
      <c r="E2369" s="3" t="inlineStr">
        <is>
          <t>LIGHT TUBE LED 4FT  18W TYSON</t>
        </is>
      </c>
      <c r="F2369" s="4" t="inlineStr"/>
      <c r="G2369" s="4" t="inlineStr"/>
      <c r="H2369" s="4" t="inlineStr"/>
      <c r="I2369" s="5" t="n">
        <v>20.95</v>
      </c>
      <c r="J2369" s="6" t="n">
        <v>15</v>
      </c>
      <c r="K2369" s="7">
        <f>IF(I2369="","",I2369*(1+J2369/100))</f>
        <v/>
      </c>
      <c r="L2369" s="12" t="inlineStr"/>
      <c r="M2369" s="8">
        <f>IF(OR(L2369="",K2369="",L2369=0),"",
  (L2369-K2369)/L2369*100)</f>
        <v/>
      </c>
      <c r="N2369" s="14" t="n">
        <v>2</v>
      </c>
      <c r="O2369" s="4" t="inlineStr"/>
      <c r="P2369" s="4" t="inlineStr"/>
      <c r="Q2369" s="4" t="inlineStr"/>
      <c r="R2369" s="4" t="inlineStr">
        <is>
          <t>2026-03-12</t>
        </is>
      </c>
      <c r="S2369" s="4" t="inlineStr"/>
    </row>
    <row r="2370">
      <c r="A2370" s="10" t="inlineStr">
        <is>
          <t>F02833</t>
        </is>
      </c>
      <c r="B2370" s="10" t="inlineStr">
        <is>
          <t>F02833</t>
        </is>
      </c>
      <c r="C2370" s="10" t="inlineStr"/>
      <c r="D2370" s="10" t="inlineStr">
        <is>
          <t>6971419777422</t>
        </is>
      </c>
      <c r="E2370" s="10" t="inlineStr">
        <is>
          <t>LIGHT TUBE LED 2FT  9W TYSON</t>
        </is>
      </c>
      <c r="F2370" s="10" t="inlineStr"/>
      <c r="G2370" s="10" t="inlineStr"/>
      <c r="H2370" s="10" t="inlineStr"/>
      <c r="I2370" s="11" t="n">
        <v>20.95</v>
      </c>
      <c r="J2370" s="6" t="n">
        <v>15</v>
      </c>
      <c r="K2370" s="7">
        <f>IF(I2370="","",I2370*(1+J2370/100))</f>
        <v/>
      </c>
      <c r="L2370" s="12" t="inlineStr"/>
      <c r="M2370" s="8">
        <f>IF(OR(L2370="",K2370="",L2370=0),"",
  (L2370-K2370)/L2370*100)</f>
        <v/>
      </c>
      <c r="N2370" s="13" t="n">
        <v>70</v>
      </c>
      <c r="O2370" s="10" t="inlineStr"/>
      <c r="P2370" s="10" t="inlineStr"/>
      <c r="Q2370" s="10" t="inlineStr"/>
      <c r="R2370" s="10" t="inlineStr">
        <is>
          <t>2026-03-12</t>
        </is>
      </c>
      <c r="S2370" s="10" t="inlineStr"/>
    </row>
    <row r="2371">
      <c r="A2371" s="3" t="inlineStr">
        <is>
          <t>F02834</t>
        </is>
      </c>
      <c r="B2371" s="4" t="inlineStr">
        <is>
          <t>F02834</t>
        </is>
      </c>
      <c r="C2371" s="4" t="inlineStr"/>
      <c r="D2371" s="4" t="inlineStr">
        <is>
          <t>6971419773462</t>
        </is>
      </c>
      <c r="E2371" s="3" t="inlineStr">
        <is>
          <t>DOWNLIGHT TILT GUN METAL</t>
        </is>
      </c>
      <c r="F2371" s="4" t="inlineStr"/>
      <c r="G2371" s="4" t="inlineStr"/>
      <c r="H2371" s="4" t="inlineStr"/>
      <c r="I2371" s="5" t="n">
        <v>18.95</v>
      </c>
      <c r="J2371" s="6" t="n">
        <v>15</v>
      </c>
      <c r="K2371" s="7">
        <f>IF(I2371="","",I2371*(1+J2371/100))</f>
        <v/>
      </c>
      <c r="L2371" s="12" t="inlineStr"/>
      <c r="M2371" s="8">
        <f>IF(OR(L2371="",K2371="",L2371=0),"",
  (L2371-K2371)/L2371*100)</f>
        <v/>
      </c>
      <c r="N2371" s="14" t="n">
        <v>180</v>
      </c>
      <c r="O2371" s="4" t="inlineStr"/>
      <c r="P2371" s="4" t="inlineStr"/>
      <c r="Q2371" s="4" t="inlineStr"/>
      <c r="R2371" s="4" t="inlineStr">
        <is>
          <t>2026-03-12</t>
        </is>
      </c>
      <c r="S2371" s="4" t="inlineStr"/>
    </row>
    <row r="2372">
      <c r="A2372" s="10" t="inlineStr">
        <is>
          <t>F02835</t>
        </is>
      </c>
      <c r="B2372" s="10" t="inlineStr">
        <is>
          <t>F02835</t>
        </is>
      </c>
      <c r="C2372" s="10" t="inlineStr"/>
      <c r="D2372" s="10" t="inlineStr">
        <is>
          <t>6971419773509</t>
        </is>
      </c>
      <c r="E2372" s="10" t="inlineStr">
        <is>
          <t>DOWNLIGHT TILT WHITE</t>
        </is>
      </c>
      <c r="F2372" s="10" t="inlineStr"/>
      <c r="G2372" s="10" t="inlineStr"/>
      <c r="H2372" s="10" t="inlineStr"/>
      <c r="I2372" s="11" t="n">
        <v>18.95</v>
      </c>
      <c r="J2372" s="6" t="n">
        <v>15</v>
      </c>
      <c r="K2372" s="7">
        <f>IF(I2372="","",I2372*(1+J2372/100))</f>
        <v/>
      </c>
      <c r="L2372" s="12" t="inlineStr"/>
      <c r="M2372" s="8">
        <f>IF(OR(L2372="",K2372="",L2372=0),"",
  (L2372-K2372)/L2372*100)</f>
        <v/>
      </c>
      <c r="N2372" s="13" t="n">
        <v>370</v>
      </c>
      <c r="O2372" s="10" t="inlineStr"/>
      <c r="P2372" s="10" t="inlineStr"/>
      <c r="Q2372" s="10" t="inlineStr"/>
      <c r="R2372" s="10" t="inlineStr">
        <is>
          <t>2026-03-12</t>
        </is>
      </c>
      <c r="S2372" s="10" t="inlineStr"/>
    </row>
    <row r="2373">
      <c r="A2373" s="3" t="inlineStr">
        <is>
          <t>F02836</t>
        </is>
      </c>
      <c r="B2373" s="4" t="inlineStr">
        <is>
          <t>F02836</t>
        </is>
      </c>
      <c r="C2373" s="4" t="inlineStr"/>
      <c r="D2373" s="4" t="inlineStr">
        <is>
          <t>6971419773479</t>
        </is>
      </c>
      <c r="E2373" s="3" t="inlineStr">
        <is>
          <t>DOWNLIGHT TILT SATIN CHROME</t>
        </is>
      </c>
      <c r="F2373" s="4" t="inlineStr"/>
      <c r="G2373" s="4" t="inlineStr"/>
      <c r="H2373" s="4" t="inlineStr"/>
      <c r="I2373" s="5" t="n">
        <v>18.95</v>
      </c>
      <c r="J2373" s="6" t="n">
        <v>15</v>
      </c>
      <c r="K2373" s="7">
        <f>IF(I2373="","",I2373*(1+J2373/100))</f>
        <v/>
      </c>
      <c r="L2373" s="12" t="inlineStr"/>
      <c r="M2373" s="8">
        <f>IF(OR(L2373="",K2373="",L2373=0),"",
  (L2373-K2373)/L2373*100)</f>
        <v/>
      </c>
      <c r="N2373" s="14" t="n">
        <v>474</v>
      </c>
      <c r="O2373" s="4" t="inlineStr"/>
      <c r="P2373" s="4" t="inlineStr"/>
      <c r="Q2373" s="4" t="inlineStr"/>
      <c r="R2373" s="4" t="inlineStr">
        <is>
          <t>2026-03-12</t>
        </is>
      </c>
      <c r="S2373" s="4" t="inlineStr"/>
    </row>
    <row r="2374">
      <c r="A2374" s="10" t="inlineStr">
        <is>
          <t>F02837</t>
        </is>
      </c>
      <c r="B2374" s="10" t="inlineStr">
        <is>
          <t>F02837</t>
        </is>
      </c>
      <c r="C2374" s="10" t="inlineStr"/>
      <c r="D2374" s="10" t="inlineStr">
        <is>
          <t>6971419773424</t>
        </is>
      </c>
      <c r="E2374" s="10" t="inlineStr">
        <is>
          <t>DOWNLIGHT FIXED GOLD</t>
        </is>
      </c>
      <c r="F2374" s="10" t="inlineStr"/>
      <c r="G2374" s="10" t="inlineStr"/>
      <c r="H2374" s="10" t="inlineStr"/>
      <c r="I2374" s="11" t="n">
        <v>7.95</v>
      </c>
      <c r="J2374" s="6" t="n">
        <v>15</v>
      </c>
      <c r="K2374" s="7">
        <f>IF(I2374="","",I2374*(1+J2374/100))</f>
        <v/>
      </c>
      <c r="L2374" s="12" t="inlineStr"/>
      <c r="M2374" s="8">
        <f>IF(OR(L2374="",K2374="",L2374=0),"",
  (L2374-K2374)/L2374*100)</f>
        <v/>
      </c>
      <c r="N2374" s="13" t="n">
        <v>211</v>
      </c>
      <c r="O2374" s="10" t="inlineStr"/>
      <c r="P2374" s="10" t="inlineStr"/>
      <c r="Q2374" s="10" t="inlineStr"/>
      <c r="R2374" s="10" t="inlineStr">
        <is>
          <t>2026-03-12</t>
        </is>
      </c>
      <c r="S2374" s="10" t="inlineStr"/>
    </row>
    <row r="2375">
      <c r="A2375" s="3" t="inlineStr">
        <is>
          <t>F02838</t>
        </is>
      </c>
      <c r="B2375" s="4" t="inlineStr">
        <is>
          <t>F02838</t>
        </is>
      </c>
      <c r="C2375" s="4" t="inlineStr"/>
      <c r="D2375" s="4" t="inlineStr">
        <is>
          <t>6971419775251</t>
        </is>
      </c>
      <c r="E2375" s="3" t="inlineStr">
        <is>
          <t>LIGHT FITTING 2FT B SINGLE TYSON</t>
        </is>
      </c>
      <c r="F2375" s="4" t="inlineStr"/>
      <c r="G2375" s="4" t="inlineStr"/>
      <c r="H2375" s="4" t="inlineStr"/>
      <c r="I2375" s="5" t="n">
        <v>32.95</v>
      </c>
      <c r="J2375" s="6" t="n">
        <v>15</v>
      </c>
      <c r="K2375" s="7">
        <f>IF(I2375="","",I2375*(1+J2375/100))</f>
        <v/>
      </c>
      <c r="L2375" s="12" t="inlineStr"/>
      <c r="M2375" s="8">
        <f>IF(OR(L2375="",K2375="",L2375=0),"",
  (L2375-K2375)/L2375*100)</f>
        <v/>
      </c>
      <c r="N2375" s="14" t="n">
        <v>116</v>
      </c>
      <c r="O2375" s="4" t="inlineStr"/>
      <c r="P2375" s="4" t="inlineStr"/>
      <c r="Q2375" s="4" t="inlineStr"/>
      <c r="R2375" s="4" t="inlineStr">
        <is>
          <t>2026-03-12</t>
        </is>
      </c>
      <c r="S2375" s="4" t="inlineStr"/>
    </row>
    <row r="2376">
      <c r="A2376" s="10" t="inlineStr">
        <is>
          <t>F02839</t>
        </is>
      </c>
      <c r="B2376" s="10" t="inlineStr">
        <is>
          <t>F02839</t>
        </is>
      </c>
      <c r="C2376" s="10" t="inlineStr"/>
      <c r="D2376" s="10" t="inlineStr">
        <is>
          <t>6971419771420</t>
        </is>
      </c>
      <c r="E2376" s="10" t="inlineStr">
        <is>
          <t>LIGHT FITTING 2FT B DOUBLE TYSON</t>
        </is>
      </c>
      <c r="F2376" s="10" t="inlineStr"/>
      <c r="G2376" s="10" t="inlineStr"/>
      <c r="H2376" s="10" t="inlineStr"/>
      <c r="I2376" s="11" t="n">
        <v>34.5</v>
      </c>
      <c r="J2376" s="6" t="n">
        <v>15</v>
      </c>
      <c r="K2376" s="7">
        <f>IF(I2376="","",I2376*(1+J2376/100))</f>
        <v/>
      </c>
      <c r="L2376" s="12" t="inlineStr"/>
      <c r="M2376" s="8">
        <f>IF(OR(L2376="",K2376="",L2376=0),"",
  (L2376-K2376)/L2376*100)</f>
        <v/>
      </c>
      <c r="N2376" s="13" t="n">
        <v>104</v>
      </c>
      <c r="O2376" s="10" t="inlineStr"/>
      <c r="P2376" s="10" t="inlineStr"/>
      <c r="Q2376" s="10" t="inlineStr"/>
      <c r="R2376" s="10" t="inlineStr">
        <is>
          <t>2026-03-12</t>
        </is>
      </c>
      <c r="S2376" s="10" t="inlineStr"/>
    </row>
    <row r="2377">
      <c r="A2377" s="3" t="inlineStr">
        <is>
          <t>F02840</t>
        </is>
      </c>
      <c r="B2377" s="4" t="inlineStr">
        <is>
          <t>F02840</t>
        </is>
      </c>
      <c r="C2377" s="4" t="inlineStr"/>
      <c r="D2377" s="4" t="inlineStr">
        <is>
          <t>6971419772625</t>
        </is>
      </c>
      <c r="E2377" s="3" t="inlineStr">
        <is>
          <t>LIGHT FITTING 4FT B DOUBLE TYSON</t>
        </is>
      </c>
      <c r="F2377" s="4" t="inlineStr"/>
      <c r="G2377" s="4" t="inlineStr"/>
      <c r="H2377" s="4" t="inlineStr"/>
      <c r="I2377" s="5" t="n">
        <v>42.95</v>
      </c>
      <c r="J2377" s="6" t="n">
        <v>15</v>
      </c>
      <c r="K2377" s="7">
        <f>IF(I2377="","",I2377*(1+J2377/100))</f>
        <v/>
      </c>
      <c r="L2377" s="12" t="inlineStr"/>
      <c r="M2377" s="8">
        <f>IF(OR(L2377="",K2377="",L2377=0),"",
  (L2377-K2377)/L2377*100)</f>
        <v/>
      </c>
      <c r="N2377" s="14" t="n">
        <v>46</v>
      </c>
      <c r="O2377" s="4" t="inlineStr"/>
      <c r="P2377" s="4" t="inlineStr"/>
      <c r="Q2377" s="4" t="inlineStr"/>
      <c r="R2377" s="4" t="inlineStr">
        <is>
          <t>2026-03-12</t>
        </is>
      </c>
      <c r="S2377" s="4" t="inlineStr"/>
    </row>
    <row r="2378">
      <c r="A2378" s="10" t="inlineStr">
        <is>
          <t>F02841</t>
        </is>
      </c>
      <c r="B2378" s="10" t="inlineStr">
        <is>
          <t>F02841</t>
        </is>
      </c>
      <c r="C2378" s="10" t="inlineStr"/>
      <c r="D2378" s="10" t="inlineStr">
        <is>
          <t>6971419772670</t>
        </is>
      </c>
      <c r="E2378" s="10" t="inlineStr">
        <is>
          <t>LIGHT FITTING 4FT B SINGLE TYSON</t>
        </is>
      </c>
      <c r="F2378" s="10" t="inlineStr"/>
      <c r="G2378" s="10" t="inlineStr"/>
      <c r="H2378" s="10" t="inlineStr"/>
      <c r="I2378" s="11" t="n">
        <v>35.5</v>
      </c>
      <c r="J2378" s="6" t="n">
        <v>15</v>
      </c>
      <c r="K2378" s="7">
        <f>IF(I2378="","",I2378*(1+J2378/100))</f>
        <v/>
      </c>
      <c r="L2378" s="12" t="inlineStr"/>
      <c r="M2378" s="8">
        <f>IF(OR(L2378="",K2378="",L2378=0),"",
  (L2378-K2378)/L2378*100)</f>
        <v/>
      </c>
      <c r="N2378" s="13" t="n">
        <v>95</v>
      </c>
      <c r="O2378" s="10" t="inlineStr"/>
      <c r="P2378" s="10" t="inlineStr"/>
      <c r="Q2378" s="10" t="inlineStr"/>
      <c r="R2378" s="10" t="inlineStr">
        <is>
          <t>2026-03-12</t>
        </is>
      </c>
      <c r="S2378" s="10" t="inlineStr"/>
    </row>
    <row r="2379">
      <c r="A2379" s="3" t="inlineStr">
        <is>
          <t>F02842</t>
        </is>
      </c>
      <c r="B2379" s="4" t="inlineStr">
        <is>
          <t>F02842</t>
        </is>
      </c>
      <c r="C2379" s="4" t="inlineStr"/>
      <c r="D2379" s="4" t="inlineStr">
        <is>
          <t>6971419779754</t>
        </is>
      </c>
      <c r="E2379" s="3" t="inlineStr">
        <is>
          <t>LIGHT FITTING 5FT B DOUBLE TYSON</t>
        </is>
      </c>
      <c r="F2379" s="4" t="inlineStr"/>
      <c r="G2379" s="4" t="inlineStr"/>
      <c r="H2379" s="4" t="inlineStr"/>
      <c r="I2379" s="5" t="n">
        <v>57.5</v>
      </c>
      <c r="J2379" s="6" t="n">
        <v>15</v>
      </c>
      <c r="K2379" s="7">
        <f>IF(I2379="","",I2379*(1+J2379/100))</f>
        <v/>
      </c>
      <c r="L2379" s="12" t="inlineStr"/>
      <c r="M2379" s="8">
        <f>IF(OR(L2379="",K2379="",L2379=0),"",
  (L2379-K2379)/L2379*100)</f>
        <v/>
      </c>
      <c r="N2379" s="14" t="n">
        <v>3</v>
      </c>
      <c r="O2379" s="4" t="inlineStr"/>
      <c r="P2379" s="4" t="inlineStr"/>
      <c r="Q2379" s="4" t="inlineStr"/>
      <c r="R2379" s="4" t="inlineStr">
        <is>
          <t>2026-03-12</t>
        </is>
      </c>
      <c r="S2379" s="4" t="inlineStr"/>
    </row>
    <row r="2380">
      <c r="A2380" s="10" t="inlineStr">
        <is>
          <t>F02843</t>
        </is>
      </c>
      <c r="B2380" s="10" t="inlineStr">
        <is>
          <t>F02843</t>
        </is>
      </c>
      <c r="C2380" s="10" t="inlineStr"/>
      <c r="D2380" s="10" t="inlineStr">
        <is>
          <t>6971419779853</t>
        </is>
      </c>
      <c r="E2380" s="10" t="inlineStr">
        <is>
          <t>LIGHT FITTING 5FT B SINGLE TYSON</t>
        </is>
      </c>
      <c r="F2380" s="10" t="inlineStr"/>
      <c r="G2380" s="10" t="inlineStr"/>
      <c r="H2380" s="10" t="inlineStr"/>
      <c r="I2380" s="11" t="n">
        <v>52.5</v>
      </c>
      <c r="J2380" s="6" t="n">
        <v>15</v>
      </c>
      <c r="K2380" s="7">
        <f>IF(I2380="","",I2380*(1+J2380/100))</f>
        <v/>
      </c>
      <c r="L2380" s="12" t="inlineStr"/>
      <c r="M2380" s="8">
        <f>IF(OR(L2380="",K2380="",L2380=0),"",
  (L2380-K2380)/L2380*100)</f>
        <v/>
      </c>
      <c r="N2380" s="13" t="n">
        <v>201</v>
      </c>
      <c r="O2380" s="10" t="inlineStr"/>
      <c r="P2380" s="10" t="inlineStr"/>
      <c r="Q2380" s="10" t="inlineStr"/>
      <c r="R2380" s="10" t="inlineStr">
        <is>
          <t>2026-03-12</t>
        </is>
      </c>
      <c r="S2380" s="10" t="inlineStr"/>
    </row>
    <row r="2381">
      <c r="A2381" s="3" t="inlineStr">
        <is>
          <t>F02844</t>
        </is>
      </c>
      <c r="B2381" s="4" t="inlineStr">
        <is>
          <t>F02844</t>
        </is>
      </c>
      <c r="C2381" s="4" t="inlineStr"/>
      <c r="D2381" s="4" t="inlineStr">
        <is>
          <t>5160097401146</t>
        </is>
      </c>
      <c r="E2381" s="3" t="inlineStr">
        <is>
          <t>DOWNLIGHT TILT GOLD</t>
        </is>
      </c>
      <c r="F2381" s="4" t="inlineStr"/>
      <c r="G2381" s="4" t="inlineStr"/>
      <c r="H2381" s="4" t="inlineStr"/>
      <c r="I2381" s="5" t="n">
        <v>18.95</v>
      </c>
      <c r="J2381" s="6" t="n">
        <v>15</v>
      </c>
      <c r="K2381" s="7">
        <f>IF(I2381="","",I2381*(1+J2381/100))</f>
        <v/>
      </c>
      <c r="L2381" s="12" t="inlineStr"/>
      <c r="M2381" s="8">
        <f>IF(OR(L2381="",K2381="",L2381=0),"",
  (L2381-K2381)/L2381*100)</f>
        <v/>
      </c>
      <c r="N2381" s="14" t="n">
        <v>360</v>
      </c>
      <c r="O2381" s="4" t="inlineStr"/>
      <c r="P2381" s="4" t="inlineStr"/>
      <c r="Q2381" s="4" t="inlineStr"/>
      <c r="R2381" s="4" t="inlineStr">
        <is>
          <t>2026-03-12</t>
        </is>
      </c>
      <c r="S2381" s="4" t="inlineStr"/>
    </row>
    <row r="2382">
      <c r="A2382" s="10" t="inlineStr">
        <is>
          <t>F02845</t>
        </is>
      </c>
      <c r="B2382" s="10" t="inlineStr">
        <is>
          <t>F02845</t>
        </is>
      </c>
      <c r="C2382" s="10" t="inlineStr"/>
      <c r="D2382" s="10" t="inlineStr">
        <is>
          <t>6009705653065</t>
        </is>
      </c>
      <c r="E2382" s="10" t="inlineStr">
        <is>
          <t>BOWL 5" DECAL ASOORTED</t>
        </is>
      </c>
      <c r="F2382" s="10" t="inlineStr"/>
      <c r="G2382" s="10" t="inlineStr"/>
      <c r="H2382" s="10" t="inlineStr"/>
      <c r="I2382" s="11" t="n">
        <v>7.95</v>
      </c>
      <c r="J2382" s="6" t="n">
        <v>15</v>
      </c>
      <c r="K2382" s="7">
        <f>IF(I2382="","",I2382*(1+J2382/100))</f>
        <v/>
      </c>
      <c r="L2382" s="12" t="inlineStr"/>
      <c r="M2382" s="8">
        <f>IF(OR(L2382="",K2382="",L2382=0),"",
  (L2382-K2382)/L2382*100)</f>
        <v/>
      </c>
      <c r="N2382" s="9" t="inlineStr"/>
      <c r="O2382" s="10" t="inlineStr"/>
      <c r="P2382" s="10" t="inlineStr"/>
      <c r="Q2382" s="10" t="inlineStr"/>
      <c r="R2382" s="10" t="inlineStr">
        <is>
          <t>2026-03-12</t>
        </is>
      </c>
      <c r="S2382" s="10" t="inlineStr"/>
    </row>
    <row r="2383">
      <c r="A2383" s="3" t="inlineStr">
        <is>
          <t>F02846</t>
        </is>
      </c>
      <c r="B2383" s="4" t="inlineStr">
        <is>
          <t>F02846</t>
        </is>
      </c>
      <c r="C2383" s="4" t="inlineStr"/>
      <c r="D2383" s="4" t="inlineStr">
        <is>
          <t>6971419770157</t>
        </is>
      </c>
      <c r="E2383" s="3" t="inlineStr">
        <is>
          <t>LIGHT BULB 5W DOWNLIGT COOLWHITE</t>
        </is>
      </c>
      <c r="F2383" s="4" t="inlineStr"/>
      <c r="G2383" s="4" t="inlineStr"/>
      <c r="H2383" s="4" t="inlineStr"/>
      <c r="I2383" s="5" t="n">
        <v>6.5</v>
      </c>
      <c r="J2383" s="6" t="n">
        <v>15</v>
      </c>
      <c r="K2383" s="7">
        <f>IF(I2383="","",I2383*(1+J2383/100))</f>
        <v/>
      </c>
      <c r="L2383" s="12" t="inlineStr"/>
      <c r="M2383" s="8">
        <f>IF(OR(L2383="",K2383="",L2383=0),"",
  (L2383-K2383)/L2383*100)</f>
        <v/>
      </c>
      <c r="N2383" s="14" t="n">
        <v>1</v>
      </c>
      <c r="O2383" s="4" t="inlineStr"/>
      <c r="P2383" s="4" t="inlineStr"/>
      <c r="Q2383" s="4" t="inlineStr"/>
      <c r="R2383" s="4" t="inlineStr">
        <is>
          <t>2026-03-12</t>
        </is>
      </c>
      <c r="S2383" s="4" t="inlineStr"/>
    </row>
    <row r="2384">
      <c r="A2384" s="10" t="inlineStr">
        <is>
          <t>F02847</t>
        </is>
      </c>
      <c r="B2384" s="10" t="inlineStr">
        <is>
          <t>F02847</t>
        </is>
      </c>
      <c r="C2384" s="10" t="inlineStr"/>
      <c r="D2384" s="10" t="inlineStr"/>
      <c r="E2384" s="10" t="inlineStr">
        <is>
          <t>CORNICE 2MTR  EPS OLIVIA TR-03</t>
        </is>
      </c>
      <c r="F2384" s="10" t="inlineStr"/>
      <c r="G2384" s="10" t="inlineStr"/>
      <c r="H2384" s="10" t="inlineStr"/>
      <c r="I2384" s="11" t="n">
        <v>19.95</v>
      </c>
      <c r="J2384" s="6" t="n">
        <v>15</v>
      </c>
      <c r="K2384" s="7">
        <f>IF(I2384="","",I2384*(1+J2384/100))</f>
        <v/>
      </c>
      <c r="L2384" s="12" t="inlineStr"/>
      <c r="M2384" s="8">
        <f>IF(OR(L2384="",K2384="",L2384=0),"",
  (L2384-K2384)/L2384*100)</f>
        <v/>
      </c>
      <c r="N2384" s="9" t="inlineStr"/>
      <c r="O2384" s="10" t="inlineStr"/>
      <c r="P2384" s="10" t="inlineStr"/>
      <c r="Q2384" s="10" t="inlineStr"/>
      <c r="R2384" s="10" t="inlineStr">
        <is>
          <t>2026-03-12</t>
        </is>
      </c>
      <c r="S2384" s="10" t="inlineStr"/>
    </row>
    <row r="2385">
      <c r="A2385" s="3" t="inlineStr">
        <is>
          <t>F02848</t>
        </is>
      </c>
      <c r="B2385" s="4" t="inlineStr">
        <is>
          <t>F02848</t>
        </is>
      </c>
      <c r="C2385" s="4" t="inlineStr"/>
      <c r="D2385" s="4" t="inlineStr"/>
      <c r="E2385" s="3" t="inlineStr">
        <is>
          <t>CORNICE 2MTR EPS   OLIVET TR-07</t>
        </is>
      </c>
      <c r="F2385" s="4" t="inlineStr"/>
      <c r="G2385" s="4" t="inlineStr"/>
      <c r="H2385" s="4" t="inlineStr"/>
      <c r="I2385" s="5" t="n">
        <v>19.95</v>
      </c>
      <c r="J2385" s="6" t="n">
        <v>15</v>
      </c>
      <c r="K2385" s="7">
        <f>IF(I2385="","",I2385*(1+J2385/100))</f>
        <v/>
      </c>
      <c r="L2385" s="12" t="inlineStr"/>
      <c r="M2385" s="8">
        <f>IF(OR(L2385="",K2385="",L2385=0),"",
  (L2385-K2385)/L2385*100)</f>
        <v/>
      </c>
      <c r="N2385" s="14" t="n">
        <v>89</v>
      </c>
      <c r="O2385" s="4" t="inlineStr"/>
      <c r="P2385" s="4" t="inlineStr"/>
      <c r="Q2385" s="4" t="inlineStr"/>
      <c r="R2385" s="4" t="inlineStr">
        <is>
          <t>2026-03-12</t>
        </is>
      </c>
      <c r="S2385" s="4" t="inlineStr"/>
    </row>
    <row r="2386">
      <c r="A2386" s="10" t="inlineStr">
        <is>
          <t>F02849</t>
        </is>
      </c>
      <c r="B2386" s="10" t="inlineStr">
        <is>
          <t>F02849</t>
        </is>
      </c>
      <c r="C2386" s="10" t="inlineStr"/>
      <c r="D2386" s="10" t="inlineStr"/>
      <c r="E2386" s="10" t="inlineStr">
        <is>
          <t>CORNICE 2MTR EPS TAC TR-09</t>
        </is>
      </c>
      <c r="F2386" s="10" t="inlineStr"/>
      <c r="G2386" s="10" t="inlineStr"/>
      <c r="H2386" s="10" t="inlineStr"/>
      <c r="I2386" s="11" t="n">
        <v>19.95</v>
      </c>
      <c r="J2386" s="6" t="n">
        <v>15</v>
      </c>
      <c r="K2386" s="7">
        <f>IF(I2386="","",I2386*(1+J2386/100))</f>
        <v/>
      </c>
      <c r="L2386" s="12" t="inlineStr"/>
      <c r="M2386" s="8">
        <f>IF(OR(L2386="",K2386="",L2386=0),"",
  (L2386-K2386)/L2386*100)</f>
        <v/>
      </c>
      <c r="N2386" s="13" t="n">
        <v>60</v>
      </c>
      <c r="O2386" s="10" t="inlineStr"/>
      <c r="P2386" s="10" t="inlineStr"/>
      <c r="Q2386" s="10" t="inlineStr"/>
      <c r="R2386" s="10" t="inlineStr">
        <is>
          <t>2026-03-12</t>
        </is>
      </c>
      <c r="S2386" s="10" t="inlineStr"/>
    </row>
    <row r="2387">
      <c r="A2387" s="3" t="inlineStr">
        <is>
          <t>F02850</t>
        </is>
      </c>
      <c r="B2387" s="4" t="inlineStr">
        <is>
          <t>F02850</t>
        </is>
      </c>
      <c r="C2387" s="4" t="inlineStr"/>
      <c r="D2387" s="4" t="inlineStr"/>
      <c r="E2387" s="3" t="inlineStr">
        <is>
          <t>CORNICE 2MTR VERSACE TR-02</t>
        </is>
      </c>
      <c r="F2387" s="4" t="inlineStr"/>
      <c r="G2387" s="4" t="inlineStr"/>
      <c r="H2387" s="4" t="inlineStr"/>
      <c r="I2387" s="5" t="n">
        <v>19.95</v>
      </c>
      <c r="J2387" s="6" t="n">
        <v>15</v>
      </c>
      <c r="K2387" s="7">
        <f>IF(I2387="","",I2387*(1+J2387/100))</f>
        <v/>
      </c>
      <c r="L2387" s="12" t="inlineStr"/>
      <c r="M2387" s="8">
        <f>IF(OR(L2387="",K2387="",L2387=0),"",
  (L2387-K2387)/L2387*100)</f>
        <v/>
      </c>
      <c r="N2387" s="9" t="inlineStr"/>
      <c r="O2387" s="4" t="inlineStr"/>
      <c r="P2387" s="4" t="inlineStr"/>
      <c r="Q2387" s="4" t="inlineStr"/>
      <c r="R2387" s="4" t="inlineStr">
        <is>
          <t>2026-03-12</t>
        </is>
      </c>
      <c r="S2387" s="4" t="inlineStr"/>
    </row>
    <row r="2388">
      <c r="A2388" s="10" t="inlineStr">
        <is>
          <t>F02851</t>
        </is>
      </c>
      <c r="B2388" s="10" t="inlineStr">
        <is>
          <t>F02851</t>
        </is>
      </c>
      <c r="C2388" s="10" t="inlineStr"/>
      <c r="D2388" s="10" t="inlineStr"/>
      <c r="E2388" s="10" t="inlineStr">
        <is>
          <t>DADORAIL 2MTR TDR01</t>
        </is>
      </c>
      <c r="F2388" s="10" t="inlineStr"/>
      <c r="G2388" s="10" t="inlineStr"/>
      <c r="H2388" s="10" t="inlineStr"/>
      <c r="I2388" s="11" t="n">
        <v>18.95</v>
      </c>
      <c r="J2388" s="6" t="n">
        <v>15</v>
      </c>
      <c r="K2388" s="7">
        <f>IF(I2388="","",I2388*(1+J2388/100))</f>
        <v/>
      </c>
      <c r="L2388" s="12" t="inlineStr"/>
      <c r="M2388" s="8">
        <f>IF(OR(L2388="",K2388="",L2388=0),"",
  (L2388-K2388)/L2388*100)</f>
        <v/>
      </c>
      <c r="N2388" s="13" t="n">
        <v>200</v>
      </c>
      <c r="O2388" s="10" t="inlineStr"/>
      <c r="P2388" s="10" t="inlineStr"/>
      <c r="Q2388" s="10" t="inlineStr"/>
      <c r="R2388" s="10" t="inlineStr">
        <is>
          <t>2026-03-12</t>
        </is>
      </c>
      <c r="S2388" s="10" t="inlineStr"/>
    </row>
    <row r="2389">
      <c r="A2389" s="3" t="inlineStr">
        <is>
          <t>F02852</t>
        </is>
      </c>
      <c r="B2389" s="4" t="inlineStr">
        <is>
          <t>F02852</t>
        </is>
      </c>
      <c r="C2389" s="4" t="inlineStr"/>
      <c r="D2389" s="4" t="inlineStr"/>
      <c r="E2389" s="3" t="inlineStr">
        <is>
          <t>DADRAIL 2MTR TRD04</t>
        </is>
      </c>
      <c r="F2389" s="4" t="inlineStr"/>
      <c r="G2389" s="4" t="inlineStr"/>
      <c r="H2389" s="4" t="inlineStr"/>
      <c r="I2389" s="5" t="n">
        <v>18.95</v>
      </c>
      <c r="J2389" s="6" t="n">
        <v>15</v>
      </c>
      <c r="K2389" s="7">
        <f>IF(I2389="","",I2389*(1+J2389/100))</f>
        <v/>
      </c>
      <c r="L2389" s="12" t="inlineStr"/>
      <c r="M2389" s="8">
        <f>IF(OR(L2389="",K2389="",L2389=0),"",
  (L2389-K2389)/L2389*100)</f>
        <v/>
      </c>
      <c r="N2389" s="9" t="inlineStr"/>
      <c r="O2389" s="4" t="inlineStr"/>
      <c r="P2389" s="4" t="inlineStr"/>
      <c r="Q2389" s="4" t="inlineStr"/>
      <c r="R2389" s="4" t="inlineStr">
        <is>
          <t>2026-03-12</t>
        </is>
      </c>
      <c r="S2389" s="4" t="inlineStr"/>
    </row>
    <row r="2390">
      <c r="A2390" s="10" t="inlineStr">
        <is>
          <t>F02853</t>
        </is>
      </c>
      <c r="B2390" s="10" t="inlineStr">
        <is>
          <t>F02853</t>
        </is>
      </c>
      <c r="C2390" s="10" t="inlineStr"/>
      <c r="D2390" s="10" t="inlineStr"/>
      <c r="E2390" s="10" t="inlineStr">
        <is>
          <t>CORNICE 2MTR EPS  SARMASIK TR-06</t>
        </is>
      </c>
      <c r="F2390" s="10" t="inlineStr"/>
      <c r="G2390" s="10" t="inlineStr"/>
      <c r="H2390" s="10" t="inlineStr"/>
      <c r="I2390" s="11" t="n">
        <v>19.95</v>
      </c>
      <c r="J2390" s="6" t="n">
        <v>15</v>
      </c>
      <c r="K2390" s="7">
        <f>IF(I2390="","",I2390*(1+J2390/100))</f>
        <v/>
      </c>
      <c r="L2390" s="12" t="inlineStr"/>
      <c r="M2390" s="8">
        <f>IF(OR(L2390="",K2390="",L2390=0),"",
  (L2390-K2390)/L2390*100)</f>
        <v/>
      </c>
      <c r="N2390" s="9" t="inlineStr"/>
      <c r="O2390" s="10" t="inlineStr"/>
      <c r="P2390" s="10" t="inlineStr"/>
      <c r="Q2390" s="10" t="inlineStr"/>
      <c r="R2390" s="10" t="inlineStr">
        <is>
          <t>2026-03-12</t>
        </is>
      </c>
      <c r="S2390" s="10" t="inlineStr"/>
    </row>
    <row r="2391">
      <c r="A2391" s="3" t="inlineStr">
        <is>
          <t>F02854</t>
        </is>
      </c>
      <c r="B2391" s="4" t="inlineStr">
        <is>
          <t>F02854</t>
        </is>
      </c>
      <c r="C2391" s="4" t="inlineStr"/>
      <c r="D2391" s="4" t="inlineStr">
        <is>
          <t>6009705653362</t>
        </is>
      </c>
      <c r="E2391" s="3" t="inlineStr">
        <is>
          <t>OPTICAL - SPECTACLE CASE</t>
        </is>
      </c>
      <c r="F2391" s="4" t="inlineStr"/>
      <c r="G2391" s="4" t="inlineStr"/>
      <c r="H2391" s="4" t="inlineStr"/>
      <c r="I2391" s="5" t="n">
        <v>7.29</v>
      </c>
      <c r="J2391" s="6" t="n">
        <v>15</v>
      </c>
      <c r="K2391" s="7">
        <f>IF(I2391="","",I2391*(1+J2391/100))</f>
        <v/>
      </c>
      <c r="L2391" s="12" t="inlineStr"/>
      <c r="M2391" s="8">
        <f>IF(OR(L2391="",K2391="",L2391=0),"",
  (L2391-K2391)/L2391*100)</f>
        <v/>
      </c>
      <c r="N2391" s="9" t="inlineStr"/>
      <c r="O2391" s="4" t="inlineStr"/>
      <c r="P2391" s="4" t="inlineStr"/>
      <c r="Q2391" s="4" t="inlineStr"/>
      <c r="R2391" s="4" t="inlineStr">
        <is>
          <t>2026-03-12</t>
        </is>
      </c>
      <c r="S2391" s="4" t="inlineStr"/>
    </row>
    <row r="2392">
      <c r="A2392" s="10" t="inlineStr">
        <is>
          <t>F02855</t>
        </is>
      </c>
      <c r="B2392" s="10" t="inlineStr">
        <is>
          <t>F02855</t>
        </is>
      </c>
      <c r="C2392" s="10" t="inlineStr"/>
      <c r="D2392" s="10" t="inlineStr"/>
      <c r="E2392" s="10" t="inlineStr">
        <is>
          <t>WALL PANEL WPC20 BARCELON NERO 2.4M CPT</t>
        </is>
      </c>
      <c r="F2392" s="10" t="inlineStr"/>
      <c r="G2392" s="10" t="inlineStr"/>
      <c r="H2392" s="10" t="inlineStr"/>
      <c r="I2392" s="11" t="n">
        <v>1390</v>
      </c>
      <c r="J2392" s="6" t="n">
        <v>15</v>
      </c>
      <c r="K2392" s="7">
        <f>IF(I2392="","",I2392*(1+J2392/100))</f>
        <v/>
      </c>
      <c r="L2392" s="12" t="inlineStr"/>
      <c r="M2392" s="8">
        <f>IF(OR(L2392="",K2392="",L2392=0),"",
  (L2392-K2392)/L2392*100)</f>
        <v/>
      </c>
      <c r="N2392" s="9" t="inlineStr"/>
      <c r="O2392" s="10" t="inlineStr"/>
      <c r="P2392" s="10" t="inlineStr"/>
      <c r="Q2392" s="10" t="inlineStr"/>
      <c r="R2392" s="10" t="inlineStr">
        <is>
          <t>2026-03-12</t>
        </is>
      </c>
      <c r="S2392" s="10" t="inlineStr"/>
    </row>
    <row r="2393">
      <c r="A2393" s="3" t="inlineStr">
        <is>
          <t>F02856</t>
        </is>
      </c>
      <c r="B2393" s="4" t="inlineStr">
        <is>
          <t>F02856</t>
        </is>
      </c>
      <c r="C2393" s="4" t="inlineStr"/>
      <c r="D2393" s="4" t="inlineStr">
        <is>
          <t>6009705653379</t>
        </is>
      </c>
      <c r="E2393" s="3" t="inlineStr">
        <is>
          <t>WPC OUTDOOR WALL PANEL GREY 219*26*2.9M</t>
        </is>
      </c>
      <c r="F2393" s="4" t="inlineStr"/>
      <c r="G2393" s="4" t="inlineStr"/>
      <c r="H2393" s="4" t="inlineStr"/>
      <c r="I2393" s="5" t="n">
        <v>1156</v>
      </c>
      <c r="J2393" s="6" t="n">
        <v>15</v>
      </c>
      <c r="K2393" s="7">
        <f>IF(I2393="","",I2393*(1+J2393/100))</f>
        <v/>
      </c>
      <c r="L2393" s="12" t="inlineStr"/>
      <c r="M2393" s="8">
        <f>IF(OR(L2393="",K2393="",L2393=0),"",
  (L2393-K2393)/L2393*100)</f>
        <v/>
      </c>
      <c r="N2393" s="9" t="inlineStr"/>
      <c r="O2393" s="4" t="inlineStr"/>
      <c r="P2393" s="4" t="inlineStr"/>
      <c r="Q2393" s="4" t="inlineStr"/>
      <c r="R2393" s="4" t="inlineStr">
        <is>
          <t>2026-03-12</t>
        </is>
      </c>
      <c r="S2393" s="4" t="inlineStr"/>
    </row>
    <row r="2394">
      <c r="A2394" s="10" t="inlineStr">
        <is>
          <t>F02857</t>
        </is>
      </c>
      <c r="B2394" s="10" t="inlineStr">
        <is>
          <t>F02857</t>
        </is>
      </c>
      <c r="C2394" s="10" t="inlineStr"/>
      <c r="D2394" s="10" t="inlineStr">
        <is>
          <t>6009705653386</t>
        </is>
      </c>
      <c r="E2394" s="10" t="inlineStr">
        <is>
          <t>WPC OUTDOOR WALL PANEL COFFEE 219*26*2.9</t>
        </is>
      </c>
      <c r="F2394" s="10" t="inlineStr"/>
      <c r="G2394" s="10" t="inlineStr"/>
      <c r="H2394" s="10" t="inlineStr"/>
      <c r="I2394" s="11" t="n">
        <v>1156</v>
      </c>
      <c r="J2394" s="6" t="n">
        <v>15</v>
      </c>
      <c r="K2394" s="7">
        <f>IF(I2394="","",I2394*(1+J2394/100))</f>
        <v/>
      </c>
      <c r="L2394" s="12" t="inlineStr"/>
      <c r="M2394" s="8">
        <f>IF(OR(L2394="",K2394="",L2394=0),"",
  (L2394-K2394)/L2394*100)</f>
        <v/>
      </c>
      <c r="N2394" s="13" t="n">
        <v>4</v>
      </c>
      <c r="O2394" s="10" t="inlineStr"/>
      <c r="P2394" s="10" t="inlineStr"/>
      <c r="Q2394" s="10" t="inlineStr"/>
      <c r="R2394" s="10" t="inlineStr">
        <is>
          <t>2026-03-12</t>
        </is>
      </c>
      <c r="S2394" s="10" t="inlineStr"/>
    </row>
    <row r="2395">
      <c r="A2395" s="3" t="inlineStr">
        <is>
          <t>F02858</t>
        </is>
      </c>
      <c r="B2395" s="4" t="inlineStr">
        <is>
          <t>F02858</t>
        </is>
      </c>
      <c r="C2395" s="4" t="inlineStr"/>
      <c r="D2395" s="4" t="inlineStr">
        <is>
          <t>6009705653393</t>
        </is>
      </c>
      <c r="E2395" s="3" t="inlineStr">
        <is>
          <t>WPC OUTDOOR WALL PANEL LIGHT TEAK</t>
        </is>
      </c>
      <c r="F2395" s="4" t="inlineStr"/>
      <c r="G2395" s="4" t="inlineStr"/>
      <c r="H2395" s="4" t="inlineStr"/>
      <c r="I2395" s="5" t="n">
        <v>1156</v>
      </c>
      <c r="J2395" s="6" t="n">
        <v>15</v>
      </c>
      <c r="K2395" s="7">
        <f>IF(I2395="","",I2395*(1+J2395/100))</f>
        <v/>
      </c>
      <c r="L2395" s="12" t="inlineStr"/>
      <c r="M2395" s="8">
        <f>IF(OR(L2395="",K2395="",L2395=0),"",
  (L2395-K2395)/L2395*100)</f>
        <v/>
      </c>
      <c r="N2395" s="14" t="n">
        <v>78</v>
      </c>
      <c r="O2395" s="4" t="inlineStr"/>
      <c r="P2395" s="4" t="inlineStr"/>
      <c r="Q2395" s="4" t="inlineStr"/>
      <c r="R2395" s="4" t="inlineStr">
        <is>
          <t>2026-03-12</t>
        </is>
      </c>
      <c r="S2395" s="4" t="inlineStr"/>
    </row>
    <row r="2396">
      <c r="A2396" s="10" t="inlineStr">
        <is>
          <t>F02859</t>
        </is>
      </c>
      <c r="B2396" s="10" t="inlineStr">
        <is>
          <t>F02859</t>
        </is>
      </c>
      <c r="C2396" s="10" t="inlineStr"/>
      <c r="D2396" s="10" t="inlineStr">
        <is>
          <t>6009705653409</t>
        </is>
      </c>
      <c r="E2396" s="10" t="inlineStr">
        <is>
          <t>WPC OUTDOOR WALL PANEL  BLACK 219*26*2.9</t>
        </is>
      </c>
      <c r="F2396" s="10" t="inlineStr"/>
      <c r="G2396" s="10" t="inlineStr"/>
      <c r="H2396" s="10" t="inlineStr"/>
      <c r="I2396" s="11" t="n">
        <v>1156</v>
      </c>
      <c r="J2396" s="6" t="n">
        <v>15</v>
      </c>
      <c r="K2396" s="7">
        <f>IF(I2396="","",I2396*(1+J2396/100))</f>
        <v/>
      </c>
      <c r="L2396" s="12" t="inlineStr"/>
      <c r="M2396" s="8">
        <f>IF(OR(L2396="",K2396="",L2396=0),"",
  (L2396-K2396)/L2396*100)</f>
        <v/>
      </c>
      <c r="N2396" s="13" t="n">
        <v>3</v>
      </c>
      <c r="O2396" s="10" t="inlineStr"/>
      <c r="P2396" s="10" t="inlineStr"/>
      <c r="Q2396" s="10" t="inlineStr"/>
      <c r="R2396" s="10" t="inlineStr">
        <is>
          <t>2026-03-12</t>
        </is>
      </c>
      <c r="S2396" s="10" t="inlineStr"/>
    </row>
    <row r="2397">
      <c r="A2397" s="3" t="inlineStr">
        <is>
          <t>F02860</t>
        </is>
      </c>
      <c r="B2397" s="4" t="inlineStr">
        <is>
          <t>F02860</t>
        </is>
      </c>
      <c r="C2397" s="4" t="inlineStr"/>
      <c r="D2397" s="4" t="inlineStr">
        <is>
          <t>6009705653416</t>
        </is>
      </c>
      <c r="E2397" s="3" t="inlineStr">
        <is>
          <t>DECKING 1ST GEN2.9M OUTDR GREY/B 140*25*</t>
        </is>
      </c>
      <c r="F2397" s="4" t="inlineStr"/>
      <c r="G2397" s="4" t="inlineStr"/>
      <c r="H2397" s="4" t="inlineStr"/>
      <c r="I2397" s="5" t="n">
        <v>836</v>
      </c>
      <c r="J2397" s="6" t="n">
        <v>15</v>
      </c>
      <c r="K2397" s="7">
        <f>IF(I2397="","",I2397*(1+J2397/100))</f>
        <v/>
      </c>
      <c r="L2397" s="12" t="inlineStr"/>
      <c r="M2397" s="8">
        <f>IF(OR(L2397="",K2397="",L2397=0),"",
  (L2397-K2397)/L2397*100)</f>
        <v/>
      </c>
      <c r="N2397" s="14" t="n">
        <v>70</v>
      </c>
      <c r="O2397" s="4" t="inlineStr"/>
      <c r="P2397" s="4" t="inlineStr"/>
      <c r="Q2397" s="4" t="inlineStr"/>
      <c r="R2397" s="4" t="inlineStr">
        <is>
          <t>2026-03-12</t>
        </is>
      </c>
      <c r="S2397" s="4" t="inlineStr"/>
    </row>
    <row r="2398">
      <c r="A2398" s="10" t="inlineStr">
        <is>
          <t>F02861</t>
        </is>
      </c>
      <c r="B2398" s="10" t="inlineStr">
        <is>
          <t>F02861</t>
        </is>
      </c>
      <c r="C2398" s="10" t="inlineStr"/>
      <c r="D2398" s="10" t="inlineStr">
        <is>
          <t>6009705653423</t>
        </is>
      </c>
      <c r="E2398" s="10" t="inlineStr">
        <is>
          <t>DECKING 1ST GEN2.9M OUTDR BROWN 140*25*</t>
        </is>
      </c>
      <c r="F2398" s="10" t="inlineStr"/>
      <c r="G2398" s="10" t="inlineStr"/>
      <c r="H2398" s="10" t="inlineStr"/>
      <c r="I2398" s="11" t="n">
        <v>836</v>
      </c>
      <c r="J2398" s="6" t="n">
        <v>15</v>
      </c>
      <c r="K2398" s="7">
        <f>IF(I2398="","",I2398*(1+J2398/100))</f>
        <v/>
      </c>
      <c r="L2398" s="12" t="inlineStr"/>
      <c r="M2398" s="8">
        <f>IF(OR(L2398="",K2398="",L2398=0),"",
  (L2398-K2398)/L2398*100)</f>
        <v/>
      </c>
      <c r="N2398" s="13" t="n">
        <v>1</v>
      </c>
      <c r="O2398" s="10" t="inlineStr"/>
      <c r="P2398" s="10" t="inlineStr"/>
      <c r="Q2398" s="10" t="inlineStr"/>
      <c r="R2398" s="10" t="inlineStr">
        <is>
          <t>2026-03-12</t>
        </is>
      </c>
      <c r="S2398" s="10" t="inlineStr"/>
    </row>
    <row r="2399">
      <c r="A2399" s="3" t="inlineStr">
        <is>
          <t>F02862</t>
        </is>
      </c>
      <c r="B2399" s="4" t="inlineStr">
        <is>
          <t>F02862</t>
        </is>
      </c>
      <c r="C2399" s="4" t="inlineStr"/>
      <c r="D2399" s="4" t="inlineStr">
        <is>
          <t>6009705653430</t>
        </is>
      </c>
      <c r="E2399" s="3" t="inlineStr">
        <is>
          <t>WALL PANEL-BARCELONA WOOD 2.9*160*22MM</t>
        </is>
      </c>
      <c r="F2399" s="4" t="inlineStr"/>
      <c r="G2399" s="4" t="inlineStr"/>
      <c r="H2399" s="4" t="inlineStr"/>
      <c r="I2399" s="5" t="n">
        <v>950</v>
      </c>
      <c r="J2399" s="6" t="n">
        <v>15</v>
      </c>
      <c r="K2399" s="7">
        <f>IF(I2399="","",I2399*(1+J2399/100))</f>
        <v/>
      </c>
      <c r="L2399" s="12" t="inlineStr"/>
      <c r="M2399" s="8">
        <f>IF(OR(L2399="",K2399="",L2399=0),"",
  (L2399-K2399)/L2399*100)</f>
        <v/>
      </c>
      <c r="N2399" s="14" t="n">
        <v>904</v>
      </c>
      <c r="O2399" s="4" t="inlineStr"/>
      <c r="P2399" s="4" t="inlineStr"/>
      <c r="Q2399" s="4" t="inlineStr"/>
      <c r="R2399" s="4" t="inlineStr">
        <is>
          <t>2026-03-12</t>
        </is>
      </c>
      <c r="S2399" s="4" t="inlineStr"/>
    </row>
    <row r="2400">
      <c r="A2400" s="10" t="inlineStr">
        <is>
          <t>F02863</t>
        </is>
      </c>
      <c r="B2400" s="10" t="inlineStr">
        <is>
          <t>F02863</t>
        </is>
      </c>
      <c r="C2400" s="10" t="inlineStr"/>
      <c r="D2400" s="10" t="inlineStr">
        <is>
          <t>6009705653447</t>
        </is>
      </c>
      <c r="E2400" s="10" t="inlineStr">
        <is>
          <t>WALL PANEL-BARCELONA METAL GREY</t>
        </is>
      </c>
      <c r="F2400" s="10" t="inlineStr"/>
      <c r="G2400" s="10" t="inlineStr"/>
      <c r="H2400" s="10" t="inlineStr"/>
      <c r="I2400" s="11" t="n">
        <v>950</v>
      </c>
      <c r="J2400" s="6" t="n">
        <v>15</v>
      </c>
      <c r="K2400" s="7">
        <f>IF(I2400="","",I2400*(1+J2400/100))</f>
        <v/>
      </c>
      <c r="L2400" s="12" t="inlineStr"/>
      <c r="M2400" s="8">
        <f>IF(OR(L2400="",K2400="",L2400=0),"",
  (L2400-K2400)/L2400*100)</f>
        <v/>
      </c>
      <c r="N2400" s="13" t="n">
        <v>3</v>
      </c>
      <c r="O2400" s="10" t="inlineStr"/>
      <c r="P2400" s="10" t="inlineStr"/>
      <c r="Q2400" s="10" t="inlineStr"/>
      <c r="R2400" s="10" t="inlineStr">
        <is>
          <t>2026-03-12</t>
        </is>
      </c>
      <c r="S2400" s="10" t="inlineStr"/>
    </row>
    <row r="2401">
      <c r="A2401" s="3" t="inlineStr">
        <is>
          <t>F02864</t>
        </is>
      </c>
      <c r="B2401" s="4" t="inlineStr">
        <is>
          <t>F02864</t>
        </is>
      </c>
      <c r="C2401" s="4" t="inlineStr"/>
      <c r="D2401" s="4" t="inlineStr">
        <is>
          <t>6009705653911</t>
        </is>
      </c>
      <c r="E2401" s="3" t="inlineStr">
        <is>
          <t>BUILDING PLASTIC BLACK 40MX 120/150 MIC</t>
        </is>
      </c>
      <c r="F2401" s="4" t="inlineStr"/>
      <c r="G2401" s="4" t="inlineStr"/>
      <c r="H2401" s="4" t="inlineStr"/>
      <c r="I2401" s="5" t="n">
        <v>24.95</v>
      </c>
      <c r="J2401" s="6" t="n">
        <v>15</v>
      </c>
      <c r="K2401" s="7">
        <f>IF(I2401="","",I2401*(1+J2401/100))</f>
        <v/>
      </c>
      <c r="L2401" s="12" t="inlineStr"/>
      <c r="M2401" s="8">
        <f>IF(OR(L2401="",K2401="",L2401=0),"",
  (L2401-K2401)/L2401*100)</f>
        <v/>
      </c>
      <c r="N2401" s="9" t="inlineStr"/>
      <c r="O2401" s="4" t="inlineStr"/>
      <c r="P2401" s="4" t="inlineStr"/>
      <c r="Q2401" s="4" t="inlineStr"/>
      <c r="R2401" s="4" t="inlineStr">
        <is>
          <t>2026-03-12</t>
        </is>
      </c>
      <c r="S2401" s="4" t="inlineStr"/>
    </row>
    <row r="2402">
      <c r="A2402" s="10" t="inlineStr">
        <is>
          <t>F02865</t>
        </is>
      </c>
      <c r="B2402" s="10" t="inlineStr">
        <is>
          <t>F02865</t>
        </is>
      </c>
      <c r="C2402" s="10" t="inlineStr"/>
      <c r="D2402" s="10" t="inlineStr">
        <is>
          <t>6009705653928</t>
        </is>
      </c>
      <c r="E2402" s="10" t="inlineStr">
        <is>
          <t>BUILDNG PLASTIC BLK 40MX250 MICRON</t>
        </is>
      </c>
      <c r="F2402" s="10" t="inlineStr"/>
      <c r="G2402" s="10" t="inlineStr"/>
      <c r="H2402" s="10" t="inlineStr"/>
      <c r="I2402" s="11" t="n">
        <v>32.95</v>
      </c>
      <c r="J2402" s="6" t="n">
        <v>15</v>
      </c>
      <c r="K2402" s="7">
        <f>IF(I2402="","",I2402*(1+J2402/100))</f>
        <v/>
      </c>
      <c r="L2402" s="12" t="inlineStr"/>
      <c r="M2402" s="8">
        <f>IF(OR(L2402="",K2402="",L2402=0),"",
  (L2402-K2402)/L2402*100)</f>
        <v/>
      </c>
      <c r="N2402" s="13" t="n">
        <v>9</v>
      </c>
      <c r="O2402" s="10" t="inlineStr"/>
      <c r="P2402" s="10" t="inlineStr"/>
      <c r="Q2402" s="10" t="inlineStr"/>
      <c r="R2402" s="10" t="inlineStr">
        <is>
          <t>2026-03-12</t>
        </is>
      </c>
      <c r="S2402" s="10" t="inlineStr"/>
    </row>
    <row r="2403">
      <c r="A2403" s="3" t="inlineStr">
        <is>
          <t>F02866</t>
        </is>
      </c>
      <c r="B2403" s="4" t="inlineStr">
        <is>
          <t>F02866</t>
        </is>
      </c>
      <c r="C2403" s="4" t="inlineStr">
        <is>
          <t>22431</t>
        </is>
      </c>
      <c r="D2403" s="4" t="inlineStr">
        <is>
          <t>6009705653454</t>
        </is>
      </c>
      <c r="E2403" s="3" t="inlineStr">
        <is>
          <t>UV PANEL BRE NERO MATT  1220*2700*3MM</t>
        </is>
      </c>
      <c r="F2403" s="4" t="inlineStr"/>
      <c r="G2403" s="4" t="inlineStr"/>
      <c r="H2403" s="4" t="inlineStr"/>
      <c r="I2403" s="5" t="n">
        <v>529</v>
      </c>
      <c r="J2403" s="6" t="n">
        <v>15</v>
      </c>
      <c r="K2403" s="7">
        <f>IF(I2403="","",I2403*(1+J2403/100))</f>
        <v/>
      </c>
      <c r="L2403" s="5" t="n">
        <v>1300</v>
      </c>
      <c r="M2403" s="8">
        <f>IF(OR(L2403="",K2403="",L2403=0),"",
  (L2403-K2403)/L2403*100)</f>
        <v/>
      </c>
      <c r="N2403" s="9" t="inlineStr"/>
      <c r="O2403" s="4" t="inlineStr"/>
      <c r="P2403" s="4" t="inlineStr"/>
      <c r="Q2403" s="4" t="inlineStr"/>
      <c r="R2403" s="4" t="inlineStr">
        <is>
          <t>2026-03-12</t>
        </is>
      </c>
      <c r="S2403" s="4" t="inlineStr"/>
    </row>
    <row r="2404">
      <c r="A2404" s="10" t="inlineStr">
        <is>
          <t>F02867</t>
        </is>
      </c>
      <c r="B2404" s="10" t="inlineStr">
        <is>
          <t>F02867</t>
        </is>
      </c>
      <c r="C2404" s="10" t="inlineStr">
        <is>
          <t>22437</t>
        </is>
      </c>
      <c r="D2404" s="10" t="inlineStr">
        <is>
          <t>6009705653461</t>
        </is>
      </c>
      <c r="E2404" s="10" t="inlineStr">
        <is>
          <t>UV PANEL BRE GRIS MATT  1220*2700*3MM</t>
        </is>
      </c>
      <c r="F2404" s="10" t="inlineStr"/>
      <c r="G2404" s="10" t="inlineStr"/>
      <c r="H2404" s="10" t="inlineStr"/>
      <c r="I2404" s="11" t="n">
        <v>499</v>
      </c>
      <c r="J2404" s="6" t="n">
        <v>15</v>
      </c>
      <c r="K2404" s="7">
        <f>IF(I2404="","",I2404*(1+J2404/100))</f>
        <v/>
      </c>
      <c r="L2404" s="11" t="n">
        <v>1300</v>
      </c>
      <c r="M2404" s="8">
        <f>IF(OR(L2404="",K2404="",L2404=0),"",
  (L2404-K2404)/L2404*100)</f>
        <v/>
      </c>
      <c r="N2404" s="9" t="inlineStr"/>
      <c r="O2404" s="10" t="inlineStr"/>
      <c r="P2404" s="10" t="inlineStr"/>
      <c r="Q2404" s="10" t="inlineStr"/>
      <c r="R2404" s="10" t="inlineStr">
        <is>
          <t>2026-03-12</t>
        </is>
      </c>
      <c r="S2404" s="10" t="inlineStr"/>
    </row>
    <row r="2405">
      <c r="A2405" s="3" t="inlineStr">
        <is>
          <t>F02868</t>
        </is>
      </c>
      <c r="B2405" s="4" t="inlineStr">
        <is>
          <t>F02868</t>
        </is>
      </c>
      <c r="C2405" s="4" t="inlineStr">
        <is>
          <t>22436</t>
        </is>
      </c>
      <c r="D2405" s="4" t="inlineStr">
        <is>
          <t>6009705653478</t>
        </is>
      </c>
      <c r="E2405" s="3" t="inlineStr">
        <is>
          <t>UV PANEL BRE BEIGE MATT1220*1220*2.7*3MM</t>
        </is>
      </c>
      <c r="F2405" s="4" t="inlineStr"/>
      <c r="G2405" s="4" t="inlineStr"/>
      <c r="H2405" s="4" t="inlineStr"/>
      <c r="I2405" s="5" t="n">
        <v>529</v>
      </c>
      <c r="J2405" s="6" t="n">
        <v>15</v>
      </c>
      <c r="K2405" s="7">
        <f>IF(I2405="","",I2405*(1+J2405/100))</f>
        <v/>
      </c>
      <c r="L2405" s="5" t="n">
        <v>1300</v>
      </c>
      <c r="M2405" s="8">
        <f>IF(OR(L2405="",K2405="",L2405=0),"",
  (L2405-K2405)/L2405*100)</f>
        <v/>
      </c>
      <c r="N2405" s="9" t="inlineStr"/>
      <c r="O2405" s="4" t="inlineStr"/>
      <c r="P2405" s="4" t="inlineStr"/>
      <c r="Q2405" s="4" t="inlineStr"/>
      <c r="R2405" s="4" t="inlineStr">
        <is>
          <t>2026-03-12</t>
        </is>
      </c>
      <c r="S2405" s="4" t="inlineStr"/>
    </row>
    <row r="2406">
      <c r="A2406" s="10" t="inlineStr">
        <is>
          <t>F02869</t>
        </is>
      </c>
      <c r="B2406" s="10" t="inlineStr">
        <is>
          <t>F02869</t>
        </is>
      </c>
      <c r="C2406" s="10" t="inlineStr"/>
      <c r="D2406" s="10" t="inlineStr">
        <is>
          <t>6009705653485</t>
        </is>
      </c>
      <c r="E2406" s="10" t="inlineStr">
        <is>
          <t>UV PANEL BRE SMOKE MATT 1220*2700*3MM</t>
        </is>
      </c>
      <c r="F2406" s="10" t="inlineStr"/>
      <c r="G2406" s="10" t="inlineStr"/>
      <c r="H2406" s="10" t="inlineStr"/>
      <c r="I2406" s="11" t="n">
        <v>549</v>
      </c>
      <c r="J2406" s="6" t="n">
        <v>15</v>
      </c>
      <c r="K2406" s="7">
        <f>IF(I2406="","",I2406*(1+J2406/100))</f>
        <v/>
      </c>
      <c r="L2406" s="12" t="inlineStr"/>
      <c r="M2406" s="8">
        <f>IF(OR(L2406="",K2406="",L2406=0),"",
  (L2406-K2406)/L2406*100)</f>
        <v/>
      </c>
      <c r="N2406" s="9" t="inlineStr"/>
      <c r="O2406" s="10" t="inlineStr"/>
      <c r="P2406" s="10" t="inlineStr"/>
      <c r="Q2406" s="10" t="inlineStr"/>
      <c r="R2406" s="10" t="inlineStr">
        <is>
          <t>2026-03-12</t>
        </is>
      </c>
      <c r="S2406" s="10" t="inlineStr"/>
    </row>
    <row r="2407">
      <c r="A2407" s="3" t="inlineStr">
        <is>
          <t>F02870</t>
        </is>
      </c>
      <c r="B2407" s="4" t="inlineStr">
        <is>
          <t>F02870</t>
        </is>
      </c>
      <c r="C2407" s="4" t="inlineStr">
        <is>
          <t>22438</t>
        </is>
      </c>
      <c r="D2407" s="4" t="inlineStr">
        <is>
          <t>6009705653492</t>
        </is>
      </c>
      <c r="E2407" s="3" t="inlineStr">
        <is>
          <t>UV PANEL BRE MARFIL MATT 1220*2700*3MM</t>
        </is>
      </c>
      <c r="F2407" s="4" t="inlineStr"/>
      <c r="G2407" s="4" t="inlineStr"/>
      <c r="H2407" s="4" t="inlineStr"/>
      <c r="I2407" s="5" t="n">
        <v>529</v>
      </c>
      <c r="J2407" s="6" t="n">
        <v>15</v>
      </c>
      <c r="K2407" s="7">
        <f>IF(I2407="","",I2407*(1+J2407/100))</f>
        <v/>
      </c>
      <c r="L2407" s="5" t="n">
        <v>1300</v>
      </c>
      <c r="M2407" s="8">
        <f>IF(OR(L2407="",K2407="",L2407=0),"",
  (L2407-K2407)/L2407*100)</f>
        <v/>
      </c>
      <c r="N2407" s="9" t="inlineStr"/>
      <c r="O2407" s="4" t="inlineStr"/>
      <c r="P2407" s="4" t="inlineStr"/>
      <c r="Q2407" s="4" t="inlineStr"/>
      <c r="R2407" s="4" t="inlineStr">
        <is>
          <t>2026-03-12</t>
        </is>
      </c>
      <c r="S2407" s="4" t="inlineStr"/>
    </row>
    <row r="2408">
      <c r="A2408" s="10" t="inlineStr">
        <is>
          <t>F02871</t>
        </is>
      </c>
      <c r="B2408" s="10" t="inlineStr">
        <is>
          <t>F02871</t>
        </is>
      </c>
      <c r="C2408" s="10" t="inlineStr">
        <is>
          <t>19545</t>
        </is>
      </c>
      <c r="D2408" s="10" t="inlineStr">
        <is>
          <t>6009705653508</t>
        </is>
      </c>
      <c r="E2408" s="10" t="inlineStr">
        <is>
          <t>UV PENEL 3D COSMIC GOLD 1200*2700*2.5MM</t>
        </is>
      </c>
      <c r="F2408" s="10" t="inlineStr"/>
      <c r="G2408" s="10" t="inlineStr"/>
      <c r="H2408" s="10" t="inlineStr"/>
      <c r="I2408" s="11" t="n">
        <v>970</v>
      </c>
      <c r="J2408" s="6" t="n">
        <v>15</v>
      </c>
      <c r="K2408" s="7">
        <f>IF(I2408="","",I2408*(1+J2408/100))</f>
        <v/>
      </c>
      <c r="L2408" s="11" t="n">
        <v>1600</v>
      </c>
      <c r="M2408" s="8">
        <f>IF(OR(L2408="",K2408="",L2408=0),"",
  (L2408-K2408)/L2408*100)</f>
        <v/>
      </c>
      <c r="N2408" s="9" t="inlineStr"/>
      <c r="O2408" s="10" t="inlineStr"/>
      <c r="P2408" s="10" t="inlineStr"/>
      <c r="Q2408" s="10" t="inlineStr"/>
      <c r="R2408" s="10" t="inlineStr">
        <is>
          <t>2026-03-12</t>
        </is>
      </c>
      <c r="S2408" s="10" t="inlineStr"/>
    </row>
    <row r="2409">
      <c r="A2409" s="3" t="inlineStr">
        <is>
          <t>F02872</t>
        </is>
      </c>
      <c r="B2409" s="4" t="inlineStr">
        <is>
          <t>F02872</t>
        </is>
      </c>
      <c r="C2409" s="4" t="inlineStr">
        <is>
          <t>19546</t>
        </is>
      </c>
      <c r="D2409" s="4" t="inlineStr">
        <is>
          <t>6009705653515</t>
        </is>
      </c>
      <c r="E2409" s="3" t="inlineStr">
        <is>
          <t>UV PANEL- 3D DUBAI BLING 1200*2700*2.5MM</t>
        </is>
      </c>
      <c r="F2409" s="4" t="inlineStr"/>
      <c r="G2409" s="4" t="inlineStr"/>
      <c r="H2409" s="4" t="inlineStr"/>
      <c r="I2409" s="5" t="n">
        <v>970</v>
      </c>
      <c r="J2409" s="6" t="n">
        <v>15</v>
      </c>
      <c r="K2409" s="7">
        <f>IF(I2409="","",I2409*(1+J2409/100))</f>
        <v/>
      </c>
      <c r="L2409" s="5" t="n">
        <v>1600</v>
      </c>
      <c r="M2409" s="8">
        <f>IF(OR(L2409="",K2409="",L2409=0),"",
  (L2409-K2409)/L2409*100)</f>
        <v/>
      </c>
      <c r="N2409" s="9" t="inlineStr"/>
      <c r="O2409" s="4" t="inlineStr"/>
      <c r="P2409" s="4" t="inlineStr"/>
      <c r="Q2409" s="4" t="inlineStr"/>
      <c r="R2409" s="4" t="inlineStr">
        <is>
          <t>2026-03-12</t>
        </is>
      </c>
      <c r="S2409" s="4" t="inlineStr"/>
    </row>
    <row r="2410">
      <c r="A2410" s="10" t="inlineStr">
        <is>
          <t>F02873</t>
        </is>
      </c>
      <c r="B2410" s="10" t="inlineStr">
        <is>
          <t>F02873</t>
        </is>
      </c>
      <c r="C2410" s="10" t="inlineStr"/>
      <c r="D2410" s="10" t="inlineStr"/>
      <c r="E2410" s="10" t="inlineStr">
        <is>
          <t>LED LIGHT CEILING  28W RUYI NEW</t>
        </is>
      </c>
      <c r="F2410" s="10" t="inlineStr"/>
      <c r="G2410" s="10" t="inlineStr"/>
      <c r="H2410" s="10" t="inlineStr"/>
      <c r="I2410" s="11" t="n">
        <v>215</v>
      </c>
      <c r="J2410" s="6" t="n">
        <v>15</v>
      </c>
      <c r="K2410" s="7">
        <f>IF(I2410="","",I2410*(1+J2410/100))</f>
        <v/>
      </c>
      <c r="L2410" s="12" t="inlineStr"/>
      <c r="M2410" s="8">
        <f>IF(OR(L2410="",K2410="",L2410=0),"",
  (L2410-K2410)/L2410*100)</f>
        <v/>
      </c>
      <c r="N2410" s="13" t="n">
        <v>6</v>
      </c>
      <c r="O2410" s="10" t="inlineStr"/>
      <c r="P2410" s="10" t="inlineStr"/>
      <c r="Q2410" s="10" t="inlineStr"/>
      <c r="R2410" s="10" t="inlineStr">
        <is>
          <t>2026-03-12</t>
        </is>
      </c>
      <c r="S2410" s="10" t="inlineStr"/>
    </row>
    <row r="2411">
      <c r="A2411" s="3" t="inlineStr">
        <is>
          <t>F02874</t>
        </is>
      </c>
      <c r="B2411" s="4" t="inlineStr">
        <is>
          <t>F02874</t>
        </is>
      </c>
      <c r="C2411" s="4" t="inlineStr">
        <is>
          <t>32206</t>
        </is>
      </c>
      <c r="D2411" s="4" t="inlineStr">
        <is>
          <t>6009705653522</t>
        </is>
      </c>
      <c r="E2411" s="3" t="inlineStr">
        <is>
          <t>UV PANEL -3D ASTOR CLOUD 1200*2700*2.5MM</t>
        </is>
      </c>
      <c r="F2411" s="4" t="inlineStr"/>
      <c r="G2411" s="4" t="inlineStr"/>
      <c r="H2411" s="4" t="inlineStr"/>
      <c r="I2411" s="5" t="n">
        <v>990</v>
      </c>
      <c r="J2411" s="6" t="n">
        <v>15</v>
      </c>
      <c r="K2411" s="7">
        <f>IF(I2411="","",I2411*(1+J2411/100))</f>
        <v/>
      </c>
      <c r="L2411" s="12" t="inlineStr"/>
      <c r="M2411" s="8">
        <f>IF(OR(L2411="",K2411="",L2411=0),"",
  (L2411-K2411)/L2411*100)</f>
        <v/>
      </c>
      <c r="N2411" s="9" t="inlineStr"/>
      <c r="O2411" s="4" t="inlineStr"/>
      <c r="P2411" s="4" t="inlineStr"/>
      <c r="Q2411" s="4" t="inlineStr"/>
      <c r="R2411" s="4" t="inlineStr">
        <is>
          <t>2026-03-12</t>
        </is>
      </c>
      <c r="S2411" s="4" t="inlineStr"/>
    </row>
    <row r="2412">
      <c r="A2412" s="10" t="inlineStr">
        <is>
          <t>F02875</t>
        </is>
      </c>
      <c r="B2412" s="10" t="inlineStr">
        <is>
          <t>F02875</t>
        </is>
      </c>
      <c r="C2412" s="10" t="inlineStr"/>
      <c r="D2412" s="10" t="inlineStr">
        <is>
          <t>6009705653539</t>
        </is>
      </c>
      <c r="E2412" s="10" t="inlineStr">
        <is>
          <t>UV PANEL -3D PRADA GOLD 1200*2700*2.5MM</t>
        </is>
      </c>
      <c r="F2412" s="10" t="inlineStr"/>
      <c r="G2412" s="10" t="inlineStr"/>
      <c r="H2412" s="10" t="inlineStr"/>
      <c r="I2412" s="11" t="n">
        <v>970</v>
      </c>
      <c r="J2412" s="6" t="n">
        <v>15</v>
      </c>
      <c r="K2412" s="7">
        <f>IF(I2412="","",I2412*(1+J2412/100))</f>
        <v/>
      </c>
      <c r="L2412" s="12" t="inlineStr"/>
      <c r="M2412" s="8">
        <f>IF(OR(L2412="",K2412="",L2412=0),"",
  (L2412-K2412)/L2412*100)</f>
        <v/>
      </c>
      <c r="N2412" s="9" t="inlineStr"/>
      <c r="O2412" s="10" t="inlineStr"/>
      <c r="P2412" s="10" t="inlineStr"/>
      <c r="Q2412" s="10" t="inlineStr"/>
      <c r="R2412" s="10" t="inlineStr">
        <is>
          <t>2026-03-12</t>
        </is>
      </c>
      <c r="S2412" s="10" t="inlineStr"/>
    </row>
    <row r="2413">
      <c r="A2413" s="3" t="inlineStr">
        <is>
          <t>F02876</t>
        </is>
      </c>
      <c r="B2413" s="4" t="inlineStr">
        <is>
          <t>F02876</t>
        </is>
      </c>
      <c r="C2413" s="4" t="inlineStr">
        <is>
          <t>19559</t>
        </is>
      </c>
      <c r="D2413" s="4" t="inlineStr">
        <is>
          <t>6009705653546</t>
        </is>
      </c>
      <c r="E2413" s="3" t="inlineStr">
        <is>
          <t>UV PANEL- 3D GALAXY NERO 1200*2700*2.5MM</t>
        </is>
      </c>
      <c r="F2413" s="4" t="inlineStr"/>
      <c r="G2413" s="4" t="inlineStr"/>
      <c r="H2413" s="4" t="inlineStr"/>
      <c r="I2413" s="5" t="n">
        <v>970</v>
      </c>
      <c r="J2413" s="6" t="n">
        <v>15</v>
      </c>
      <c r="K2413" s="7">
        <f>IF(I2413="","",I2413*(1+J2413/100))</f>
        <v/>
      </c>
      <c r="L2413" s="5" t="n">
        <v>1600</v>
      </c>
      <c r="M2413" s="8">
        <f>IF(OR(L2413="",K2413="",L2413=0),"",
  (L2413-K2413)/L2413*100)</f>
        <v/>
      </c>
      <c r="N2413" s="9" t="inlineStr"/>
      <c r="O2413" s="4" t="inlineStr"/>
      <c r="P2413" s="4" t="inlineStr"/>
      <c r="Q2413" s="4" t="inlineStr"/>
      <c r="R2413" s="4" t="inlineStr">
        <is>
          <t>2026-03-12</t>
        </is>
      </c>
      <c r="S2413" s="4" t="inlineStr"/>
    </row>
    <row r="2414">
      <c r="A2414" s="10" t="inlineStr">
        <is>
          <t>F02877</t>
        </is>
      </c>
      <c r="B2414" s="10" t="inlineStr">
        <is>
          <t>F02877</t>
        </is>
      </c>
      <c r="C2414" s="10" t="inlineStr">
        <is>
          <t>19558</t>
        </is>
      </c>
      <c r="D2414" s="10" t="inlineStr">
        <is>
          <t>6009705653553</t>
        </is>
      </c>
      <c r="E2414" s="10" t="inlineStr">
        <is>
          <t>UV PANEL -3D DENIM AZUL 1200*2700*2.5MM</t>
        </is>
      </c>
      <c r="F2414" s="10" t="inlineStr"/>
      <c r="G2414" s="10" t="inlineStr"/>
      <c r="H2414" s="10" t="inlineStr"/>
      <c r="I2414" s="11" t="n">
        <v>970</v>
      </c>
      <c r="J2414" s="6" t="n">
        <v>15</v>
      </c>
      <c r="K2414" s="7">
        <f>IF(I2414="","",I2414*(1+J2414/100))</f>
        <v/>
      </c>
      <c r="L2414" s="11" t="n">
        <v>1600</v>
      </c>
      <c r="M2414" s="8">
        <f>IF(OR(L2414="",K2414="",L2414=0),"",
  (L2414-K2414)/L2414*100)</f>
        <v/>
      </c>
      <c r="N2414" s="9" t="inlineStr"/>
      <c r="O2414" s="10" t="inlineStr"/>
      <c r="P2414" s="10" t="inlineStr"/>
      <c r="Q2414" s="10" t="inlineStr"/>
      <c r="R2414" s="10" t="inlineStr">
        <is>
          <t>2026-03-12</t>
        </is>
      </c>
      <c r="S2414" s="10" t="inlineStr"/>
    </row>
    <row r="2415">
      <c r="A2415" s="3" t="inlineStr">
        <is>
          <t>F02878</t>
        </is>
      </c>
      <c r="B2415" s="4" t="inlineStr">
        <is>
          <t>F02878</t>
        </is>
      </c>
      <c r="C2415" s="4" t="inlineStr">
        <is>
          <t>19557</t>
        </is>
      </c>
      <c r="D2415" s="4" t="inlineStr">
        <is>
          <t>6009705653560</t>
        </is>
      </c>
      <c r="E2415" s="3" t="inlineStr">
        <is>
          <t>UV PANEL -3D ADRINA GOLD 1200*2700*2.5MM</t>
        </is>
      </c>
      <c r="F2415" s="4" t="inlineStr"/>
      <c r="G2415" s="4" t="inlineStr"/>
      <c r="H2415" s="4" t="inlineStr"/>
      <c r="I2415" s="5" t="n">
        <v>970</v>
      </c>
      <c r="J2415" s="6" t="n">
        <v>15</v>
      </c>
      <c r="K2415" s="7">
        <f>IF(I2415="","",I2415*(1+J2415/100))</f>
        <v/>
      </c>
      <c r="L2415" s="5" t="n">
        <v>1600</v>
      </c>
      <c r="M2415" s="8">
        <f>IF(OR(L2415="",K2415="",L2415=0),"",
  (L2415-K2415)/L2415*100)</f>
        <v/>
      </c>
      <c r="N2415" s="9" t="inlineStr"/>
      <c r="O2415" s="4" t="inlineStr"/>
      <c r="P2415" s="4" t="inlineStr"/>
      <c r="Q2415" s="4" t="inlineStr"/>
      <c r="R2415" s="4" t="inlineStr">
        <is>
          <t>2026-03-12</t>
        </is>
      </c>
      <c r="S2415" s="4" t="inlineStr"/>
    </row>
    <row r="2416">
      <c r="A2416" s="10" t="inlineStr">
        <is>
          <t>F02879</t>
        </is>
      </c>
      <c r="B2416" s="10" t="inlineStr">
        <is>
          <t>F02879</t>
        </is>
      </c>
      <c r="C2416" s="10" t="inlineStr">
        <is>
          <t>19547</t>
        </is>
      </c>
      <c r="D2416" s="10" t="inlineStr">
        <is>
          <t>6009705653577</t>
        </is>
      </c>
      <c r="E2416" s="10" t="inlineStr">
        <is>
          <t>UV PANEL -3D TURKISH AZUL 1200*2700*2.5M</t>
        </is>
      </c>
      <c r="F2416" s="10" t="inlineStr"/>
      <c r="G2416" s="10" t="inlineStr"/>
      <c r="H2416" s="10" t="inlineStr"/>
      <c r="I2416" s="11" t="n">
        <v>970</v>
      </c>
      <c r="J2416" s="6" t="n">
        <v>15</v>
      </c>
      <c r="K2416" s="7">
        <f>IF(I2416="","",I2416*(1+J2416/100))</f>
        <v/>
      </c>
      <c r="L2416" s="11" t="n">
        <v>1600</v>
      </c>
      <c r="M2416" s="8">
        <f>IF(OR(L2416="",K2416="",L2416=0),"",
  (L2416-K2416)/L2416*100)</f>
        <v/>
      </c>
      <c r="N2416" s="13" t="n">
        <v>1</v>
      </c>
      <c r="O2416" s="10" t="inlineStr"/>
      <c r="P2416" s="10" t="inlineStr"/>
      <c r="Q2416" s="10" t="inlineStr"/>
      <c r="R2416" s="10" t="inlineStr">
        <is>
          <t>2026-03-12</t>
        </is>
      </c>
      <c r="S2416" s="10" t="inlineStr"/>
    </row>
    <row r="2417">
      <c r="A2417" s="3" t="inlineStr">
        <is>
          <t>F02880</t>
        </is>
      </c>
      <c r="B2417" s="4" t="inlineStr">
        <is>
          <t>F02880</t>
        </is>
      </c>
      <c r="C2417" s="4" t="inlineStr"/>
      <c r="D2417" s="4" t="inlineStr">
        <is>
          <t>6009705653584</t>
        </is>
      </c>
      <c r="E2417" s="3" t="inlineStr">
        <is>
          <t>PU-DIVIDER ALABASTER BLOCK 1200*600*30MM</t>
        </is>
      </c>
      <c r="F2417" s="4" t="inlineStr"/>
      <c r="G2417" s="4" t="inlineStr"/>
      <c r="H2417" s="4" t="inlineStr"/>
      <c r="I2417" s="5" t="n">
        <v>5166</v>
      </c>
      <c r="J2417" s="6" t="n">
        <v>15</v>
      </c>
      <c r="K2417" s="7">
        <f>IF(I2417="","",I2417*(1+J2417/100))</f>
        <v/>
      </c>
      <c r="L2417" s="12" t="inlineStr"/>
      <c r="M2417" s="8">
        <f>IF(OR(L2417="",K2417="",L2417=0),"",
  (L2417-K2417)/L2417*100)</f>
        <v/>
      </c>
      <c r="N2417" s="9" t="inlineStr"/>
      <c r="O2417" s="4" t="inlineStr"/>
      <c r="P2417" s="4" t="inlineStr"/>
      <c r="Q2417" s="4" t="inlineStr"/>
      <c r="R2417" s="4" t="inlineStr">
        <is>
          <t>2026-03-12</t>
        </is>
      </c>
      <c r="S2417" s="4" t="inlineStr"/>
    </row>
    <row r="2418">
      <c r="A2418" s="10" t="inlineStr">
        <is>
          <t>F02881</t>
        </is>
      </c>
      <c r="B2418" s="10" t="inlineStr">
        <is>
          <t>F02881</t>
        </is>
      </c>
      <c r="C2418" s="10" t="inlineStr"/>
      <c r="D2418" s="10" t="inlineStr">
        <is>
          <t>6009705653591</t>
        </is>
      </c>
      <c r="E2418" s="10" t="inlineStr">
        <is>
          <t>PU-DIVIDER ALABESTER RECT</t>
        </is>
      </c>
      <c r="F2418" s="10" t="inlineStr"/>
      <c r="G2418" s="10" t="inlineStr"/>
      <c r="H2418" s="10" t="inlineStr"/>
      <c r="I2418" s="11" t="n">
        <v>5166</v>
      </c>
      <c r="J2418" s="6" t="n">
        <v>15</v>
      </c>
      <c r="K2418" s="7">
        <f>IF(I2418="","",I2418*(1+J2418/100))</f>
        <v/>
      </c>
      <c r="L2418" s="12" t="inlineStr"/>
      <c r="M2418" s="8">
        <f>IF(OR(L2418="",K2418="",L2418=0),"",
  (L2418-K2418)/L2418*100)</f>
        <v/>
      </c>
      <c r="N2418" s="9" t="inlineStr"/>
      <c r="O2418" s="10" t="inlineStr"/>
      <c r="P2418" s="10" t="inlineStr"/>
      <c r="Q2418" s="10" t="inlineStr"/>
      <c r="R2418" s="10" t="inlineStr">
        <is>
          <t>2026-03-12</t>
        </is>
      </c>
      <c r="S2418" s="10" t="inlineStr"/>
    </row>
    <row r="2419">
      <c r="A2419" s="3" t="inlineStr">
        <is>
          <t>F02882</t>
        </is>
      </c>
      <c r="B2419" s="4" t="inlineStr">
        <is>
          <t>F02882</t>
        </is>
      </c>
      <c r="C2419" s="4" t="inlineStr"/>
      <c r="D2419" s="4" t="inlineStr">
        <is>
          <t>6009705653607</t>
        </is>
      </c>
      <c r="E2419" s="3" t="inlineStr">
        <is>
          <t>PU STONE HANYU WHITE 1200*600*30MM</t>
        </is>
      </c>
      <c r="F2419" s="4" t="inlineStr"/>
      <c r="G2419" s="4" t="inlineStr"/>
      <c r="H2419" s="4" t="inlineStr"/>
      <c r="I2419" s="5" t="n">
        <v>4035</v>
      </c>
      <c r="J2419" s="6" t="n">
        <v>15</v>
      </c>
      <c r="K2419" s="7">
        <f>IF(I2419="","",I2419*(1+J2419/100))</f>
        <v/>
      </c>
      <c r="L2419" s="12" t="inlineStr"/>
      <c r="M2419" s="8">
        <f>IF(OR(L2419="",K2419="",L2419=0),"",
  (L2419-K2419)/L2419*100)</f>
        <v/>
      </c>
      <c r="N2419" s="9" t="inlineStr"/>
      <c r="O2419" s="4" t="inlineStr"/>
      <c r="P2419" s="4" t="inlineStr"/>
      <c r="Q2419" s="4" t="inlineStr"/>
      <c r="R2419" s="4" t="inlineStr">
        <is>
          <t>2026-03-12</t>
        </is>
      </c>
      <c r="S2419" s="4" t="inlineStr"/>
    </row>
    <row r="2420">
      <c r="A2420" s="10" t="inlineStr">
        <is>
          <t>F02883</t>
        </is>
      </c>
      <c r="B2420" s="10" t="inlineStr">
        <is>
          <t>F02883</t>
        </is>
      </c>
      <c r="C2420" s="10" t="inlineStr"/>
      <c r="D2420" s="10" t="inlineStr">
        <is>
          <t>6009705653614</t>
        </is>
      </c>
      <c r="E2420" s="10" t="inlineStr">
        <is>
          <t>PU STONE GOLDEN MA 1200*600*30MM</t>
        </is>
      </c>
      <c r="F2420" s="10" t="inlineStr"/>
      <c r="G2420" s="10" t="inlineStr"/>
      <c r="H2420" s="10" t="inlineStr"/>
      <c r="I2420" s="11" t="n">
        <v>4035</v>
      </c>
      <c r="J2420" s="6" t="n">
        <v>15</v>
      </c>
      <c r="K2420" s="7">
        <f>IF(I2420="","",I2420*(1+J2420/100))</f>
        <v/>
      </c>
      <c r="L2420" s="12" t="inlineStr"/>
      <c r="M2420" s="8">
        <f>IF(OR(L2420="",K2420="",L2420=0),"",
  (L2420-K2420)/L2420*100)</f>
        <v/>
      </c>
      <c r="N2420" s="13" t="n">
        <v>1</v>
      </c>
      <c r="O2420" s="10" t="inlineStr"/>
      <c r="P2420" s="10" t="inlineStr"/>
      <c r="Q2420" s="10" t="inlineStr"/>
      <c r="R2420" s="10" t="inlineStr">
        <is>
          <t>2026-03-12</t>
        </is>
      </c>
      <c r="S2420" s="10" t="inlineStr"/>
    </row>
    <row r="2421">
      <c r="A2421" s="3" t="inlineStr">
        <is>
          <t>F02884</t>
        </is>
      </c>
      <c r="B2421" s="4" t="inlineStr">
        <is>
          <t>F02884</t>
        </is>
      </c>
      <c r="C2421" s="4" t="inlineStr"/>
      <c r="D2421" s="4" t="inlineStr">
        <is>
          <t>6009705653621</t>
        </is>
      </c>
      <c r="E2421" s="3" t="inlineStr">
        <is>
          <t>PU STONE LIGHT BLACK 1200*600*30MM</t>
        </is>
      </c>
      <c r="F2421" s="4" t="inlineStr"/>
      <c r="G2421" s="4" t="inlineStr"/>
      <c r="H2421" s="4" t="inlineStr"/>
      <c r="I2421" s="5" t="n">
        <v>4035</v>
      </c>
      <c r="J2421" s="6" t="n">
        <v>15</v>
      </c>
      <c r="K2421" s="7">
        <f>IF(I2421="","",I2421*(1+J2421/100))</f>
        <v/>
      </c>
      <c r="L2421" s="12" t="inlineStr"/>
      <c r="M2421" s="8">
        <f>IF(OR(L2421="",K2421="",L2421=0),"",
  (L2421-K2421)/L2421*100)</f>
        <v/>
      </c>
      <c r="N2421" s="9" t="inlineStr"/>
      <c r="O2421" s="4" t="inlineStr"/>
      <c r="P2421" s="4" t="inlineStr"/>
      <c r="Q2421" s="4" t="inlineStr"/>
      <c r="R2421" s="4" t="inlineStr">
        <is>
          <t>2026-03-12</t>
        </is>
      </c>
      <c r="S2421" s="4" t="inlineStr"/>
    </row>
    <row r="2422">
      <c r="A2422" s="10" t="inlineStr">
        <is>
          <t>F02885</t>
        </is>
      </c>
      <c r="B2422" s="10" t="inlineStr">
        <is>
          <t>F02885</t>
        </is>
      </c>
      <c r="C2422" s="10" t="inlineStr"/>
      <c r="D2422" s="10" t="inlineStr">
        <is>
          <t>6009705653638</t>
        </is>
      </c>
      <c r="E2422" s="10" t="inlineStr">
        <is>
          <t>PU STONE VOLCANIC GREY 1200*600*30MM</t>
        </is>
      </c>
      <c r="F2422" s="10" t="inlineStr"/>
      <c r="G2422" s="10" t="inlineStr"/>
      <c r="H2422" s="10" t="inlineStr"/>
      <c r="I2422" s="11" t="n">
        <v>4035</v>
      </c>
      <c r="J2422" s="6" t="n">
        <v>15</v>
      </c>
      <c r="K2422" s="7">
        <f>IF(I2422="","",I2422*(1+J2422/100))</f>
        <v/>
      </c>
      <c r="L2422" s="12" t="inlineStr"/>
      <c r="M2422" s="8">
        <f>IF(OR(L2422="",K2422="",L2422=0),"",
  (L2422-K2422)/L2422*100)</f>
        <v/>
      </c>
      <c r="N2422" s="9" t="inlineStr"/>
      <c r="O2422" s="10" t="inlineStr"/>
      <c r="P2422" s="10" t="inlineStr"/>
      <c r="Q2422" s="10" t="inlineStr"/>
      <c r="R2422" s="10" t="inlineStr">
        <is>
          <t>2026-03-12</t>
        </is>
      </c>
      <c r="S2422" s="10" t="inlineStr"/>
    </row>
    <row r="2423">
      <c r="A2423" s="3" t="inlineStr">
        <is>
          <t>F02886</t>
        </is>
      </c>
      <c r="B2423" s="4" t="inlineStr">
        <is>
          <t>F02886</t>
        </is>
      </c>
      <c r="C2423" s="4" t="inlineStr"/>
      <c r="D2423" s="4" t="inlineStr"/>
      <c r="E2423" s="3" t="inlineStr">
        <is>
          <t>LUNCHBOX SET MIA 3PC 1.2LTR bg</t>
        </is>
      </c>
      <c r="F2423" s="4" t="inlineStr"/>
      <c r="G2423" s="4" t="inlineStr"/>
      <c r="H2423" s="4" t="inlineStr"/>
      <c r="I2423" s="5" t="n">
        <v>25.95</v>
      </c>
      <c r="J2423" s="6" t="n">
        <v>15</v>
      </c>
      <c r="K2423" s="7">
        <f>IF(I2423="","",I2423*(1+J2423/100))</f>
        <v/>
      </c>
      <c r="L2423" s="12" t="inlineStr"/>
      <c r="M2423" s="8">
        <f>IF(OR(L2423="",K2423="",L2423=0),"",
  (L2423-K2423)/L2423*100)</f>
        <v/>
      </c>
      <c r="N2423" s="14" t="n">
        <v>260</v>
      </c>
      <c r="O2423" s="4" t="inlineStr"/>
      <c r="P2423" s="4" t="inlineStr"/>
      <c r="Q2423" s="4" t="inlineStr"/>
      <c r="R2423" s="4" t="inlineStr">
        <is>
          <t>2026-03-12</t>
        </is>
      </c>
      <c r="S2423" s="4" t="inlineStr"/>
    </row>
    <row r="2424">
      <c r="A2424" s="10" t="inlineStr">
        <is>
          <t>F02887</t>
        </is>
      </c>
      <c r="B2424" s="10" t="inlineStr">
        <is>
          <t>F02887</t>
        </is>
      </c>
      <c r="C2424" s="10" t="inlineStr"/>
      <c r="D2424" s="10" t="inlineStr"/>
      <c r="E2424" s="10" t="inlineStr">
        <is>
          <t>WALL PANEL BARCELONA RUSTIC LOOSE</t>
        </is>
      </c>
      <c r="F2424" s="10" t="inlineStr"/>
      <c r="G2424" s="10" t="inlineStr"/>
      <c r="H2424" s="10" t="inlineStr"/>
      <c r="I2424" s="11" t="n">
        <v>139</v>
      </c>
      <c r="J2424" s="6" t="n">
        <v>15</v>
      </c>
      <c r="K2424" s="7">
        <f>IF(I2424="","",I2424*(1+J2424/100))</f>
        <v/>
      </c>
      <c r="L2424" s="12" t="inlineStr"/>
      <c r="M2424" s="8">
        <f>IF(OR(L2424="",K2424="",L2424=0),"",
  (L2424-K2424)/L2424*100)</f>
        <v/>
      </c>
      <c r="N2424" s="9" t="inlineStr"/>
      <c r="O2424" s="10" t="inlineStr"/>
      <c r="P2424" s="10" t="inlineStr"/>
      <c r="Q2424" s="10" t="inlineStr"/>
      <c r="R2424" s="10" t="inlineStr">
        <is>
          <t>2026-03-12</t>
        </is>
      </c>
      <c r="S2424" s="10" t="inlineStr"/>
    </row>
    <row r="2425">
      <c r="A2425" s="3" t="inlineStr">
        <is>
          <t>F02888</t>
        </is>
      </c>
      <c r="B2425" s="4" t="inlineStr">
        <is>
          <t>F02888</t>
        </is>
      </c>
      <c r="C2425" s="4" t="inlineStr"/>
      <c r="D2425" s="4" t="inlineStr">
        <is>
          <t>6009705653720</t>
        </is>
      </c>
      <c r="E2425" s="3" t="inlineStr">
        <is>
          <t>LM-013 PVC WALL&amp; CEILING LAMTINATION</t>
        </is>
      </c>
      <c r="F2425" s="4" t="inlineStr"/>
      <c r="G2425" s="4" t="inlineStr"/>
      <c r="H2425" s="4" t="inlineStr"/>
      <c r="I2425" s="5" t="n">
        <v>749</v>
      </c>
      <c r="J2425" s="6" t="n">
        <v>15</v>
      </c>
      <c r="K2425" s="7">
        <f>IF(I2425="","",I2425*(1+J2425/100))</f>
        <v/>
      </c>
      <c r="L2425" s="12" t="inlineStr"/>
      <c r="M2425" s="8">
        <f>IF(OR(L2425="",K2425="",L2425=0),"",
  (L2425-K2425)/L2425*100)</f>
        <v/>
      </c>
      <c r="N2425" s="9" t="inlineStr"/>
      <c r="O2425" s="4" t="inlineStr"/>
      <c r="P2425" s="4" t="inlineStr"/>
      <c r="Q2425" s="4" t="inlineStr"/>
      <c r="R2425" s="4" t="inlineStr">
        <is>
          <t>2026-03-12</t>
        </is>
      </c>
      <c r="S2425" s="4" t="inlineStr"/>
    </row>
    <row r="2426">
      <c r="A2426" s="10" t="inlineStr">
        <is>
          <t>F02889</t>
        </is>
      </c>
      <c r="B2426" s="10" t="inlineStr">
        <is>
          <t>F02889</t>
        </is>
      </c>
      <c r="C2426" s="10" t="inlineStr"/>
      <c r="D2426" s="10" t="inlineStr">
        <is>
          <t>6009705653737</t>
        </is>
      </c>
      <c r="E2426" s="10" t="inlineStr">
        <is>
          <t>LM-002B PVC WALL&amp;CEILING LAMINATION</t>
        </is>
      </c>
      <c r="F2426" s="10" t="inlineStr"/>
      <c r="G2426" s="10" t="inlineStr"/>
      <c r="H2426" s="10" t="inlineStr"/>
      <c r="I2426" s="11" t="n">
        <v>749</v>
      </c>
      <c r="J2426" s="6" t="n">
        <v>15</v>
      </c>
      <c r="K2426" s="7">
        <f>IF(I2426="","",I2426*(1+J2426/100))</f>
        <v/>
      </c>
      <c r="L2426" s="12" t="inlineStr"/>
      <c r="M2426" s="8">
        <f>IF(OR(L2426="",K2426="",L2426=0),"",
  (L2426-K2426)/L2426*100)</f>
        <v/>
      </c>
      <c r="N2426" s="9" t="inlineStr"/>
      <c r="O2426" s="10" t="inlineStr"/>
      <c r="P2426" s="10" t="inlineStr"/>
      <c r="Q2426" s="10" t="inlineStr"/>
      <c r="R2426" s="10" t="inlineStr">
        <is>
          <t>2026-03-12</t>
        </is>
      </c>
      <c r="S2426" s="10" t="inlineStr"/>
    </row>
    <row r="2427">
      <c r="A2427" s="3" t="inlineStr">
        <is>
          <t>F02890</t>
        </is>
      </c>
      <c r="B2427" s="4" t="inlineStr">
        <is>
          <t>F02890</t>
        </is>
      </c>
      <c r="C2427" s="4" t="inlineStr"/>
      <c r="D2427" s="4" t="inlineStr">
        <is>
          <t>6009705653751</t>
        </is>
      </c>
      <c r="E2427" s="3" t="inlineStr">
        <is>
          <t>LM-015 PVC WALL&amp;CEILING LAMINATION</t>
        </is>
      </c>
      <c r="F2427" s="4" t="inlineStr"/>
      <c r="G2427" s="4" t="inlineStr"/>
      <c r="H2427" s="4" t="inlineStr"/>
      <c r="I2427" s="5" t="n">
        <v>749</v>
      </c>
      <c r="J2427" s="6" t="n">
        <v>15</v>
      </c>
      <c r="K2427" s="7">
        <f>IF(I2427="","",I2427*(1+J2427/100))</f>
        <v/>
      </c>
      <c r="L2427" s="12" t="inlineStr"/>
      <c r="M2427" s="8">
        <f>IF(OR(L2427="",K2427="",L2427=0),"",
  (L2427-K2427)/L2427*100)</f>
        <v/>
      </c>
      <c r="N2427" s="9" t="inlineStr"/>
      <c r="O2427" s="4" t="inlineStr"/>
      <c r="P2427" s="4" t="inlineStr"/>
      <c r="Q2427" s="4" t="inlineStr"/>
      <c r="R2427" s="4" t="inlineStr">
        <is>
          <t>2026-03-12</t>
        </is>
      </c>
      <c r="S2427" s="4" t="inlineStr"/>
    </row>
    <row r="2428">
      <c r="A2428" s="10" t="inlineStr">
        <is>
          <t>F02891</t>
        </is>
      </c>
      <c r="B2428" s="10" t="inlineStr">
        <is>
          <t>F02891</t>
        </is>
      </c>
      <c r="C2428" s="10" t="inlineStr"/>
      <c r="D2428" s="10" t="inlineStr">
        <is>
          <t>6009705653744</t>
        </is>
      </c>
      <c r="E2428" s="10" t="inlineStr">
        <is>
          <t>LM-016 PVC WALL&amp;CEILING LAMINTAION</t>
        </is>
      </c>
      <c r="F2428" s="10" t="inlineStr"/>
      <c r="G2428" s="10" t="inlineStr"/>
      <c r="H2428" s="10" t="inlineStr"/>
      <c r="I2428" s="11" t="n">
        <v>749</v>
      </c>
      <c r="J2428" s="6" t="n">
        <v>15</v>
      </c>
      <c r="K2428" s="7">
        <f>IF(I2428="","",I2428*(1+J2428/100))</f>
        <v/>
      </c>
      <c r="L2428" s="12" t="inlineStr"/>
      <c r="M2428" s="8">
        <f>IF(OR(L2428="",K2428="",L2428=0),"",
  (L2428-K2428)/L2428*100)</f>
        <v/>
      </c>
      <c r="N2428" s="9" t="inlineStr"/>
      <c r="O2428" s="10" t="inlineStr"/>
      <c r="P2428" s="10" t="inlineStr"/>
      <c r="Q2428" s="10" t="inlineStr"/>
      <c r="R2428" s="10" t="inlineStr">
        <is>
          <t>2026-03-12</t>
        </is>
      </c>
      <c r="S2428" s="10" t="inlineStr"/>
    </row>
    <row r="2429">
      <c r="A2429" s="3" t="inlineStr">
        <is>
          <t>F02892</t>
        </is>
      </c>
      <c r="B2429" s="4" t="inlineStr">
        <is>
          <t>F02892</t>
        </is>
      </c>
      <c r="C2429" s="4" t="inlineStr"/>
      <c r="D2429" s="4" t="inlineStr">
        <is>
          <t>6009705653768</t>
        </is>
      </c>
      <c r="E2429" s="3" t="inlineStr">
        <is>
          <t>LM-017 PVC WALL&amp;CEILING LAMINTATION H</t>
        </is>
      </c>
      <c r="F2429" s="4" t="inlineStr"/>
      <c r="G2429" s="4" t="inlineStr"/>
      <c r="H2429" s="4" t="inlineStr"/>
      <c r="I2429" s="5" t="n">
        <v>749</v>
      </c>
      <c r="J2429" s="6" t="n">
        <v>15</v>
      </c>
      <c r="K2429" s="7">
        <f>IF(I2429="","",I2429*(1+J2429/100))</f>
        <v/>
      </c>
      <c r="L2429" s="12" t="inlineStr"/>
      <c r="M2429" s="8">
        <f>IF(OR(L2429="",K2429="",L2429=0),"",
  (L2429-K2429)/L2429*100)</f>
        <v/>
      </c>
      <c r="N2429" s="9" t="inlineStr"/>
      <c r="O2429" s="4" t="inlineStr"/>
      <c r="P2429" s="4" t="inlineStr"/>
      <c r="Q2429" s="4" t="inlineStr"/>
      <c r="R2429" s="4" t="inlineStr">
        <is>
          <t>2026-03-12</t>
        </is>
      </c>
      <c r="S2429" s="4" t="inlineStr"/>
    </row>
    <row r="2430">
      <c r="A2430" s="10" t="inlineStr">
        <is>
          <t>F02893</t>
        </is>
      </c>
      <c r="B2430" s="10" t="inlineStr">
        <is>
          <t>F02893</t>
        </is>
      </c>
      <c r="C2430" s="10" t="inlineStr"/>
      <c r="D2430" s="10" t="inlineStr">
        <is>
          <t>6009705653775</t>
        </is>
      </c>
      <c r="E2430" s="10" t="inlineStr">
        <is>
          <t>LM-018 PVC WALL&amp;CEILING LAMINATION</t>
        </is>
      </c>
      <c r="F2430" s="10" t="inlineStr"/>
      <c r="G2430" s="10" t="inlineStr"/>
      <c r="H2430" s="10" t="inlineStr"/>
      <c r="I2430" s="11" t="n">
        <v>749</v>
      </c>
      <c r="J2430" s="6" t="n">
        <v>15</v>
      </c>
      <c r="K2430" s="7">
        <f>IF(I2430="","",I2430*(1+J2430/100))</f>
        <v/>
      </c>
      <c r="L2430" s="12" t="inlineStr"/>
      <c r="M2430" s="8">
        <f>IF(OR(L2430="",K2430="",L2430=0),"",
  (L2430-K2430)/L2430*100)</f>
        <v/>
      </c>
      <c r="N2430" s="13" t="n">
        <v>1</v>
      </c>
      <c r="O2430" s="10" t="inlineStr"/>
      <c r="P2430" s="10" t="inlineStr"/>
      <c r="Q2430" s="10" t="inlineStr"/>
      <c r="R2430" s="10" t="inlineStr">
        <is>
          <t>2026-03-12</t>
        </is>
      </c>
      <c r="S2430" s="10" t="inlineStr"/>
    </row>
    <row r="2431">
      <c r="A2431" s="3" t="inlineStr">
        <is>
          <t>F02894</t>
        </is>
      </c>
      <c r="B2431" s="4" t="inlineStr">
        <is>
          <t>F02894</t>
        </is>
      </c>
      <c r="C2431" s="4" t="inlineStr"/>
      <c r="D2431" s="4" t="inlineStr">
        <is>
          <t>6009705653782</t>
        </is>
      </c>
      <c r="E2431" s="3" t="inlineStr">
        <is>
          <t>LM-019 PVC WALL&amp;CEILING LAMINATION</t>
        </is>
      </c>
      <c r="F2431" s="4" t="inlineStr"/>
      <c r="G2431" s="4" t="inlineStr"/>
      <c r="H2431" s="4" t="inlineStr"/>
      <c r="I2431" s="5" t="n">
        <v>749</v>
      </c>
      <c r="J2431" s="6" t="n">
        <v>15</v>
      </c>
      <c r="K2431" s="7">
        <f>IF(I2431="","",I2431*(1+J2431/100))</f>
        <v/>
      </c>
      <c r="L2431" s="12" t="inlineStr"/>
      <c r="M2431" s="8">
        <f>IF(OR(L2431="",K2431="",L2431=0),"",
  (L2431-K2431)/L2431*100)</f>
        <v/>
      </c>
      <c r="N2431" s="14" t="n">
        <v>2</v>
      </c>
      <c r="O2431" s="4" t="inlineStr"/>
      <c r="P2431" s="4" t="inlineStr"/>
      <c r="Q2431" s="4" t="inlineStr"/>
      <c r="R2431" s="4" t="inlineStr">
        <is>
          <t>2026-03-12</t>
        </is>
      </c>
      <c r="S2431" s="4" t="inlineStr"/>
    </row>
    <row r="2432">
      <c r="A2432" s="10" t="inlineStr">
        <is>
          <t>F02895</t>
        </is>
      </c>
      <c r="B2432" s="10" t="inlineStr">
        <is>
          <t>F02895</t>
        </is>
      </c>
      <c r="C2432" s="10" t="inlineStr">
        <is>
          <t>21070</t>
        </is>
      </c>
      <c r="D2432" s="10" t="inlineStr"/>
      <c r="E2432" s="10" t="inlineStr">
        <is>
          <t>LIGHT BULKHEAD RECTANGULAR WHITE</t>
        </is>
      </c>
      <c r="F2432" s="10" t="inlineStr"/>
      <c r="G2432" s="10" t="inlineStr"/>
      <c r="H2432" s="10" t="inlineStr"/>
      <c r="I2432" s="11" t="n">
        <v>20.95</v>
      </c>
      <c r="J2432" s="6" t="n">
        <v>15</v>
      </c>
      <c r="K2432" s="7">
        <f>IF(I2432="","",I2432*(1+J2432/100))</f>
        <v/>
      </c>
      <c r="L2432" s="11" t="n">
        <v>39.99</v>
      </c>
      <c r="M2432" s="8">
        <f>IF(OR(L2432="",K2432="",L2432=0),"",
  (L2432-K2432)/L2432*100)</f>
        <v/>
      </c>
      <c r="N2432" s="9" t="inlineStr"/>
      <c r="O2432" s="10" t="inlineStr"/>
      <c r="P2432" s="10" t="inlineStr"/>
      <c r="Q2432" s="10" t="inlineStr"/>
      <c r="R2432" s="10" t="inlineStr">
        <is>
          <t>2026-03-12</t>
        </is>
      </c>
      <c r="S2432" s="10" t="inlineStr"/>
    </row>
    <row r="2433">
      <c r="A2433" s="3" t="inlineStr">
        <is>
          <t>F02896</t>
        </is>
      </c>
      <c r="B2433" s="4" t="inlineStr">
        <is>
          <t>F02896</t>
        </is>
      </c>
      <c r="C2433" s="4" t="inlineStr"/>
      <c r="D2433" s="4" t="inlineStr"/>
      <c r="E2433" s="3" t="inlineStr">
        <is>
          <t>LIGHT BULKHEAD ROUND WHITE</t>
        </is>
      </c>
      <c r="F2433" s="4" t="inlineStr"/>
      <c r="G2433" s="4" t="inlineStr"/>
      <c r="H2433" s="4" t="inlineStr"/>
      <c r="I2433" s="5" t="n">
        <v>21.95</v>
      </c>
      <c r="J2433" s="6" t="n">
        <v>15</v>
      </c>
      <c r="K2433" s="7">
        <f>IF(I2433="","",I2433*(1+J2433/100))</f>
        <v/>
      </c>
      <c r="L2433" s="12" t="inlineStr"/>
      <c r="M2433" s="8">
        <f>IF(OR(L2433="",K2433="",L2433=0),"",
  (L2433-K2433)/L2433*100)</f>
        <v/>
      </c>
      <c r="N2433" s="14" t="n">
        <v>68</v>
      </c>
      <c r="O2433" s="4" t="inlineStr"/>
      <c r="P2433" s="4" t="inlineStr"/>
      <c r="Q2433" s="4" t="inlineStr"/>
      <c r="R2433" s="4" t="inlineStr">
        <is>
          <t>2026-03-12</t>
        </is>
      </c>
      <c r="S2433" s="4" t="inlineStr"/>
    </row>
    <row r="2434">
      <c r="A2434" s="10" t="inlineStr">
        <is>
          <t>F02897</t>
        </is>
      </c>
      <c r="B2434" s="10" t="inlineStr">
        <is>
          <t>F02897</t>
        </is>
      </c>
      <c r="C2434" s="10" t="inlineStr"/>
      <c r="D2434" s="10" t="inlineStr"/>
      <c r="E2434" s="10" t="inlineStr">
        <is>
          <t>LIGHT BULKHEAD CLEAR ROUND RIBBED +FITNG</t>
        </is>
      </c>
      <c r="F2434" s="10" t="inlineStr"/>
      <c r="G2434" s="10" t="inlineStr"/>
      <c r="H2434" s="10" t="inlineStr"/>
      <c r="I2434" s="11" t="n">
        <v>21.95</v>
      </c>
      <c r="J2434" s="6" t="n">
        <v>15</v>
      </c>
      <c r="K2434" s="7">
        <f>IF(I2434="","",I2434*(1+J2434/100))</f>
        <v/>
      </c>
      <c r="L2434" s="12" t="inlineStr"/>
      <c r="M2434" s="8">
        <f>IF(OR(L2434="",K2434="",L2434=0),"",
  (L2434-K2434)/L2434*100)</f>
        <v/>
      </c>
      <c r="N2434" s="9" t="inlineStr"/>
      <c r="O2434" s="10" t="inlineStr"/>
      <c r="P2434" s="10" t="inlineStr"/>
      <c r="Q2434" s="10" t="inlineStr"/>
      <c r="R2434" s="10" t="inlineStr">
        <is>
          <t>2026-03-12</t>
        </is>
      </c>
      <c r="S2434" s="10" t="inlineStr"/>
    </row>
    <row r="2435">
      <c r="A2435" s="3" t="inlineStr">
        <is>
          <t>F02898</t>
        </is>
      </c>
      <c r="B2435" s="4" t="inlineStr">
        <is>
          <t>F02898</t>
        </is>
      </c>
      <c r="C2435" s="4" t="inlineStr"/>
      <c r="D2435" s="4" t="inlineStr">
        <is>
          <t>6009705653799</t>
        </is>
      </c>
      <c r="E2435" s="3" t="inlineStr">
        <is>
          <t>LM-014 PVC WALL &amp; CEILING LAMINATION PA</t>
        </is>
      </c>
      <c r="F2435" s="4" t="inlineStr"/>
      <c r="G2435" s="4" t="inlineStr"/>
      <c r="H2435" s="4" t="inlineStr"/>
      <c r="I2435" s="5" t="n">
        <v>749</v>
      </c>
      <c r="J2435" s="6" t="n">
        <v>15</v>
      </c>
      <c r="K2435" s="7">
        <f>IF(I2435="","",I2435*(1+J2435/100))</f>
        <v/>
      </c>
      <c r="L2435" s="12" t="inlineStr"/>
      <c r="M2435" s="8">
        <f>IF(OR(L2435="",K2435="",L2435=0),"",
  (L2435-K2435)/L2435*100)</f>
        <v/>
      </c>
      <c r="N2435" s="9" t="inlineStr"/>
      <c r="O2435" s="4" t="inlineStr"/>
      <c r="P2435" s="4" t="inlineStr"/>
      <c r="Q2435" s="4" t="inlineStr"/>
      <c r="R2435" s="4" t="inlineStr">
        <is>
          <t>2026-03-12</t>
        </is>
      </c>
      <c r="S2435" s="4" t="inlineStr"/>
    </row>
    <row r="2436">
      <c r="A2436" s="10" t="inlineStr">
        <is>
          <t>F02899</t>
        </is>
      </c>
      <c r="B2436" s="10" t="inlineStr">
        <is>
          <t>F02899</t>
        </is>
      </c>
      <c r="C2436" s="10" t="inlineStr"/>
      <c r="D2436" s="10" t="inlineStr"/>
      <c r="E2436" s="10" t="inlineStr">
        <is>
          <t>PAINT ROLLER TRAY SET BLK BDGT M HANDL</t>
        </is>
      </c>
      <c r="F2436" s="10" t="inlineStr"/>
      <c r="G2436" s="10" t="inlineStr"/>
      <c r="H2436" s="10" t="inlineStr"/>
      <c r="I2436" s="11" t="n">
        <v>19.5</v>
      </c>
      <c r="J2436" s="6" t="n">
        <v>15</v>
      </c>
      <c r="K2436" s="7">
        <f>IF(I2436="","",I2436*(1+J2436/100))</f>
        <v/>
      </c>
      <c r="L2436" s="12" t="inlineStr"/>
      <c r="M2436" s="8">
        <f>IF(OR(L2436="",K2436="",L2436=0),"",
  (L2436-K2436)/L2436*100)</f>
        <v/>
      </c>
      <c r="N2436" s="13" t="n">
        <v>34</v>
      </c>
      <c r="O2436" s="10" t="inlineStr"/>
      <c r="P2436" s="10" t="inlineStr"/>
      <c r="Q2436" s="10" t="inlineStr"/>
      <c r="R2436" s="10" t="inlineStr">
        <is>
          <t>2026-03-12</t>
        </is>
      </c>
      <c r="S2436" s="10" t="inlineStr"/>
    </row>
    <row r="2437">
      <c r="A2437" s="3" t="inlineStr">
        <is>
          <t>F02900</t>
        </is>
      </c>
      <c r="B2437" s="4" t="inlineStr">
        <is>
          <t>F02900</t>
        </is>
      </c>
      <c r="C2437" s="4" t="inlineStr">
        <is>
          <t>22466</t>
        </is>
      </c>
      <c r="D2437" s="4" t="inlineStr">
        <is>
          <t>6009705653805</t>
        </is>
      </c>
      <c r="E2437" s="3" t="inlineStr">
        <is>
          <t>UV PANEL BLANCO GOLD 1200*2700*2.55MM</t>
        </is>
      </c>
      <c r="F2437" s="4" t="inlineStr"/>
      <c r="G2437" s="4" t="inlineStr"/>
      <c r="H2437" s="4" t="inlineStr"/>
      <c r="I2437" s="5" t="n">
        <v>399</v>
      </c>
      <c r="J2437" s="6" t="n">
        <v>15</v>
      </c>
      <c r="K2437" s="7">
        <f>IF(I2437="","",I2437*(1+J2437/100))</f>
        <v/>
      </c>
      <c r="L2437" s="5" t="n">
        <v>1300</v>
      </c>
      <c r="M2437" s="8">
        <f>IF(OR(L2437="",K2437="",L2437=0),"",
  (L2437-K2437)/L2437*100)</f>
        <v/>
      </c>
      <c r="N2437" s="14" t="n">
        <v>471</v>
      </c>
      <c r="O2437" s="4" t="inlineStr"/>
      <c r="P2437" s="4" t="inlineStr"/>
      <c r="Q2437" s="4" t="inlineStr"/>
      <c r="R2437" s="4" t="inlineStr">
        <is>
          <t>2026-03-12</t>
        </is>
      </c>
      <c r="S2437" s="4" t="inlineStr"/>
    </row>
    <row r="2438">
      <c r="A2438" s="10" t="inlineStr">
        <is>
          <t>F02901</t>
        </is>
      </c>
      <c r="B2438" s="10" t="inlineStr">
        <is>
          <t>F02901</t>
        </is>
      </c>
      <c r="C2438" s="10" t="inlineStr">
        <is>
          <t>22469</t>
        </is>
      </c>
      <c r="D2438" s="10" t="inlineStr">
        <is>
          <t>6009705653812</t>
        </is>
      </c>
      <c r="E2438" s="10" t="inlineStr">
        <is>
          <t>UV PANEL APOLLO GOLD 1220*2700*2.5MM</t>
        </is>
      </c>
      <c r="F2438" s="10" t="inlineStr"/>
      <c r="G2438" s="10" t="inlineStr"/>
      <c r="H2438" s="10" t="inlineStr"/>
      <c r="I2438" s="11" t="n">
        <v>399</v>
      </c>
      <c r="J2438" s="6" t="n">
        <v>15</v>
      </c>
      <c r="K2438" s="7">
        <f>IF(I2438="","",I2438*(1+J2438/100))</f>
        <v/>
      </c>
      <c r="L2438" s="11" t="n">
        <v>1300</v>
      </c>
      <c r="M2438" s="8">
        <f>IF(OR(L2438="",K2438="",L2438=0),"",
  (L2438-K2438)/L2438*100)</f>
        <v/>
      </c>
      <c r="N2438" s="13" t="n">
        <v>310</v>
      </c>
      <c r="O2438" s="10" t="inlineStr"/>
      <c r="P2438" s="10" t="inlineStr"/>
      <c r="Q2438" s="10" t="inlineStr"/>
      <c r="R2438" s="10" t="inlineStr">
        <is>
          <t>2026-03-12</t>
        </is>
      </c>
      <c r="S2438" s="10" t="inlineStr"/>
    </row>
    <row r="2439">
      <c r="A2439" s="3" t="inlineStr">
        <is>
          <t>F02902</t>
        </is>
      </c>
      <c r="B2439" s="4" t="inlineStr">
        <is>
          <t>F02902</t>
        </is>
      </c>
      <c r="C2439" s="4" t="inlineStr"/>
      <c r="D2439" s="4" t="inlineStr">
        <is>
          <t>6009705653867</t>
        </is>
      </c>
      <c r="E2439" s="3" t="inlineStr">
        <is>
          <t>STRIP FOR BARCELONA WOOD</t>
        </is>
      </c>
      <c r="F2439" s="4" t="inlineStr"/>
      <c r="G2439" s="4" t="inlineStr"/>
      <c r="H2439" s="4" t="inlineStr"/>
      <c r="I2439" s="5" t="n">
        <v>39.95</v>
      </c>
      <c r="J2439" s="6" t="n">
        <v>15</v>
      </c>
      <c r="K2439" s="7">
        <f>IF(I2439="","",I2439*(1+J2439/100))</f>
        <v/>
      </c>
      <c r="L2439" s="12" t="inlineStr"/>
      <c r="M2439" s="8">
        <f>IF(OR(L2439="",K2439="",L2439=0),"",
  (L2439-K2439)/L2439*100)</f>
        <v/>
      </c>
      <c r="N2439" s="14" t="n">
        <v>9</v>
      </c>
      <c r="O2439" s="4" t="inlineStr"/>
      <c r="P2439" s="4" t="inlineStr"/>
      <c r="Q2439" s="4" t="inlineStr"/>
      <c r="R2439" s="4" t="inlineStr">
        <is>
          <t>2026-03-12</t>
        </is>
      </c>
      <c r="S2439" s="4" t="inlineStr"/>
    </row>
    <row r="2440">
      <c r="A2440" s="10" t="inlineStr">
        <is>
          <t>F02903</t>
        </is>
      </c>
      <c r="B2440" s="10" t="inlineStr">
        <is>
          <t>F02903</t>
        </is>
      </c>
      <c r="C2440" s="10" t="inlineStr"/>
      <c r="D2440" s="10" t="inlineStr">
        <is>
          <t>6009705653874</t>
        </is>
      </c>
      <c r="E2440" s="10" t="inlineStr">
        <is>
          <t>STRIP FOR BARCELONA MATT GREY</t>
        </is>
      </c>
      <c r="F2440" s="10" t="inlineStr"/>
      <c r="G2440" s="10" t="inlineStr"/>
      <c r="H2440" s="10" t="inlineStr"/>
      <c r="I2440" s="11" t="n">
        <v>39.95</v>
      </c>
      <c r="J2440" s="6" t="n">
        <v>15</v>
      </c>
      <c r="K2440" s="7">
        <f>IF(I2440="","",I2440*(1+J2440/100))</f>
        <v/>
      </c>
      <c r="L2440" s="12" t="inlineStr"/>
      <c r="M2440" s="8">
        <f>IF(OR(L2440="",K2440="",L2440=0),"",
  (L2440-K2440)/L2440*100)</f>
        <v/>
      </c>
      <c r="N2440" s="9" t="inlineStr"/>
      <c r="O2440" s="10" t="inlineStr"/>
      <c r="P2440" s="10" t="inlineStr"/>
      <c r="Q2440" s="10" t="inlineStr"/>
      <c r="R2440" s="10" t="inlineStr">
        <is>
          <t>2026-03-12</t>
        </is>
      </c>
      <c r="S2440" s="10" t="inlineStr"/>
    </row>
    <row r="2441">
      <c r="A2441" s="3" t="inlineStr">
        <is>
          <t>F02904</t>
        </is>
      </c>
      <c r="B2441" s="4" t="inlineStr">
        <is>
          <t>F02904</t>
        </is>
      </c>
      <c r="C2441" s="4" t="inlineStr"/>
      <c r="D2441" s="4" t="inlineStr">
        <is>
          <t>6009521604951</t>
        </is>
      </c>
      <c r="E2441" s="3" t="inlineStr">
        <is>
          <t>PAINT TRAY SET GREY RUFFER PILE</t>
        </is>
      </c>
      <c r="F2441" s="4" t="inlineStr"/>
      <c r="G2441" s="4" t="inlineStr"/>
      <c r="H2441" s="4" t="inlineStr"/>
      <c r="I2441" s="5" t="n">
        <v>35.95</v>
      </c>
      <c r="J2441" s="6" t="n">
        <v>15</v>
      </c>
      <c r="K2441" s="7">
        <f>IF(I2441="","",I2441*(1+J2441/100))</f>
        <v/>
      </c>
      <c r="L2441" s="12" t="inlineStr"/>
      <c r="M2441" s="8">
        <f>IF(OR(L2441="",K2441="",L2441=0),"",
  (L2441-K2441)/L2441*100)</f>
        <v/>
      </c>
      <c r="N2441" s="14" t="n">
        <v>12</v>
      </c>
      <c r="O2441" s="4" t="inlineStr"/>
      <c r="P2441" s="4" t="inlineStr"/>
      <c r="Q2441" s="4" t="inlineStr"/>
      <c r="R2441" s="4" t="inlineStr">
        <is>
          <t>2026-03-12</t>
        </is>
      </c>
      <c r="S2441" s="4" t="inlineStr"/>
    </row>
    <row r="2442">
      <c r="A2442" s="10" t="inlineStr">
        <is>
          <t>F02905</t>
        </is>
      </c>
      <c r="B2442" s="10" t="inlineStr">
        <is>
          <t>F02905</t>
        </is>
      </c>
      <c r="C2442" s="10" t="inlineStr"/>
      <c r="D2442" s="10" t="inlineStr">
        <is>
          <t>6009521618057</t>
        </is>
      </c>
      <c r="E2442" s="10" t="inlineStr">
        <is>
          <t>PAINT TRAY SET PURPLE  LAMBSWOOL</t>
        </is>
      </c>
      <c r="F2442" s="10" t="inlineStr"/>
      <c r="G2442" s="10" t="inlineStr"/>
      <c r="H2442" s="10" t="inlineStr"/>
      <c r="I2442" s="11" t="n">
        <v>35.95</v>
      </c>
      <c r="J2442" s="6" t="n">
        <v>15</v>
      </c>
      <c r="K2442" s="7">
        <f>IF(I2442="","",I2442*(1+J2442/100))</f>
        <v/>
      </c>
      <c r="L2442" s="12" t="inlineStr"/>
      <c r="M2442" s="8">
        <f>IF(OR(L2442="",K2442="",L2442=0),"",
  (L2442-K2442)/L2442*100)</f>
        <v/>
      </c>
      <c r="N2442" s="13" t="n">
        <v>5052</v>
      </c>
      <c r="O2442" s="10" t="inlineStr"/>
      <c r="P2442" s="10" t="inlineStr"/>
      <c r="Q2442" s="10" t="inlineStr"/>
      <c r="R2442" s="10" t="inlineStr">
        <is>
          <t>2026-03-12</t>
        </is>
      </c>
      <c r="S2442" s="10" t="inlineStr"/>
    </row>
    <row r="2443">
      <c r="A2443" s="3" t="inlineStr">
        <is>
          <t>F02906</t>
        </is>
      </c>
      <c r="B2443" s="4" t="inlineStr">
        <is>
          <t>F02906</t>
        </is>
      </c>
      <c r="C2443" s="4" t="inlineStr"/>
      <c r="D2443" s="4" t="inlineStr"/>
      <c r="E2443" s="3" t="inlineStr">
        <is>
          <t>WHEEL BARROW STEEL BIN</t>
        </is>
      </c>
      <c r="F2443" s="4" t="inlineStr"/>
      <c r="G2443" s="4" t="inlineStr"/>
      <c r="H2443" s="4" t="inlineStr"/>
      <c r="I2443" s="5" t="n">
        <v>335</v>
      </c>
      <c r="J2443" s="6" t="n">
        <v>15</v>
      </c>
      <c r="K2443" s="7">
        <f>IF(I2443="","",I2443*(1+J2443/100))</f>
        <v/>
      </c>
      <c r="L2443" s="12" t="inlineStr"/>
      <c r="M2443" s="8">
        <f>IF(OR(L2443="",K2443="",L2443=0),"",
  (L2443-K2443)/L2443*100)</f>
        <v/>
      </c>
      <c r="N2443" s="14" t="n">
        <v>15</v>
      </c>
      <c r="O2443" s="4" t="inlineStr"/>
      <c r="P2443" s="4" t="inlineStr"/>
      <c r="Q2443" s="4" t="inlineStr"/>
      <c r="R2443" s="4" t="inlineStr">
        <is>
          <t>2026-03-12</t>
        </is>
      </c>
      <c r="S2443" s="4" t="inlineStr"/>
    </row>
    <row r="2444">
      <c r="A2444" s="10" t="inlineStr">
        <is>
          <t>F02907</t>
        </is>
      </c>
      <c r="B2444" s="10" t="inlineStr">
        <is>
          <t>F02907</t>
        </is>
      </c>
      <c r="C2444" s="10" t="inlineStr"/>
      <c r="D2444" s="10" t="inlineStr"/>
      <c r="E2444" s="10" t="inlineStr">
        <is>
          <t>PAINT ROLLER TRAY SET BLACK PLASTIC HNDL</t>
        </is>
      </c>
      <c r="F2444" s="10" t="inlineStr"/>
      <c r="G2444" s="10" t="inlineStr"/>
      <c r="H2444" s="10" t="inlineStr"/>
      <c r="I2444" s="11" t="n">
        <v>13.95</v>
      </c>
      <c r="J2444" s="6" t="n">
        <v>15</v>
      </c>
      <c r="K2444" s="7">
        <f>IF(I2444="","",I2444*(1+J2444/100))</f>
        <v/>
      </c>
      <c r="L2444" s="12" t="inlineStr"/>
      <c r="M2444" s="8">
        <f>IF(OR(L2444="",K2444="",L2444=0),"",
  (L2444-K2444)/L2444*100)</f>
        <v/>
      </c>
      <c r="N2444" s="13" t="n">
        <v>22</v>
      </c>
      <c r="O2444" s="10" t="inlineStr"/>
      <c r="P2444" s="10" t="inlineStr"/>
      <c r="Q2444" s="10" t="inlineStr"/>
      <c r="R2444" s="10" t="inlineStr">
        <is>
          <t>2026-03-12</t>
        </is>
      </c>
      <c r="S2444" s="10" t="inlineStr"/>
    </row>
    <row r="2445">
      <c r="A2445" s="3" t="inlineStr">
        <is>
          <t>F02908</t>
        </is>
      </c>
      <c r="B2445" s="4" t="inlineStr">
        <is>
          <t>F02908</t>
        </is>
      </c>
      <c r="C2445" s="4" t="inlineStr"/>
      <c r="D2445" s="4" t="inlineStr">
        <is>
          <t>6009707400650</t>
        </is>
      </c>
      <c r="E2445" s="3" t="inlineStr">
        <is>
          <t>JUG 1.5LTR BG ASSORTED COLORS</t>
        </is>
      </c>
      <c r="F2445" s="4" t="inlineStr"/>
      <c r="G2445" s="4" t="inlineStr"/>
      <c r="H2445" s="4" t="inlineStr"/>
      <c r="I2445" s="5" t="n">
        <v>7.5</v>
      </c>
      <c r="J2445" s="6" t="n">
        <v>15</v>
      </c>
      <c r="K2445" s="7">
        <f>IF(I2445="","",I2445*(1+J2445/100))</f>
        <v/>
      </c>
      <c r="L2445" s="12" t="inlineStr"/>
      <c r="M2445" s="8">
        <f>IF(OR(L2445="",K2445="",L2445=0),"",
  (L2445-K2445)/L2445*100)</f>
        <v/>
      </c>
      <c r="N2445" s="14" t="n">
        <v>253</v>
      </c>
      <c r="O2445" s="4" t="inlineStr"/>
      <c r="P2445" s="4" t="inlineStr"/>
      <c r="Q2445" s="4" t="inlineStr"/>
      <c r="R2445" s="4" t="inlineStr">
        <is>
          <t>2026-03-12</t>
        </is>
      </c>
      <c r="S2445" s="4" t="inlineStr"/>
    </row>
    <row r="2446">
      <c r="A2446" s="10" t="inlineStr">
        <is>
          <t>F02909</t>
        </is>
      </c>
      <c r="B2446" s="10" t="inlineStr">
        <is>
          <t>F02909</t>
        </is>
      </c>
      <c r="C2446" s="10" t="inlineStr"/>
      <c r="D2446" s="10" t="inlineStr"/>
      <c r="E2446" s="10" t="inlineStr">
        <is>
          <t>TEA/COFF/SUGAR CANISTER ASSRTD COLOR BG</t>
        </is>
      </c>
      <c r="F2446" s="10" t="inlineStr"/>
      <c r="G2446" s="10" t="inlineStr"/>
      <c r="H2446" s="10" t="inlineStr"/>
      <c r="I2446" s="11" t="n">
        <v>24.5</v>
      </c>
      <c r="J2446" s="6" t="n">
        <v>15</v>
      </c>
      <c r="K2446" s="7">
        <f>IF(I2446="","",I2446*(1+J2446/100))</f>
        <v/>
      </c>
      <c r="L2446" s="12" t="inlineStr"/>
      <c r="M2446" s="8">
        <f>IF(OR(L2446="",K2446="",L2446=0),"",
  (L2446-K2446)/L2446*100)</f>
        <v/>
      </c>
      <c r="N2446" s="13" t="n">
        <v>953</v>
      </c>
      <c r="O2446" s="10" t="inlineStr"/>
      <c r="P2446" s="10" t="inlineStr"/>
      <c r="Q2446" s="10" t="inlineStr"/>
      <c r="R2446" s="10" t="inlineStr">
        <is>
          <t>2026-03-12</t>
        </is>
      </c>
      <c r="S2446" s="10" t="inlineStr"/>
    </row>
    <row r="2447">
      <c r="A2447" s="3" t="inlineStr">
        <is>
          <t>F02910</t>
        </is>
      </c>
      <c r="B2447" s="4" t="inlineStr">
        <is>
          <t>F02910</t>
        </is>
      </c>
      <c r="C2447" s="4" t="inlineStr"/>
      <c r="D2447" s="4" t="inlineStr">
        <is>
          <t>6009708401885</t>
        </is>
      </c>
      <c r="E2447" s="3" t="inlineStr">
        <is>
          <t>SALAD BOWL ASSORTED COLORS BG</t>
        </is>
      </c>
      <c r="F2447" s="4" t="inlineStr"/>
      <c r="G2447" s="4" t="inlineStr"/>
      <c r="H2447" s="4" t="inlineStr"/>
      <c r="I2447" s="5" t="n">
        <v>19.95</v>
      </c>
      <c r="J2447" s="6" t="n">
        <v>15</v>
      </c>
      <c r="K2447" s="7">
        <f>IF(I2447="","",I2447*(1+J2447/100))</f>
        <v/>
      </c>
      <c r="L2447" s="12" t="inlineStr"/>
      <c r="M2447" s="8">
        <f>IF(OR(L2447="",K2447="",L2447=0),"",
  (L2447-K2447)/L2447*100)</f>
        <v/>
      </c>
      <c r="N2447" s="14" t="n">
        <v>373</v>
      </c>
      <c r="O2447" s="4" t="inlineStr"/>
      <c r="P2447" s="4" t="inlineStr"/>
      <c r="Q2447" s="4" t="inlineStr"/>
      <c r="R2447" s="4" t="inlineStr">
        <is>
          <t>2026-03-12</t>
        </is>
      </c>
      <c r="S2447" s="4" t="inlineStr"/>
    </row>
    <row r="2448">
      <c r="A2448" s="10" t="inlineStr">
        <is>
          <t>F02911</t>
        </is>
      </c>
      <c r="B2448" s="10" t="inlineStr">
        <is>
          <t>F02911</t>
        </is>
      </c>
      <c r="C2448" s="10" t="inlineStr"/>
      <c r="D2448" s="10" t="inlineStr"/>
      <c r="E2448" s="10" t="inlineStr">
        <is>
          <t>STOVE - 2 PLATE ELECTRICAL- DIAMOND</t>
        </is>
      </c>
      <c r="F2448" s="10" t="inlineStr"/>
      <c r="G2448" s="10" t="inlineStr"/>
      <c r="H2448" s="10" t="inlineStr"/>
      <c r="I2448" s="11" t="n">
        <v>198.83</v>
      </c>
      <c r="J2448" s="6" t="n">
        <v>15</v>
      </c>
      <c r="K2448" s="7">
        <f>IF(I2448="","",I2448*(1+J2448/100))</f>
        <v/>
      </c>
      <c r="L2448" s="12" t="inlineStr"/>
      <c r="M2448" s="8">
        <f>IF(OR(L2448="",K2448="",L2448=0),"",
  (L2448-K2448)/L2448*100)</f>
        <v/>
      </c>
      <c r="N2448" s="9" t="inlineStr"/>
      <c r="O2448" s="10" t="inlineStr"/>
      <c r="P2448" s="10" t="inlineStr"/>
      <c r="Q2448" s="10" t="inlineStr"/>
      <c r="R2448" s="10" t="inlineStr">
        <is>
          <t>2026-03-12</t>
        </is>
      </c>
      <c r="S2448" s="10" t="inlineStr"/>
    </row>
    <row r="2449">
      <c r="A2449" s="3" t="inlineStr">
        <is>
          <t>F02912</t>
        </is>
      </c>
      <c r="B2449" s="4" t="inlineStr">
        <is>
          <t>F02912</t>
        </is>
      </c>
      <c r="C2449" s="4" t="inlineStr"/>
      <c r="D2449" s="4" t="inlineStr"/>
      <c r="E2449" s="3" t="inlineStr">
        <is>
          <t>WHEEL BARROW STEEL BIN- SNR</t>
        </is>
      </c>
      <c r="F2449" s="4" t="inlineStr"/>
      <c r="G2449" s="4" t="inlineStr"/>
      <c r="H2449" s="4" t="inlineStr"/>
      <c r="I2449" s="5" t="n">
        <v>310</v>
      </c>
      <c r="J2449" s="6" t="n">
        <v>15</v>
      </c>
      <c r="K2449" s="7">
        <f>IF(I2449="","",I2449*(1+J2449/100))</f>
        <v/>
      </c>
      <c r="L2449" s="12" t="inlineStr"/>
      <c r="M2449" s="8">
        <f>IF(OR(L2449="",K2449="",L2449=0),"",
  (L2449-K2449)/L2449*100)</f>
        <v/>
      </c>
      <c r="N2449" s="9" t="inlineStr"/>
      <c r="O2449" s="4" t="inlineStr"/>
      <c r="P2449" s="4" t="inlineStr"/>
      <c r="Q2449" s="4" t="inlineStr"/>
      <c r="R2449" s="4" t="inlineStr">
        <is>
          <t>2026-03-12</t>
        </is>
      </c>
      <c r="S2449" s="4" t="inlineStr"/>
    </row>
    <row r="2450">
      <c r="A2450" s="10" t="inlineStr">
        <is>
          <t>F02913</t>
        </is>
      </c>
      <c r="B2450" s="10" t="inlineStr">
        <is>
          <t>F02913</t>
        </is>
      </c>
      <c r="C2450" s="10" t="inlineStr"/>
      <c r="D2450" s="10" t="inlineStr"/>
      <c r="E2450" s="10" t="inlineStr">
        <is>
          <t>PVC WELD 100ML</t>
        </is>
      </c>
      <c r="F2450" s="10" t="inlineStr"/>
      <c r="G2450" s="10" t="inlineStr"/>
      <c r="H2450" s="10" t="inlineStr"/>
      <c r="I2450" s="11" t="n">
        <v>15.6</v>
      </c>
      <c r="J2450" s="6" t="n">
        <v>15</v>
      </c>
      <c r="K2450" s="7">
        <f>IF(I2450="","",I2450*(1+J2450/100))</f>
        <v/>
      </c>
      <c r="L2450" s="12" t="inlineStr"/>
      <c r="M2450" s="8">
        <f>IF(OR(L2450="",K2450="",L2450=0),"",
  (L2450-K2450)/L2450*100)</f>
        <v/>
      </c>
      <c r="N2450" s="9" t="inlineStr"/>
      <c r="O2450" s="10" t="inlineStr"/>
      <c r="P2450" s="10" t="inlineStr"/>
      <c r="Q2450" s="10" t="inlineStr"/>
      <c r="R2450" s="10" t="inlineStr">
        <is>
          <t>2026-03-12</t>
        </is>
      </c>
      <c r="S2450" s="10" t="inlineStr"/>
    </row>
    <row r="2451">
      <c r="A2451" s="3" t="inlineStr">
        <is>
          <t>F02914</t>
        </is>
      </c>
      <c r="B2451" s="4" t="inlineStr">
        <is>
          <t>F02914</t>
        </is>
      </c>
      <c r="C2451" s="4" t="inlineStr"/>
      <c r="D2451" s="4" t="inlineStr"/>
      <c r="E2451" s="3" t="inlineStr">
        <is>
          <t>PVC WELD 200ML</t>
        </is>
      </c>
      <c r="F2451" s="4" t="inlineStr"/>
      <c r="G2451" s="4" t="inlineStr"/>
      <c r="H2451" s="4" t="inlineStr"/>
      <c r="I2451" s="5" t="n">
        <v>23.9</v>
      </c>
      <c r="J2451" s="6" t="n">
        <v>15</v>
      </c>
      <c r="K2451" s="7">
        <f>IF(I2451="","",I2451*(1+J2451/100))</f>
        <v/>
      </c>
      <c r="L2451" s="12" t="inlineStr"/>
      <c r="M2451" s="8">
        <f>IF(OR(L2451="",K2451="",L2451=0),"",
  (L2451-K2451)/L2451*100)</f>
        <v/>
      </c>
      <c r="N2451" s="9" t="inlineStr"/>
      <c r="O2451" s="4" t="inlineStr"/>
      <c r="P2451" s="4" t="inlineStr"/>
      <c r="Q2451" s="4" t="inlineStr"/>
      <c r="R2451" s="4" t="inlineStr">
        <is>
          <t>2026-03-12</t>
        </is>
      </c>
      <c r="S2451" s="4" t="inlineStr"/>
    </row>
    <row r="2452">
      <c r="A2452" s="10" t="inlineStr">
        <is>
          <t>F02915</t>
        </is>
      </c>
      <c r="B2452" s="10" t="inlineStr">
        <is>
          <t>F02915</t>
        </is>
      </c>
      <c r="C2452" s="10" t="inlineStr"/>
      <c r="D2452" s="10" t="inlineStr"/>
      <c r="E2452" s="10" t="inlineStr">
        <is>
          <t>PVC WELD 500ML</t>
        </is>
      </c>
      <c r="F2452" s="10" t="inlineStr"/>
      <c r="G2452" s="10" t="inlineStr"/>
      <c r="H2452" s="10" t="inlineStr"/>
      <c r="I2452" s="11" t="n">
        <v>49.95</v>
      </c>
      <c r="J2452" s="6" t="n">
        <v>15</v>
      </c>
      <c r="K2452" s="7">
        <f>IF(I2452="","",I2452*(1+J2452/100))</f>
        <v/>
      </c>
      <c r="L2452" s="12" t="inlineStr"/>
      <c r="M2452" s="8">
        <f>IF(OR(L2452="",K2452="",L2452=0),"",
  (L2452-K2452)/L2452*100)</f>
        <v/>
      </c>
      <c r="N2452" s="9" t="inlineStr"/>
      <c r="O2452" s="10" t="inlineStr"/>
      <c r="P2452" s="10" t="inlineStr"/>
      <c r="Q2452" s="10" t="inlineStr"/>
      <c r="R2452" s="10" t="inlineStr">
        <is>
          <t>2026-03-12</t>
        </is>
      </c>
      <c r="S2452" s="10" t="inlineStr"/>
    </row>
    <row r="2453">
      <c r="A2453" s="3" t="inlineStr">
        <is>
          <t>F02916</t>
        </is>
      </c>
      <c r="B2453" s="4" t="inlineStr">
        <is>
          <t>F02916</t>
        </is>
      </c>
      <c r="C2453" s="4" t="inlineStr"/>
      <c r="D2453" s="4" t="inlineStr"/>
      <c r="E2453" s="3" t="inlineStr">
        <is>
          <t>WOOD GLUE 250ML</t>
        </is>
      </c>
      <c r="F2453" s="4" t="inlineStr"/>
      <c r="G2453" s="4" t="inlineStr"/>
      <c r="H2453" s="4" t="inlineStr"/>
      <c r="I2453" s="5" t="n">
        <v>32.5</v>
      </c>
      <c r="J2453" s="6" t="n">
        <v>15</v>
      </c>
      <c r="K2453" s="7">
        <f>IF(I2453="","",I2453*(1+J2453/100))</f>
        <v/>
      </c>
      <c r="L2453" s="12" t="inlineStr"/>
      <c r="M2453" s="8">
        <f>IF(OR(L2453="",K2453="",L2453=0),"",
  (L2453-K2453)/L2453*100)</f>
        <v/>
      </c>
      <c r="N2453" s="9" t="inlineStr"/>
      <c r="O2453" s="4" t="inlineStr"/>
      <c r="P2453" s="4" t="inlineStr"/>
      <c r="Q2453" s="4" t="inlineStr"/>
      <c r="R2453" s="4" t="inlineStr">
        <is>
          <t>2026-03-12</t>
        </is>
      </c>
      <c r="S2453" s="4" t="inlineStr"/>
    </row>
    <row r="2454">
      <c r="A2454" s="10" t="inlineStr">
        <is>
          <t>F02917</t>
        </is>
      </c>
      <c r="B2454" s="10" t="inlineStr">
        <is>
          <t>F02917</t>
        </is>
      </c>
      <c r="C2454" s="10" t="inlineStr"/>
      <c r="D2454" s="10" t="inlineStr"/>
      <c r="E2454" s="10" t="inlineStr">
        <is>
          <t>WOOD GLUE 500ML</t>
        </is>
      </c>
      <c r="F2454" s="10" t="inlineStr"/>
      <c r="G2454" s="10" t="inlineStr"/>
      <c r="H2454" s="10" t="inlineStr"/>
      <c r="I2454" s="11" t="n">
        <v>51.95</v>
      </c>
      <c r="J2454" s="6" t="n">
        <v>15</v>
      </c>
      <c r="K2454" s="7">
        <f>IF(I2454="","",I2454*(1+J2454/100))</f>
        <v/>
      </c>
      <c r="L2454" s="12" t="inlineStr"/>
      <c r="M2454" s="8">
        <f>IF(OR(L2454="",K2454="",L2454=0),"",
  (L2454-K2454)/L2454*100)</f>
        <v/>
      </c>
      <c r="N2454" s="9" t="inlineStr"/>
      <c r="O2454" s="10" t="inlineStr"/>
      <c r="P2454" s="10" t="inlineStr"/>
      <c r="Q2454" s="10" t="inlineStr"/>
      <c r="R2454" s="10" t="inlineStr">
        <is>
          <t>2026-03-12</t>
        </is>
      </c>
      <c r="S2454" s="10" t="inlineStr"/>
    </row>
    <row r="2455">
      <c r="A2455" s="3" t="inlineStr">
        <is>
          <t>F02918</t>
        </is>
      </c>
      <c r="B2455" s="4" t="inlineStr">
        <is>
          <t>F02918</t>
        </is>
      </c>
      <c r="C2455" s="4" t="inlineStr"/>
      <c r="D2455" s="4" t="inlineStr"/>
      <c r="E2455" s="3" t="inlineStr">
        <is>
          <t>WOOD GLUE 1LTR</t>
        </is>
      </c>
      <c r="F2455" s="4" t="inlineStr"/>
      <c r="G2455" s="4" t="inlineStr"/>
      <c r="H2455" s="4" t="inlineStr"/>
      <c r="I2455" s="5" t="n">
        <v>85.95</v>
      </c>
      <c r="J2455" s="6" t="n">
        <v>15</v>
      </c>
      <c r="K2455" s="7">
        <f>IF(I2455="","",I2455*(1+J2455/100))</f>
        <v/>
      </c>
      <c r="L2455" s="12" t="inlineStr"/>
      <c r="M2455" s="8">
        <f>IF(OR(L2455="",K2455="",L2455=0),"",
  (L2455-K2455)/L2455*100)</f>
        <v/>
      </c>
      <c r="N2455" s="9" t="inlineStr"/>
      <c r="O2455" s="4" t="inlineStr"/>
      <c r="P2455" s="4" t="inlineStr"/>
      <c r="Q2455" s="4" t="inlineStr"/>
      <c r="R2455" s="4" t="inlineStr">
        <is>
          <t>2026-03-12</t>
        </is>
      </c>
      <c r="S2455" s="4" t="inlineStr"/>
    </row>
    <row r="2456">
      <c r="A2456" s="10" t="inlineStr">
        <is>
          <t>F02919</t>
        </is>
      </c>
      <c r="B2456" s="10" t="inlineStr">
        <is>
          <t>F02919</t>
        </is>
      </c>
      <c r="C2456" s="10" t="inlineStr"/>
      <c r="D2456" s="10" t="inlineStr"/>
      <c r="E2456" s="10" t="inlineStr">
        <is>
          <t>PUTTY 500GRAM TEAK -WOODEN WINDOWS</t>
        </is>
      </c>
      <c r="F2456" s="10" t="inlineStr"/>
      <c r="G2456" s="10" t="inlineStr"/>
      <c r="H2456" s="10" t="inlineStr"/>
      <c r="I2456" s="11" t="n">
        <v>6.25</v>
      </c>
      <c r="J2456" s="6" t="n">
        <v>15</v>
      </c>
      <c r="K2456" s="7">
        <f>IF(I2456="","",I2456*(1+J2456/100))</f>
        <v/>
      </c>
      <c r="L2456" s="12" t="inlineStr"/>
      <c r="M2456" s="8">
        <f>IF(OR(L2456="",K2456="",L2456=0),"",
  (L2456-K2456)/L2456*100)</f>
        <v/>
      </c>
      <c r="N2456" s="13" t="n">
        <v>63</v>
      </c>
      <c r="O2456" s="10" t="inlineStr"/>
      <c r="P2456" s="10" t="inlineStr"/>
      <c r="Q2456" s="10" t="inlineStr"/>
      <c r="R2456" s="10" t="inlineStr">
        <is>
          <t>2026-03-12</t>
        </is>
      </c>
      <c r="S2456" s="10" t="inlineStr"/>
    </row>
    <row r="2457">
      <c r="A2457" s="3" t="inlineStr">
        <is>
          <t>F02920</t>
        </is>
      </c>
      <c r="B2457" s="4" t="inlineStr">
        <is>
          <t>F02920</t>
        </is>
      </c>
      <c r="C2457" s="4" t="inlineStr"/>
      <c r="D2457" s="4" t="inlineStr"/>
      <c r="E2457" s="3" t="inlineStr">
        <is>
          <t>PUTTY 1KG TEAK -WOODEN WINDOWS</t>
        </is>
      </c>
      <c r="F2457" s="4" t="inlineStr"/>
      <c r="G2457" s="4" t="inlineStr"/>
      <c r="H2457" s="4" t="inlineStr"/>
      <c r="I2457" s="5" t="n">
        <v>12.5</v>
      </c>
      <c r="J2457" s="6" t="n">
        <v>15</v>
      </c>
      <c r="K2457" s="7">
        <f>IF(I2457="","",I2457*(1+J2457/100))</f>
        <v/>
      </c>
      <c r="L2457" s="12" t="inlineStr"/>
      <c r="M2457" s="8">
        <f>IF(OR(L2457="",K2457="",L2457=0),"",
  (L2457-K2457)/L2457*100)</f>
        <v/>
      </c>
      <c r="N2457" s="9" t="inlineStr"/>
      <c r="O2457" s="4" t="inlineStr"/>
      <c r="P2457" s="4" t="inlineStr"/>
      <c r="Q2457" s="4" t="inlineStr"/>
      <c r="R2457" s="4" t="inlineStr">
        <is>
          <t>2026-03-12</t>
        </is>
      </c>
      <c r="S2457" s="4" t="inlineStr"/>
    </row>
    <row r="2458">
      <c r="A2458" s="10" t="inlineStr">
        <is>
          <t>F02921</t>
        </is>
      </c>
      <c r="B2458" s="10" t="inlineStr">
        <is>
          <t>F02921</t>
        </is>
      </c>
      <c r="C2458" s="10" t="inlineStr"/>
      <c r="D2458" s="10" t="inlineStr"/>
      <c r="E2458" s="10" t="inlineStr">
        <is>
          <t>CORNICE ADHESIVE 1KG GRAPNEL</t>
        </is>
      </c>
      <c r="F2458" s="10" t="inlineStr"/>
      <c r="G2458" s="10" t="inlineStr"/>
      <c r="H2458" s="10" t="inlineStr"/>
      <c r="I2458" s="11" t="n">
        <v>39</v>
      </c>
      <c r="J2458" s="6" t="n">
        <v>15</v>
      </c>
      <c r="K2458" s="7">
        <f>IF(I2458="","",I2458*(1+J2458/100))</f>
        <v/>
      </c>
      <c r="L2458" s="12" t="inlineStr"/>
      <c r="M2458" s="8">
        <f>IF(OR(L2458="",K2458="",L2458=0),"",
  (L2458-K2458)/L2458*100)</f>
        <v/>
      </c>
      <c r="N2458" s="9" t="inlineStr"/>
      <c r="O2458" s="10" t="inlineStr"/>
      <c r="P2458" s="10" t="inlineStr"/>
      <c r="Q2458" s="10" t="inlineStr"/>
      <c r="R2458" s="10" t="inlineStr">
        <is>
          <t>2026-03-12</t>
        </is>
      </c>
      <c r="S2458" s="10" t="inlineStr"/>
    </row>
    <row r="2459">
      <c r="A2459" s="3" t="inlineStr">
        <is>
          <t>F02922</t>
        </is>
      </c>
      <c r="B2459" s="4" t="inlineStr">
        <is>
          <t>F02922</t>
        </is>
      </c>
      <c r="C2459" s="4" t="inlineStr"/>
      <c r="D2459" s="4" t="inlineStr"/>
      <c r="E2459" s="3" t="inlineStr">
        <is>
          <t>CORNICE ADHESIVE 2KG GRAPNEL</t>
        </is>
      </c>
      <c r="F2459" s="4" t="inlineStr"/>
      <c r="G2459" s="4" t="inlineStr"/>
      <c r="H2459" s="4" t="inlineStr"/>
      <c r="I2459" s="5" t="n">
        <v>55</v>
      </c>
      <c r="J2459" s="6" t="n">
        <v>15</v>
      </c>
      <c r="K2459" s="7">
        <f>IF(I2459="","",I2459*(1+J2459/100))</f>
        <v/>
      </c>
      <c r="L2459" s="12" t="inlineStr"/>
      <c r="M2459" s="8">
        <f>IF(OR(L2459="",K2459="",L2459=0),"",
  (L2459-K2459)/L2459*100)</f>
        <v/>
      </c>
      <c r="N2459" s="9" t="inlineStr"/>
      <c r="O2459" s="4" t="inlineStr"/>
      <c r="P2459" s="4" t="inlineStr"/>
      <c r="Q2459" s="4" t="inlineStr"/>
      <c r="R2459" s="4" t="inlineStr">
        <is>
          <t>2026-03-12</t>
        </is>
      </c>
      <c r="S2459" s="4" t="inlineStr"/>
    </row>
    <row r="2460">
      <c r="A2460" s="10" t="inlineStr">
        <is>
          <t>F02923</t>
        </is>
      </c>
      <c r="B2460" s="10" t="inlineStr">
        <is>
          <t>F02923</t>
        </is>
      </c>
      <c r="C2460" s="10" t="inlineStr"/>
      <c r="D2460" s="10" t="inlineStr"/>
      <c r="E2460" s="10" t="inlineStr">
        <is>
          <t>CORNICE ADHESIVE 5KG GRAPNEL</t>
        </is>
      </c>
      <c r="F2460" s="10" t="inlineStr"/>
      <c r="G2460" s="10" t="inlineStr"/>
      <c r="H2460" s="10" t="inlineStr"/>
      <c r="I2460" s="11" t="n">
        <v>120</v>
      </c>
      <c r="J2460" s="6" t="n">
        <v>15</v>
      </c>
      <c r="K2460" s="7">
        <f>IF(I2460="","",I2460*(1+J2460/100))</f>
        <v/>
      </c>
      <c r="L2460" s="12" t="inlineStr"/>
      <c r="M2460" s="8">
        <f>IF(OR(L2460="",K2460="",L2460=0),"",
  (L2460-K2460)/L2460*100)</f>
        <v/>
      </c>
      <c r="N2460" s="9" t="inlineStr"/>
      <c r="O2460" s="10" t="inlineStr"/>
      <c r="P2460" s="10" t="inlineStr"/>
      <c r="Q2460" s="10" t="inlineStr"/>
      <c r="R2460" s="10" t="inlineStr">
        <is>
          <t>2026-03-12</t>
        </is>
      </c>
      <c r="S2460" s="10" t="inlineStr"/>
    </row>
    <row r="2461">
      <c r="A2461" s="3" t="inlineStr">
        <is>
          <t>F02924</t>
        </is>
      </c>
      <c r="B2461" s="4" t="inlineStr">
        <is>
          <t>F02924</t>
        </is>
      </c>
      <c r="C2461" s="4" t="inlineStr"/>
      <c r="D2461" s="4" t="inlineStr"/>
      <c r="E2461" s="3" t="inlineStr">
        <is>
          <t>CARPET ADHESIVE 2KG GRAPNEL</t>
        </is>
      </c>
      <c r="F2461" s="4" t="inlineStr"/>
      <c r="G2461" s="4" t="inlineStr"/>
      <c r="H2461" s="4" t="inlineStr"/>
      <c r="I2461" s="5" t="n">
        <v>89.95</v>
      </c>
      <c r="J2461" s="6" t="n">
        <v>15</v>
      </c>
      <c r="K2461" s="7">
        <f>IF(I2461="","",I2461*(1+J2461/100))</f>
        <v/>
      </c>
      <c r="L2461" s="12" t="inlineStr"/>
      <c r="M2461" s="8">
        <f>IF(OR(L2461="",K2461="",L2461=0),"",
  (L2461-K2461)/L2461*100)</f>
        <v/>
      </c>
      <c r="N2461" s="9" t="inlineStr"/>
      <c r="O2461" s="4" t="inlineStr"/>
      <c r="P2461" s="4" t="inlineStr"/>
      <c r="Q2461" s="4" t="inlineStr"/>
      <c r="R2461" s="4" t="inlineStr">
        <is>
          <t>2026-03-12</t>
        </is>
      </c>
      <c r="S2461" s="4" t="inlineStr"/>
    </row>
    <row r="2462">
      <c r="A2462" s="10" t="inlineStr">
        <is>
          <t>F02925</t>
        </is>
      </c>
      <c r="B2462" s="10" t="inlineStr">
        <is>
          <t>F02925</t>
        </is>
      </c>
      <c r="C2462" s="10" t="inlineStr"/>
      <c r="D2462" s="10" t="inlineStr"/>
      <c r="E2462" s="10" t="inlineStr">
        <is>
          <t>CARPET ADHESIVE 5KG GRAPNEL</t>
        </is>
      </c>
      <c r="F2462" s="10" t="inlineStr"/>
      <c r="G2462" s="10" t="inlineStr"/>
      <c r="H2462" s="10" t="inlineStr"/>
      <c r="I2462" s="11" t="n">
        <v>199</v>
      </c>
      <c r="J2462" s="6" t="n">
        <v>15</v>
      </c>
      <c r="K2462" s="7">
        <f>IF(I2462="","",I2462*(1+J2462/100))</f>
        <v/>
      </c>
      <c r="L2462" s="12" t="inlineStr"/>
      <c r="M2462" s="8">
        <f>IF(OR(L2462="",K2462="",L2462=0),"",
  (L2462-K2462)/L2462*100)</f>
        <v/>
      </c>
      <c r="N2462" s="9" t="inlineStr"/>
      <c r="O2462" s="10" t="inlineStr"/>
      <c r="P2462" s="10" t="inlineStr"/>
      <c r="Q2462" s="10" t="inlineStr"/>
      <c r="R2462" s="10" t="inlineStr">
        <is>
          <t>2026-03-12</t>
        </is>
      </c>
      <c r="S2462" s="10" t="inlineStr"/>
    </row>
    <row r="2463">
      <c r="A2463" s="3" t="inlineStr">
        <is>
          <t>F02926</t>
        </is>
      </c>
      <c r="B2463" s="4" t="inlineStr">
        <is>
          <t>F02926</t>
        </is>
      </c>
      <c r="C2463" s="4" t="inlineStr"/>
      <c r="D2463" s="4" t="inlineStr"/>
      <c r="E2463" s="3" t="inlineStr">
        <is>
          <t>LIQUID RUBBER 5LT RED OXIDE</t>
        </is>
      </c>
      <c r="F2463" s="4" t="inlineStr"/>
      <c r="G2463" s="4" t="inlineStr"/>
      <c r="H2463" s="4" t="inlineStr"/>
      <c r="I2463" s="5" t="n">
        <v>189.95</v>
      </c>
      <c r="J2463" s="6" t="n">
        <v>15</v>
      </c>
      <c r="K2463" s="7">
        <f>IF(I2463="","",I2463*(1+J2463/100))</f>
        <v/>
      </c>
      <c r="L2463" s="12" t="inlineStr"/>
      <c r="M2463" s="8">
        <f>IF(OR(L2463="",K2463="",L2463=0),"",
  (L2463-K2463)/L2463*100)</f>
        <v/>
      </c>
      <c r="N2463" s="14" t="n">
        <v>2</v>
      </c>
      <c r="O2463" s="4" t="inlineStr"/>
      <c r="P2463" s="4" t="inlineStr"/>
      <c r="Q2463" s="4" t="inlineStr"/>
      <c r="R2463" s="4" t="inlineStr">
        <is>
          <t>2026-03-12</t>
        </is>
      </c>
      <c r="S2463" s="4" t="inlineStr"/>
    </row>
    <row r="2464">
      <c r="A2464" s="10" t="inlineStr">
        <is>
          <t>F02927</t>
        </is>
      </c>
      <c r="B2464" s="10" t="inlineStr">
        <is>
          <t>F02927</t>
        </is>
      </c>
      <c r="C2464" s="10" t="inlineStr"/>
      <c r="D2464" s="10" t="inlineStr"/>
      <c r="E2464" s="10" t="inlineStr">
        <is>
          <t>LIQUID RUBBER 5LT BLACK</t>
        </is>
      </c>
      <c r="F2464" s="10" t="inlineStr"/>
      <c r="G2464" s="10" t="inlineStr"/>
      <c r="H2464" s="10" t="inlineStr"/>
      <c r="I2464" s="11" t="n">
        <v>189.95</v>
      </c>
      <c r="J2464" s="6" t="n">
        <v>15</v>
      </c>
      <c r="K2464" s="7">
        <f>IF(I2464="","",I2464*(1+J2464/100))</f>
        <v/>
      </c>
      <c r="L2464" s="12" t="inlineStr"/>
      <c r="M2464" s="8">
        <f>IF(OR(L2464="",K2464="",L2464=0),"",
  (L2464-K2464)/L2464*100)</f>
        <v/>
      </c>
      <c r="N2464" s="9" t="inlineStr"/>
      <c r="O2464" s="10" t="inlineStr"/>
      <c r="P2464" s="10" t="inlineStr"/>
      <c r="Q2464" s="10" t="inlineStr"/>
      <c r="R2464" s="10" t="inlineStr">
        <is>
          <t>2026-03-12</t>
        </is>
      </c>
      <c r="S2464" s="10" t="inlineStr"/>
    </row>
    <row r="2465">
      <c r="A2465" s="3" t="inlineStr">
        <is>
          <t>F02928</t>
        </is>
      </c>
      <c r="B2465" s="4" t="inlineStr">
        <is>
          <t>F02928</t>
        </is>
      </c>
      <c r="C2465" s="4" t="inlineStr"/>
      <c r="D2465" s="4" t="inlineStr"/>
      <c r="E2465" s="3" t="inlineStr">
        <is>
          <t>LIQUID RUBBER 5LT GREY</t>
        </is>
      </c>
      <c r="F2465" s="4" t="inlineStr"/>
      <c r="G2465" s="4" t="inlineStr"/>
      <c r="H2465" s="4" t="inlineStr"/>
      <c r="I2465" s="5" t="n">
        <v>189.95</v>
      </c>
      <c r="J2465" s="6" t="n">
        <v>15</v>
      </c>
      <c r="K2465" s="7">
        <f>IF(I2465="","",I2465*(1+J2465/100))</f>
        <v/>
      </c>
      <c r="L2465" s="12" t="inlineStr"/>
      <c r="M2465" s="8">
        <f>IF(OR(L2465="",K2465="",L2465=0),"",
  (L2465-K2465)/L2465*100)</f>
        <v/>
      </c>
      <c r="N2465" s="14" t="n">
        <v>1</v>
      </c>
      <c r="O2465" s="4" t="inlineStr"/>
      <c r="P2465" s="4" t="inlineStr"/>
      <c r="Q2465" s="4" t="inlineStr"/>
      <c r="R2465" s="4" t="inlineStr">
        <is>
          <t>2026-03-12</t>
        </is>
      </c>
      <c r="S2465" s="4" t="inlineStr"/>
    </row>
    <row r="2466">
      <c r="A2466" s="10" t="inlineStr">
        <is>
          <t>F02929</t>
        </is>
      </c>
      <c r="B2466" s="10" t="inlineStr">
        <is>
          <t>F02929</t>
        </is>
      </c>
      <c r="C2466" s="10" t="inlineStr"/>
      <c r="D2466" s="10" t="inlineStr"/>
      <c r="E2466" s="10" t="inlineStr">
        <is>
          <t>LIQUID RUBBER 20LT RED OXIDE</t>
        </is>
      </c>
      <c r="F2466" s="10" t="inlineStr"/>
      <c r="G2466" s="10" t="inlineStr"/>
      <c r="H2466" s="10" t="inlineStr"/>
      <c r="I2466" s="11" t="n">
        <v>630</v>
      </c>
      <c r="J2466" s="6" t="n">
        <v>15</v>
      </c>
      <c r="K2466" s="7">
        <f>IF(I2466="","",I2466*(1+J2466/100))</f>
        <v/>
      </c>
      <c r="L2466" s="12" t="inlineStr"/>
      <c r="M2466" s="8">
        <f>IF(OR(L2466="",K2466="",L2466=0),"",
  (L2466-K2466)/L2466*100)</f>
        <v/>
      </c>
      <c r="N2466" s="9" t="inlineStr"/>
      <c r="O2466" s="10" t="inlineStr"/>
      <c r="P2466" s="10" t="inlineStr"/>
      <c r="Q2466" s="10" t="inlineStr"/>
      <c r="R2466" s="10" t="inlineStr">
        <is>
          <t>2026-03-12</t>
        </is>
      </c>
      <c r="S2466" s="10" t="inlineStr"/>
    </row>
    <row r="2467">
      <c r="A2467" s="3" t="inlineStr">
        <is>
          <t>F02930</t>
        </is>
      </c>
      <c r="B2467" s="4" t="inlineStr">
        <is>
          <t>F02930</t>
        </is>
      </c>
      <c r="C2467" s="4" t="inlineStr"/>
      <c r="D2467" s="4" t="inlineStr"/>
      <c r="E2467" s="3" t="inlineStr">
        <is>
          <t>LIQUID RUBBER 20LT BLACK</t>
        </is>
      </c>
      <c r="F2467" s="4" t="inlineStr"/>
      <c r="G2467" s="4" t="inlineStr"/>
      <c r="H2467" s="4" t="inlineStr"/>
      <c r="I2467" s="5" t="n">
        <v>630</v>
      </c>
      <c r="J2467" s="6" t="n">
        <v>15</v>
      </c>
      <c r="K2467" s="7">
        <f>IF(I2467="","",I2467*(1+J2467/100))</f>
        <v/>
      </c>
      <c r="L2467" s="12" t="inlineStr"/>
      <c r="M2467" s="8">
        <f>IF(OR(L2467="",K2467="",L2467=0),"",
  (L2467-K2467)/L2467*100)</f>
        <v/>
      </c>
      <c r="N2467" s="9" t="inlineStr"/>
      <c r="O2467" s="4" t="inlineStr"/>
      <c r="P2467" s="4" t="inlineStr"/>
      <c r="Q2467" s="4" t="inlineStr"/>
      <c r="R2467" s="4" t="inlineStr">
        <is>
          <t>2026-03-12</t>
        </is>
      </c>
      <c r="S2467" s="4" t="inlineStr"/>
    </row>
    <row r="2468">
      <c r="A2468" s="10" t="inlineStr">
        <is>
          <t>F02931</t>
        </is>
      </c>
      <c r="B2468" s="10" t="inlineStr">
        <is>
          <t>F02931</t>
        </is>
      </c>
      <c r="C2468" s="10" t="inlineStr"/>
      <c r="D2468" s="10" t="inlineStr"/>
      <c r="E2468" s="10" t="inlineStr">
        <is>
          <t>LIQUID RUBBER 20LT GREY</t>
        </is>
      </c>
      <c r="F2468" s="10" t="inlineStr"/>
      <c r="G2468" s="10" t="inlineStr"/>
      <c r="H2468" s="10" t="inlineStr"/>
      <c r="I2468" s="11" t="n">
        <v>630</v>
      </c>
      <c r="J2468" s="6" t="n">
        <v>15</v>
      </c>
      <c r="K2468" s="7">
        <f>IF(I2468="","",I2468*(1+J2468/100))</f>
        <v/>
      </c>
      <c r="L2468" s="12" t="inlineStr"/>
      <c r="M2468" s="8">
        <f>IF(OR(L2468="",K2468="",L2468=0),"",
  (L2468-K2468)/L2468*100)</f>
        <v/>
      </c>
      <c r="N2468" s="9" t="inlineStr"/>
      <c r="O2468" s="10" t="inlineStr"/>
      <c r="P2468" s="10" t="inlineStr"/>
      <c r="Q2468" s="10" t="inlineStr"/>
      <c r="R2468" s="10" t="inlineStr">
        <is>
          <t>2026-03-12</t>
        </is>
      </c>
      <c r="S2468" s="10" t="inlineStr"/>
    </row>
    <row r="2469">
      <c r="A2469" s="3" t="inlineStr">
        <is>
          <t>F02932</t>
        </is>
      </c>
      <c r="B2469" s="4" t="inlineStr">
        <is>
          <t>F02932</t>
        </is>
      </c>
      <c r="C2469" s="4" t="inlineStr"/>
      <c r="D2469" s="4" t="inlineStr"/>
      <c r="E2469" s="3" t="inlineStr">
        <is>
          <t>PLASTER PRIMER 5LT  INTERIOR/EXTERIOR</t>
        </is>
      </c>
      <c r="F2469" s="4" t="inlineStr"/>
      <c r="G2469" s="4" t="inlineStr"/>
      <c r="H2469" s="4" t="inlineStr"/>
      <c r="I2469" s="5" t="n">
        <v>100</v>
      </c>
      <c r="J2469" s="6" t="n">
        <v>15</v>
      </c>
      <c r="K2469" s="7">
        <f>IF(I2469="","",I2469*(1+J2469/100))</f>
        <v/>
      </c>
      <c r="L2469" s="12" t="inlineStr"/>
      <c r="M2469" s="8">
        <f>IF(OR(L2469="",K2469="",L2469=0),"",
  (L2469-K2469)/L2469*100)</f>
        <v/>
      </c>
      <c r="N2469" s="14" t="n">
        <v>2</v>
      </c>
      <c r="O2469" s="4" t="inlineStr"/>
      <c r="P2469" s="4" t="inlineStr"/>
      <c r="Q2469" s="4" t="inlineStr"/>
      <c r="R2469" s="4" t="inlineStr">
        <is>
          <t>2026-03-12</t>
        </is>
      </c>
      <c r="S2469" s="4" t="inlineStr"/>
    </row>
    <row r="2470">
      <c r="A2470" s="10" t="inlineStr">
        <is>
          <t>F02933</t>
        </is>
      </c>
      <c r="B2470" s="10" t="inlineStr">
        <is>
          <t>F02933</t>
        </is>
      </c>
      <c r="C2470" s="10" t="inlineStr"/>
      <c r="D2470" s="10" t="inlineStr"/>
      <c r="E2470" s="10" t="inlineStr">
        <is>
          <t>PLASTER PRIMER 20LT INTERIOR/EXTERIOR</t>
        </is>
      </c>
      <c r="F2470" s="10" t="inlineStr"/>
      <c r="G2470" s="10" t="inlineStr"/>
      <c r="H2470" s="10" t="inlineStr"/>
      <c r="I2470" s="11" t="n">
        <v>359</v>
      </c>
      <c r="J2470" s="6" t="n">
        <v>15</v>
      </c>
      <c r="K2470" s="7">
        <f>IF(I2470="","",I2470*(1+J2470/100))</f>
        <v/>
      </c>
      <c r="L2470" s="12" t="inlineStr"/>
      <c r="M2470" s="8">
        <f>IF(OR(L2470="",K2470="",L2470=0),"",
  (L2470-K2470)/L2470*100)</f>
        <v/>
      </c>
      <c r="N2470" s="9" t="inlineStr"/>
      <c r="O2470" s="10" t="inlineStr"/>
      <c r="P2470" s="10" t="inlineStr"/>
      <c r="Q2470" s="10" t="inlineStr"/>
      <c r="R2470" s="10" t="inlineStr">
        <is>
          <t>2026-03-12</t>
        </is>
      </c>
      <c r="S2470" s="10" t="inlineStr"/>
    </row>
    <row r="2471">
      <c r="A2471" s="3" t="inlineStr">
        <is>
          <t>F02934</t>
        </is>
      </c>
      <c r="B2471" s="4" t="inlineStr">
        <is>
          <t>F02934</t>
        </is>
      </c>
      <c r="C2471" s="4" t="inlineStr"/>
      <c r="D2471" s="4" t="inlineStr"/>
      <c r="E2471" s="3" t="inlineStr">
        <is>
          <t>ROOF  STOEP  PAVE COAT 5LT -RED OXIDE</t>
        </is>
      </c>
      <c r="F2471" s="4" t="inlineStr"/>
      <c r="G2471" s="4" t="inlineStr"/>
      <c r="H2471" s="4" t="inlineStr"/>
      <c r="I2471" s="5" t="n">
        <v>119</v>
      </c>
      <c r="J2471" s="6" t="n">
        <v>15</v>
      </c>
      <c r="K2471" s="7">
        <f>IF(I2471="","",I2471*(1+J2471/100))</f>
        <v/>
      </c>
      <c r="L2471" s="12" t="inlineStr"/>
      <c r="M2471" s="8">
        <f>IF(OR(L2471="",K2471="",L2471=0),"",
  (L2471-K2471)/L2471*100)</f>
        <v/>
      </c>
      <c r="N2471" s="9" t="inlineStr"/>
      <c r="O2471" s="4" t="inlineStr"/>
      <c r="P2471" s="4" t="inlineStr"/>
      <c r="Q2471" s="4" t="inlineStr"/>
      <c r="R2471" s="4" t="inlineStr">
        <is>
          <t>2026-03-12</t>
        </is>
      </c>
      <c r="S2471" s="4" t="inlineStr"/>
    </row>
    <row r="2472">
      <c r="A2472" s="10" t="inlineStr">
        <is>
          <t>F02935</t>
        </is>
      </c>
      <c r="B2472" s="10" t="inlineStr">
        <is>
          <t>F02935</t>
        </is>
      </c>
      <c r="C2472" s="10" t="inlineStr"/>
      <c r="D2472" s="10" t="inlineStr"/>
      <c r="E2472" s="10" t="inlineStr">
        <is>
          <t>ROOF STOEP  PAVE COAT 5LT -BURGUNDY</t>
        </is>
      </c>
      <c r="F2472" s="10" t="inlineStr"/>
      <c r="G2472" s="10" t="inlineStr"/>
      <c r="H2472" s="10" t="inlineStr"/>
      <c r="I2472" s="11" t="n">
        <v>119</v>
      </c>
      <c r="J2472" s="6" t="n">
        <v>15</v>
      </c>
      <c r="K2472" s="7">
        <f>IF(I2472="","",I2472*(1+J2472/100))</f>
        <v/>
      </c>
      <c r="L2472" s="12" t="inlineStr"/>
      <c r="M2472" s="8">
        <f>IF(OR(L2472="",K2472="",L2472=0),"",
  (L2472-K2472)/L2472*100)</f>
        <v/>
      </c>
      <c r="N2472" s="9" t="inlineStr"/>
      <c r="O2472" s="10" t="inlineStr"/>
      <c r="P2472" s="10" t="inlineStr"/>
      <c r="Q2472" s="10" t="inlineStr"/>
      <c r="R2472" s="10" t="inlineStr">
        <is>
          <t>2026-03-12</t>
        </is>
      </c>
      <c r="S2472" s="10" t="inlineStr"/>
    </row>
    <row r="2473">
      <c r="A2473" s="3" t="inlineStr">
        <is>
          <t>F02936</t>
        </is>
      </c>
      <c r="B2473" s="4" t="inlineStr">
        <is>
          <t>F02936</t>
        </is>
      </c>
      <c r="C2473" s="4" t="inlineStr"/>
      <c r="D2473" s="4" t="inlineStr"/>
      <c r="E2473" s="3" t="inlineStr">
        <is>
          <t>ROOF STOEP PAVE COAT 5LT-BLACK</t>
        </is>
      </c>
      <c r="F2473" s="4" t="inlineStr"/>
      <c r="G2473" s="4" t="inlineStr"/>
      <c r="H2473" s="4" t="inlineStr"/>
      <c r="I2473" s="5" t="n">
        <v>119</v>
      </c>
      <c r="J2473" s="6" t="n">
        <v>15</v>
      </c>
      <c r="K2473" s="7">
        <f>IF(I2473="","",I2473*(1+J2473/100))</f>
        <v/>
      </c>
      <c r="L2473" s="12" t="inlineStr"/>
      <c r="M2473" s="8">
        <f>IF(OR(L2473="",K2473="",L2473=0),"",
  (L2473-K2473)/L2473*100)</f>
        <v/>
      </c>
      <c r="N2473" s="9" t="inlineStr"/>
      <c r="O2473" s="4" t="inlineStr"/>
      <c r="P2473" s="4" t="inlineStr"/>
      <c r="Q2473" s="4" t="inlineStr"/>
      <c r="R2473" s="4" t="inlineStr">
        <is>
          <t>2026-03-12</t>
        </is>
      </c>
      <c r="S2473" s="4" t="inlineStr"/>
    </row>
    <row r="2474">
      <c r="A2474" s="10" t="inlineStr">
        <is>
          <t>F02937</t>
        </is>
      </c>
      <c r="B2474" s="10" t="inlineStr">
        <is>
          <t>F02937</t>
        </is>
      </c>
      <c r="C2474" s="10" t="inlineStr"/>
      <c r="D2474" s="10" t="inlineStr"/>
      <c r="E2474" s="10" t="inlineStr">
        <is>
          <t>ROOF STOEP  PAVE COAT 5LT-GREY</t>
        </is>
      </c>
      <c r="F2474" s="10" t="inlineStr"/>
      <c r="G2474" s="10" t="inlineStr"/>
      <c r="H2474" s="10" t="inlineStr"/>
      <c r="I2474" s="11" t="n">
        <v>119</v>
      </c>
      <c r="J2474" s="6" t="n">
        <v>15</v>
      </c>
      <c r="K2474" s="7">
        <f>IF(I2474="","",I2474*(1+J2474/100))</f>
        <v/>
      </c>
      <c r="L2474" s="12" t="inlineStr"/>
      <c r="M2474" s="8">
        <f>IF(OR(L2474="",K2474="",L2474=0),"",
  (L2474-K2474)/L2474*100)</f>
        <v/>
      </c>
      <c r="N2474" s="9" t="inlineStr"/>
      <c r="O2474" s="10" t="inlineStr"/>
      <c r="P2474" s="10" t="inlineStr"/>
      <c r="Q2474" s="10" t="inlineStr"/>
      <c r="R2474" s="10" t="inlineStr">
        <is>
          <t>2026-03-12</t>
        </is>
      </c>
      <c r="S2474" s="10" t="inlineStr"/>
    </row>
    <row r="2475">
      <c r="A2475" s="3" t="inlineStr">
        <is>
          <t>F02938</t>
        </is>
      </c>
      <c r="B2475" s="4" t="inlineStr">
        <is>
          <t>F02938</t>
        </is>
      </c>
      <c r="C2475" s="4" t="inlineStr"/>
      <c r="D2475" s="4" t="inlineStr"/>
      <c r="E2475" s="3" t="inlineStr">
        <is>
          <t>ROOF,STOEP  PAVE COAT 5LT-CHARCOAL</t>
        </is>
      </c>
      <c r="F2475" s="4" t="inlineStr"/>
      <c r="G2475" s="4" t="inlineStr"/>
      <c r="H2475" s="4" t="inlineStr"/>
      <c r="I2475" s="5" t="n">
        <v>119</v>
      </c>
      <c r="J2475" s="6" t="n">
        <v>15</v>
      </c>
      <c r="K2475" s="7">
        <f>IF(I2475="","",I2475*(1+J2475/100))</f>
        <v/>
      </c>
      <c r="L2475" s="12" t="inlineStr"/>
      <c r="M2475" s="8">
        <f>IF(OR(L2475="",K2475="",L2475=0),"",
  (L2475-K2475)/L2475*100)</f>
        <v/>
      </c>
      <c r="N2475" s="9" t="inlineStr"/>
      <c r="O2475" s="4" t="inlineStr"/>
      <c r="P2475" s="4" t="inlineStr"/>
      <c r="Q2475" s="4" t="inlineStr"/>
      <c r="R2475" s="4" t="inlineStr">
        <is>
          <t>2026-03-12</t>
        </is>
      </c>
      <c r="S2475" s="4" t="inlineStr"/>
    </row>
    <row r="2476">
      <c r="A2476" s="10" t="inlineStr">
        <is>
          <t>F02939</t>
        </is>
      </c>
      <c r="B2476" s="10" t="inlineStr">
        <is>
          <t>F02939</t>
        </is>
      </c>
      <c r="C2476" s="10" t="inlineStr"/>
      <c r="D2476" s="10" t="inlineStr"/>
      <c r="E2476" s="10" t="inlineStr">
        <is>
          <t>ROOF STOEP PAVE COAT FOREST LEAF 5LT</t>
        </is>
      </c>
      <c r="F2476" s="10" t="inlineStr"/>
      <c r="G2476" s="10" t="inlineStr"/>
      <c r="H2476" s="10" t="inlineStr"/>
      <c r="I2476" s="11" t="n">
        <v>130</v>
      </c>
      <c r="J2476" s="6" t="n">
        <v>15</v>
      </c>
      <c r="K2476" s="7">
        <f>IF(I2476="","",I2476*(1+J2476/100))</f>
        <v/>
      </c>
      <c r="L2476" s="12" t="inlineStr"/>
      <c r="M2476" s="8">
        <f>IF(OR(L2476="",K2476="",L2476=0),"",
  (L2476-K2476)/L2476*100)</f>
        <v/>
      </c>
      <c r="N2476" s="9" t="inlineStr"/>
      <c r="O2476" s="10" t="inlineStr"/>
      <c r="P2476" s="10" t="inlineStr"/>
      <c r="Q2476" s="10" t="inlineStr"/>
      <c r="R2476" s="10" t="inlineStr">
        <is>
          <t>2026-03-12</t>
        </is>
      </c>
      <c r="S2476" s="10" t="inlineStr"/>
    </row>
    <row r="2477">
      <c r="A2477" s="3" t="inlineStr">
        <is>
          <t>F02940</t>
        </is>
      </c>
      <c r="B2477" s="4" t="inlineStr">
        <is>
          <t>F02940</t>
        </is>
      </c>
      <c r="C2477" s="4" t="inlineStr"/>
      <c r="D2477" s="4" t="inlineStr"/>
      <c r="E2477" s="3" t="inlineStr">
        <is>
          <t>ROOF STOEP PAVE COAT FORESTLEAF 20L</t>
        </is>
      </c>
      <c r="F2477" s="4" t="inlineStr"/>
      <c r="G2477" s="4" t="inlineStr"/>
      <c r="H2477" s="4" t="inlineStr"/>
      <c r="I2477" s="5" t="n">
        <v>405</v>
      </c>
      <c r="J2477" s="6" t="n">
        <v>15</v>
      </c>
      <c r="K2477" s="7">
        <f>IF(I2477="","",I2477*(1+J2477/100))</f>
        <v/>
      </c>
      <c r="L2477" s="12" t="inlineStr"/>
      <c r="M2477" s="8">
        <f>IF(OR(L2477="",K2477="",L2477=0),"",
  (L2477-K2477)/L2477*100)</f>
        <v/>
      </c>
      <c r="N2477" s="9" t="inlineStr"/>
      <c r="O2477" s="4" t="inlineStr"/>
      <c r="P2477" s="4" t="inlineStr"/>
      <c r="Q2477" s="4" t="inlineStr"/>
      <c r="R2477" s="4" t="inlineStr">
        <is>
          <t>2026-03-12</t>
        </is>
      </c>
      <c r="S2477" s="4" t="inlineStr"/>
    </row>
    <row r="2478">
      <c r="A2478" s="10" t="inlineStr">
        <is>
          <t>F02941</t>
        </is>
      </c>
      <c r="B2478" s="10" t="inlineStr">
        <is>
          <t>F02941</t>
        </is>
      </c>
      <c r="C2478" s="10" t="inlineStr"/>
      <c r="D2478" s="10" t="inlineStr"/>
      <c r="E2478" s="10" t="inlineStr">
        <is>
          <t>WATER PROOFER 5LTR-REDOXIDE</t>
        </is>
      </c>
      <c r="F2478" s="10" t="inlineStr"/>
      <c r="G2478" s="10" t="inlineStr"/>
      <c r="H2478" s="10" t="inlineStr"/>
      <c r="I2478" s="11" t="n">
        <v>95.5</v>
      </c>
      <c r="J2478" s="6" t="n">
        <v>15</v>
      </c>
      <c r="K2478" s="7">
        <f>IF(I2478="","",I2478*(1+J2478/100))</f>
        <v/>
      </c>
      <c r="L2478" s="12" t="inlineStr"/>
      <c r="M2478" s="8">
        <f>IF(OR(L2478="",K2478="",L2478=0),"",
  (L2478-K2478)/L2478*100)</f>
        <v/>
      </c>
      <c r="N2478" s="13" t="n">
        <v>3</v>
      </c>
      <c r="O2478" s="10" t="inlineStr"/>
      <c r="P2478" s="10" t="inlineStr"/>
      <c r="Q2478" s="10" t="inlineStr"/>
      <c r="R2478" s="10" t="inlineStr">
        <is>
          <t>2026-03-12</t>
        </is>
      </c>
      <c r="S2478" s="10" t="inlineStr"/>
    </row>
    <row r="2479">
      <c r="A2479" s="3" t="inlineStr">
        <is>
          <t>F02942</t>
        </is>
      </c>
      <c r="B2479" s="4" t="inlineStr">
        <is>
          <t>F02942</t>
        </is>
      </c>
      <c r="C2479" s="4" t="inlineStr"/>
      <c r="D2479" s="4" t="inlineStr"/>
      <c r="E2479" s="3" t="inlineStr">
        <is>
          <t>WATER PROOFER 5LTR--BURGUNDY</t>
        </is>
      </c>
      <c r="F2479" s="4" t="inlineStr"/>
      <c r="G2479" s="4" t="inlineStr"/>
      <c r="H2479" s="4" t="inlineStr"/>
      <c r="I2479" s="5" t="n">
        <v>95.5</v>
      </c>
      <c r="J2479" s="6" t="n">
        <v>15</v>
      </c>
      <c r="K2479" s="7">
        <f>IF(I2479="","",I2479*(1+J2479/100))</f>
        <v/>
      </c>
      <c r="L2479" s="12" t="inlineStr"/>
      <c r="M2479" s="8">
        <f>IF(OR(L2479="",K2479="",L2479=0),"",
  (L2479-K2479)/L2479*100)</f>
        <v/>
      </c>
      <c r="N2479" s="9" t="inlineStr"/>
      <c r="O2479" s="4" t="inlineStr"/>
      <c r="P2479" s="4" t="inlineStr"/>
      <c r="Q2479" s="4" t="inlineStr"/>
      <c r="R2479" s="4" t="inlineStr">
        <is>
          <t>2026-03-12</t>
        </is>
      </c>
      <c r="S2479" s="4" t="inlineStr"/>
    </row>
    <row r="2480">
      <c r="A2480" s="10" t="inlineStr">
        <is>
          <t>F02943</t>
        </is>
      </c>
      <c r="B2480" s="10" t="inlineStr">
        <is>
          <t>F02943</t>
        </is>
      </c>
      <c r="C2480" s="10" t="inlineStr"/>
      <c r="D2480" s="10" t="inlineStr"/>
      <c r="E2480" s="10" t="inlineStr">
        <is>
          <t>WATER PROOFER 5LTR--BLACK</t>
        </is>
      </c>
      <c r="F2480" s="10" t="inlineStr"/>
      <c r="G2480" s="10" t="inlineStr"/>
      <c r="H2480" s="10" t="inlineStr"/>
      <c r="I2480" s="11" t="n">
        <v>95.5</v>
      </c>
      <c r="J2480" s="6" t="n">
        <v>15</v>
      </c>
      <c r="K2480" s="7">
        <f>IF(I2480="","",I2480*(1+J2480/100))</f>
        <v/>
      </c>
      <c r="L2480" s="12" t="inlineStr"/>
      <c r="M2480" s="8">
        <f>IF(OR(L2480="",K2480="",L2480=0),"",
  (L2480-K2480)/L2480*100)</f>
        <v/>
      </c>
      <c r="N2480" s="9" t="inlineStr"/>
      <c r="O2480" s="10" t="inlineStr"/>
      <c r="P2480" s="10" t="inlineStr"/>
      <c r="Q2480" s="10" t="inlineStr"/>
      <c r="R2480" s="10" t="inlineStr">
        <is>
          <t>2026-03-12</t>
        </is>
      </c>
      <c r="S2480" s="10" t="inlineStr"/>
    </row>
    <row r="2481">
      <c r="A2481" s="3" t="inlineStr">
        <is>
          <t>F02944</t>
        </is>
      </c>
      <c r="B2481" s="4" t="inlineStr">
        <is>
          <t>F02944</t>
        </is>
      </c>
      <c r="C2481" s="4" t="inlineStr"/>
      <c r="D2481" s="4" t="inlineStr"/>
      <c r="E2481" s="3" t="inlineStr">
        <is>
          <t>WATER PROOFER 5LTR--GREY</t>
        </is>
      </c>
      <c r="F2481" s="4" t="inlineStr"/>
      <c r="G2481" s="4" t="inlineStr"/>
      <c r="H2481" s="4" t="inlineStr"/>
      <c r="I2481" s="5" t="n">
        <v>95.5</v>
      </c>
      <c r="J2481" s="6" t="n">
        <v>15</v>
      </c>
      <c r="K2481" s="7">
        <f>IF(I2481="","",I2481*(1+J2481/100))</f>
        <v/>
      </c>
      <c r="L2481" s="12" t="inlineStr"/>
      <c r="M2481" s="8">
        <f>IF(OR(L2481="",K2481="",L2481=0),"",
  (L2481-K2481)/L2481*100)</f>
        <v/>
      </c>
      <c r="N2481" s="9" t="inlineStr"/>
      <c r="O2481" s="4" t="inlineStr"/>
      <c r="P2481" s="4" t="inlineStr"/>
      <c r="Q2481" s="4" t="inlineStr"/>
      <c r="R2481" s="4" t="inlineStr">
        <is>
          <t>2026-03-12</t>
        </is>
      </c>
      <c r="S2481" s="4" t="inlineStr"/>
    </row>
    <row r="2482">
      <c r="A2482" s="10" t="inlineStr">
        <is>
          <t>F02945</t>
        </is>
      </c>
      <c r="B2482" s="10" t="inlineStr">
        <is>
          <t>F02945</t>
        </is>
      </c>
      <c r="C2482" s="10" t="inlineStr"/>
      <c r="D2482" s="10" t="inlineStr"/>
      <c r="E2482" s="10" t="inlineStr">
        <is>
          <t>WATER PROOFER 5LTR--CHARCOAL</t>
        </is>
      </c>
      <c r="F2482" s="10" t="inlineStr"/>
      <c r="G2482" s="10" t="inlineStr"/>
      <c r="H2482" s="10" t="inlineStr"/>
      <c r="I2482" s="11" t="n">
        <v>95.5</v>
      </c>
      <c r="J2482" s="6" t="n">
        <v>15</v>
      </c>
      <c r="K2482" s="7">
        <f>IF(I2482="","",I2482*(1+J2482/100))</f>
        <v/>
      </c>
      <c r="L2482" s="12" t="inlineStr"/>
      <c r="M2482" s="8">
        <f>IF(OR(L2482="",K2482="",L2482=0),"",
  (L2482-K2482)/L2482*100)</f>
        <v/>
      </c>
      <c r="N2482" s="9" t="inlineStr"/>
      <c r="O2482" s="10" t="inlineStr"/>
      <c r="P2482" s="10" t="inlineStr"/>
      <c r="Q2482" s="10" t="inlineStr"/>
      <c r="R2482" s="10" t="inlineStr">
        <is>
          <t>2026-03-12</t>
        </is>
      </c>
      <c r="S2482" s="10" t="inlineStr"/>
    </row>
    <row r="2483">
      <c r="A2483" s="3" t="inlineStr">
        <is>
          <t>F02946</t>
        </is>
      </c>
      <c r="B2483" s="4" t="inlineStr">
        <is>
          <t>F02946</t>
        </is>
      </c>
      <c r="C2483" s="4" t="inlineStr"/>
      <c r="D2483" s="4" t="inlineStr"/>
      <c r="E2483" s="3" t="inlineStr">
        <is>
          <t>WATER PROOFER 5LTR--WHITE</t>
        </is>
      </c>
      <c r="F2483" s="4" t="inlineStr"/>
      <c r="G2483" s="4" t="inlineStr"/>
      <c r="H2483" s="4" t="inlineStr"/>
      <c r="I2483" s="5" t="n">
        <v>95.5</v>
      </c>
      <c r="J2483" s="6" t="n">
        <v>15</v>
      </c>
      <c r="K2483" s="7">
        <f>IF(I2483="","",I2483*(1+J2483/100))</f>
        <v/>
      </c>
      <c r="L2483" s="12" t="inlineStr"/>
      <c r="M2483" s="8">
        <f>IF(OR(L2483="",K2483="",L2483=0),"",
  (L2483-K2483)/L2483*100)</f>
        <v/>
      </c>
      <c r="N2483" s="14" t="n">
        <v>2</v>
      </c>
      <c r="O2483" s="4" t="inlineStr"/>
      <c r="P2483" s="4" t="inlineStr"/>
      <c r="Q2483" s="4" t="inlineStr"/>
      <c r="R2483" s="4" t="inlineStr">
        <is>
          <t>2026-03-12</t>
        </is>
      </c>
      <c r="S2483" s="4" t="inlineStr"/>
    </row>
    <row r="2484">
      <c r="A2484" s="10" t="inlineStr">
        <is>
          <t>F02947</t>
        </is>
      </c>
      <c r="B2484" s="10" t="inlineStr">
        <is>
          <t>F02947</t>
        </is>
      </c>
      <c r="C2484" s="10" t="inlineStr"/>
      <c r="D2484" s="10" t="inlineStr"/>
      <c r="E2484" s="10" t="inlineStr">
        <is>
          <t>WATER PROOFING PAINT 5LT TERRACOTA</t>
        </is>
      </c>
      <c r="F2484" s="10" t="inlineStr"/>
      <c r="G2484" s="10" t="inlineStr"/>
      <c r="H2484" s="10" t="inlineStr"/>
      <c r="I2484" s="11" t="n">
        <v>95.5</v>
      </c>
      <c r="J2484" s="6" t="n">
        <v>15</v>
      </c>
      <c r="K2484" s="7">
        <f>IF(I2484="","",I2484*(1+J2484/100))</f>
        <v/>
      </c>
      <c r="L2484" s="12" t="inlineStr"/>
      <c r="M2484" s="8">
        <f>IF(OR(L2484="",K2484="",L2484=0),"",
  (L2484-K2484)/L2484*100)</f>
        <v/>
      </c>
      <c r="N2484" s="9" t="inlineStr"/>
      <c r="O2484" s="10" t="inlineStr"/>
      <c r="P2484" s="10" t="inlineStr"/>
      <c r="Q2484" s="10" t="inlineStr"/>
      <c r="R2484" s="10" t="inlineStr">
        <is>
          <t>2026-03-12</t>
        </is>
      </c>
      <c r="S2484" s="10" t="inlineStr"/>
    </row>
    <row r="2485">
      <c r="A2485" s="3" t="inlineStr">
        <is>
          <t>F02948</t>
        </is>
      </c>
      <c r="B2485" s="4" t="inlineStr">
        <is>
          <t>F02948</t>
        </is>
      </c>
      <c r="C2485" s="4" t="inlineStr"/>
      <c r="D2485" s="4" t="inlineStr"/>
      <c r="E2485" s="3" t="inlineStr">
        <is>
          <t>WATER PROOFING PAINT 5L GREY/FORESTLEAF</t>
        </is>
      </c>
      <c r="F2485" s="4" t="inlineStr"/>
      <c r="G2485" s="4" t="inlineStr"/>
      <c r="H2485" s="4" t="inlineStr"/>
      <c r="I2485" s="5" t="n">
        <v>105</v>
      </c>
      <c r="J2485" s="6" t="n">
        <v>15</v>
      </c>
      <c r="K2485" s="7">
        <f>IF(I2485="","",I2485*(1+J2485/100))</f>
        <v/>
      </c>
      <c r="L2485" s="12" t="inlineStr"/>
      <c r="M2485" s="8">
        <f>IF(OR(L2485="",K2485="",L2485=0),"",
  (L2485-K2485)/L2485*100)</f>
        <v/>
      </c>
      <c r="N2485" s="9" t="inlineStr"/>
      <c r="O2485" s="4" t="inlineStr"/>
      <c r="P2485" s="4" t="inlineStr"/>
      <c r="Q2485" s="4" t="inlineStr"/>
      <c r="R2485" s="4" t="inlineStr">
        <is>
          <t>2026-03-12</t>
        </is>
      </c>
      <c r="S2485" s="4" t="inlineStr"/>
    </row>
    <row r="2486">
      <c r="A2486" s="10" t="inlineStr">
        <is>
          <t>F02949</t>
        </is>
      </c>
      <c r="B2486" s="10" t="inlineStr">
        <is>
          <t>F02949</t>
        </is>
      </c>
      <c r="C2486" s="10" t="inlineStr"/>
      <c r="D2486" s="10" t="inlineStr"/>
      <c r="E2486" s="10" t="inlineStr">
        <is>
          <t>PUTTY 500GRAM WHITE-STEEL WINDOWS</t>
        </is>
      </c>
      <c r="F2486" s="10" t="inlineStr"/>
      <c r="G2486" s="10" t="inlineStr"/>
      <c r="H2486" s="10" t="inlineStr"/>
      <c r="I2486" s="11" t="n">
        <v>6.25</v>
      </c>
      <c r="J2486" s="6" t="n">
        <v>15</v>
      </c>
      <c r="K2486" s="7">
        <f>IF(I2486="","",I2486*(1+J2486/100))</f>
        <v/>
      </c>
      <c r="L2486" s="12" t="inlineStr"/>
      <c r="M2486" s="8">
        <f>IF(OR(L2486="",K2486="",L2486=0),"",
  (L2486-K2486)/L2486*100)</f>
        <v/>
      </c>
      <c r="N2486" s="13" t="n">
        <v>67</v>
      </c>
      <c r="O2486" s="10" t="inlineStr"/>
      <c r="P2486" s="10" t="inlineStr"/>
      <c r="Q2486" s="10" t="inlineStr"/>
      <c r="R2486" s="10" t="inlineStr">
        <is>
          <t>2026-03-12</t>
        </is>
      </c>
      <c r="S2486" s="10" t="inlineStr"/>
    </row>
    <row r="2487">
      <c r="A2487" s="3" t="inlineStr">
        <is>
          <t>F02950</t>
        </is>
      </c>
      <c r="B2487" s="4" t="inlineStr">
        <is>
          <t>F02950</t>
        </is>
      </c>
      <c r="C2487" s="4" t="inlineStr"/>
      <c r="D2487" s="4" t="inlineStr"/>
      <c r="E2487" s="3" t="inlineStr">
        <is>
          <t>PUTTY 1KG WHITE -STEEL WINDOWS</t>
        </is>
      </c>
      <c r="F2487" s="4" t="inlineStr"/>
      <c r="G2487" s="4" t="inlineStr"/>
      <c r="H2487" s="4" t="inlineStr"/>
      <c r="I2487" s="5" t="n">
        <v>12.5</v>
      </c>
      <c r="J2487" s="6" t="n">
        <v>15</v>
      </c>
      <c r="K2487" s="7">
        <f>IF(I2487="","",I2487*(1+J2487/100))</f>
        <v/>
      </c>
      <c r="L2487" s="12" t="inlineStr"/>
      <c r="M2487" s="8">
        <f>IF(OR(L2487="",K2487="",L2487=0),"",
  (L2487-K2487)/L2487*100)</f>
        <v/>
      </c>
      <c r="N2487" s="9" t="inlineStr"/>
      <c r="O2487" s="4" t="inlineStr"/>
      <c r="P2487" s="4" t="inlineStr"/>
      <c r="Q2487" s="4" t="inlineStr"/>
      <c r="R2487" s="4" t="inlineStr">
        <is>
          <t>2026-03-12</t>
        </is>
      </c>
      <c r="S2487" s="4" t="inlineStr"/>
    </row>
    <row r="2488">
      <c r="A2488" s="10" t="inlineStr">
        <is>
          <t>F02951</t>
        </is>
      </c>
      <c r="B2488" s="10" t="inlineStr">
        <is>
          <t>F02951</t>
        </is>
      </c>
      <c r="C2488" s="10" t="inlineStr"/>
      <c r="D2488" s="10" t="inlineStr"/>
      <c r="E2488" s="10" t="inlineStr">
        <is>
          <t>ROOF STOEP PAVE COAT 5LT-WHITE</t>
        </is>
      </c>
      <c r="F2488" s="10" t="inlineStr"/>
      <c r="G2488" s="10" t="inlineStr"/>
      <c r="H2488" s="10" t="inlineStr"/>
      <c r="I2488" s="11" t="n">
        <v>119</v>
      </c>
      <c r="J2488" s="6" t="n">
        <v>15</v>
      </c>
      <c r="K2488" s="7">
        <f>IF(I2488="","",I2488*(1+J2488/100))</f>
        <v/>
      </c>
      <c r="L2488" s="12" t="inlineStr"/>
      <c r="M2488" s="8">
        <f>IF(OR(L2488="",K2488="",L2488=0),"",
  (L2488-K2488)/L2488*100)</f>
        <v/>
      </c>
      <c r="N2488" s="9" t="inlineStr"/>
      <c r="O2488" s="10" t="inlineStr"/>
      <c r="P2488" s="10" t="inlineStr"/>
      <c r="Q2488" s="10" t="inlineStr"/>
      <c r="R2488" s="10" t="inlineStr">
        <is>
          <t>2026-03-12</t>
        </is>
      </c>
      <c r="S2488" s="10" t="inlineStr"/>
    </row>
    <row r="2489">
      <c r="A2489" s="3" t="inlineStr">
        <is>
          <t>F02952</t>
        </is>
      </c>
      <c r="B2489" s="4" t="inlineStr">
        <is>
          <t>F02952</t>
        </is>
      </c>
      <c r="C2489" s="4" t="inlineStr"/>
      <c r="D2489" s="4" t="inlineStr"/>
      <c r="E2489" s="3" t="inlineStr">
        <is>
          <t>ROOF STOEP PAVE COAT 20LTR-REDOXIDE</t>
        </is>
      </c>
      <c r="F2489" s="4" t="inlineStr"/>
      <c r="G2489" s="4" t="inlineStr"/>
      <c r="H2489" s="4" t="inlineStr"/>
      <c r="I2489" s="5" t="n">
        <v>370</v>
      </c>
      <c r="J2489" s="6" t="n">
        <v>15</v>
      </c>
      <c r="K2489" s="7">
        <f>IF(I2489="","",I2489*(1+J2489/100))</f>
        <v/>
      </c>
      <c r="L2489" s="12" t="inlineStr"/>
      <c r="M2489" s="8">
        <f>IF(OR(L2489="",K2489="",L2489=0),"",
  (L2489-K2489)/L2489*100)</f>
        <v/>
      </c>
      <c r="N2489" s="14" t="n">
        <v>17</v>
      </c>
      <c r="O2489" s="4" t="inlineStr"/>
      <c r="P2489" s="4" t="inlineStr"/>
      <c r="Q2489" s="4" t="inlineStr"/>
      <c r="R2489" s="4" t="inlineStr">
        <is>
          <t>2026-03-12</t>
        </is>
      </c>
      <c r="S2489" s="4" t="inlineStr"/>
    </row>
    <row r="2490">
      <c r="A2490" s="10" t="inlineStr">
        <is>
          <t>F02953</t>
        </is>
      </c>
      <c r="B2490" s="10" t="inlineStr">
        <is>
          <t>F02953</t>
        </is>
      </c>
      <c r="C2490" s="10" t="inlineStr"/>
      <c r="D2490" s="10" t="inlineStr"/>
      <c r="E2490" s="10" t="inlineStr">
        <is>
          <t>ROOF STOEP PAVE COAT 20LT-BURGUNDY</t>
        </is>
      </c>
      <c r="F2490" s="10" t="inlineStr"/>
      <c r="G2490" s="10" t="inlineStr"/>
      <c r="H2490" s="10" t="inlineStr"/>
      <c r="I2490" s="11" t="n">
        <v>370</v>
      </c>
      <c r="J2490" s="6" t="n">
        <v>15</v>
      </c>
      <c r="K2490" s="7">
        <f>IF(I2490="","",I2490*(1+J2490/100))</f>
        <v/>
      </c>
      <c r="L2490" s="12" t="inlineStr"/>
      <c r="M2490" s="8">
        <f>IF(OR(L2490="",K2490="",L2490=0),"",
  (L2490-K2490)/L2490*100)</f>
        <v/>
      </c>
      <c r="N2490" s="13" t="n">
        <v>4</v>
      </c>
      <c r="O2490" s="10" t="inlineStr"/>
      <c r="P2490" s="10" t="inlineStr"/>
      <c r="Q2490" s="10" t="inlineStr"/>
      <c r="R2490" s="10" t="inlineStr">
        <is>
          <t>2026-03-12</t>
        </is>
      </c>
      <c r="S2490" s="10" t="inlineStr"/>
    </row>
    <row r="2491">
      <c r="A2491" s="3" t="inlineStr">
        <is>
          <t>F02954</t>
        </is>
      </c>
      <c r="B2491" s="4" t="inlineStr">
        <is>
          <t>F02954</t>
        </is>
      </c>
      <c r="C2491" s="4" t="inlineStr"/>
      <c r="D2491" s="4" t="inlineStr"/>
      <c r="E2491" s="3" t="inlineStr">
        <is>
          <t>ROOF STOEP PAVE COAT 20LT-BLACK</t>
        </is>
      </c>
      <c r="F2491" s="4" t="inlineStr"/>
      <c r="G2491" s="4" t="inlineStr"/>
      <c r="H2491" s="4" t="inlineStr"/>
      <c r="I2491" s="5" t="n">
        <v>370</v>
      </c>
      <c r="J2491" s="6" t="n">
        <v>15</v>
      </c>
      <c r="K2491" s="7">
        <f>IF(I2491="","",I2491*(1+J2491/100))</f>
        <v/>
      </c>
      <c r="L2491" s="12" t="inlineStr"/>
      <c r="M2491" s="8">
        <f>IF(OR(L2491="",K2491="",L2491=0),"",
  (L2491-K2491)/L2491*100)</f>
        <v/>
      </c>
      <c r="N2491" s="14" t="n">
        <v>4</v>
      </c>
      <c r="O2491" s="4" t="inlineStr"/>
      <c r="P2491" s="4" t="inlineStr"/>
      <c r="Q2491" s="4" t="inlineStr"/>
      <c r="R2491" s="4" t="inlineStr">
        <is>
          <t>2026-03-12</t>
        </is>
      </c>
      <c r="S2491" s="4" t="inlineStr"/>
    </row>
    <row r="2492">
      <c r="A2492" s="10" t="inlineStr">
        <is>
          <t>F02955</t>
        </is>
      </c>
      <c r="B2492" s="10" t="inlineStr">
        <is>
          <t>F02955</t>
        </is>
      </c>
      <c r="C2492" s="10" t="inlineStr"/>
      <c r="D2492" s="10" t="inlineStr"/>
      <c r="E2492" s="10" t="inlineStr">
        <is>
          <t>ROOF STOEP PAVE COAT 20LT-GREY</t>
        </is>
      </c>
      <c r="F2492" s="10" t="inlineStr"/>
      <c r="G2492" s="10" t="inlineStr"/>
      <c r="H2492" s="10" t="inlineStr"/>
      <c r="I2492" s="11" t="n">
        <v>370</v>
      </c>
      <c r="J2492" s="6" t="n">
        <v>15</v>
      </c>
      <c r="K2492" s="7">
        <f>IF(I2492="","",I2492*(1+J2492/100))</f>
        <v/>
      </c>
      <c r="L2492" s="12" t="inlineStr"/>
      <c r="M2492" s="8">
        <f>IF(OR(L2492="",K2492="",L2492=0),"",
  (L2492-K2492)/L2492*100)</f>
        <v/>
      </c>
      <c r="N2492" s="9" t="inlineStr"/>
      <c r="O2492" s="10" t="inlineStr"/>
      <c r="P2492" s="10" t="inlineStr"/>
      <c r="Q2492" s="10" t="inlineStr"/>
      <c r="R2492" s="10" t="inlineStr">
        <is>
          <t>2026-03-12</t>
        </is>
      </c>
      <c r="S2492" s="10" t="inlineStr"/>
    </row>
    <row r="2493">
      <c r="A2493" s="3" t="inlineStr">
        <is>
          <t>F02956</t>
        </is>
      </c>
      <c r="B2493" s="4" t="inlineStr">
        <is>
          <t>F02956</t>
        </is>
      </c>
      <c r="C2493" s="4" t="inlineStr"/>
      <c r="D2493" s="4" t="inlineStr"/>
      <c r="E2493" s="3" t="inlineStr">
        <is>
          <t>ROOF STOEP  PAVE COAT 20LT-CHARCOAL</t>
        </is>
      </c>
      <c r="F2493" s="4" t="inlineStr"/>
      <c r="G2493" s="4" t="inlineStr"/>
      <c r="H2493" s="4" t="inlineStr"/>
      <c r="I2493" s="5" t="n">
        <v>370</v>
      </c>
      <c r="J2493" s="6" t="n">
        <v>15</v>
      </c>
      <c r="K2493" s="7">
        <f>IF(I2493="","",I2493*(1+J2493/100))</f>
        <v/>
      </c>
      <c r="L2493" s="12" t="inlineStr"/>
      <c r="M2493" s="8">
        <f>IF(OR(L2493="",K2493="",L2493=0),"",
  (L2493-K2493)/L2493*100)</f>
        <v/>
      </c>
      <c r="N2493" s="9" t="inlineStr"/>
      <c r="O2493" s="4" t="inlineStr"/>
      <c r="P2493" s="4" t="inlineStr"/>
      <c r="Q2493" s="4" t="inlineStr"/>
      <c r="R2493" s="4" t="inlineStr">
        <is>
          <t>2026-03-12</t>
        </is>
      </c>
      <c r="S2493" s="4" t="inlineStr"/>
    </row>
    <row r="2494">
      <c r="A2494" s="10" t="inlineStr">
        <is>
          <t>F02957</t>
        </is>
      </c>
      <c r="B2494" s="10" t="inlineStr">
        <is>
          <t>F02957</t>
        </is>
      </c>
      <c r="C2494" s="10" t="inlineStr"/>
      <c r="D2494" s="10" t="inlineStr"/>
      <c r="E2494" s="10" t="inlineStr">
        <is>
          <t>ROOF STOEP PAVE COAT 20LT-WHITE</t>
        </is>
      </c>
      <c r="F2494" s="10" t="inlineStr"/>
      <c r="G2494" s="10" t="inlineStr"/>
      <c r="H2494" s="10" t="inlineStr"/>
      <c r="I2494" s="11" t="n">
        <v>370</v>
      </c>
      <c r="J2494" s="6" t="n">
        <v>15</v>
      </c>
      <c r="K2494" s="7">
        <f>IF(I2494="","",I2494*(1+J2494/100))</f>
        <v/>
      </c>
      <c r="L2494" s="12" t="inlineStr"/>
      <c r="M2494" s="8">
        <f>IF(OR(L2494="",K2494="",L2494=0),"",
  (L2494-K2494)/L2494*100)</f>
        <v/>
      </c>
      <c r="N2494" s="9" t="inlineStr"/>
      <c r="O2494" s="10" t="inlineStr"/>
      <c r="P2494" s="10" t="inlineStr"/>
      <c r="Q2494" s="10" t="inlineStr"/>
      <c r="R2494" s="10" t="inlineStr">
        <is>
          <t>2026-03-12</t>
        </is>
      </c>
      <c r="S2494" s="10" t="inlineStr"/>
    </row>
    <row r="2495">
      <c r="A2495" s="3" t="inlineStr">
        <is>
          <t>F02958</t>
        </is>
      </c>
      <c r="B2495" s="4" t="inlineStr">
        <is>
          <t>F02958</t>
        </is>
      </c>
      <c r="C2495" s="4" t="inlineStr"/>
      <c r="D2495" s="4" t="inlineStr"/>
      <c r="E2495" s="3" t="inlineStr">
        <is>
          <t>COFFEE CUPS 80Z 250ML BLACK(500PC)</t>
        </is>
      </c>
      <c r="F2495" s="4" t="inlineStr"/>
      <c r="G2495" s="4" t="inlineStr"/>
      <c r="H2495" s="4" t="inlineStr"/>
      <c r="I2495" s="5" t="n">
        <v>630</v>
      </c>
      <c r="J2495" s="6" t="n">
        <v>15</v>
      </c>
      <c r="K2495" s="7">
        <f>IF(I2495="","",I2495*(1+J2495/100))</f>
        <v/>
      </c>
      <c r="L2495" s="12" t="inlineStr"/>
      <c r="M2495" s="8">
        <f>IF(OR(L2495="",K2495="",L2495=0),"",
  (L2495-K2495)/L2495*100)</f>
        <v/>
      </c>
      <c r="N2495" s="14" t="n">
        <v>2</v>
      </c>
      <c r="O2495" s="4" t="inlineStr"/>
      <c r="P2495" s="4" t="inlineStr"/>
      <c r="Q2495" s="4" t="inlineStr"/>
      <c r="R2495" s="4" t="inlineStr">
        <is>
          <t>2026-03-12</t>
        </is>
      </c>
      <c r="S2495" s="4" t="inlineStr"/>
    </row>
    <row r="2496">
      <c r="A2496" s="10" t="inlineStr">
        <is>
          <t>F02959</t>
        </is>
      </c>
      <c r="B2496" s="10" t="inlineStr">
        <is>
          <t>F02959</t>
        </is>
      </c>
      <c r="C2496" s="10" t="inlineStr"/>
      <c r="D2496" s="10" t="inlineStr"/>
      <c r="E2496" s="10" t="inlineStr">
        <is>
          <t>COFFEE CUPS 80Z 250ML CRAFT(500PC)</t>
        </is>
      </c>
      <c r="F2496" s="10" t="inlineStr"/>
      <c r="G2496" s="10" t="inlineStr"/>
      <c r="H2496" s="10" t="inlineStr"/>
      <c r="I2496" s="11" t="n">
        <v>630</v>
      </c>
      <c r="J2496" s="6" t="n">
        <v>15</v>
      </c>
      <c r="K2496" s="7">
        <f>IF(I2496="","",I2496*(1+J2496/100))</f>
        <v/>
      </c>
      <c r="L2496" s="12" t="inlineStr"/>
      <c r="M2496" s="8">
        <f>IF(OR(L2496="",K2496="",L2496=0),"",
  (L2496-K2496)/L2496*100)</f>
        <v/>
      </c>
      <c r="N2496" s="9" t="inlineStr"/>
      <c r="O2496" s="10" t="inlineStr"/>
      <c r="P2496" s="10" t="inlineStr"/>
      <c r="Q2496" s="10" t="inlineStr"/>
      <c r="R2496" s="10" t="inlineStr">
        <is>
          <t>2026-03-12</t>
        </is>
      </c>
      <c r="S2496" s="10" t="inlineStr"/>
    </row>
    <row r="2497">
      <c r="A2497" s="3" t="inlineStr">
        <is>
          <t>F02960</t>
        </is>
      </c>
      <c r="B2497" s="4" t="inlineStr">
        <is>
          <t>F02960</t>
        </is>
      </c>
      <c r="C2497" s="4" t="inlineStr"/>
      <c r="D2497" s="4" t="inlineStr"/>
      <c r="E2497" s="3" t="inlineStr">
        <is>
          <t>COFFEE CUP LIDS BLACK (1000PC)</t>
        </is>
      </c>
      <c r="F2497" s="4" t="inlineStr"/>
      <c r="G2497" s="4" t="inlineStr"/>
      <c r="H2497" s="4" t="inlineStr"/>
      <c r="I2497" s="5" t="n">
        <v>489</v>
      </c>
      <c r="J2497" s="6" t="n">
        <v>15</v>
      </c>
      <c r="K2497" s="7">
        <f>IF(I2497="","",I2497*(1+J2497/100))</f>
        <v/>
      </c>
      <c r="L2497" s="12" t="inlineStr"/>
      <c r="M2497" s="8">
        <f>IF(OR(L2497="",K2497="",L2497=0),"",
  (L2497-K2497)/L2497*100)</f>
        <v/>
      </c>
      <c r="N2497" s="9" t="inlineStr"/>
      <c r="O2497" s="4" t="inlineStr"/>
      <c r="P2497" s="4" t="inlineStr"/>
      <c r="Q2497" s="4" t="inlineStr"/>
      <c r="R2497" s="4" t="inlineStr">
        <is>
          <t>2026-03-12</t>
        </is>
      </c>
      <c r="S2497" s="4" t="inlineStr"/>
    </row>
    <row r="2498">
      <c r="A2498" s="10" t="inlineStr">
        <is>
          <t>F02961</t>
        </is>
      </c>
      <c r="B2498" s="10" t="inlineStr">
        <is>
          <t>F02961</t>
        </is>
      </c>
      <c r="C2498" s="10" t="inlineStr"/>
      <c r="D2498" s="10" t="inlineStr"/>
      <c r="E2498" s="10" t="inlineStr">
        <is>
          <t>COFFEE CUP LIDS WHITE (1000PC)</t>
        </is>
      </c>
      <c r="F2498" s="10" t="inlineStr"/>
      <c r="G2498" s="10" t="inlineStr"/>
      <c r="H2498" s="10" t="inlineStr"/>
      <c r="I2498" s="11" t="n">
        <v>489</v>
      </c>
      <c r="J2498" s="6" t="n">
        <v>15</v>
      </c>
      <c r="K2498" s="7">
        <f>IF(I2498="","",I2498*(1+J2498/100))</f>
        <v/>
      </c>
      <c r="L2498" s="12" t="inlineStr"/>
      <c r="M2498" s="8">
        <f>IF(OR(L2498="",K2498="",L2498=0),"",
  (L2498-K2498)/L2498*100)</f>
        <v/>
      </c>
      <c r="N2498" s="13" t="n">
        <v>2</v>
      </c>
      <c r="O2498" s="10" t="inlineStr"/>
      <c r="P2498" s="10" t="inlineStr"/>
      <c r="Q2498" s="10" t="inlineStr"/>
      <c r="R2498" s="10" t="inlineStr">
        <is>
          <t>2026-03-12</t>
        </is>
      </c>
      <c r="S2498" s="10" t="inlineStr"/>
    </row>
    <row r="2499">
      <c r="A2499" s="3" t="inlineStr">
        <is>
          <t>F02962</t>
        </is>
      </c>
      <c r="B2499" s="4" t="inlineStr">
        <is>
          <t>F02962</t>
        </is>
      </c>
      <c r="C2499" s="4" t="inlineStr"/>
      <c r="D2499" s="4" t="inlineStr"/>
      <c r="E2499" s="3" t="inlineStr">
        <is>
          <t>BAKING PAPER DOUBLE SIDED NONSTICK</t>
        </is>
      </c>
      <c r="F2499" s="4" t="inlineStr"/>
      <c r="G2499" s="4" t="inlineStr"/>
      <c r="H2499" s="4" t="inlineStr"/>
      <c r="I2499" s="5" t="n">
        <v>20.5</v>
      </c>
      <c r="J2499" s="6" t="n">
        <v>15</v>
      </c>
      <c r="K2499" s="7">
        <f>IF(I2499="","",I2499*(1+J2499/100))</f>
        <v/>
      </c>
      <c r="L2499" s="12" t="inlineStr"/>
      <c r="M2499" s="8">
        <f>IF(OR(L2499="",K2499="",L2499=0),"",
  (L2499-K2499)/L2499*100)</f>
        <v/>
      </c>
      <c r="N2499" s="9" t="inlineStr"/>
      <c r="O2499" s="4" t="inlineStr"/>
      <c r="P2499" s="4" t="inlineStr"/>
      <c r="Q2499" s="4" t="inlineStr"/>
      <c r="R2499" s="4" t="inlineStr">
        <is>
          <t>2026-03-12</t>
        </is>
      </c>
      <c r="S2499" s="4" t="inlineStr"/>
    </row>
    <row r="2500">
      <c r="A2500" s="10" t="inlineStr">
        <is>
          <t>F02963</t>
        </is>
      </c>
      <c r="B2500" s="10" t="inlineStr">
        <is>
          <t>F02963</t>
        </is>
      </c>
      <c r="C2500" s="10" t="inlineStr"/>
      <c r="D2500" s="10" t="inlineStr">
        <is>
          <t>6009699451180</t>
        </is>
      </c>
      <c r="E2500" s="10" t="inlineStr">
        <is>
          <t>REFUSE BAG 20S  CLEAR+/- 35MIC CLEAR</t>
        </is>
      </c>
      <c r="F2500" s="10" t="inlineStr"/>
      <c r="G2500" s="10" t="inlineStr"/>
      <c r="H2500" s="10" t="inlineStr"/>
      <c r="I2500" s="11" t="n">
        <v>28.95</v>
      </c>
      <c r="J2500" s="6" t="n">
        <v>15</v>
      </c>
      <c r="K2500" s="7">
        <f>IF(I2500="","",I2500*(1+J2500/100))</f>
        <v/>
      </c>
      <c r="L2500" s="12" t="inlineStr"/>
      <c r="M2500" s="8">
        <f>IF(OR(L2500="",K2500="",L2500=0),"",
  (L2500-K2500)/L2500*100)</f>
        <v/>
      </c>
      <c r="N2500" s="13" t="n">
        <v>41</v>
      </c>
      <c r="O2500" s="10" t="inlineStr"/>
      <c r="P2500" s="10" t="inlineStr"/>
      <c r="Q2500" s="10" t="inlineStr"/>
      <c r="R2500" s="10" t="inlineStr">
        <is>
          <t>2026-03-12</t>
        </is>
      </c>
      <c r="S2500" s="10" t="inlineStr"/>
    </row>
    <row r="2501">
      <c r="A2501" s="3" t="inlineStr">
        <is>
          <t>F02964</t>
        </is>
      </c>
      <c r="B2501" s="4" t="inlineStr">
        <is>
          <t>F02964</t>
        </is>
      </c>
      <c r="C2501" s="4" t="inlineStr"/>
      <c r="D2501" s="4" t="inlineStr">
        <is>
          <t>6009699451135</t>
        </is>
      </c>
      <c r="E2501" s="3" t="inlineStr">
        <is>
          <t>REFUSE BAG 20S BLACK STANDARD +/- 18MIC</t>
        </is>
      </c>
      <c r="F2501" s="4" t="inlineStr"/>
      <c r="G2501" s="4" t="inlineStr"/>
      <c r="H2501" s="4" t="inlineStr"/>
      <c r="I2501" s="5" t="n">
        <v>16</v>
      </c>
      <c r="J2501" s="6" t="n">
        <v>15</v>
      </c>
      <c r="K2501" s="7">
        <f>IF(I2501="","",I2501*(1+J2501/100))</f>
        <v/>
      </c>
      <c r="L2501" s="12" t="inlineStr"/>
      <c r="M2501" s="8">
        <f>IF(OR(L2501="",K2501="",L2501=0),"",
  (L2501-K2501)/L2501*100)</f>
        <v/>
      </c>
      <c r="N2501" s="14" t="n">
        <v>74</v>
      </c>
      <c r="O2501" s="4" t="inlineStr"/>
      <c r="P2501" s="4" t="inlineStr"/>
      <c r="Q2501" s="4" t="inlineStr"/>
      <c r="R2501" s="4" t="inlineStr">
        <is>
          <t>2026-03-12</t>
        </is>
      </c>
      <c r="S2501" s="4" t="inlineStr"/>
    </row>
    <row r="2502">
      <c r="A2502" s="10" t="inlineStr">
        <is>
          <t>F02965</t>
        </is>
      </c>
      <c r="B2502" s="10" t="inlineStr">
        <is>
          <t>F02965</t>
        </is>
      </c>
      <c r="C2502" s="10" t="inlineStr"/>
      <c r="D2502" s="10" t="inlineStr">
        <is>
          <t>6009699450527</t>
        </is>
      </c>
      <c r="E2502" s="10" t="inlineStr">
        <is>
          <t>REFUSE BAG 20S BLACK SUP STRNG +/- 25MIC</t>
        </is>
      </c>
      <c r="F2502" s="10" t="inlineStr"/>
      <c r="G2502" s="10" t="inlineStr"/>
      <c r="H2502" s="10" t="inlineStr"/>
      <c r="I2502" s="11" t="n">
        <v>21.95</v>
      </c>
      <c r="J2502" s="6" t="n">
        <v>15</v>
      </c>
      <c r="K2502" s="7">
        <f>IF(I2502="","",I2502*(1+J2502/100))</f>
        <v/>
      </c>
      <c r="L2502" s="12" t="inlineStr"/>
      <c r="M2502" s="8">
        <f>IF(OR(L2502="",K2502="",L2502=0),"",
  (L2502-K2502)/L2502*100)</f>
        <v/>
      </c>
      <c r="N2502" s="13" t="n">
        <v>71</v>
      </c>
      <c r="O2502" s="10" t="inlineStr"/>
      <c r="P2502" s="10" t="inlineStr"/>
      <c r="Q2502" s="10" t="inlineStr"/>
      <c r="R2502" s="10" t="inlineStr">
        <is>
          <t>2026-03-12</t>
        </is>
      </c>
      <c r="S2502" s="10" t="inlineStr"/>
    </row>
    <row r="2503">
      <c r="A2503" s="3" t="inlineStr">
        <is>
          <t>F02966</t>
        </is>
      </c>
      <c r="B2503" s="4" t="inlineStr">
        <is>
          <t>F02966</t>
        </is>
      </c>
      <c r="C2503" s="4" t="inlineStr"/>
      <c r="D2503" s="4" t="inlineStr">
        <is>
          <t>6009699451159</t>
        </is>
      </c>
      <c r="E2503" s="3" t="inlineStr">
        <is>
          <t>REFUSE BAG 20S BLACK XTR STRNG +/-35MIC</t>
        </is>
      </c>
      <c r="F2503" s="4" t="inlineStr"/>
      <c r="G2503" s="4" t="inlineStr"/>
      <c r="H2503" s="4" t="inlineStr"/>
      <c r="I2503" s="5" t="n">
        <v>29.5</v>
      </c>
      <c r="J2503" s="6" t="n">
        <v>15</v>
      </c>
      <c r="K2503" s="7">
        <f>IF(I2503="","",I2503*(1+J2503/100))</f>
        <v/>
      </c>
      <c r="L2503" s="12" t="inlineStr"/>
      <c r="M2503" s="8">
        <f>IF(OR(L2503="",K2503="",L2503=0),"",
  (L2503-K2503)/L2503*100)</f>
        <v/>
      </c>
      <c r="N2503" s="14" t="n">
        <v>210</v>
      </c>
      <c r="O2503" s="4" t="inlineStr"/>
      <c r="P2503" s="4" t="inlineStr"/>
      <c r="Q2503" s="4" t="inlineStr"/>
      <c r="R2503" s="4" t="inlineStr">
        <is>
          <t>2026-03-12</t>
        </is>
      </c>
      <c r="S2503" s="4" t="inlineStr"/>
    </row>
    <row r="2504">
      <c r="A2504" s="10" t="inlineStr">
        <is>
          <t>F02967</t>
        </is>
      </c>
      <c r="B2504" s="10" t="inlineStr">
        <is>
          <t>F02967</t>
        </is>
      </c>
      <c r="C2504" s="10" t="inlineStr"/>
      <c r="D2504" s="10" t="inlineStr"/>
      <c r="E2504" s="10" t="inlineStr">
        <is>
          <t>PAINT TRAY PURPLE</t>
        </is>
      </c>
      <c r="F2504" s="10" t="inlineStr"/>
      <c r="G2504" s="10" t="inlineStr"/>
      <c r="H2504" s="10" t="inlineStr"/>
      <c r="I2504" s="11" t="n">
        <v>15</v>
      </c>
      <c r="J2504" s="6" t="n">
        <v>15</v>
      </c>
      <c r="K2504" s="7">
        <f>IF(I2504="","",I2504*(1+J2504/100))</f>
        <v/>
      </c>
      <c r="L2504" s="12" t="inlineStr"/>
      <c r="M2504" s="8">
        <f>IF(OR(L2504="",K2504="",L2504=0),"",
  (L2504-K2504)/L2504*100)</f>
        <v/>
      </c>
      <c r="N2504" s="13" t="n">
        <v>4837</v>
      </c>
      <c r="O2504" s="10" t="inlineStr"/>
      <c r="P2504" s="10" t="inlineStr"/>
      <c r="Q2504" s="10" t="inlineStr"/>
      <c r="R2504" s="10" t="inlineStr">
        <is>
          <t>2026-03-12</t>
        </is>
      </c>
      <c r="S2504" s="10" t="inlineStr"/>
    </row>
    <row r="2505">
      <c r="A2505" s="3" t="inlineStr">
        <is>
          <t>F02968</t>
        </is>
      </c>
      <c r="B2505" s="4" t="inlineStr">
        <is>
          <t>F02968</t>
        </is>
      </c>
      <c r="C2505" s="4" t="inlineStr"/>
      <c r="D2505" s="4" t="inlineStr"/>
      <c r="E2505" s="3" t="inlineStr">
        <is>
          <t>PAINT TRAY GREY</t>
        </is>
      </c>
      <c r="F2505" s="4" t="inlineStr"/>
      <c r="G2505" s="4" t="inlineStr"/>
      <c r="H2505" s="4" t="inlineStr"/>
      <c r="I2505" s="5" t="n">
        <v>15</v>
      </c>
      <c r="J2505" s="6" t="n">
        <v>15</v>
      </c>
      <c r="K2505" s="7">
        <f>IF(I2505="","",I2505*(1+J2505/100))</f>
        <v/>
      </c>
      <c r="L2505" s="12" t="inlineStr"/>
      <c r="M2505" s="8">
        <f>IF(OR(L2505="",K2505="",L2505=0),"",
  (L2505-K2505)/L2505*100)</f>
        <v/>
      </c>
      <c r="N2505" s="14" t="n">
        <v>3020</v>
      </c>
      <c r="O2505" s="4" t="inlineStr"/>
      <c r="P2505" s="4" t="inlineStr"/>
      <c r="Q2505" s="4" t="inlineStr"/>
      <c r="R2505" s="4" t="inlineStr">
        <is>
          <t>2026-03-12</t>
        </is>
      </c>
      <c r="S2505" s="4" t="inlineStr"/>
    </row>
    <row r="2506">
      <c r="A2506" s="10" t="inlineStr">
        <is>
          <t>F02969</t>
        </is>
      </c>
      <c r="B2506" s="10" t="inlineStr">
        <is>
          <t>F02969</t>
        </is>
      </c>
      <c r="C2506" s="10" t="inlineStr"/>
      <c r="D2506" s="10" t="inlineStr"/>
      <c r="E2506" s="10" t="inlineStr">
        <is>
          <t>ICE CREAM SET6'S GELATO 200ML</t>
        </is>
      </c>
      <c r="F2506" s="10" t="inlineStr"/>
      <c r="G2506" s="10" t="inlineStr"/>
      <c r="H2506" s="10" t="inlineStr"/>
      <c r="I2506" s="11" t="n">
        <v>67.75</v>
      </c>
      <c r="J2506" s="6" t="n">
        <v>15</v>
      </c>
      <c r="K2506" s="7">
        <f>IF(I2506="","",I2506*(1+J2506/100))</f>
        <v/>
      </c>
      <c r="L2506" s="12" t="inlineStr"/>
      <c r="M2506" s="8">
        <f>IF(OR(L2506="",K2506="",L2506=0),"",
  (L2506-K2506)/L2506*100)</f>
        <v/>
      </c>
      <c r="N2506" s="9" t="inlineStr"/>
      <c r="O2506" s="10" t="inlineStr"/>
      <c r="P2506" s="10" t="inlineStr"/>
      <c r="Q2506" s="10" t="inlineStr"/>
      <c r="R2506" s="10" t="inlineStr">
        <is>
          <t>2026-03-12</t>
        </is>
      </c>
      <c r="S2506" s="10" t="inlineStr"/>
    </row>
    <row r="2507">
      <c r="A2507" s="3" t="inlineStr">
        <is>
          <t>F02970</t>
        </is>
      </c>
      <c r="B2507" s="4" t="inlineStr">
        <is>
          <t>F02970</t>
        </is>
      </c>
      <c r="C2507" s="4" t="inlineStr"/>
      <c r="D2507" s="4" t="inlineStr"/>
      <c r="E2507" s="3" t="inlineStr">
        <is>
          <t>ICE CREAM SET 6'S VANILLA 250ML</t>
        </is>
      </c>
      <c r="F2507" s="4" t="inlineStr"/>
      <c r="G2507" s="4" t="inlineStr"/>
      <c r="H2507" s="4" t="inlineStr"/>
      <c r="I2507" s="5" t="n">
        <v>79</v>
      </c>
      <c r="J2507" s="6" t="n">
        <v>15</v>
      </c>
      <c r="K2507" s="7">
        <f>IF(I2507="","",I2507*(1+J2507/100))</f>
        <v/>
      </c>
      <c r="L2507" s="12" t="inlineStr"/>
      <c r="M2507" s="8">
        <f>IF(OR(L2507="",K2507="",L2507=0),"",
  (L2507-K2507)/L2507*100)</f>
        <v/>
      </c>
      <c r="N2507" s="9" t="inlineStr"/>
      <c r="O2507" s="4" t="inlineStr"/>
      <c r="P2507" s="4" t="inlineStr"/>
      <c r="Q2507" s="4" t="inlineStr"/>
      <c r="R2507" s="4" t="inlineStr">
        <is>
          <t>2026-03-12</t>
        </is>
      </c>
      <c r="S2507" s="4" t="inlineStr"/>
    </row>
    <row r="2508">
      <c r="A2508" s="10" t="inlineStr">
        <is>
          <t>F02971</t>
        </is>
      </c>
      <c r="B2508" s="10" t="inlineStr">
        <is>
          <t>F02971</t>
        </is>
      </c>
      <c r="C2508" s="10" t="inlineStr"/>
      <c r="D2508" s="10" t="inlineStr"/>
      <c r="E2508" s="10" t="inlineStr">
        <is>
          <t>TUMBLER 6'S MILKSHAKE PALMA 360ML</t>
        </is>
      </c>
      <c r="F2508" s="10" t="inlineStr"/>
      <c r="G2508" s="10" t="inlineStr"/>
      <c r="H2508" s="10" t="inlineStr"/>
      <c r="I2508" s="11" t="n">
        <v>108.5</v>
      </c>
      <c r="J2508" s="6" t="n">
        <v>15</v>
      </c>
      <c r="K2508" s="7">
        <f>IF(I2508="","",I2508*(1+J2508/100))</f>
        <v/>
      </c>
      <c r="L2508" s="12" t="inlineStr"/>
      <c r="M2508" s="8">
        <f>IF(OR(L2508="",K2508="",L2508=0),"",
  (L2508-K2508)/L2508*100)</f>
        <v/>
      </c>
      <c r="N2508" s="13" t="n">
        <v>1</v>
      </c>
      <c r="O2508" s="10" t="inlineStr"/>
      <c r="P2508" s="10" t="inlineStr"/>
      <c r="Q2508" s="10" t="inlineStr"/>
      <c r="R2508" s="10" t="inlineStr">
        <is>
          <t>2026-03-12</t>
        </is>
      </c>
      <c r="S2508" s="10" t="inlineStr"/>
    </row>
    <row r="2509">
      <c r="A2509" s="3" t="inlineStr">
        <is>
          <t>F02972</t>
        </is>
      </c>
      <c r="B2509" s="4" t="inlineStr">
        <is>
          <t>F02972</t>
        </is>
      </c>
      <c r="C2509" s="4" t="inlineStr"/>
      <c r="D2509" s="4" t="inlineStr"/>
      <c r="E2509" s="3" t="inlineStr">
        <is>
          <t>TUMBLER 4'S CARAFFE AGROZZA 410ML</t>
        </is>
      </c>
      <c r="F2509" s="4" t="inlineStr"/>
      <c r="G2509" s="4" t="inlineStr"/>
      <c r="H2509" s="4" t="inlineStr"/>
      <c r="I2509" s="5" t="n">
        <v>113</v>
      </c>
      <c r="J2509" s="6" t="n">
        <v>15</v>
      </c>
      <c r="K2509" s="7">
        <f>IF(I2509="","",I2509*(1+J2509/100))</f>
        <v/>
      </c>
      <c r="L2509" s="12" t="inlineStr"/>
      <c r="M2509" s="8">
        <f>IF(OR(L2509="",K2509="",L2509=0),"",
  (L2509-K2509)/L2509*100)</f>
        <v/>
      </c>
      <c r="N2509" s="9" t="inlineStr"/>
      <c r="O2509" s="4" t="inlineStr"/>
      <c r="P2509" s="4" t="inlineStr"/>
      <c r="Q2509" s="4" t="inlineStr"/>
      <c r="R2509" s="4" t="inlineStr">
        <is>
          <t>2026-03-12</t>
        </is>
      </c>
      <c r="S2509" s="4" t="inlineStr"/>
    </row>
    <row r="2510">
      <c r="A2510" s="10" t="inlineStr">
        <is>
          <t>F02973</t>
        </is>
      </c>
      <c r="B2510" s="10" t="inlineStr">
        <is>
          <t>F02973</t>
        </is>
      </c>
      <c r="C2510" s="10" t="inlineStr"/>
      <c r="D2510" s="10" t="inlineStr"/>
      <c r="E2510" s="10" t="inlineStr">
        <is>
          <t>TUMBLER 6'S WHISKEY VIVIAN 380ML</t>
        </is>
      </c>
      <c r="F2510" s="10" t="inlineStr"/>
      <c r="G2510" s="10" t="inlineStr"/>
      <c r="H2510" s="10" t="inlineStr"/>
      <c r="I2510" s="11" t="n">
        <v>65.5</v>
      </c>
      <c r="J2510" s="6" t="n">
        <v>15</v>
      </c>
      <c r="K2510" s="7">
        <f>IF(I2510="","",I2510*(1+J2510/100))</f>
        <v/>
      </c>
      <c r="L2510" s="12" t="inlineStr"/>
      <c r="M2510" s="8">
        <f>IF(OR(L2510="",K2510="",L2510=0),"",
  (L2510-K2510)/L2510*100)</f>
        <v/>
      </c>
      <c r="N2510" s="9" t="inlineStr"/>
      <c r="O2510" s="10" t="inlineStr"/>
      <c r="P2510" s="10" t="inlineStr"/>
      <c r="Q2510" s="10" t="inlineStr"/>
      <c r="R2510" s="10" t="inlineStr">
        <is>
          <t>2026-03-12</t>
        </is>
      </c>
      <c r="S2510" s="10" t="inlineStr"/>
    </row>
    <row r="2511">
      <c r="A2511" s="3" t="inlineStr">
        <is>
          <t>F02974</t>
        </is>
      </c>
      <c r="B2511" s="4" t="inlineStr">
        <is>
          <t>F02974</t>
        </is>
      </c>
      <c r="C2511" s="4" t="inlineStr"/>
      <c r="D2511" s="4" t="inlineStr"/>
      <c r="E2511" s="3" t="inlineStr">
        <is>
          <t>TUMBLER 6'S WHISKEY VERONA 340ML</t>
        </is>
      </c>
      <c r="F2511" s="4" t="inlineStr"/>
      <c r="G2511" s="4" t="inlineStr"/>
      <c r="H2511" s="4" t="inlineStr"/>
      <c r="I2511" s="5" t="n">
        <v>65.5</v>
      </c>
      <c r="J2511" s="6" t="n">
        <v>15</v>
      </c>
      <c r="K2511" s="7">
        <f>IF(I2511="","",I2511*(1+J2511/100))</f>
        <v/>
      </c>
      <c r="L2511" s="12" t="inlineStr"/>
      <c r="M2511" s="8">
        <f>IF(OR(L2511="",K2511="",L2511=0),"",
  (L2511-K2511)/L2511*100)</f>
        <v/>
      </c>
      <c r="N2511" s="9" t="inlineStr"/>
      <c r="O2511" s="4" t="inlineStr"/>
      <c r="P2511" s="4" t="inlineStr"/>
      <c r="Q2511" s="4" t="inlineStr"/>
      <c r="R2511" s="4" t="inlineStr">
        <is>
          <t>2026-03-12</t>
        </is>
      </c>
      <c r="S2511" s="4" t="inlineStr"/>
    </row>
    <row r="2512">
      <c r="A2512" s="10" t="inlineStr">
        <is>
          <t>F02975</t>
        </is>
      </c>
      <c r="B2512" s="10" t="inlineStr">
        <is>
          <t>F02975</t>
        </is>
      </c>
      <c r="C2512" s="10" t="inlineStr"/>
      <c r="D2512" s="10" t="inlineStr"/>
      <c r="E2512" s="10" t="inlineStr">
        <is>
          <t>TUMBLER 6'S WINE TUSCANY 475ML</t>
        </is>
      </c>
      <c r="F2512" s="10" t="inlineStr"/>
      <c r="G2512" s="10" t="inlineStr"/>
      <c r="H2512" s="10" t="inlineStr"/>
      <c r="I2512" s="11" t="n">
        <v>65.5</v>
      </c>
      <c r="J2512" s="6" t="n">
        <v>15</v>
      </c>
      <c r="K2512" s="7">
        <f>IF(I2512="","",I2512*(1+J2512/100))</f>
        <v/>
      </c>
      <c r="L2512" s="12" t="inlineStr"/>
      <c r="M2512" s="8">
        <f>IF(OR(L2512="",K2512="",L2512=0),"",
  (L2512-K2512)/L2512*100)</f>
        <v/>
      </c>
      <c r="N2512" s="9" t="inlineStr"/>
      <c r="O2512" s="10" t="inlineStr"/>
      <c r="P2512" s="10" t="inlineStr"/>
      <c r="Q2512" s="10" t="inlineStr"/>
      <c r="R2512" s="10" t="inlineStr">
        <is>
          <t>2026-03-12</t>
        </is>
      </c>
      <c r="S2512" s="10" t="inlineStr"/>
    </row>
    <row r="2513">
      <c r="A2513" s="3" t="inlineStr">
        <is>
          <t>F02976</t>
        </is>
      </c>
      <c r="B2513" s="4" t="inlineStr">
        <is>
          <t>F02976</t>
        </is>
      </c>
      <c r="C2513" s="4" t="inlineStr"/>
      <c r="D2513" s="4" t="inlineStr"/>
      <c r="E2513" s="3" t="inlineStr">
        <is>
          <t>TUMBLER 6'S PICA 330ML</t>
        </is>
      </c>
      <c r="F2513" s="4" t="inlineStr"/>
      <c r="G2513" s="4" t="inlineStr"/>
      <c r="H2513" s="4" t="inlineStr"/>
      <c r="I2513" s="5" t="n">
        <v>67.75</v>
      </c>
      <c r="J2513" s="6" t="n">
        <v>15</v>
      </c>
      <c r="K2513" s="7">
        <f>IF(I2513="","",I2513*(1+J2513/100))</f>
        <v/>
      </c>
      <c r="L2513" s="12" t="inlineStr"/>
      <c r="M2513" s="8">
        <f>IF(OR(L2513="",K2513="",L2513=0),"",
  (L2513-K2513)/L2513*100)</f>
        <v/>
      </c>
      <c r="N2513" s="9" t="inlineStr"/>
      <c r="O2513" s="4" t="inlineStr"/>
      <c r="P2513" s="4" t="inlineStr"/>
      <c r="Q2513" s="4" t="inlineStr"/>
      <c r="R2513" s="4" t="inlineStr">
        <is>
          <t>2026-03-12</t>
        </is>
      </c>
      <c r="S2513" s="4" t="inlineStr"/>
    </row>
    <row r="2514">
      <c r="A2514" s="10" t="inlineStr">
        <is>
          <t>F02977</t>
        </is>
      </c>
      <c r="B2514" s="10" t="inlineStr">
        <is>
          <t>F02977</t>
        </is>
      </c>
      <c r="C2514" s="10" t="inlineStr"/>
      <c r="D2514" s="10" t="inlineStr"/>
      <c r="E2514" s="10" t="inlineStr">
        <is>
          <t>TUMBLER 6'S WHISKEY DENVER 380ML</t>
        </is>
      </c>
      <c r="F2514" s="10" t="inlineStr"/>
      <c r="G2514" s="10" t="inlineStr"/>
      <c r="H2514" s="10" t="inlineStr"/>
      <c r="I2514" s="11" t="n">
        <v>72.3</v>
      </c>
      <c r="J2514" s="6" t="n">
        <v>15</v>
      </c>
      <c r="K2514" s="7">
        <f>IF(I2514="","",I2514*(1+J2514/100))</f>
        <v/>
      </c>
      <c r="L2514" s="12" t="inlineStr"/>
      <c r="M2514" s="8">
        <f>IF(OR(L2514="",K2514="",L2514=0),"",
  (L2514-K2514)/L2514*100)</f>
        <v/>
      </c>
      <c r="N2514" s="9" t="inlineStr"/>
      <c r="O2514" s="10" t="inlineStr"/>
      <c r="P2514" s="10" t="inlineStr"/>
      <c r="Q2514" s="10" t="inlineStr"/>
      <c r="R2514" s="10" t="inlineStr">
        <is>
          <t>2026-03-12</t>
        </is>
      </c>
      <c r="S2514" s="10" t="inlineStr"/>
    </row>
    <row r="2515">
      <c r="A2515" s="3" t="inlineStr">
        <is>
          <t>F02978</t>
        </is>
      </c>
      <c r="B2515" s="4" t="inlineStr">
        <is>
          <t>F02978</t>
        </is>
      </c>
      <c r="C2515" s="4" t="inlineStr"/>
      <c r="D2515" s="4" t="inlineStr"/>
      <c r="E2515" s="3" t="inlineStr">
        <is>
          <t>TUMBLER 6'S WHISKEY VIGIRNIA 340ML</t>
        </is>
      </c>
      <c r="F2515" s="4" t="inlineStr"/>
      <c r="G2515" s="4" t="inlineStr"/>
      <c r="H2515" s="4" t="inlineStr"/>
      <c r="I2515" s="5" t="n">
        <v>72.3</v>
      </c>
      <c r="J2515" s="6" t="n">
        <v>15</v>
      </c>
      <c r="K2515" s="7">
        <f>IF(I2515="","",I2515*(1+J2515/100))</f>
        <v/>
      </c>
      <c r="L2515" s="12" t="inlineStr"/>
      <c r="M2515" s="8">
        <f>IF(OR(L2515="",K2515="",L2515=0),"",
  (L2515-K2515)/L2515*100)</f>
        <v/>
      </c>
      <c r="N2515" s="9" t="inlineStr"/>
      <c r="O2515" s="4" t="inlineStr"/>
      <c r="P2515" s="4" t="inlineStr"/>
      <c r="Q2515" s="4" t="inlineStr"/>
      <c r="R2515" s="4" t="inlineStr">
        <is>
          <t>2026-03-12</t>
        </is>
      </c>
      <c r="S2515" s="4" t="inlineStr"/>
    </row>
    <row r="2516">
      <c r="A2516" s="10" t="inlineStr">
        <is>
          <t>F02979</t>
        </is>
      </c>
      <c r="B2516" s="10" t="inlineStr">
        <is>
          <t>F02979</t>
        </is>
      </c>
      <c r="C2516" s="10" t="inlineStr"/>
      <c r="D2516" s="10" t="inlineStr"/>
      <c r="E2516" s="10" t="inlineStr">
        <is>
          <t>TUMBLER 6'S FLORIDA 400ML</t>
        </is>
      </c>
      <c r="F2516" s="10" t="inlineStr"/>
      <c r="G2516" s="10" t="inlineStr"/>
      <c r="H2516" s="10" t="inlineStr"/>
      <c r="I2516" s="11" t="n">
        <v>74.59</v>
      </c>
      <c r="J2516" s="6" t="n">
        <v>15</v>
      </c>
      <c r="K2516" s="7">
        <f>IF(I2516="","",I2516*(1+J2516/100))</f>
        <v/>
      </c>
      <c r="L2516" s="12" t="inlineStr"/>
      <c r="M2516" s="8">
        <f>IF(OR(L2516="",K2516="",L2516=0),"",
  (L2516-K2516)/L2516*100)</f>
        <v/>
      </c>
      <c r="N2516" s="9" t="inlineStr"/>
      <c r="O2516" s="10" t="inlineStr"/>
      <c r="P2516" s="10" t="inlineStr"/>
      <c r="Q2516" s="10" t="inlineStr"/>
      <c r="R2516" s="10" t="inlineStr">
        <is>
          <t>2026-03-12</t>
        </is>
      </c>
      <c r="S2516" s="10" t="inlineStr"/>
    </row>
    <row r="2517">
      <c r="A2517" s="3" t="inlineStr">
        <is>
          <t>F02980</t>
        </is>
      </c>
      <c r="B2517" s="4" t="inlineStr">
        <is>
          <t>F02980</t>
        </is>
      </c>
      <c r="C2517" s="4" t="inlineStr"/>
      <c r="D2517" s="4" t="inlineStr"/>
      <c r="E2517" s="3" t="inlineStr">
        <is>
          <t>TUMBLER 6'S DURANO 300ML</t>
        </is>
      </c>
      <c r="F2517" s="4" t="inlineStr"/>
      <c r="G2517" s="4" t="inlineStr"/>
      <c r="H2517" s="4" t="inlineStr"/>
      <c r="I2517" s="5" t="n">
        <v>84.75</v>
      </c>
      <c r="J2517" s="6" t="n">
        <v>15</v>
      </c>
      <c r="K2517" s="7">
        <f>IF(I2517="","",I2517*(1+J2517/100))</f>
        <v/>
      </c>
      <c r="L2517" s="12" t="inlineStr"/>
      <c r="M2517" s="8">
        <f>IF(OR(L2517="",K2517="",L2517=0),"",
  (L2517-K2517)/L2517*100)</f>
        <v/>
      </c>
      <c r="N2517" s="9" t="inlineStr"/>
      <c r="O2517" s="4" t="inlineStr"/>
      <c r="P2517" s="4" t="inlineStr"/>
      <c r="Q2517" s="4" t="inlineStr"/>
      <c r="R2517" s="4" t="inlineStr">
        <is>
          <t>2026-03-12</t>
        </is>
      </c>
      <c r="S2517" s="4" t="inlineStr"/>
    </row>
    <row r="2518">
      <c r="A2518" s="10" t="inlineStr">
        <is>
          <t>F02981</t>
        </is>
      </c>
      <c r="B2518" s="10" t="inlineStr">
        <is>
          <t>F02981</t>
        </is>
      </c>
      <c r="C2518" s="10" t="inlineStr"/>
      <c r="D2518" s="10" t="inlineStr"/>
      <c r="E2518" s="10" t="inlineStr">
        <is>
          <t>MUG COFFEE 6'S ARABICA 180ML</t>
        </is>
      </c>
      <c r="F2518" s="10" t="inlineStr"/>
      <c r="G2518" s="10" t="inlineStr"/>
      <c r="H2518" s="10" t="inlineStr"/>
      <c r="I2518" s="11" t="n">
        <v>67.95</v>
      </c>
      <c r="J2518" s="6" t="n">
        <v>15</v>
      </c>
      <c r="K2518" s="7">
        <f>IF(I2518="","",I2518*(1+J2518/100))</f>
        <v/>
      </c>
      <c r="L2518" s="12" t="inlineStr"/>
      <c r="M2518" s="8">
        <f>IF(OR(L2518="",K2518="",L2518=0),"",
  (L2518-K2518)/L2518*100)</f>
        <v/>
      </c>
      <c r="N2518" s="9" t="inlineStr"/>
      <c r="O2518" s="10" t="inlineStr"/>
      <c r="P2518" s="10" t="inlineStr"/>
      <c r="Q2518" s="10" t="inlineStr"/>
      <c r="R2518" s="10" t="inlineStr">
        <is>
          <t>2026-03-12</t>
        </is>
      </c>
      <c r="S2518" s="10" t="inlineStr"/>
    </row>
    <row r="2519">
      <c r="A2519" s="3" t="inlineStr">
        <is>
          <t>F02982</t>
        </is>
      </c>
      <c r="B2519" s="4" t="inlineStr">
        <is>
          <t>F02982</t>
        </is>
      </c>
      <c r="C2519" s="4" t="inlineStr"/>
      <c r="D2519" s="4" t="inlineStr"/>
      <c r="E2519" s="3" t="inlineStr">
        <is>
          <t>TUMBELR HAVANA 6S 380ML</t>
        </is>
      </c>
      <c r="F2519" s="4" t="inlineStr"/>
      <c r="G2519" s="4" t="inlineStr"/>
      <c r="H2519" s="4" t="inlineStr"/>
      <c r="I2519" s="5" t="n">
        <v>85.95</v>
      </c>
      <c r="J2519" s="6" t="n">
        <v>15</v>
      </c>
      <c r="K2519" s="7">
        <f>IF(I2519="","",I2519*(1+J2519/100))</f>
        <v/>
      </c>
      <c r="L2519" s="12" t="inlineStr"/>
      <c r="M2519" s="8">
        <f>IF(OR(L2519="",K2519="",L2519=0),"",
  (L2519-K2519)/L2519*100)</f>
        <v/>
      </c>
      <c r="N2519" s="14" t="n">
        <v>1</v>
      </c>
      <c r="O2519" s="4" t="inlineStr"/>
      <c r="P2519" s="4" t="inlineStr"/>
      <c r="Q2519" s="4" t="inlineStr"/>
      <c r="R2519" s="4" t="inlineStr">
        <is>
          <t>2026-03-12</t>
        </is>
      </c>
      <c r="S2519" s="4" t="inlineStr"/>
    </row>
    <row r="2520">
      <c r="A2520" s="10" t="inlineStr">
        <is>
          <t>F02983</t>
        </is>
      </c>
      <c r="B2520" s="10" t="inlineStr">
        <is>
          <t>F02983</t>
        </is>
      </c>
      <c r="C2520" s="10" t="inlineStr"/>
      <c r="D2520" s="10" t="inlineStr"/>
      <c r="E2520" s="10" t="inlineStr">
        <is>
          <t>MUG COFFEE6'S JAMAICA 170ML</t>
        </is>
      </c>
      <c r="F2520" s="10" t="inlineStr"/>
      <c r="G2520" s="10" t="inlineStr"/>
      <c r="H2520" s="10" t="inlineStr"/>
      <c r="I2520" s="11" t="n">
        <v>79</v>
      </c>
      <c r="J2520" s="6" t="n">
        <v>15</v>
      </c>
      <c r="K2520" s="7">
        <f>IF(I2520="","",I2520*(1+J2520/100))</f>
        <v/>
      </c>
      <c r="L2520" s="12" t="inlineStr"/>
      <c r="M2520" s="8">
        <f>IF(OR(L2520="",K2520="",L2520=0),"",
  (L2520-K2520)/L2520*100)</f>
        <v/>
      </c>
      <c r="N2520" s="9" t="inlineStr"/>
      <c r="O2520" s="10" t="inlineStr"/>
      <c r="P2520" s="10" t="inlineStr"/>
      <c r="Q2520" s="10" t="inlineStr"/>
      <c r="R2520" s="10" t="inlineStr">
        <is>
          <t>2026-03-12</t>
        </is>
      </c>
      <c r="S2520" s="10" t="inlineStr"/>
    </row>
    <row r="2521">
      <c r="A2521" s="3" t="inlineStr">
        <is>
          <t>F02984</t>
        </is>
      </c>
      <c r="B2521" s="4" t="inlineStr">
        <is>
          <t>F02984</t>
        </is>
      </c>
      <c r="C2521" s="4" t="inlineStr"/>
      <c r="D2521" s="4" t="inlineStr"/>
      <c r="E2521" s="3" t="inlineStr">
        <is>
          <t>TUMBLER 6'S AKARI 390ML</t>
        </is>
      </c>
      <c r="F2521" s="4" t="inlineStr"/>
      <c r="G2521" s="4" t="inlineStr"/>
      <c r="H2521" s="4" t="inlineStr"/>
      <c r="I2521" s="5" t="n">
        <v>84.95</v>
      </c>
      <c r="J2521" s="6" t="n">
        <v>15</v>
      </c>
      <c r="K2521" s="7">
        <f>IF(I2521="","",I2521*(1+J2521/100))</f>
        <v/>
      </c>
      <c r="L2521" s="12" t="inlineStr"/>
      <c r="M2521" s="8">
        <f>IF(OR(L2521="",K2521="",L2521=0),"",
  (L2521-K2521)/L2521*100)</f>
        <v/>
      </c>
      <c r="N2521" s="9" t="inlineStr"/>
      <c r="O2521" s="4" t="inlineStr"/>
      <c r="P2521" s="4" t="inlineStr"/>
      <c r="Q2521" s="4" t="inlineStr"/>
      <c r="R2521" s="4" t="inlineStr">
        <is>
          <t>2026-03-12</t>
        </is>
      </c>
      <c r="S2521" s="4" t="inlineStr"/>
    </row>
    <row r="2522">
      <c r="A2522" s="10" t="inlineStr">
        <is>
          <t>F02985</t>
        </is>
      </c>
      <c r="B2522" s="10" t="inlineStr">
        <is>
          <t>F02985</t>
        </is>
      </c>
      <c r="C2522" s="10" t="inlineStr"/>
      <c r="D2522" s="10" t="inlineStr"/>
      <c r="E2522" s="10" t="inlineStr">
        <is>
          <t>MUG 6'S LATTE GAIYO 250ML</t>
        </is>
      </c>
      <c r="F2522" s="10" t="inlineStr"/>
      <c r="G2522" s="10" t="inlineStr"/>
      <c r="H2522" s="10" t="inlineStr"/>
      <c r="I2522" s="11" t="n">
        <v>84.95</v>
      </c>
      <c r="J2522" s="6" t="n">
        <v>15</v>
      </c>
      <c r="K2522" s="7">
        <f>IF(I2522="","",I2522*(1+J2522/100))</f>
        <v/>
      </c>
      <c r="L2522" s="12" t="inlineStr"/>
      <c r="M2522" s="8">
        <f>IF(OR(L2522="",K2522="",L2522=0),"",
  (L2522-K2522)/L2522*100)</f>
        <v/>
      </c>
      <c r="N2522" s="9" t="inlineStr"/>
      <c r="O2522" s="10" t="inlineStr"/>
      <c r="P2522" s="10" t="inlineStr"/>
      <c r="Q2522" s="10" t="inlineStr"/>
      <c r="R2522" s="10" t="inlineStr">
        <is>
          <t>2026-03-12</t>
        </is>
      </c>
      <c r="S2522" s="10" t="inlineStr"/>
    </row>
    <row r="2523">
      <c r="A2523" s="3" t="inlineStr">
        <is>
          <t>F02986</t>
        </is>
      </c>
      <c r="B2523" s="4" t="inlineStr">
        <is>
          <t>F02986</t>
        </is>
      </c>
      <c r="C2523" s="4" t="inlineStr"/>
      <c r="D2523" s="4" t="inlineStr"/>
      <c r="E2523" s="3" t="inlineStr">
        <is>
          <t>TUMBLER 4'S MOCCA 450ML</t>
        </is>
      </c>
      <c r="F2523" s="4" t="inlineStr"/>
      <c r="G2523" s="4" t="inlineStr"/>
      <c r="H2523" s="4" t="inlineStr"/>
      <c r="I2523" s="5" t="n">
        <v>90.5</v>
      </c>
      <c r="J2523" s="6" t="n">
        <v>15</v>
      </c>
      <c r="K2523" s="7">
        <f>IF(I2523="","",I2523*(1+J2523/100))</f>
        <v/>
      </c>
      <c r="L2523" s="12" t="inlineStr"/>
      <c r="M2523" s="8">
        <f>IF(OR(L2523="",K2523="",L2523=0),"",
  (L2523-K2523)/L2523*100)</f>
        <v/>
      </c>
      <c r="N2523" s="9" t="inlineStr"/>
      <c r="O2523" s="4" t="inlineStr"/>
      <c r="P2523" s="4" t="inlineStr"/>
      <c r="Q2523" s="4" t="inlineStr"/>
      <c r="R2523" s="4" t="inlineStr">
        <is>
          <t>2026-03-12</t>
        </is>
      </c>
      <c r="S2523" s="4" t="inlineStr"/>
    </row>
    <row r="2524">
      <c r="A2524" s="10" t="inlineStr">
        <is>
          <t>F02987</t>
        </is>
      </c>
      <c r="B2524" s="10" t="inlineStr">
        <is>
          <t>F02987</t>
        </is>
      </c>
      <c r="C2524" s="10" t="inlineStr"/>
      <c r="D2524" s="10" t="inlineStr"/>
      <c r="E2524" s="10" t="inlineStr">
        <is>
          <t>TUMBLER 6'S PORTO 380ML</t>
        </is>
      </c>
      <c r="F2524" s="10" t="inlineStr"/>
      <c r="G2524" s="10" t="inlineStr"/>
      <c r="H2524" s="10" t="inlineStr"/>
      <c r="I2524" s="11" t="n">
        <v>90.5</v>
      </c>
      <c r="J2524" s="6" t="n">
        <v>15</v>
      </c>
      <c r="K2524" s="7">
        <f>IF(I2524="","",I2524*(1+J2524/100))</f>
        <v/>
      </c>
      <c r="L2524" s="12" t="inlineStr"/>
      <c r="M2524" s="8">
        <f>IF(OR(L2524="",K2524="",L2524=0),"",
  (L2524-K2524)/L2524*100)</f>
        <v/>
      </c>
      <c r="N2524" s="9" t="inlineStr"/>
      <c r="O2524" s="10" t="inlineStr"/>
      <c r="P2524" s="10" t="inlineStr"/>
      <c r="Q2524" s="10" t="inlineStr"/>
      <c r="R2524" s="10" t="inlineStr">
        <is>
          <t>2026-03-12</t>
        </is>
      </c>
      <c r="S2524" s="10" t="inlineStr"/>
    </row>
    <row r="2525">
      <c r="A2525" s="3" t="inlineStr">
        <is>
          <t>F02988</t>
        </is>
      </c>
      <c r="B2525" s="4" t="inlineStr">
        <is>
          <t>F02988</t>
        </is>
      </c>
      <c r="C2525" s="4" t="inlineStr"/>
      <c r="D2525" s="4" t="inlineStr"/>
      <c r="E2525" s="3" t="inlineStr">
        <is>
          <t>TUMBLER 6'S HOKKAIDO 350ML</t>
        </is>
      </c>
      <c r="F2525" s="4" t="inlineStr"/>
      <c r="G2525" s="4" t="inlineStr"/>
      <c r="H2525" s="4" t="inlineStr"/>
      <c r="I2525" s="5" t="n">
        <v>92.95</v>
      </c>
      <c r="J2525" s="6" t="n">
        <v>15</v>
      </c>
      <c r="K2525" s="7">
        <f>IF(I2525="","",I2525*(1+J2525/100))</f>
        <v/>
      </c>
      <c r="L2525" s="12" t="inlineStr"/>
      <c r="M2525" s="8">
        <f>IF(OR(L2525="",K2525="",L2525=0),"",
  (L2525-K2525)/L2525*100)</f>
        <v/>
      </c>
      <c r="N2525" s="14" t="n">
        <v>1</v>
      </c>
      <c r="O2525" s="4" t="inlineStr"/>
      <c r="P2525" s="4" t="inlineStr"/>
      <c r="Q2525" s="4" t="inlineStr"/>
      <c r="R2525" s="4" t="inlineStr">
        <is>
          <t>2026-03-12</t>
        </is>
      </c>
      <c r="S2525" s="4" t="inlineStr"/>
    </row>
    <row r="2526">
      <c r="A2526" s="10" t="inlineStr">
        <is>
          <t>F02989</t>
        </is>
      </c>
      <c r="B2526" s="10" t="inlineStr">
        <is>
          <t>F02989</t>
        </is>
      </c>
      <c r="C2526" s="10" t="inlineStr"/>
      <c r="D2526" s="10" t="inlineStr"/>
      <c r="E2526" s="10" t="inlineStr">
        <is>
          <t>TUMBLER 6'S DILLY 410ML</t>
        </is>
      </c>
      <c r="F2526" s="10" t="inlineStr"/>
      <c r="G2526" s="10" t="inlineStr"/>
      <c r="H2526" s="10" t="inlineStr"/>
      <c r="I2526" s="11" t="n">
        <v>92.95</v>
      </c>
      <c r="J2526" s="6" t="n">
        <v>15</v>
      </c>
      <c r="K2526" s="7">
        <f>IF(I2526="","",I2526*(1+J2526/100))</f>
        <v/>
      </c>
      <c r="L2526" s="12" t="inlineStr"/>
      <c r="M2526" s="8">
        <f>IF(OR(L2526="",K2526="",L2526=0),"",
  (L2526-K2526)/L2526*100)</f>
        <v/>
      </c>
      <c r="N2526" s="9" t="inlineStr"/>
      <c r="O2526" s="10" t="inlineStr"/>
      <c r="P2526" s="10" t="inlineStr"/>
      <c r="Q2526" s="10" t="inlineStr"/>
      <c r="R2526" s="10" t="inlineStr">
        <is>
          <t>2026-03-12</t>
        </is>
      </c>
      <c r="S2526" s="10" t="inlineStr"/>
    </row>
    <row r="2527">
      <c r="A2527" s="3" t="inlineStr">
        <is>
          <t>F02990</t>
        </is>
      </c>
      <c r="B2527" s="4" t="inlineStr">
        <is>
          <t>F02990</t>
        </is>
      </c>
      <c r="C2527" s="4" t="inlineStr"/>
      <c r="D2527" s="4" t="inlineStr"/>
      <c r="E2527" s="3" t="inlineStr">
        <is>
          <t>TUMBLER 6'S ALE 350ML</t>
        </is>
      </c>
      <c r="F2527" s="4" t="inlineStr"/>
      <c r="G2527" s="4" t="inlineStr"/>
      <c r="H2527" s="4" t="inlineStr"/>
      <c r="I2527" s="5" t="n">
        <v>112</v>
      </c>
      <c r="J2527" s="6" t="n">
        <v>15</v>
      </c>
      <c r="K2527" s="7">
        <f>IF(I2527="","",I2527*(1+J2527/100))</f>
        <v/>
      </c>
      <c r="L2527" s="12" t="inlineStr"/>
      <c r="M2527" s="8">
        <f>IF(OR(L2527="",K2527="",L2527=0),"",
  (L2527-K2527)/L2527*100)</f>
        <v/>
      </c>
      <c r="N2527" s="9" t="inlineStr"/>
      <c r="O2527" s="4" t="inlineStr"/>
      <c r="P2527" s="4" t="inlineStr"/>
      <c r="Q2527" s="4" t="inlineStr"/>
      <c r="R2527" s="4" t="inlineStr">
        <is>
          <t>2026-03-12</t>
        </is>
      </c>
      <c r="S2527" s="4" t="inlineStr"/>
    </row>
    <row r="2528">
      <c r="A2528" s="10" t="inlineStr">
        <is>
          <t>F02991</t>
        </is>
      </c>
      <c r="B2528" s="10" t="inlineStr">
        <is>
          <t>F02991</t>
        </is>
      </c>
      <c r="C2528" s="10" t="inlineStr"/>
      <c r="D2528" s="10" t="inlineStr">
        <is>
          <t>6009705653881</t>
        </is>
      </c>
      <c r="E2528" s="10" t="inlineStr">
        <is>
          <t>MORTICE LOCK 3 LEVER KINGS</t>
        </is>
      </c>
      <c r="F2528" s="10" t="inlineStr"/>
      <c r="G2528" s="10" t="inlineStr"/>
      <c r="H2528" s="10" t="inlineStr"/>
      <c r="I2528" s="11" t="n">
        <v>86.95</v>
      </c>
      <c r="J2528" s="6" t="n">
        <v>15</v>
      </c>
      <c r="K2528" s="7">
        <f>IF(I2528="","",I2528*(1+J2528/100))</f>
        <v/>
      </c>
      <c r="L2528" s="12" t="inlineStr"/>
      <c r="M2528" s="8">
        <f>IF(OR(L2528="",K2528="",L2528=0),"",
  (L2528-K2528)/L2528*100)</f>
        <v/>
      </c>
      <c r="N2528" s="9" t="inlineStr"/>
      <c r="O2528" s="10" t="inlineStr"/>
      <c r="P2528" s="10" t="inlineStr"/>
      <c r="Q2528" s="10" t="inlineStr"/>
      <c r="R2528" s="10" t="inlineStr">
        <is>
          <t>2026-03-12</t>
        </is>
      </c>
      <c r="S2528" s="10" t="inlineStr"/>
    </row>
    <row r="2529">
      <c r="A2529" s="3" t="inlineStr">
        <is>
          <t>F02992</t>
        </is>
      </c>
      <c r="B2529" s="4" t="inlineStr">
        <is>
          <t>F02992</t>
        </is>
      </c>
      <c r="C2529" s="4" t="inlineStr"/>
      <c r="D2529" s="4" t="inlineStr">
        <is>
          <t>6009705653935</t>
        </is>
      </c>
      <c r="E2529" s="3" t="inlineStr">
        <is>
          <t>GRASS ROLL 25MX 2M ROLL</t>
        </is>
      </c>
      <c r="F2529" s="4" t="inlineStr"/>
      <c r="G2529" s="4" t="inlineStr"/>
      <c r="H2529" s="4" t="inlineStr"/>
      <c r="I2529" s="5" t="n">
        <v>999</v>
      </c>
      <c r="J2529" s="6" t="n">
        <v>15</v>
      </c>
      <c r="K2529" s="7">
        <f>IF(I2529="","",I2529*(1+J2529/100))</f>
        <v/>
      </c>
      <c r="L2529" s="12" t="inlineStr"/>
      <c r="M2529" s="8">
        <f>IF(OR(L2529="",K2529="",L2529=0),"",
  (L2529-K2529)/L2529*100)</f>
        <v/>
      </c>
      <c r="N2529" s="14" t="n">
        <v>11</v>
      </c>
      <c r="O2529" s="4" t="inlineStr"/>
      <c r="P2529" s="4" t="inlineStr"/>
      <c r="Q2529" s="4" t="inlineStr"/>
      <c r="R2529" s="4" t="inlineStr">
        <is>
          <t>2026-03-12</t>
        </is>
      </c>
      <c r="S2529" s="4" t="inlineStr"/>
    </row>
    <row r="2530">
      <c r="A2530" s="10" t="inlineStr">
        <is>
          <t>F02993</t>
        </is>
      </c>
      <c r="B2530" s="10" t="inlineStr">
        <is>
          <t>F02993</t>
        </is>
      </c>
      <c r="C2530" s="10" t="inlineStr"/>
      <c r="D2530" s="10" t="inlineStr"/>
      <c r="E2530" s="10" t="inlineStr">
        <is>
          <t>GATE LOCK ROCCA</t>
        </is>
      </c>
      <c r="F2530" s="10" t="inlineStr"/>
      <c r="G2530" s="10" t="inlineStr"/>
      <c r="H2530" s="10" t="inlineStr"/>
      <c r="I2530" s="11" t="n">
        <v>62.95</v>
      </c>
      <c r="J2530" s="6" t="n">
        <v>15</v>
      </c>
      <c r="K2530" s="7">
        <f>IF(I2530="","",I2530*(1+J2530/100))</f>
        <v/>
      </c>
      <c r="L2530" s="12" t="inlineStr"/>
      <c r="M2530" s="8">
        <f>IF(OR(L2530="",K2530="",L2530=0),"",
  (L2530-K2530)/L2530*100)</f>
        <v/>
      </c>
      <c r="N2530" s="9" t="inlineStr"/>
      <c r="O2530" s="10" t="inlineStr"/>
      <c r="P2530" s="10" t="inlineStr"/>
      <c r="Q2530" s="10" t="inlineStr"/>
      <c r="R2530" s="10" t="inlineStr">
        <is>
          <t>2026-03-12</t>
        </is>
      </c>
      <c r="S2530" s="10" t="inlineStr"/>
    </row>
    <row r="2531">
      <c r="A2531" s="3" t="inlineStr">
        <is>
          <t>F02994</t>
        </is>
      </c>
      <c r="B2531" s="4" t="inlineStr">
        <is>
          <t>F02994</t>
        </is>
      </c>
      <c r="C2531" s="4" t="inlineStr"/>
      <c r="D2531" s="4" t="inlineStr"/>
      <c r="E2531" s="3" t="inlineStr">
        <is>
          <t>BABY WIPES 80'S SCENTED</t>
        </is>
      </c>
      <c r="F2531" s="4" t="inlineStr"/>
      <c r="G2531" s="4" t="inlineStr"/>
      <c r="H2531" s="4" t="inlineStr"/>
      <c r="I2531" s="5" t="n">
        <v>15.95</v>
      </c>
      <c r="J2531" s="6" t="n">
        <v>15</v>
      </c>
      <c r="K2531" s="7">
        <f>IF(I2531="","",I2531*(1+J2531/100))</f>
        <v/>
      </c>
      <c r="L2531" s="12" t="inlineStr"/>
      <c r="M2531" s="8">
        <f>IF(OR(L2531="",K2531="",L2531=0),"",
  (L2531-K2531)/L2531*100)</f>
        <v/>
      </c>
      <c r="N2531" s="9" t="inlineStr"/>
      <c r="O2531" s="4" t="inlineStr"/>
      <c r="P2531" s="4" t="inlineStr"/>
      <c r="Q2531" s="4" t="inlineStr"/>
      <c r="R2531" s="4" t="inlineStr">
        <is>
          <t>2026-03-12</t>
        </is>
      </c>
      <c r="S2531" s="4" t="inlineStr"/>
    </row>
    <row r="2532">
      <c r="A2532" s="10" t="inlineStr">
        <is>
          <t>F02995</t>
        </is>
      </c>
      <c r="B2532" s="10" t="inlineStr">
        <is>
          <t>F02995</t>
        </is>
      </c>
      <c r="C2532" s="10" t="inlineStr"/>
      <c r="D2532" s="10" t="inlineStr"/>
      <c r="E2532" s="10" t="inlineStr">
        <is>
          <t>TISSUE , POCKET TISSUE 10'S</t>
        </is>
      </c>
      <c r="F2532" s="10" t="inlineStr"/>
      <c r="G2532" s="10" t="inlineStr"/>
      <c r="H2532" s="10" t="inlineStr"/>
      <c r="I2532" s="11" t="n">
        <v>14.5</v>
      </c>
      <c r="J2532" s="6" t="n">
        <v>15</v>
      </c>
      <c r="K2532" s="7">
        <f>IF(I2532="","",I2532*(1+J2532/100))</f>
        <v/>
      </c>
      <c r="L2532" s="12" t="inlineStr"/>
      <c r="M2532" s="8">
        <f>IF(OR(L2532="",K2532="",L2532=0),"",
  (L2532-K2532)/L2532*100)</f>
        <v/>
      </c>
      <c r="N2532" s="9" t="inlineStr"/>
      <c r="O2532" s="10" t="inlineStr"/>
      <c r="P2532" s="10" t="inlineStr"/>
      <c r="Q2532" s="10" t="inlineStr"/>
      <c r="R2532" s="10" t="inlineStr">
        <is>
          <t>2026-03-12</t>
        </is>
      </c>
      <c r="S2532" s="10" t="inlineStr"/>
    </row>
    <row r="2533">
      <c r="A2533" s="3" t="inlineStr">
        <is>
          <t>F02996</t>
        </is>
      </c>
      <c r="B2533" s="4" t="inlineStr">
        <is>
          <t>F02996</t>
        </is>
      </c>
      <c r="C2533" s="4" t="inlineStr"/>
      <c r="D2533" s="4" t="inlineStr"/>
      <c r="E2533" s="3" t="inlineStr">
        <is>
          <t>TOILET ROLL, LUXURY 18 ROLLS/350 SHEETS</t>
        </is>
      </c>
      <c r="F2533" s="4" t="inlineStr"/>
      <c r="G2533" s="4" t="inlineStr"/>
      <c r="H2533" s="4" t="inlineStr"/>
      <c r="I2533" s="5" t="n">
        <v>124</v>
      </c>
      <c r="J2533" s="6" t="n">
        <v>15</v>
      </c>
      <c r="K2533" s="7">
        <f>IF(I2533="","",I2533*(1+J2533/100))</f>
        <v/>
      </c>
      <c r="L2533" s="12" t="inlineStr"/>
      <c r="M2533" s="8">
        <f>IF(OR(L2533="",K2533="",L2533=0),"",
  (L2533-K2533)/L2533*100)</f>
        <v/>
      </c>
      <c r="N2533" s="14" t="n">
        <v>10</v>
      </c>
      <c r="O2533" s="4" t="inlineStr"/>
      <c r="P2533" s="4" t="inlineStr"/>
      <c r="Q2533" s="4" t="inlineStr"/>
      <c r="R2533" s="4" t="inlineStr">
        <is>
          <t>2026-03-12</t>
        </is>
      </c>
      <c r="S2533" s="4" t="inlineStr"/>
    </row>
    <row r="2534">
      <c r="A2534" s="10" t="inlineStr">
        <is>
          <t>F02997</t>
        </is>
      </c>
      <c r="B2534" s="10" t="inlineStr">
        <is>
          <t>F02997</t>
        </is>
      </c>
      <c r="C2534" s="10" t="inlineStr"/>
      <c r="D2534" s="10" t="inlineStr"/>
      <c r="E2534" s="10" t="inlineStr">
        <is>
          <t>DIAPER ADULT CARE SWIRLY SOFT 10'S MED</t>
        </is>
      </c>
      <c r="F2534" s="10" t="inlineStr"/>
      <c r="G2534" s="10" t="inlineStr"/>
      <c r="H2534" s="10" t="inlineStr"/>
      <c r="I2534" s="11" t="n">
        <v>95</v>
      </c>
      <c r="J2534" s="6" t="n">
        <v>15</v>
      </c>
      <c r="K2534" s="7">
        <f>IF(I2534="","",I2534*(1+J2534/100))</f>
        <v/>
      </c>
      <c r="L2534" s="12" t="inlineStr"/>
      <c r="M2534" s="8">
        <f>IF(OR(L2534="",K2534="",L2534=0),"",
  (L2534-K2534)/L2534*100)</f>
        <v/>
      </c>
      <c r="N2534" s="9" t="inlineStr"/>
      <c r="O2534" s="10" t="inlineStr"/>
      <c r="P2534" s="10" t="inlineStr"/>
      <c r="Q2534" s="10" t="inlineStr"/>
      <c r="R2534" s="10" t="inlineStr">
        <is>
          <t>2026-03-12</t>
        </is>
      </c>
      <c r="S2534" s="10" t="inlineStr"/>
    </row>
    <row r="2535">
      <c r="A2535" s="3" t="inlineStr">
        <is>
          <t>F02998</t>
        </is>
      </c>
      <c r="B2535" s="4" t="inlineStr">
        <is>
          <t>F02998</t>
        </is>
      </c>
      <c r="C2535" s="4" t="inlineStr"/>
      <c r="D2535" s="4" t="inlineStr"/>
      <c r="E2535" s="3" t="inlineStr">
        <is>
          <t>DIAPER ADULT CARE SWIRLY SOFT 10'S LRG</t>
        </is>
      </c>
      <c r="F2535" s="4" t="inlineStr"/>
      <c r="G2535" s="4" t="inlineStr"/>
      <c r="H2535" s="4" t="inlineStr"/>
      <c r="I2535" s="5" t="n">
        <v>95</v>
      </c>
      <c r="J2535" s="6" t="n">
        <v>15</v>
      </c>
      <c r="K2535" s="7">
        <f>IF(I2535="","",I2535*(1+J2535/100))</f>
        <v/>
      </c>
      <c r="L2535" s="12" t="inlineStr"/>
      <c r="M2535" s="8">
        <f>IF(OR(L2535="",K2535="",L2535=0),"",
  (L2535-K2535)/L2535*100)</f>
        <v/>
      </c>
      <c r="N2535" s="9" t="inlineStr"/>
      <c r="O2535" s="4" t="inlineStr"/>
      <c r="P2535" s="4" t="inlineStr"/>
      <c r="Q2535" s="4" t="inlineStr"/>
      <c r="R2535" s="4" t="inlineStr">
        <is>
          <t>2026-03-12</t>
        </is>
      </c>
      <c r="S2535" s="4" t="inlineStr"/>
    </row>
    <row r="2536">
      <c r="A2536" s="10" t="inlineStr">
        <is>
          <t>F02999</t>
        </is>
      </c>
      <c r="B2536" s="10" t="inlineStr">
        <is>
          <t>F02999</t>
        </is>
      </c>
      <c r="C2536" s="10" t="inlineStr"/>
      <c r="D2536" s="10" t="inlineStr"/>
      <c r="E2536" s="10" t="inlineStr">
        <is>
          <t>DIAPER ADULT CARE SWIRLY SOFT 10'S X-LRG</t>
        </is>
      </c>
      <c r="F2536" s="10" t="inlineStr"/>
      <c r="G2536" s="10" t="inlineStr"/>
      <c r="H2536" s="10" t="inlineStr"/>
      <c r="I2536" s="11" t="n">
        <v>95</v>
      </c>
      <c r="J2536" s="6" t="n">
        <v>15</v>
      </c>
      <c r="K2536" s="7">
        <f>IF(I2536="","",I2536*(1+J2536/100))</f>
        <v/>
      </c>
      <c r="L2536" s="12" t="inlineStr"/>
      <c r="M2536" s="8">
        <f>IF(OR(L2536="",K2536="",L2536=0),"",
  (L2536-K2536)/L2536*100)</f>
        <v/>
      </c>
      <c r="N2536" s="9" t="inlineStr"/>
      <c r="O2536" s="10" t="inlineStr"/>
      <c r="P2536" s="10" t="inlineStr"/>
      <c r="Q2536" s="10" t="inlineStr"/>
      <c r="R2536" s="10" t="inlineStr">
        <is>
          <t>2026-03-12</t>
        </is>
      </c>
      <c r="S2536" s="10" t="inlineStr"/>
    </row>
    <row r="2537">
      <c r="A2537" s="3" t="inlineStr">
        <is>
          <t>F03000</t>
        </is>
      </c>
      <c r="B2537" s="4" t="inlineStr">
        <is>
          <t>F03000</t>
        </is>
      </c>
      <c r="C2537" s="4" t="inlineStr"/>
      <c r="D2537" s="4" t="inlineStr"/>
      <c r="E2537" s="3" t="inlineStr">
        <is>
          <t>DIAPER PULL UP ADULT SWIRLY  10'S MED</t>
        </is>
      </c>
      <c r="F2537" s="4" t="inlineStr"/>
      <c r="G2537" s="4" t="inlineStr"/>
      <c r="H2537" s="4" t="inlineStr"/>
      <c r="I2537" s="5" t="n">
        <v>105</v>
      </c>
      <c r="J2537" s="6" t="n">
        <v>15</v>
      </c>
      <c r="K2537" s="7">
        <f>IF(I2537="","",I2537*(1+J2537/100))</f>
        <v/>
      </c>
      <c r="L2537" s="12" t="inlineStr"/>
      <c r="M2537" s="8">
        <f>IF(OR(L2537="",K2537="",L2537=0),"",
  (L2537-K2537)/L2537*100)</f>
        <v/>
      </c>
      <c r="N2537" s="9" t="inlineStr"/>
      <c r="O2537" s="4" t="inlineStr"/>
      <c r="P2537" s="4" t="inlineStr"/>
      <c r="Q2537" s="4" t="inlineStr"/>
      <c r="R2537" s="4" t="inlineStr">
        <is>
          <t>2026-03-12</t>
        </is>
      </c>
      <c r="S2537" s="4" t="inlineStr"/>
    </row>
    <row r="2538">
      <c r="A2538" s="10" t="inlineStr">
        <is>
          <t>F03001</t>
        </is>
      </c>
      <c r="B2538" s="10" t="inlineStr">
        <is>
          <t>F03001</t>
        </is>
      </c>
      <c r="C2538" s="10" t="inlineStr"/>
      <c r="D2538" s="10" t="inlineStr"/>
      <c r="E2538" s="10" t="inlineStr">
        <is>
          <t>DIAPER PULL UP ADULT SWIRLY 10'S LRG</t>
        </is>
      </c>
      <c r="F2538" s="10" t="inlineStr"/>
      <c r="G2538" s="10" t="inlineStr"/>
      <c r="H2538" s="10" t="inlineStr"/>
      <c r="I2538" s="11" t="n">
        <v>105</v>
      </c>
      <c r="J2538" s="6" t="n">
        <v>15</v>
      </c>
      <c r="K2538" s="7">
        <f>IF(I2538="","",I2538*(1+J2538/100))</f>
        <v/>
      </c>
      <c r="L2538" s="12" t="inlineStr"/>
      <c r="M2538" s="8">
        <f>IF(OR(L2538="",K2538="",L2538=0),"",
  (L2538-K2538)/L2538*100)</f>
        <v/>
      </c>
      <c r="N2538" s="9" t="inlineStr"/>
      <c r="O2538" s="10" t="inlineStr"/>
      <c r="P2538" s="10" t="inlineStr"/>
      <c r="Q2538" s="10" t="inlineStr"/>
      <c r="R2538" s="10" t="inlineStr">
        <is>
          <t>2026-03-12</t>
        </is>
      </c>
      <c r="S2538" s="10" t="inlineStr"/>
    </row>
    <row r="2539">
      <c r="A2539" s="3" t="inlineStr">
        <is>
          <t>F03002</t>
        </is>
      </c>
      <c r="B2539" s="4" t="inlineStr">
        <is>
          <t>F03002</t>
        </is>
      </c>
      <c r="C2539" s="4" t="inlineStr"/>
      <c r="D2539" s="4" t="inlineStr"/>
      <c r="E2539" s="3" t="inlineStr">
        <is>
          <t>DIAPER PULL UP ADULT SWIRLY 10'S X-LRG</t>
        </is>
      </c>
      <c r="F2539" s="4" t="inlineStr"/>
      <c r="G2539" s="4" t="inlineStr"/>
      <c r="H2539" s="4" t="inlineStr"/>
      <c r="I2539" s="5" t="n">
        <v>110</v>
      </c>
      <c r="J2539" s="6" t="n">
        <v>15</v>
      </c>
      <c r="K2539" s="7">
        <f>IF(I2539="","",I2539*(1+J2539/100))</f>
        <v/>
      </c>
      <c r="L2539" s="12" t="inlineStr"/>
      <c r="M2539" s="8">
        <f>IF(OR(L2539="",K2539="",L2539=0),"",
  (L2539-K2539)/L2539*100)</f>
        <v/>
      </c>
      <c r="N2539" s="9" t="inlineStr"/>
      <c r="O2539" s="4" t="inlineStr"/>
      <c r="P2539" s="4" t="inlineStr"/>
      <c r="Q2539" s="4" t="inlineStr"/>
      <c r="R2539" s="4" t="inlineStr">
        <is>
          <t>2026-03-12</t>
        </is>
      </c>
      <c r="S2539" s="4" t="inlineStr"/>
    </row>
    <row r="2540">
      <c r="A2540" s="10" t="inlineStr">
        <is>
          <t>F03003</t>
        </is>
      </c>
      <c r="B2540" s="10" t="inlineStr">
        <is>
          <t>F03003</t>
        </is>
      </c>
      <c r="C2540" s="10" t="inlineStr"/>
      <c r="D2540" s="10" t="inlineStr"/>
      <c r="E2540" s="10" t="inlineStr">
        <is>
          <t>BEDLINERS SWIRLY SOFT 10'S</t>
        </is>
      </c>
      <c r="F2540" s="10" t="inlineStr"/>
      <c r="G2540" s="10" t="inlineStr"/>
      <c r="H2540" s="10" t="inlineStr"/>
      <c r="I2540" s="11" t="n">
        <v>56.5</v>
      </c>
      <c r="J2540" s="6" t="n">
        <v>15</v>
      </c>
      <c r="K2540" s="7">
        <f>IF(I2540="","",I2540*(1+J2540/100))</f>
        <v/>
      </c>
      <c r="L2540" s="12" t="inlineStr"/>
      <c r="M2540" s="8">
        <f>IF(OR(L2540="",K2540="",L2540=0),"",
  (L2540-K2540)/L2540*100)</f>
        <v/>
      </c>
      <c r="N2540" s="9" t="inlineStr"/>
      <c r="O2540" s="10" t="inlineStr"/>
      <c r="P2540" s="10" t="inlineStr"/>
      <c r="Q2540" s="10" t="inlineStr"/>
      <c r="R2540" s="10" t="inlineStr">
        <is>
          <t>2026-03-12</t>
        </is>
      </c>
      <c r="S2540" s="10" t="inlineStr"/>
    </row>
    <row r="2541">
      <c r="A2541" s="3" t="inlineStr">
        <is>
          <t>F03004</t>
        </is>
      </c>
      <c r="B2541" s="4" t="inlineStr">
        <is>
          <t>F03004</t>
        </is>
      </c>
      <c r="C2541" s="4" t="inlineStr"/>
      <c r="D2541" s="4" t="inlineStr"/>
      <c r="E2541" s="3" t="inlineStr">
        <is>
          <t>MUG IRISH COFFEE</t>
        </is>
      </c>
      <c r="F2541" s="4" t="inlineStr"/>
      <c r="G2541" s="4" t="inlineStr"/>
      <c r="H2541" s="4" t="inlineStr"/>
      <c r="I2541" s="5" t="n">
        <v>25</v>
      </c>
      <c r="J2541" s="6" t="n">
        <v>15</v>
      </c>
      <c r="K2541" s="7">
        <f>IF(I2541="","",I2541*(1+J2541/100))</f>
        <v/>
      </c>
      <c r="L2541" s="12" t="inlineStr"/>
      <c r="M2541" s="8">
        <f>IF(OR(L2541="",K2541="",L2541=0),"",
  (L2541-K2541)/L2541*100)</f>
        <v/>
      </c>
      <c r="N2541" s="14" t="n">
        <v>1</v>
      </c>
      <c r="O2541" s="4" t="inlineStr"/>
      <c r="P2541" s="4" t="inlineStr"/>
      <c r="Q2541" s="4" t="inlineStr"/>
      <c r="R2541" s="4" t="inlineStr">
        <is>
          <t>2026-03-12</t>
        </is>
      </c>
      <c r="S2541" s="4" t="inlineStr"/>
    </row>
    <row r="2542">
      <c r="A2542" s="10" t="inlineStr">
        <is>
          <t>F03005</t>
        </is>
      </c>
      <c r="B2542" s="10" t="inlineStr">
        <is>
          <t>F03005</t>
        </is>
      </c>
      <c r="C2542" s="10" t="inlineStr"/>
      <c r="D2542" s="10" t="inlineStr"/>
      <c r="E2542" s="10" t="inlineStr">
        <is>
          <t>MUG BEER MONACO LOOSE</t>
        </is>
      </c>
      <c r="F2542" s="10" t="inlineStr"/>
      <c r="G2542" s="10" t="inlineStr"/>
      <c r="H2542" s="10" t="inlineStr"/>
      <c r="I2542" s="11" t="n">
        <v>25</v>
      </c>
      <c r="J2542" s="6" t="n">
        <v>15</v>
      </c>
      <c r="K2542" s="7">
        <f>IF(I2542="","",I2542*(1+J2542/100))</f>
        <v/>
      </c>
      <c r="L2542" s="12" t="inlineStr"/>
      <c r="M2542" s="8">
        <f>IF(OR(L2542="",K2542="",L2542=0),"",
  (L2542-K2542)/L2542*100)</f>
        <v/>
      </c>
      <c r="N2542" s="13" t="n">
        <v>1</v>
      </c>
      <c r="O2542" s="10" t="inlineStr"/>
      <c r="P2542" s="10" t="inlineStr"/>
      <c r="Q2542" s="10" t="inlineStr"/>
      <c r="R2542" s="10" t="inlineStr">
        <is>
          <t>2026-03-12</t>
        </is>
      </c>
      <c r="S2542" s="10" t="inlineStr"/>
    </row>
    <row r="2543">
      <c r="A2543" s="3" t="inlineStr">
        <is>
          <t>F03006</t>
        </is>
      </c>
      <c r="B2543" s="4" t="inlineStr">
        <is>
          <t>F03006</t>
        </is>
      </c>
      <c r="C2543" s="4" t="inlineStr"/>
      <c r="D2543" s="4" t="inlineStr"/>
      <c r="E2543" s="3" t="inlineStr">
        <is>
          <t>MUG BEER BREMEN LOOSE</t>
        </is>
      </c>
      <c r="F2543" s="4" t="inlineStr"/>
      <c r="G2543" s="4" t="inlineStr"/>
      <c r="H2543" s="4" t="inlineStr"/>
      <c r="I2543" s="5" t="n">
        <v>35</v>
      </c>
      <c r="J2543" s="6" t="n">
        <v>15</v>
      </c>
      <c r="K2543" s="7">
        <f>IF(I2543="","",I2543*(1+J2543/100))</f>
        <v/>
      </c>
      <c r="L2543" s="12" t="inlineStr"/>
      <c r="M2543" s="8">
        <f>IF(OR(L2543="",K2543="",L2543=0),"",
  (L2543-K2543)/L2543*100)</f>
        <v/>
      </c>
      <c r="N2543" s="14" t="n">
        <v>1</v>
      </c>
      <c r="O2543" s="4" t="inlineStr"/>
      <c r="P2543" s="4" t="inlineStr"/>
      <c r="Q2543" s="4" t="inlineStr"/>
      <c r="R2543" s="4" t="inlineStr">
        <is>
          <t>2026-03-12</t>
        </is>
      </c>
      <c r="S2543" s="4" t="inlineStr"/>
    </row>
    <row r="2544">
      <c r="A2544" s="10" t="inlineStr">
        <is>
          <t>F03007</t>
        </is>
      </c>
      <c r="B2544" s="10" t="inlineStr">
        <is>
          <t>F03007</t>
        </is>
      </c>
      <c r="C2544" s="10" t="inlineStr"/>
      <c r="D2544" s="10" t="inlineStr"/>
      <c r="E2544" s="10" t="inlineStr">
        <is>
          <t>MUG BEER HANNOVER LOOSE</t>
        </is>
      </c>
      <c r="F2544" s="10" t="inlineStr"/>
      <c r="G2544" s="10" t="inlineStr"/>
      <c r="H2544" s="10" t="inlineStr"/>
      <c r="I2544" s="11" t="n">
        <v>37</v>
      </c>
      <c r="J2544" s="6" t="n">
        <v>15</v>
      </c>
      <c r="K2544" s="7">
        <f>IF(I2544="","",I2544*(1+J2544/100))</f>
        <v/>
      </c>
      <c r="L2544" s="12" t="inlineStr"/>
      <c r="M2544" s="8">
        <f>IF(OR(L2544="",K2544="",L2544=0),"",
  (L2544-K2544)/L2544*100)</f>
        <v/>
      </c>
      <c r="N2544" s="13" t="n">
        <v>1</v>
      </c>
      <c r="O2544" s="10" t="inlineStr"/>
      <c r="P2544" s="10" t="inlineStr"/>
      <c r="Q2544" s="10" t="inlineStr"/>
      <c r="R2544" s="10" t="inlineStr">
        <is>
          <t>2026-03-12</t>
        </is>
      </c>
      <c r="S2544" s="10" t="inlineStr"/>
    </row>
    <row r="2545">
      <c r="A2545" s="3" t="inlineStr">
        <is>
          <t>F03008</t>
        </is>
      </c>
      <c r="B2545" s="4" t="inlineStr">
        <is>
          <t>F03008</t>
        </is>
      </c>
      <c r="C2545" s="4" t="inlineStr"/>
      <c r="D2545" s="4" t="inlineStr"/>
      <c r="E2545" s="3" t="inlineStr">
        <is>
          <t>MUG BEER OSLO LOOSE</t>
        </is>
      </c>
      <c r="F2545" s="4" t="inlineStr"/>
      <c r="G2545" s="4" t="inlineStr"/>
      <c r="H2545" s="4" t="inlineStr"/>
      <c r="I2545" s="5" t="n">
        <v>25</v>
      </c>
      <c r="J2545" s="6" t="n">
        <v>15</v>
      </c>
      <c r="K2545" s="7">
        <f>IF(I2545="","",I2545*(1+J2545/100))</f>
        <v/>
      </c>
      <c r="L2545" s="12" t="inlineStr"/>
      <c r="M2545" s="8">
        <f>IF(OR(L2545="",K2545="",L2545=0),"",
  (L2545-K2545)/L2545*100)</f>
        <v/>
      </c>
      <c r="N2545" s="14" t="n">
        <v>1</v>
      </c>
      <c r="O2545" s="4" t="inlineStr"/>
      <c r="P2545" s="4" t="inlineStr"/>
      <c r="Q2545" s="4" t="inlineStr"/>
      <c r="R2545" s="4" t="inlineStr">
        <is>
          <t>2026-03-12</t>
        </is>
      </c>
      <c r="S2545" s="4" t="inlineStr"/>
    </row>
    <row r="2546">
      <c r="A2546" s="10" t="inlineStr">
        <is>
          <t>F03009</t>
        </is>
      </c>
      <c r="B2546" s="10" t="inlineStr">
        <is>
          <t>F03009</t>
        </is>
      </c>
      <c r="C2546" s="10" t="inlineStr"/>
      <c r="D2546" s="10" t="inlineStr"/>
      <c r="E2546" s="10" t="inlineStr">
        <is>
          <t>CORNICE 2MTR EPS VIONA TR-04</t>
        </is>
      </c>
      <c r="F2546" s="10" t="inlineStr"/>
      <c r="G2546" s="10" t="inlineStr"/>
      <c r="H2546" s="10" t="inlineStr"/>
      <c r="I2546" s="11" t="n">
        <v>19.95</v>
      </c>
      <c r="J2546" s="6" t="n">
        <v>15</v>
      </c>
      <c r="K2546" s="7">
        <f>IF(I2546="","",I2546*(1+J2546/100))</f>
        <v/>
      </c>
      <c r="L2546" s="12" t="inlineStr"/>
      <c r="M2546" s="8">
        <f>IF(OR(L2546="",K2546="",L2546=0),"",
  (L2546-K2546)/L2546*100)</f>
        <v/>
      </c>
      <c r="N2546" s="9" t="inlineStr"/>
      <c r="O2546" s="10" t="inlineStr"/>
      <c r="P2546" s="10" t="inlineStr"/>
      <c r="Q2546" s="10" t="inlineStr"/>
      <c r="R2546" s="10" t="inlineStr">
        <is>
          <t>2026-03-12</t>
        </is>
      </c>
      <c r="S2546" s="10" t="inlineStr"/>
    </row>
    <row r="2547">
      <c r="A2547" s="3" t="inlineStr">
        <is>
          <t>F03010</t>
        </is>
      </c>
      <c r="B2547" s="4" t="inlineStr">
        <is>
          <t>F03010</t>
        </is>
      </c>
      <c r="C2547" s="4" t="inlineStr"/>
      <c r="D2547" s="4" t="inlineStr"/>
      <c r="E2547" s="3" t="inlineStr">
        <is>
          <t>CORNICE 2MTR EPS FLORYA TR-10</t>
        </is>
      </c>
      <c r="F2547" s="4" t="inlineStr"/>
      <c r="G2547" s="4" t="inlineStr"/>
      <c r="H2547" s="4" t="inlineStr"/>
      <c r="I2547" s="5" t="n">
        <v>19.95</v>
      </c>
      <c r="J2547" s="6" t="n">
        <v>15</v>
      </c>
      <c r="K2547" s="7">
        <f>IF(I2547="","",I2547*(1+J2547/100))</f>
        <v/>
      </c>
      <c r="L2547" s="12" t="inlineStr"/>
      <c r="M2547" s="8">
        <f>IF(OR(L2547="",K2547="",L2547=0),"",
  (L2547-K2547)/L2547*100)</f>
        <v/>
      </c>
      <c r="N2547" s="14" t="n">
        <v>29</v>
      </c>
      <c r="O2547" s="4" t="inlineStr"/>
      <c r="P2547" s="4" t="inlineStr"/>
      <c r="Q2547" s="4" t="inlineStr"/>
      <c r="R2547" s="4" t="inlineStr">
        <is>
          <t>2026-03-12</t>
        </is>
      </c>
      <c r="S2547" s="4" t="inlineStr"/>
    </row>
    <row r="2548">
      <c r="A2548" s="10" t="inlineStr">
        <is>
          <t>F03011</t>
        </is>
      </c>
      <c r="B2548" s="10" t="inlineStr">
        <is>
          <t>F03011</t>
        </is>
      </c>
      <c r="C2548" s="10" t="inlineStr"/>
      <c r="D2548" s="10" t="inlineStr"/>
      <c r="E2548" s="10" t="inlineStr">
        <is>
          <t>CORNICE 2MTR EPS ESIN TR-</t>
        </is>
      </c>
      <c r="F2548" s="10" t="inlineStr"/>
      <c r="G2548" s="10" t="inlineStr"/>
      <c r="H2548" s="10" t="inlineStr"/>
      <c r="I2548" s="11" t="n">
        <v>19.95</v>
      </c>
      <c r="J2548" s="6" t="n">
        <v>15</v>
      </c>
      <c r="K2548" s="7">
        <f>IF(I2548="","",I2548*(1+J2548/100))</f>
        <v/>
      </c>
      <c r="L2548" s="12" t="inlineStr"/>
      <c r="M2548" s="8">
        <f>IF(OR(L2548="",K2548="",L2548=0),"",
  (L2548-K2548)/L2548*100)</f>
        <v/>
      </c>
      <c r="N2548" s="9" t="inlineStr"/>
      <c r="O2548" s="10" t="inlineStr"/>
      <c r="P2548" s="10" t="inlineStr"/>
      <c r="Q2548" s="10" t="inlineStr"/>
      <c r="R2548" s="10" t="inlineStr">
        <is>
          <t>2026-03-12</t>
        </is>
      </c>
      <c r="S2548" s="10" t="inlineStr"/>
    </row>
    <row r="2549">
      <c r="A2549" s="3" t="inlineStr">
        <is>
          <t>F03012</t>
        </is>
      </c>
      <c r="B2549" s="4" t="inlineStr">
        <is>
          <t>F03012</t>
        </is>
      </c>
      <c r="C2549" s="4" t="inlineStr"/>
      <c r="D2549" s="4" t="inlineStr"/>
      <c r="E2549" s="3" t="inlineStr">
        <is>
          <t>CORNICE 2MTR EPS VENEDIK TR-01</t>
        </is>
      </c>
      <c r="F2549" s="4" t="inlineStr"/>
      <c r="G2549" s="4" t="inlineStr"/>
      <c r="H2549" s="4" t="inlineStr"/>
      <c r="I2549" s="5" t="n">
        <v>19.95</v>
      </c>
      <c r="J2549" s="6" t="n">
        <v>15</v>
      </c>
      <c r="K2549" s="7">
        <f>IF(I2549="","",I2549*(1+J2549/100))</f>
        <v/>
      </c>
      <c r="L2549" s="12" t="inlineStr"/>
      <c r="M2549" s="8">
        <f>IF(OR(L2549="",K2549="",L2549=0),"",
  (L2549-K2549)/L2549*100)</f>
        <v/>
      </c>
      <c r="N2549" s="14" t="n">
        <v>102</v>
      </c>
      <c r="O2549" s="4" t="inlineStr"/>
      <c r="P2549" s="4" t="inlineStr"/>
      <c r="Q2549" s="4" t="inlineStr"/>
      <c r="R2549" s="4" t="inlineStr">
        <is>
          <t>2026-03-12</t>
        </is>
      </c>
      <c r="S2549" s="4" t="inlineStr"/>
    </row>
    <row r="2550">
      <c r="A2550" s="10" t="inlineStr">
        <is>
          <t>F03013</t>
        </is>
      </c>
      <c r="B2550" s="10" t="inlineStr">
        <is>
          <t>F03013</t>
        </is>
      </c>
      <c r="C2550" s="10" t="inlineStr"/>
      <c r="D2550" s="10" t="inlineStr"/>
      <c r="E2550" s="10" t="inlineStr">
        <is>
          <t>PAINT TRAY BLACK</t>
        </is>
      </c>
      <c r="F2550" s="10" t="inlineStr"/>
      <c r="G2550" s="10" t="inlineStr"/>
      <c r="H2550" s="10" t="inlineStr"/>
      <c r="I2550" s="11" t="n">
        <v>19</v>
      </c>
      <c r="J2550" s="6" t="n">
        <v>15</v>
      </c>
      <c r="K2550" s="7">
        <f>IF(I2550="","",I2550*(1+J2550/100))</f>
        <v/>
      </c>
      <c r="L2550" s="12" t="inlineStr"/>
      <c r="M2550" s="8">
        <f>IF(OR(L2550="",K2550="",L2550=0),"",
  (L2550-K2550)/L2550*100)</f>
        <v/>
      </c>
      <c r="N2550" s="13" t="n">
        <v>50228</v>
      </c>
      <c r="O2550" s="10" t="inlineStr"/>
      <c r="P2550" s="10" t="inlineStr"/>
      <c r="Q2550" s="10" t="inlineStr"/>
      <c r="R2550" s="10" t="inlineStr">
        <is>
          <t>2026-03-12</t>
        </is>
      </c>
      <c r="S2550" s="10" t="inlineStr"/>
    </row>
    <row r="2551">
      <c r="A2551" s="3" t="inlineStr">
        <is>
          <t>F03014</t>
        </is>
      </c>
      <c r="B2551" s="4" t="inlineStr">
        <is>
          <t>F03014</t>
        </is>
      </c>
      <c r="C2551" s="4" t="inlineStr"/>
      <c r="D2551" s="4" t="inlineStr">
        <is>
          <t>6009705653942</t>
        </is>
      </c>
      <c r="E2551" s="3" t="inlineStr">
        <is>
          <t>SCREW DRIVER 2PC LONG CARDED</t>
        </is>
      </c>
      <c r="F2551" s="4" t="inlineStr"/>
      <c r="G2551" s="4" t="inlineStr"/>
      <c r="H2551" s="4" t="inlineStr"/>
      <c r="I2551" s="5" t="n">
        <v>24.95</v>
      </c>
      <c r="J2551" s="6" t="n">
        <v>15</v>
      </c>
      <c r="K2551" s="7">
        <f>IF(I2551="","",I2551*(1+J2551/100))</f>
        <v/>
      </c>
      <c r="L2551" s="12" t="inlineStr"/>
      <c r="M2551" s="8">
        <f>IF(OR(L2551="",K2551="",L2551=0),"",
  (L2551-K2551)/L2551*100)</f>
        <v/>
      </c>
      <c r="N2551" s="14" t="n">
        <v>977</v>
      </c>
      <c r="O2551" s="4" t="inlineStr"/>
      <c r="P2551" s="4" t="inlineStr"/>
      <c r="Q2551" s="4" t="inlineStr"/>
      <c r="R2551" s="4" t="inlineStr">
        <is>
          <t>2026-03-12</t>
        </is>
      </c>
      <c r="S2551" s="4" t="inlineStr"/>
    </row>
    <row r="2552">
      <c r="A2552" s="10" t="inlineStr">
        <is>
          <t>F03015</t>
        </is>
      </c>
      <c r="B2552" s="10" t="inlineStr">
        <is>
          <t>F03015</t>
        </is>
      </c>
      <c r="C2552" s="10" t="inlineStr"/>
      <c r="D2552" s="10" t="inlineStr">
        <is>
          <t>6009705653959</t>
        </is>
      </c>
      <c r="E2552" s="10" t="inlineStr">
        <is>
          <t>SCREWDRIVER SET 4PC CARDED RUBBER GRIP</t>
        </is>
      </c>
      <c r="F2552" s="10" t="inlineStr"/>
      <c r="G2552" s="10" t="inlineStr"/>
      <c r="H2552" s="10" t="inlineStr"/>
      <c r="I2552" s="11" t="n">
        <v>41.95</v>
      </c>
      <c r="J2552" s="6" t="n">
        <v>15</v>
      </c>
      <c r="K2552" s="7">
        <f>IF(I2552="","",I2552*(1+J2552/100))</f>
        <v/>
      </c>
      <c r="L2552" s="12" t="inlineStr"/>
      <c r="M2552" s="8">
        <f>IF(OR(L2552="",K2552="",L2552=0),"",
  (L2552-K2552)/L2552*100)</f>
        <v/>
      </c>
      <c r="N2552" s="13" t="n">
        <v>518</v>
      </c>
      <c r="O2552" s="10" t="inlineStr"/>
      <c r="P2552" s="10" t="inlineStr"/>
      <c r="Q2552" s="10" t="inlineStr"/>
      <c r="R2552" s="10" t="inlineStr">
        <is>
          <t>2026-03-12</t>
        </is>
      </c>
      <c r="S2552" s="10" t="inlineStr"/>
    </row>
    <row r="2553">
      <c r="A2553" s="3" t="inlineStr">
        <is>
          <t>F03016</t>
        </is>
      </c>
      <c r="B2553" s="4" t="inlineStr">
        <is>
          <t>F03016</t>
        </is>
      </c>
      <c r="C2553" s="4" t="inlineStr"/>
      <c r="D2553" s="4" t="inlineStr">
        <is>
          <t>6009705653966</t>
        </is>
      </c>
      <c r="E2553" s="3" t="inlineStr">
        <is>
          <t>SCREWDRIVER 5PC CARDED ECONO</t>
        </is>
      </c>
      <c r="F2553" s="4" t="inlineStr"/>
      <c r="G2553" s="4" t="inlineStr"/>
      <c r="H2553" s="4" t="inlineStr"/>
      <c r="I2553" s="5" t="n">
        <v>21.95</v>
      </c>
      <c r="J2553" s="6" t="n">
        <v>15</v>
      </c>
      <c r="K2553" s="7">
        <f>IF(I2553="","",I2553*(1+J2553/100))</f>
        <v/>
      </c>
      <c r="L2553" s="12" t="inlineStr"/>
      <c r="M2553" s="8">
        <f>IF(OR(L2553="",K2553="",L2553=0),"",
  (L2553-K2553)/L2553*100)</f>
        <v/>
      </c>
      <c r="N2553" s="14" t="n">
        <v>397</v>
      </c>
      <c r="O2553" s="4" t="inlineStr"/>
      <c r="P2553" s="4" t="inlineStr"/>
      <c r="Q2553" s="4" t="inlineStr"/>
      <c r="R2553" s="4" t="inlineStr">
        <is>
          <t>2026-03-12</t>
        </is>
      </c>
      <c r="S2553" s="4" t="inlineStr"/>
    </row>
    <row r="2554">
      <c r="A2554" s="10" t="inlineStr">
        <is>
          <t>F03017</t>
        </is>
      </c>
      <c r="B2554" s="10" t="inlineStr">
        <is>
          <t>F03017</t>
        </is>
      </c>
      <c r="C2554" s="10" t="inlineStr"/>
      <c r="D2554" s="10" t="inlineStr">
        <is>
          <t>6009705653973</t>
        </is>
      </c>
      <c r="E2554" s="10" t="inlineStr">
        <is>
          <t>MEASURING TAPE -20M ROLL UP</t>
        </is>
      </c>
      <c r="F2554" s="10" t="inlineStr"/>
      <c r="G2554" s="10" t="inlineStr"/>
      <c r="H2554" s="10" t="inlineStr"/>
      <c r="I2554" s="11" t="n">
        <v>50.95</v>
      </c>
      <c r="J2554" s="6" t="n">
        <v>15</v>
      </c>
      <c r="K2554" s="7">
        <f>IF(I2554="","",I2554*(1+J2554/100))</f>
        <v/>
      </c>
      <c r="L2554" s="12" t="inlineStr"/>
      <c r="M2554" s="8">
        <f>IF(OR(L2554="",K2554="",L2554=0),"",
  (L2554-K2554)/L2554*100)</f>
        <v/>
      </c>
      <c r="N2554" s="13" t="n">
        <v>111</v>
      </c>
      <c r="O2554" s="10" t="inlineStr"/>
      <c r="P2554" s="10" t="inlineStr"/>
      <c r="Q2554" s="10" t="inlineStr"/>
      <c r="R2554" s="10" t="inlineStr">
        <is>
          <t>2026-03-12</t>
        </is>
      </c>
      <c r="S2554" s="10" t="inlineStr"/>
    </row>
    <row r="2555">
      <c r="A2555" s="3" t="inlineStr">
        <is>
          <t>F03018</t>
        </is>
      </c>
      <c r="B2555" s="4" t="inlineStr">
        <is>
          <t>F03018</t>
        </is>
      </c>
      <c r="C2555" s="4" t="inlineStr"/>
      <c r="D2555" s="4" t="inlineStr">
        <is>
          <t>6009705653980</t>
        </is>
      </c>
      <c r="E2555" s="3" t="inlineStr">
        <is>
          <t>MEASURING TAPE -30M ROLL UP</t>
        </is>
      </c>
      <c r="F2555" s="4" t="inlineStr"/>
      <c r="G2555" s="4" t="inlineStr"/>
      <c r="H2555" s="4" t="inlineStr"/>
      <c r="I2555" s="5" t="n">
        <v>66.95</v>
      </c>
      <c r="J2555" s="6" t="n">
        <v>15</v>
      </c>
      <c r="K2555" s="7">
        <f>IF(I2555="","",I2555*(1+J2555/100))</f>
        <v/>
      </c>
      <c r="L2555" s="12" t="inlineStr"/>
      <c r="M2555" s="8">
        <f>IF(OR(L2555="",K2555="",L2555=0),"",
  (L2555-K2555)/L2555*100)</f>
        <v/>
      </c>
      <c r="N2555" s="14" t="n">
        <v>113</v>
      </c>
      <c r="O2555" s="4" t="inlineStr"/>
      <c r="P2555" s="4" t="inlineStr"/>
      <c r="Q2555" s="4" t="inlineStr"/>
      <c r="R2555" s="4" t="inlineStr">
        <is>
          <t>2026-03-12</t>
        </is>
      </c>
      <c r="S2555" s="4" t="inlineStr"/>
    </row>
    <row r="2556">
      <c r="A2556" s="10" t="inlineStr">
        <is>
          <t>F03019</t>
        </is>
      </c>
      <c r="B2556" s="10" t="inlineStr">
        <is>
          <t>F03019</t>
        </is>
      </c>
      <c r="C2556" s="10" t="inlineStr"/>
      <c r="D2556" s="10" t="inlineStr">
        <is>
          <t>6009705653997</t>
        </is>
      </c>
      <c r="E2556" s="10" t="inlineStr">
        <is>
          <t>MEASURING TAPE -50M ROLL UP</t>
        </is>
      </c>
      <c r="F2556" s="10" t="inlineStr"/>
      <c r="G2556" s="10" t="inlineStr"/>
      <c r="H2556" s="10" t="inlineStr"/>
      <c r="I2556" s="11" t="n">
        <v>87.95</v>
      </c>
      <c r="J2556" s="6" t="n">
        <v>15</v>
      </c>
      <c r="K2556" s="7">
        <f>IF(I2556="","",I2556*(1+J2556/100))</f>
        <v/>
      </c>
      <c r="L2556" s="12" t="inlineStr"/>
      <c r="M2556" s="8">
        <f>IF(OR(L2556="",K2556="",L2556=0),"",
  (L2556-K2556)/L2556*100)</f>
        <v/>
      </c>
      <c r="N2556" s="13" t="n">
        <v>3</v>
      </c>
      <c r="O2556" s="10" t="inlineStr"/>
      <c r="P2556" s="10" t="inlineStr"/>
      <c r="Q2556" s="10" t="inlineStr"/>
      <c r="R2556" s="10" t="inlineStr">
        <is>
          <t>2026-03-12</t>
        </is>
      </c>
      <c r="S2556" s="10" t="inlineStr"/>
    </row>
    <row r="2557">
      <c r="A2557" s="3" t="inlineStr">
        <is>
          <t>F03020</t>
        </is>
      </c>
      <c r="B2557" s="4" t="inlineStr">
        <is>
          <t>F03020</t>
        </is>
      </c>
      <c r="C2557" s="4" t="inlineStr"/>
      <c r="D2557" s="4" t="inlineStr">
        <is>
          <t>6009705654000</t>
        </is>
      </c>
      <c r="E2557" s="3" t="inlineStr">
        <is>
          <t>FLAP DISK  60 GRIT 115X60</t>
        </is>
      </c>
      <c r="F2557" s="4" t="inlineStr"/>
      <c r="G2557" s="4" t="inlineStr"/>
      <c r="H2557" s="4" t="inlineStr"/>
      <c r="I2557" s="5" t="n">
        <v>11.95</v>
      </c>
      <c r="J2557" s="6" t="n">
        <v>15</v>
      </c>
      <c r="K2557" s="7">
        <f>IF(I2557="","",I2557*(1+J2557/100))</f>
        <v/>
      </c>
      <c r="L2557" s="12" t="inlineStr"/>
      <c r="M2557" s="8">
        <f>IF(OR(L2557="",K2557="",L2557=0),"",
  (L2557-K2557)/L2557*100)</f>
        <v/>
      </c>
      <c r="N2557" s="14" t="n">
        <v>7</v>
      </c>
      <c r="O2557" s="4" t="inlineStr"/>
      <c r="P2557" s="4" t="inlineStr"/>
      <c r="Q2557" s="4" t="inlineStr"/>
      <c r="R2557" s="4" t="inlineStr">
        <is>
          <t>2026-03-12</t>
        </is>
      </c>
      <c r="S2557" s="4" t="inlineStr"/>
    </row>
    <row r="2558">
      <c r="A2558" s="10" t="inlineStr">
        <is>
          <t>F03021</t>
        </is>
      </c>
      <c r="B2558" s="10" t="inlineStr">
        <is>
          <t>F03021</t>
        </is>
      </c>
      <c r="C2558" s="10" t="inlineStr"/>
      <c r="D2558" s="10" t="inlineStr">
        <is>
          <t>6009705654017</t>
        </is>
      </c>
      <c r="E2558" s="10" t="inlineStr">
        <is>
          <t>FLAP DISC 80 GRIT 115X80</t>
        </is>
      </c>
      <c r="F2558" s="10" t="inlineStr"/>
      <c r="G2558" s="10" t="inlineStr"/>
      <c r="H2558" s="10" t="inlineStr"/>
      <c r="I2558" s="11" t="n">
        <v>12.95</v>
      </c>
      <c r="J2558" s="6" t="n">
        <v>15</v>
      </c>
      <c r="K2558" s="7">
        <f>IF(I2558="","",I2558*(1+J2558/100))</f>
        <v/>
      </c>
      <c r="L2558" s="12" t="inlineStr"/>
      <c r="M2558" s="8">
        <f>IF(OR(L2558="",K2558="",L2558=0),"",
  (L2558-K2558)/L2558*100)</f>
        <v/>
      </c>
      <c r="N2558" s="13" t="n">
        <v>17</v>
      </c>
      <c r="O2558" s="10" t="inlineStr"/>
      <c r="P2558" s="10" t="inlineStr"/>
      <c r="Q2558" s="10" t="inlineStr"/>
      <c r="R2558" s="10" t="inlineStr">
        <is>
          <t>2026-03-12</t>
        </is>
      </c>
      <c r="S2558" s="10" t="inlineStr"/>
    </row>
    <row r="2559">
      <c r="A2559" s="3" t="inlineStr">
        <is>
          <t>F03022</t>
        </is>
      </c>
      <c r="B2559" s="4" t="inlineStr">
        <is>
          <t>F03022</t>
        </is>
      </c>
      <c r="C2559" s="4" t="inlineStr"/>
      <c r="D2559" s="4" t="inlineStr">
        <is>
          <t>6009705654024</t>
        </is>
      </c>
      <c r="E2559" s="3" t="inlineStr">
        <is>
          <t>FLAP DISC 100 GRIT 115X100</t>
        </is>
      </c>
      <c r="F2559" s="4" t="inlineStr"/>
      <c r="G2559" s="4" t="inlineStr"/>
      <c r="H2559" s="4" t="inlineStr"/>
      <c r="I2559" s="5" t="n">
        <v>12.95</v>
      </c>
      <c r="J2559" s="6" t="n">
        <v>15</v>
      </c>
      <c r="K2559" s="7">
        <f>IF(I2559="","",I2559*(1+J2559/100))</f>
        <v/>
      </c>
      <c r="L2559" s="12" t="inlineStr"/>
      <c r="M2559" s="8">
        <f>IF(OR(L2559="",K2559="",L2559=0),"",
  (L2559-K2559)/L2559*100)</f>
        <v/>
      </c>
      <c r="N2559" s="14" t="n">
        <v>320</v>
      </c>
      <c r="O2559" s="4" t="inlineStr"/>
      <c r="P2559" s="4" t="inlineStr"/>
      <c r="Q2559" s="4" t="inlineStr"/>
      <c r="R2559" s="4" t="inlineStr">
        <is>
          <t>2026-03-12</t>
        </is>
      </c>
      <c r="S2559" s="4" t="inlineStr"/>
    </row>
    <row r="2560">
      <c r="A2560" s="10" t="inlineStr">
        <is>
          <t>F03023</t>
        </is>
      </c>
      <c r="B2560" s="10" t="inlineStr">
        <is>
          <t>F03023</t>
        </is>
      </c>
      <c r="C2560" s="10" t="inlineStr">
        <is>
          <t>19218</t>
        </is>
      </c>
      <c r="D2560" s="10" t="inlineStr">
        <is>
          <t>6009705654031</t>
        </is>
      </c>
      <c r="E2560" s="10" t="inlineStr">
        <is>
          <t>CUTTING DISK SEGMENTED 180MM</t>
        </is>
      </c>
      <c r="F2560" s="10" t="inlineStr"/>
      <c r="G2560" s="10" t="inlineStr"/>
      <c r="H2560" s="10" t="inlineStr"/>
      <c r="I2560" s="11" t="n">
        <v>35.95</v>
      </c>
      <c r="J2560" s="6" t="n">
        <v>15</v>
      </c>
      <c r="K2560" s="7">
        <f>IF(I2560="","",I2560*(1+J2560/100))</f>
        <v/>
      </c>
      <c r="L2560" s="11" t="n">
        <v>65</v>
      </c>
      <c r="M2560" s="8">
        <f>IF(OR(L2560="",K2560="",L2560=0),"",
  (L2560-K2560)/L2560*100)</f>
        <v/>
      </c>
      <c r="N2560" s="13" t="n">
        <v>848</v>
      </c>
      <c r="O2560" s="10" t="inlineStr"/>
      <c r="P2560" s="10" t="inlineStr"/>
      <c r="Q2560" s="10" t="inlineStr"/>
      <c r="R2560" s="10" t="inlineStr">
        <is>
          <t>2026-03-12</t>
        </is>
      </c>
      <c r="S2560" s="10" t="inlineStr"/>
    </row>
    <row r="2561">
      <c r="A2561" s="3" t="inlineStr">
        <is>
          <t>F03024</t>
        </is>
      </c>
      <c r="B2561" s="4" t="inlineStr">
        <is>
          <t>F03024</t>
        </is>
      </c>
      <c r="C2561" s="4" t="inlineStr"/>
      <c r="D2561" s="4" t="inlineStr">
        <is>
          <t>6009705654048</t>
        </is>
      </c>
      <c r="E2561" s="3" t="inlineStr">
        <is>
          <t>CHUCK KEY SET CHUCK</t>
        </is>
      </c>
      <c r="F2561" s="4" t="inlineStr"/>
      <c r="G2561" s="4" t="inlineStr"/>
      <c r="H2561" s="4" t="inlineStr"/>
      <c r="I2561" s="5" t="n">
        <v>38.95</v>
      </c>
      <c r="J2561" s="6" t="n">
        <v>15</v>
      </c>
      <c r="K2561" s="7">
        <f>IF(I2561="","",I2561*(1+J2561/100))</f>
        <v/>
      </c>
      <c r="L2561" s="12" t="inlineStr"/>
      <c r="M2561" s="8">
        <f>IF(OR(L2561="",K2561="",L2561=0),"",
  (L2561-K2561)/L2561*100)</f>
        <v/>
      </c>
      <c r="N2561" s="14" t="n">
        <v>1</v>
      </c>
      <c r="O2561" s="4" t="inlineStr"/>
      <c r="P2561" s="4" t="inlineStr"/>
      <c r="Q2561" s="4" t="inlineStr"/>
      <c r="R2561" s="4" t="inlineStr">
        <is>
          <t>2026-03-12</t>
        </is>
      </c>
      <c r="S2561" s="4" t="inlineStr"/>
    </row>
    <row r="2562">
      <c r="A2562" s="10" t="inlineStr">
        <is>
          <t>F03025</t>
        </is>
      </c>
      <c r="B2562" s="10" t="inlineStr">
        <is>
          <t>F03025</t>
        </is>
      </c>
      <c r="C2562" s="10" t="inlineStr"/>
      <c r="D2562" s="10" t="inlineStr">
        <is>
          <t>6009705654055</t>
        </is>
      </c>
      <c r="E2562" s="10" t="inlineStr">
        <is>
          <t>DRIVER BIT 6MM MAGNETIC CARDED</t>
        </is>
      </c>
      <c r="F2562" s="10" t="inlineStr"/>
      <c r="G2562" s="10" t="inlineStr"/>
      <c r="H2562" s="10" t="inlineStr"/>
      <c r="I2562" s="11" t="n">
        <v>11.95</v>
      </c>
      <c r="J2562" s="6" t="n">
        <v>15</v>
      </c>
      <c r="K2562" s="7">
        <f>IF(I2562="","",I2562*(1+J2562/100))</f>
        <v/>
      </c>
      <c r="L2562" s="12" t="inlineStr"/>
      <c r="M2562" s="8">
        <f>IF(OR(L2562="",K2562="",L2562=0),"",
  (L2562-K2562)/L2562*100)</f>
        <v/>
      </c>
      <c r="N2562" s="13" t="n">
        <v>757</v>
      </c>
      <c r="O2562" s="10" t="inlineStr"/>
      <c r="P2562" s="10" t="inlineStr"/>
      <c r="Q2562" s="10" t="inlineStr"/>
      <c r="R2562" s="10" t="inlineStr">
        <is>
          <t>2026-03-12</t>
        </is>
      </c>
      <c r="S2562" s="10" t="inlineStr"/>
    </row>
    <row r="2563">
      <c r="A2563" s="3" t="inlineStr">
        <is>
          <t>F03026</t>
        </is>
      </c>
      <c r="B2563" s="4" t="inlineStr">
        <is>
          <t>F03026</t>
        </is>
      </c>
      <c r="C2563" s="4" t="inlineStr"/>
      <c r="D2563" s="4" t="inlineStr">
        <is>
          <t>6009705654062</t>
        </is>
      </c>
      <c r="E2563" s="3" t="inlineStr">
        <is>
          <t>DRILL BIT 3MM METAL , LOOSE</t>
        </is>
      </c>
      <c r="F2563" s="4" t="inlineStr"/>
      <c r="G2563" s="4" t="inlineStr"/>
      <c r="H2563" s="4" t="inlineStr"/>
      <c r="I2563" s="5" t="n">
        <v>2.49</v>
      </c>
      <c r="J2563" s="6" t="n">
        <v>15</v>
      </c>
      <c r="K2563" s="7">
        <f>IF(I2563="","",I2563*(1+J2563/100))</f>
        <v/>
      </c>
      <c r="L2563" s="12" t="inlineStr"/>
      <c r="M2563" s="8">
        <f>IF(OR(L2563="",K2563="",L2563=0),"",
  (L2563-K2563)/L2563*100)</f>
        <v/>
      </c>
      <c r="N2563" s="14" t="n">
        <v>346</v>
      </c>
      <c r="O2563" s="4" t="inlineStr"/>
      <c r="P2563" s="4" t="inlineStr"/>
      <c r="Q2563" s="4" t="inlineStr"/>
      <c r="R2563" s="4" t="inlineStr">
        <is>
          <t>2026-03-12</t>
        </is>
      </c>
      <c r="S2563" s="4" t="inlineStr"/>
    </row>
    <row r="2564">
      <c r="A2564" s="10" t="inlineStr">
        <is>
          <t>F03027</t>
        </is>
      </c>
      <c r="B2564" s="10" t="inlineStr">
        <is>
          <t>F03027</t>
        </is>
      </c>
      <c r="C2564" s="10" t="inlineStr"/>
      <c r="D2564" s="10" t="inlineStr">
        <is>
          <t>6009705654079</t>
        </is>
      </c>
      <c r="E2564" s="10" t="inlineStr">
        <is>
          <t>DRILL BIT 4MM METAL LOOSE</t>
        </is>
      </c>
      <c r="F2564" s="10" t="inlineStr"/>
      <c r="G2564" s="10" t="inlineStr"/>
      <c r="H2564" s="10" t="inlineStr"/>
      <c r="I2564" s="11" t="n">
        <v>3.49</v>
      </c>
      <c r="J2564" s="6" t="n">
        <v>15</v>
      </c>
      <c r="K2564" s="7">
        <f>IF(I2564="","",I2564*(1+J2564/100))</f>
        <v/>
      </c>
      <c r="L2564" s="12" t="inlineStr"/>
      <c r="M2564" s="8">
        <f>IF(OR(L2564="",K2564="",L2564=0),"",
  (L2564-K2564)/L2564*100)</f>
        <v/>
      </c>
      <c r="N2564" s="13" t="n">
        <v>13</v>
      </c>
      <c r="O2564" s="10" t="inlineStr"/>
      <c r="P2564" s="10" t="inlineStr"/>
      <c r="Q2564" s="10" t="inlineStr"/>
      <c r="R2564" s="10" t="inlineStr">
        <is>
          <t>2026-03-12</t>
        </is>
      </c>
      <c r="S2564" s="10" t="inlineStr"/>
    </row>
    <row r="2565">
      <c r="A2565" s="3" t="inlineStr">
        <is>
          <t>F03028</t>
        </is>
      </c>
      <c r="B2565" s="4" t="inlineStr">
        <is>
          <t>F03028</t>
        </is>
      </c>
      <c r="C2565" s="4" t="inlineStr"/>
      <c r="D2565" s="4" t="inlineStr">
        <is>
          <t>6009705654086</t>
        </is>
      </c>
      <c r="E2565" s="3" t="inlineStr">
        <is>
          <t>DRILL BIT 5MM METAL LOOSE</t>
        </is>
      </c>
      <c r="F2565" s="4" t="inlineStr"/>
      <c r="G2565" s="4" t="inlineStr"/>
      <c r="H2565" s="4" t="inlineStr"/>
      <c r="I2565" s="5" t="n">
        <v>4.39</v>
      </c>
      <c r="J2565" s="6" t="n">
        <v>15</v>
      </c>
      <c r="K2565" s="7">
        <f>IF(I2565="","",I2565*(1+J2565/100))</f>
        <v/>
      </c>
      <c r="L2565" s="12" t="inlineStr"/>
      <c r="M2565" s="8">
        <f>IF(OR(L2565="",K2565="",L2565=0),"",
  (L2565-K2565)/L2565*100)</f>
        <v/>
      </c>
      <c r="N2565" s="14" t="n">
        <v>83</v>
      </c>
      <c r="O2565" s="4" t="inlineStr"/>
      <c r="P2565" s="4" t="inlineStr"/>
      <c r="Q2565" s="4" t="inlineStr"/>
      <c r="R2565" s="4" t="inlineStr">
        <is>
          <t>2026-03-12</t>
        </is>
      </c>
      <c r="S2565" s="4" t="inlineStr"/>
    </row>
    <row r="2566">
      <c r="A2566" s="10" t="inlineStr">
        <is>
          <t>F03029</t>
        </is>
      </c>
      <c r="B2566" s="10" t="inlineStr">
        <is>
          <t>F03029</t>
        </is>
      </c>
      <c r="C2566" s="10" t="inlineStr"/>
      <c r="D2566" s="10" t="inlineStr">
        <is>
          <t>6009705654093</t>
        </is>
      </c>
      <c r="E2566" s="10" t="inlineStr">
        <is>
          <t>DRILL BIT 6MM METAL LOOSE</t>
        </is>
      </c>
      <c r="F2566" s="10" t="inlineStr"/>
      <c r="G2566" s="10" t="inlineStr"/>
      <c r="H2566" s="10" t="inlineStr"/>
      <c r="I2566" s="11" t="n">
        <v>6.39</v>
      </c>
      <c r="J2566" s="6" t="n">
        <v>15</v>
      </c>
      <c r="K2566" s="7">
        <f>IF(I2566="","",I2566*(1+J2566/100))</f>
        <v/>
      </c>
      <c r="L2566" s="12" t="inlineStr"/>
      <c r="M2566" s="8">
        <f>IF(OR(L2566="",K2566="",L2566=0),"",
  (L2566-K2566)/L2566*100)</f>
        <v/>
      </c>
      <c r="N2566" s="13" t="n">
        <v>45</v>
      </c>
      <c r="O2566" s="10" t="inlineStr"/>
      <c r="P2566" s="10" t="inlineStr"/>
      <c r="Q2566" s="10" t="inlineStr"/>
      <c r="R2566" s="10" t="inlineStr">
        <is>
          <t>2026-03-12</t>
        </is>
      </c>
      <c r="S2566" s="10" t="inlineStr"/>
    </row>
    <row r="2567">
      <c r="A2567" s="3" t="inlineStr">
        <is>
          <t>F03030</t>
        </is>
      </c>
      <c r="B2567" s="4" t="inlineStr">
        <is>
          <t>F03030</t>
        </is>
      </c>
      <c r="C2567" s="4" t="inlineStr"/>
      <c r="D2567" s="4" t="inlineStr">
        <is>
          <t>6009705654109</t>
        </is>
      </c>
      <c r="E2567" s="3" t="inlineStr">
        <is>
          <t>DRILL BIT 7MM METAL LOOSE</t>
        </is>
      </c>
      <c r="F2567" s="4" t="inlineStr"/>
      <c r="G2567" s="4" t="inlineStr"/>
      <c r="H2567" s="4" t="inlineStr"/>
      <c r="I2567" s="5" t="n">
        <v>9.99</v>
      </c>
      <c r="J2567" s="6" t="n">
        <v>15</v>
      </c>
      <c r="K2567" s="7">
        <f>IF(I2567="","",I2567*(1+J2567/100))</f>
        <v/>
      </c>
      <c r="L2567" s="12" t="inlineStr"/>
      <c r="M2567" s="8">
        <f>IF(OR(L2567="",K2567="",L2567=0),"",
  (L2567-K2567)/L2567*100)</f>
        <v/>
      </c>
      <c r="N2567" s="14" t="n">
        <v>400</v>
      </c>
      <c r="O2567" s="4" t="inlineStr"/>
      <c r="P2567" s="4" t="inlineStr"/>
      <c r="Q2567" s="4" t="inlineStr"/>
      <c r="R2567" s="4" t="inlineStr">
        <is>
          <t>2026-03-12</t>
        </is>
      </c>
      <c r="S2567" s="4" t="inlineStr"/>
    </row>
    <row r="2568">
      <c r="A2568" s="10" t="inlineStr">
        <is>
          <t>F03031</t>
        </is>
      </c>
      <c r="B2568" s="10" t="inlineStr">
        <is>
          <t>F03031</t>
        </is>
      </c>
      <c r="C2568" s="10" t="inlineStr"/>
      <c r="D2568" s="10" t="inlineStr">
        <is>
          <t>6009705654116</t>
        </is>
      </c>
      <c r="E2568" s="10" t="inlineStr">
        <is>
          <t>DRILL BIT 8MM  STEEL LOOSE</t>
        </is>
      </c>
      <c r="F2568" s="10" t="inlineStr"/>
      <c r="G2568" s="10" t="inlineStr"/>
      <c r="H2568" s="10" t="inlineStr"/>
      <c r="I2568" s="11" t="n">
        <v>12.89</v>
      </c>
      <c r="J2568" s="6" t="n">
        <v>15</v>
      </c>
      <c r="K2568" s="7">
        <f>IF(I2568="","",I2568*(1+J2568/100))</f>
        <v/>
      </c>
      <c r="L2568" s="12" t="inlineStr"/>
      <c r="M2568" s="8">
        <f>IF(OR(L2568="",K2568="",L2568=0),"",
  (L2568-K2568)/L2568*100)</f>
        <v/>
      </c>
      <c r="N2568" s="13" t="n">
        <v>187</v>
      </c>
      <c r="O2568" s="10" t="inlineStr"/>
      <c r="P2568" s="10" t="inlineStr"/>
      <c r="Q2568" s="10" t="inlineStr"/>
      <c r="R2568" s="10" t="inlineStr">
        <is>
          <t>2026-03-12</t>
        </is>
      </c>
      <c r="S2568" s="10" t="inlineStr"/>
    </row>
    <row r="2569">
      <c r="A2569" s="3" t="inlineStr">
        <is>
          <t>F03032</t>
        </is>
      </c>
      <c r="B2569" s="4" t="inlineStr">
        <is>
          <t>F03032</t>
        </is>
      </c>
      <c r="C2569" s="4" t="inlineStr"/>
      <c r="D2569" s="4" t="inlineStr">
        <is>
          <t>6009705654123</t>
        </is>
      </c>
      <c r="E2569" s="3" t="inlineStr">
        <is>
          <t>DRILL BIT 9MM METAL LOOSE</t>
        </is>
      </c>
      <c r="F2569" s="4" t="inlineStr"/>
      <c r="G2569" s="4" t="inlineStr"/>
      <c r="H2569" s="4" t="inlineStr"/>
      <c r="I2569" s="5" t="n">
        <v>16.49</v>
      </c>
      <c r="J2569" s="6" t="n">
        <v>15</v>
      </c>
      <c r="K2569" s="7">
        <f>IF(I2569="","",I2569*(1+J2569/100))</f>
        <v/>
      </c>
      <c r="L2569" s="12" t="inlineStr"/>
      <c r="M2569" s="8">
        <f>IF(OR(L2569="",K2569="",L2569=0),"",
  (L2569-K2569)/L2569*100)</f>
        <v/>
      </c>
      <c r="N2569" s="14" t="n">
        <v>495</v>
      </c>
      <c r="O2569" s="4" t="inlineStr"/>
      <c r="P2569" s="4" t="inlineStr"/>
      <c r="Q2569" s="4" t="inlineStr"/>
      <c r="R2569" s="4" t="inlineStr">
        <is>
          <t>2026-03-12</t>
        </is>
      </c>
      <c r="S2569" s="4" t="inlineStr"/>
    </row>
    <row r="2570">
      <c r="A2570" s="10" t="inlineStr">
        <is>
          <t>F03033</t>
        </is>
      </c>
      <c r="B2570" s="10" t="inlineStr">
        <is>
          <t>F03033</t>
        </is>
      </c>
      <c r="C2570" s="10" t="inlineStr"/>
      <c r="D2570" s="10" t="inlineStr">
        <is>
          <t>6009705654130</t>
        </is>
      </c>
      <c r="E2570" s="10" t="inlineStr">
        <is>
          <t>DRILL BIT 10MM METAL LOOSE</t>
        </is>
      </c>
      <c r="F2570" s="10" t="inlineStr"/>
      <c r="G2570" s="10" t="inlineStr"/>
      <c r="H2570" s="10" t="inlineStr"/>
      <c r="I2570" s="11" t="n">
        <v>17.49</v>
      </c>
      <c r="J2570" s="6" t="n">
        <v>15</v>
      </c>
      <c r="K2570" s="7">
        <f>IF(I2570="","",I2570*(1+J2570/100))</f>
        <v/>
      </c>
      <c r="L2570" s="12" t="inlineStr"/>
      <c r="M2570" s="8">
        <f>IF(OR(L2570="",K2570="",L2570=0),"",
  (L2570-K2570)/L2570*100)</f>
        <v/>
      </c>
      <c r="N2570" s="13" t="n">
        <v>396</v>
      </c>
      <c r="O2570" s="10" t="inlineStr"/>
      <c r="P2570" s="10" t="inlineStr"/>
      <c r="Q2570" s="10" t="inlineStr"/>
      <c r="R2570" s="10" t="inlineStr">
        <is>
          <t>2026-03-12</t>
        </is>
      </c>
      <c r="S2570" s="10" t="inlineStr"/>
    </row>
    <row r="2571">
      <c r="A2571" s="3" t="inlineStr">
        <is>
          <t>F03034</t>
        </is>
      </c>
      <c r="B2571" s="4" t="inlineStr">
        <is>
          <t>F03034</t>
        </is>
      </c>
      <c r="C2571" s="4" t="inlineStr"/>
      <c r="D2571" s="4" t="inlineStr">
        <is>
          <t>6009705654147</t>
        </is>
      </c>
      <c r="E2571" s="3" t="inlineStr">
        <is>
          <t>DRILL BIT 11MM METAL LOOSE</t>
        </is>
      </c>
      <c r="F2571" s="4" t="inlineStr"/>
      <c r="G2571" s="4" t="inlineStr"/>
      <c r="H2571" s="4" t="inlineStr"/>
      <c r="I2571" s="5" t="n">
        <v>19.99</v>
      </c>
      <c r="J2571" s="6" t="n">
        <v>15</v>
      </c>
      <c r="K2571" s="7">
        <f>IF(I2571="","",I2571*(1+J2571/100))</f>
        <v/>
      </c>
      <c r="L2571" s="12" t="inlineStr"/>
      <c r="M2571" s="8">
        <f>IF(OR(L2571="",K2571="",L2571=0),"",
  (L2571-K2571)/L2571*100)</f>
        <v/>
      </c>
      <c r="N2571" s="14" t="n">
        <v>624</v>
      </c>
      <c r="O2571" s="4" t="inlineStr"/>
      <c r="P2571" s="4" t="inlineStr"/>
      <c r="Q2571" s="4" t="inlineStr"/>
      <c r="R2571" s="4" t="inlineStr">
        <is>
          <t>2026-03-12</t>
        </is>
      </c>
      <c r="S2571" s="4" t="inlineStr"/>
    </row>
    <row r="2572">
      <c r="A2572" s="10" t="inlineStr">
        <is>
          <t>F03035</t>
        </is>
      </c>
      <c r="B2572" s="10" t="inlineStr">
        <is>
          <t>F03035</t>
        </is>
      </c>
      <c r="C2572" s="10" t="inlineStr"/>
      <c r="D2572" s="10" t="inlineStr">
        <is>
          <t>6009705654154</t>
        </is>
      </c>
      <c r="E2572" s="10" t="inlineStr">
        <is>
          <t>DRILL BIT 12MM METAL LOOSE</t>
        </is>
      </c>
      <c r="F2572" s="10" t="inlineStr"/>
      <c r="G2572" s="10" t="inlineStr"/>
      <c r="H2572" s="10" t="inlineStr"/>
      <c r="I2572" s="11" t="n">
        <v>22.99</v>
      </c>
      <c r="J2572" s="6" t="n">
        <v>15</v>
      </c>
      <c r="K2572" s="7">
        <f>IF(I2572="","",I2572*(1+J2572/100))</f>
        <v/>
      </c>
      <c r="L2572" s="12" t="inlineStr"/>
      <c r="M2572" s="8">
        <f>IF(OR(L2572="",K2572="",L2572=0),"",
  (L2572-K2572)/L2572*100)</f>
        <v/>
      </c>
      <c r="N2572" s="13" t="n">
        <v>541</v>
      </c>
      <c r="O2572" s="10" t="inlineStr"/>
      <c r="P2572" s="10" t="inlineStr"/>
      <c r="Q2572" s="10" t="inlineStr"/>
      <c r="R2572" s="10" t="inlineStr">
        <is>
          <t>2026-03-12</t>
        </is>
      </c>
      <c r="S2572" s="10" t="inlineStr"/>
    </row>
    <row r="2573">
      <c r="A2573" s="3" t="inlineStr">
        <is>
          <t>F03036</t>
        </is>
      </c>
      <c r="B2573" s="4" t="inlineStr">
        <is>
          <t>F03036</t>
        </is>
      </c>
      <c r="C2573" s="4" t="inlineStr"/>
      <c r="D2573" s="4" t="inlineStr">
        <is>
          <t>6009705654161</t>
        </is>
      </c>
      <c r="E2573" s="3" t="inlineStr">
        <is>
          <t>DRILL BIT 3MM WOOD ,LOOSE</t>
        </is>
      </c>
      <c r="F2573" s="4" t="inlineStr"/>
      <c r="G2573" s="4" t="inlineStr"/>
      <c r="H2573" s="4" t="inlineStr"/>
      <c r="I2573" s="5" t="n">
        <v>1.89</v>
      </c>
      <c r="J2573" s="6" t="n">
        <v>15</v>
      </c>
      <c r="K2573" s="7">
        <f>IF(I2573="","",I2573*(1+J2573/100))</f>
        <v/>
      </c>
      <c r="L2573" s="12" t="inlineStr"/>
      <c r="M2573" s="8">
        <f>IF(OR(L2573="",K2573="",L2573=0),"",
  (L2573-K2573)/L2573*100)</f>
        <v/>
      </c>
      <c r="N2573" s="14" t="n">
        <v>521</v>
      </c>
      <c r="O2573" s="4" t="inlineStr"/>
      <c r="P2573" s="4" t="inlineStr"/>
      <c r="Q2573" s="4" t="inlineStr"/>
      <c r="R2573" s="4" t="inlineStr">
        <is>
          <t>2026-03-12</t>
        </is>
      </c>
      <c r="S2573" s="4" t="inlineStr"/>
    </row>
    <row r="2574">
      <c r="A2574" s="10" t="inlineStr">
        <is>
          <t>F03037</t>
        </is>
      </c>
      <c r="B2574" s="10" t="inlineStr">
        <is>
          <t>F03037</t>
        </is>
      </c>
      <c r="C2574" s="10" t="inlineStr"/>
      <c r="D2574" s="10" t="inlineStr">
        <is>
          <t>6009705654178</t>
        </is>
      </c>
      <c r="E2574" s="10" t="inlineStr">
        <is>
          <t>DRILL BIT 4MM WOOD, LOOSE</t>
        </is>
      </c>
      <c r="F2574" s="10" t="inlineStr"/>
      <c r="G2574" s="10" t="inlineStr"/>
      <c r="H2574" s="10" t="inlineStr"/>
      <c r="I2574" s="11" t="n">
        <v>2.49</v>
      </c>
      <c r="J2574" s="6" t="n">
        <v>15</v>
      </c>
      <c r="K2574" s="7">
        <f>IF(I2574="","",I2574*(1+J2574/100))</f>
        <v/>
      </c>
      <c r="L2574" s="12" t="inlineStr"/>
      <c r="M2574" s="8">
        <f>IF(OR(L2574="",K2574="",L2574=0),"",
  (L2574-K2574)/L2574*100)</f>
        <v/>
      </c>
      <c r="N2574" s="13" t="n">
        <v>410</v>
      </c>
      <c r="O2574" s="10" t="inlineStr"/>
      <c r="P2574" s="10" t="inlineStr"/>
      <c r="Q2574" s="10" t="inlineStr"/>
      <c r="R2574" s="10" t="inlineStr">
        <is>
          <t>2026-03-12</t>
        </is>
      </c>
      <c r="S2574" s="10" t="inlineStr"/>
    </row>
    <row r="2575">
      <c r="A2575" s="3" t="inlineStr">
        <is>
          <t>F03038</t>
        </is>
      </c>
      <c r="B2575" s="4" t="inlineStr">
        <is>
          <t>F03038</t>
        </is>
      </c>
      <c r="C2575" s="4" t="inlineStr"/>
      <c r="D2575" s="4" t="inlineStr">
        <is>
          <t>6009705654185</t>
        </is>
      </c>
      <c r="E2575" s="3" t="inlineStr">
        <is>
          <t>DRILL BIT 5MM WOOD LOOSE</t>
        </is>
      </c>
      <c r="F2575" s="4" t="inlineStr"/>
      <c r="G2575" s="4" t="inlineStr"/>
      <c r="H2575" s="4" t="inlineStr"/>
      <c r="I2575" s="5" t="n">
        <v>2.99</v>
      </c>
      <c r="J2575" s="6" t="n">
        <v>15</v>
      </c>
      <c r="K2575" s="7">
        <f>IF(I2575="","",I2575*(1+J2575/100))</f>
        <v/>
      </c>
      <c r="L2575" s="12" t="inlineStr"/>
      <c r="M2575" s="8">
        <f>IF(OR(L2575="",K2575="",L2575=0),"",
  (L2575-K2575)/L2575*100)</f>
        <v/>
      </c>
      <c r="N2575" s="14" t="n">
        <v>431</v>
      </c>
      <c r="O2575" s="4" t="inlineStr"/>
      <c r="P2575" s="4" t="inlineStr"/>
      <c r="Q2575" s="4" t="inlineStr"/>
      <c r="R2575" s="4" t="inlineStr">
        <is>
          <t>2026-03-12</t>
        </is>
      </c>
      <c r="S2575" s="4" t="inlineStr"/>
    </row>
    <row r="2576">
      <c r="A2576" s="10" t="inlineStr">
        <is>
          <t>F03039</t>
        </is>
      </c>
      <c r="B2576" s="10" t="inlineStr">
        <is>
          <t>F03039</t>
        </is>
      </c>
      <c r="C2576" s="10" t="inlineStr"/>
      <c r="D2576" s="10" t="inlineStr">
        <is>
          <t>6009705654192</t>
        </is>
      </c>
      <c r="E2576" s="10" t="inlineStr">
        <is>
          <t>DRILL BIT 6MM WOOD LOOSE</t>
        </is>
      </c>
      <c r="F2576" s="10" t="inlineStr"/>
      <c r="G2576" s="10" t="inlineStr"/>
      <c r="H2576" s="10" t="inlineStr"/>
      <c r="I2576" s="11" t="n">
        <v>3.49</v>
      </c>
      <c r="J2576" s="6" t="n">
        <v>15</v>
      </c>
      <c r="K2576" s="7">
        <f>IF(I2576="","",I2576*(1+J2576/100))</f>
        <v/>
      </c>
      <c r="L2576" s="12" t="inlineStr"/>
      <c r="M2576" s="8">
        <f>IF(OR(L2576="",K2576="",L2576=0),"",
  (L2576-K2576)/L2576*100)</f>
        <v/>
      </c>
      <c r="N2576" s="13" t="n">
        <v>283</v>
      </c>
      <c r="O2576" s="10" t="inlineStr"/>
      <c r="P2576" s="10" t="inlineStr"/>
      <c r="Q2576" s="10" t="inlineStr"/>
      <c r="R2576" s="10" t="inlineStr">
        <is>
          <t>2026-03-12</t>
        </is>
      </c>
      <c r="S2576" s="10" t="inlineStr"/>
    </row>
    <row r="2577">
      <c r="A2577" s="3" t="inlineStr">
        <is>
          <t>F03040</t>
        </is>
      </c>
      <c r="B2577" s="4" t="inlineStr">
        <is>
          <t>F03040</t>
        </is>
      </c>
      <c r="C2577" s="4" t="inlineStr"/>
      <c r="D2577" s="4" t="inlineStr">
        <is>
          <t>6009705654208</t>
        </is>
      </c>
      <c r="E2577" s="3" t="inlineStr">
        <is>
          <t>DRILL BIT 7MM WOOD LOOSE</t>
        </is>
      </c>
      <c r="F2577" s="4" t="inlineStr"/>
      <c r="G2577" s="4" t="inlineStr"/>
      <c r="H2577" s="4" t="inlineStr"/>
      <c r="I2577" s="5" t="n">
        <v>3.99</v>
      </c>
      <c r="J2577" s="6" t="n">
        <v>15</v>
      </c>
      <c r="K2577" s="7">
        <f>IF(I2577="","",I2577*(1+J2577/100))</f>
        <v/>
      </c>
      <c r="L2577" s="12" t="inlineStr"/>
      <c r="M2577" s="8">
        <f>IF(OR(L2577="",K2577="",L2577=0),"",
  (L2577-K2577)/L2577*100)</f>
        <v/>
      </c>
      <c r="N2577" s="14" t="n">
        <v>515</v>
      </c>
      <c r="O2577" s="4" t="inlineStr"/>
      <c r="P2577" s="4" t="inlineStr"/>
      <c r="Q2577" s="4" t="inlineStr"/>
      <c r="R2577" s="4" t="inlineStr">
        <is>
          <t>2026-03-12</t>
        </is>
      </c>
      <c r="S2577" s="4" t="inlineStr"/>
    </row>
    <row r="2578">
      <c r="A2578" s="10" t="inlineStr">
        <is>
          <t>F03041</t>
        </is>
      </c>
      <c r="B2578" s="10" t="inlineStr">
        <is>
          <t>F03041</t>
        </is>
      </c>
      <c r="C2578" s="10" t="inlineStr"/>
      <c r="D2578" s="10" t="inlineStr">
        <is>
          <t>6009705654215</t>
        </is>
      </c>
      <c r="E2578" s="10" t="inlineStr">
        <is>
          <t>DRILL BIT 8MM WOOD LOOSE</t>
        </is>
      </c>
      <c r="F2578" s="10" t="inlineStr"/>
      <c r="G2578" s="10" t="inlineStr"/>
      <c r="H2578" s="10" t="inlineStr"/>
      <c r="I2578" s="11" t="n">
        <v>4.99</v>
      </c>
      <c r="J2578" s="6" t="n">
        <v>15</v>
      </c>
      <c r="K2578" s="7">
        <f>IF(I2578="","",I2578*(1+J2578/100))</f>
        <v/>
      </c>
      <c r="L2578" s="12" t="inlineStr"/>
      <c r="M2578" s="8">
        <f>IF(OR(L2578="",K2578="",L2578=0),"",
  (L2578-K2578)/L2578*100)</f>
        <v/>
      </c>
      <c r="N2578" s="13" t="n">
        <v>338</v>
      </c>
      <c r="O2578" s="10" t="inlineStr"/>
      <c r="P2578" s="10" t="inlineStr"/>
      <c r="Q2578" s="10" t="inlineStr"/>
      <c r="R2578" s="10" t="inlineStr">
        <is>
          <t>2026-03-12</t>
        </is>
      </c>
      <c r="S2578" s="10" t="inlineStr"/>
    </row>
    <row r="2579">
      <c r="A2579" s="3" t="inlineStr">
        <is>
          <t>F03042</t>
        </is>
      </c>
      <c r="B2579" s="4" t="inlineStr">
        <is>
          <t>F03042</t>
        </is>
      </c>
      <c r="C2579" s="4" t="inlineStr"/>
      <c r="D2579" s="4" t="inlineStr">
        <is>
          <t>6009705654222</t>
        </is>
      </c>
      <c r="E2579" s="3" t="inlineStr">
        <is>
          <t>DRILL BIT 9MM WOOD LOOSE</t>
        </is>
      </c>
      <c r="F2579" s="4" t="inlineStr"/>
      <c r="G2579" s="4" t="inlineStr"/>
      <c r="H2579" s="4" t="inlineStr"/>
      <c r="I2579" s="5" t="n">
        <v>5.49</v>
      </c>
      <c r="J2579" s="6" t="n">
        <v>15</v>
      </c>
      <c r="K2579" s="7">
        <f>IF(I2579="","",I2579*(1+J2579/100))</f>
        <v/>
      </c>
      <c r="L2579" s="12" t="inlineStr"/>
      <c r="M2579" s="8">
        <f>IF(OR(L2579="",K2579="",L2579=0),"",
  (L2579-K2579)/L2579*100)</f>
        <v/>
      </c>
      <c r="N2579" s="14" t="n">
        <v>516</v>
      </c>
      <c r="O2579" s="4" t="inlineStr"/>
      <c r="P2579" s="4" t="inlineStr"/>
      <c r="Q2579" s="4" t="inlineStr"/>
      <c r="R2579" s="4" t="inlineStr">
        <is>
          <t>2026-03-12</t>
        </is>
      </c>
      <c r="S2579" s="4" t="inlineStr"/>
    </row>
    <row r="2580">
      <c r="A2580" s="10" t="inlineStr">
        <is>
          <t>F03043</t>
        </is>
      </c>
      <c r="B2580" s="10" t="inlineStr">
        <is>
          <t>F03043</t>
        </is>
      </c>
      <c r="C2580" s="10" t="inlineStr"/>
      <c r="D2580" s="10" t="inlineStr">
        <is>
          <t>6009705654239</t>
        </is>
      </c>
      <c r="E2580" s="10" t="inlineStr">
        <is>
          <t>DRILL BIT 10MM WOOD</t>
        </is>
      </c>
      <c r="F2580" s="10" t="inlineStr"/>
      <c r="G2580" s="10" t="inlineStr"/>
      <c r="H2580" s="10" t="inlineStr"/>
      <c r="I2580" s="11" t="n">
        <v>6.89</v>
      </c>
      <c r="J2580" s="6" t="n">
        <v>15</v>
      </c>
      <c r="K2580" s="7">
        <f>IF(I2580="","",I2580*(1+J2580/100))</f>
        <v/>
      </c>
      <c r="L2580" s="12" t="inlineStr"/>
      <c r="M2580" s="8">
        <f>IF(OR(L2580="",K2580="",L2580=0),"",
  (L2580-K2580)/L2580*100)</f>
        <v/>
      </c>
      <c r="N2580" s="13" t="n">
        <v>408</v>
      </c>
      <c r="O2580" s="10" t="inlineStr"/>
      <c r="P2580" s="10" t="inlineStr"/>
      <c r="Q2580" s="10" t="inlineStr"/>
      <c r="R2580" s="10" t="inlineStr">
        <is>
          <t>2026-03-12</t>
        </is>
      </c>
      <c r="S2580" s="10" t="inlineStr"/>
    </row>
    <row r="2581">
      <c r="A2581" s="3" t="inlineStr">
        <is>
          <t>F03044</t>
        </is>
      </c>
      <c r="B2581" s="4" t="inlineStr">
        <is>
          <t>F03044</t>
        </is>
      </c>
      <c r="C2581" s="4" t="inlineStr"/>
      <c r="D2581" s="4" t="inlineStr">
        <is>
          <t>6009705654246</t>
        </is>
      </c>
      <c r="E2581" s="3" t="inlineStr">
        <is>
          <t>DRILL BIT 11MM WOOD LOOSE</t>
        </is>
      </c>
      <c r="F2581" s="4" t="inlineStr"/>
      <c r="G2581" s="4" t="inlineStr"/>
      <c r="H2581" s="4" t="inlineStr"/>
      <c r="I2581" s="5" t="n">
        <v>8.890000000000001</v>
      </c>
      <c r="J2581" s="6" t="n">
        <v>15</v>
      </c>
      <c r="K2581" s="7">
        <f>IF(I2581="","",I2581*(1+J2581/100))</f>
        <v/>
      </c>
      <c r="L2581" s="12" t="inlineStr"/>
      <c r="M2581" s="8">
        <f>IF(OR(L2581="",K2581="",L2581=0),"",
  (L2581-K2581)/L2581*100)</f>
        <v/>
      </c>
      <c r="N2581" s="14" t="n">
        <v>630</v>
      </c>
      <c r="O2581" s="4" t="inlineStr"/>
      <c r="P2581" s="4" t="inlineStr"/>
      <c r="Q2581" s="4" t="inlineStr"/>
      <c r="R2581" s="4" t="inlineStr">
        <is>
          <t>2026-03-12</t>
        </is>
      </c>
      <c r="S2581" s="4" t="inlineStr"/>
    </row>
    <row r="2582">
      <c r="A2582" s="10" t="inlineStr">
        <is>
          <t>F03045</t>
        </is>
      </c>
      <c r="B2582" s="10" t="inlineStr">
        <is>
          <t>F03045</t>
        </is>
      </c>
      <c r="C2582" s="10" t="inlineStr"/>
      <c r="D2582" s="10" t="inlineStr">
        <is>
          <t>6009705654253</t>
        </is>
      </c>
      <c r="E2582" s="10" t="inlineStr">
        <is>
          <t>DRILL BIT 12MM WOOD LOOSE</t>
        </is>
      </c>
      <c r="F2582" s="10" t="inlineStr"/>
      <c r="G2582" s="10" t="inlineStr"/>
      <c r="H2582" s="10" t="inlineStr"/>
      <c r="I2582" s="11" t="n">
        <v>11.79</v>
      </c>
      <c r="J2582" s="6" t="n">
        <v>15</v>
      </c>
      <c r="K2582" s="7">
        <f>IF(I2582="","",I2582*(1+J2582/100))</f>
        <v/>
      </c>
      <c r="L2582" s="12" t="inlineStr"/>
      <c r="M2582" s="8">
        <f>IF(OR(L2582="",K2582="",L2582=0),"",
  (L2582-K2582)/L2582*100)</f>
        <v/>
      </c>
      <c r="N2582" s="13" t="n">
        <v>543</v>
      </c>
      <c r="O2582" s="10" t="inlineStr"/>
      <c r="P2582" s="10" t="inlineStr"/>
      <c r="Q2582" s="10" t="inlineStr"/>
      <c r="R2582" s="10" t="inlineStr">
        <is>
          <t>2026-03-12</t>
        </is>
      </c>
      <c r="S2582" s="10" t="inlineStr"/>
    </row>
    <row r="2583">
      <c r="A2583" s="3" t="inlineStr">
        <is>
          <t>F03046</t>
        </is>
      </c>
      <c r="B2583" s="4" t="inlineStr">
        <is>
          <t>F03046</t>
        </is>
      </c>
      <c r="C2583" s="4" t="inlineStr"/>
      <c r="D2583" s="4" t="inlineStr">
        <is>
          <t>6009705654260</t>
        </is>
      </c>
      <c r="E2583" s="3" t="inlineStr">
        <is>
          <t>DRILL BIT 3MM MASONARY LOOSE</t>
        </is>
      </c>
      <c r="F2583" s="4" t="inlineStr"/>
      <c r="G2583" s="4" t="inlineStr"/>
      <c r="H2583" s="4" t="inlineStr"/>
      <c r="I2583" s="5" t="n">
        <v>2.49</v>
      </c>
      <c r="J2583" s="6" t="n">
        <v>15</v>
      </c>
      <c r="K2583" s="7">
        <f>IF(I2583="","",I2583*(1+J2583/100))</f>
        <v/>
      </c>
      <c r="L2583" s="12" t="inlineStr"/>
      <c r="M2583" s="8">
        <f>IF(OR(L2583="",K2583="",L2583=0),"",
  (L2583-K2583)/L2583*100)</f>
        <v/>
      </c>
      <c r="N2583" s="14" t="n">
        <v>439</v>
      </c>
      <c r="O2583" s="4" t="inlineStr"/>
      <c r="P2583" s="4" t="inlineStr"/>
      <c r="Q2583" s="4" t="inlineStr"/>
      <c r="R2583" s="4" t="inlineStr">
        <is>
          <t>2026-03-12</t>
        </is>
      </c>
      <c r="S2583" s="4" t="inlineStr"/>
    </row>
    <row r="2584">
      <c r="A2584" s="10" t="inlineStr">
        <is>
          <t>F03047</t>
        </is>
      </c>
      <c r="B2584" s="10" t="inlineStr">
        <is>
          <t>F03047</t>
        </is>
      </c>
      <c r="C2584" s="10" t="inlineStr"/>
      <c r="D2584" s="10" t="inlineStr">
        <is>
          <t>6009705654277</t>
        </is>
      </c>
      <c r="E2584" s="10" t="inlineStr">
        <is>
          <t>DRILL BIT 4MM MASONARY  LOOSE</t>
        </is>
      </c>
      <c r="F2584" s="10" t="inlineStr"/>
      <c r="G2584" s="10" t="inlineStr"/>
      <c r="H2584" s="10" t="inlineStr"/>
      <c r="I2584" s="11" t="n">
        <v>2.89</v>
      </c>
      <c r="J2584" s="6" t="n">
        <v>15</v>
      </c>
      <c r="K2584" s="7">
        <f>IF(I2584="","",I2584*(1+J2584/100))</f>
        <v/>
      </c>
      <c r="L2584" s="12" t="inlineStr"/>
      <c r="M2584" s="8">
        <f>IF(OR(L2584="",K2584="",L2584=0),"",
  (L2584-K2584)/L2584*100)</f>
        <v/>
      </c>
      <c r="N2584" s="13" t="n">
        <v>209</v>
      </c>
      <c r="O2584" s="10" t="inlineStr"/>
      <c r="P2584" s="10" t="inlineStr"/>
      <c r="Q2584" s="10" t="inlineStr"/>
      <c r="R2584" s="10" t="inlineStr">
        <is>
          <t>2026-03-12</t>
        </is>
      </c>
      <c r="S2584" s="10" t="inlineStr"/>
    </row>
    <row r="2585">
      <c r="A2585" s="3" t="inlineStr">
        <is>
          <t>F03048</t>
        </is>
      </c>
      <c r="B2585" s="4" t="inlineStr">
        <is>
          <t>F03048</t>
        </is>
      </c>
      <c r="C2585" s="4" t="inlineStr"/>
      <c r="D2585" s="4" t="inlineStr">
        <is>
          <t>6009705654284</t>
        </is>
      </c>
      <c r="E2585" s="3" t="inlineStr">
        <is>
          <t>DRILL BIT 5MM MASONARY  LOOSE</t>
        </is>
      </c>
      <c r="F2585" s="4" t="inlineStr"/>
      <c r="G2585" s="4" t="inlineStr"/>
      <c r="H2585" s="4" t="inlineStr"/>
      <c r="I2585" s="5" t="n">
        <v>3.49</v>
      </c>
      <c r="J2585" s="6" t="n">
        <v>15</v>
      </c>
      <c r="K2585" s="7">
        <f>IF(I2585="","",I2585*(1+J2585/100))</f>
        <v/>
      </c>
      <c r="L2585" s="12" t="inlineStr"/>
      <c r="M2585" s="8">
        <f>IF(OR(L2585="",K2585="",L2585=0),"",
  (L2585-K2585)/L2585*100)</f>
        <v/>
      </c>
      <c r="N2585" s="14" t="n">
        <v>124</v>
      </c>
      <c r="O2585" s="4" t="inlineStr"/>
      <c r="P2585" s="4" t="inlineStr"/>
      <c r="Q2585" s="4" t="inlineStr"/>
      <c r="R2585" s="4" t="inlineStr">
        <is>
          <t>2026-03-12</t>
        </is>
      </c>
      <c r="S2585" s="4" t="inlineStr"/>
    </row>
    <row r="2586">
      <c r="A2586" s="10" t="inlineStr">
        <is>
          <t>F03049</t>
        </is>
      </c>
      <c r="B2586" s="10" t="inlineStr">
        <is>
          <t>F03049</t>
        </is>
      </c>
      <c r="C2586" s="10" t="inlineStr"/>
      <c r="D2586" s="10" t="inlineStr">
        <is>
          <t>6009705654291</t>
        </is>
      </c>
      <c r="E2586" s="10" t="inlineStr">
        <is>
          <t>DRILL BIT 6MM MASONARY  LOOSE</t>
        </is>
      </c>
      <c r="F2586" s="10" t="inlineStr"/>
      <c r="G2586" s="10" t="inlineStr"/>
      <c r="H2586" s="10" t="inlineStr"/>
      <c r="I2586" s="11" t="n">
        <v>4.99</v>
      </c>
      <c r="J2586" s="6" t="n">
        <v>15</v>
      </c>
      <c r="K2586" s="7">
        <f>IF(I2586="","",I2586*(1+J2586/100))</f>
        <v/>
      </c>
      <c r="L2586" s="12" t="inlineStr"/>
      <c r="M2586" s="8">
        <f>IF(OR(L2586="",K2586="",L2586=0),"",
  (L2586-K2586)/L2586*100)</f>
        <v/>
      </c>
      <c r="N2586" s="13" t="n">
        <v>6</v>
      </c>
      <c r="O2586" s="10" t="inlineStr"/>
      <c r="P2586" s="10" t="inlineStr"/>
      <c r="Q2586" s="10" t="inlineStr"/>
      <c r="R2586" s="10" t="inlineStr">
        <is>
          <t>2026-03-12</t>
        </is>
      </c>
      <c r="S2586" s="10" t="inlineStr"/>
    </row>
    <row r="2587">
      <c r="A2587" s="3" t="inlineStr">
        <is>
          <t>F03050</t>
        </is>
      </c>
      <c r="B2587" s="4" t="inlineStr">
        <is>
          <t>F03050</t>
        </is>
      </c>
      <c r="C2587" s="4" t="inlineStr"/>
      <c r="D2587" s="4" t="inlineStr">
        <is>
          <t>6009705654307</t>
        </is>
      </c>
      <c r="E2587" s="3" t="inlineStr">
        <is>
          <t>DRILL BIT 7MM MASONARY  LOOSE</t>
        </is>
      </c>
      <c r="F2587" s="4" t="inlineStr"/>
      <c r="G2587" s="4" t="inlineStr"/>
      <c r="H2587" s="4" t="inlineStr"/>
      <c r="I2587" s="5" t="n">
        <v>5.49</v>
      </c>
      <c r="J2587" s="6" t="n">
        <v>15</v>
      </c>
      <c r="K2587" s="7">
        <f>IF(I2587="","",I2587*(1+J2587/100))</f>
        <v/>
      </c>
      <c r="L2587" s="12" t="inlineStr"/>
      <c r="M2587" s="8">
        <f>IF(OR(L2587="",K2587="",L2587=0),"",
  (L2587-K2587)/L2587*100)</f>
        <v/>
      </c>
      <c r="N2587" s="14" t="n">
        <v>184</v>
      </c>
      <c r="O2587" s="4" t="inlineStr"/>
      <c r="P2587" s="4" t="inlineStr"/>
      <c r="Q2587" s="4" t="inlineStr"/>
      <c r="R2587" s="4" t="inlineStr">
        <is>
          <t>2026-03-12</t>
        </is>
      </c>
      <c r="S2587" s="4" t="inlineStr"/>
    </row>
    <row r="2588">
      <c r="A2588" s="10" t="inlineStr">
        <is>
          <t>F03051</t>
        </is>
      </c>
      <c r="B2588" s="10" t="inlineStr">
        <is>
          <t>F03051</t>
        </is>
      </c>
      <c r="C2588" s="10" t="inlineStr"/>
      <c r="D2588" s="10" t="inlineStr">
        <is>
          <t>6009705654314</t>
        </is>
      </c>
      <c r="E2588" s="10" t="inlineStr">
        <is>
          <t>DRILL BIT 8MM MASONARY LOOSE</t>
        </is>
      </c>
      <c r="F2588" s="10" t="inlineStr"/>
      <c r="G2588" s="10" t="inlineStr"/>
      <c r="H2588" s="10" t="inlineStr"/>
      <c r="I2588" s="11" t="n">
        <v>7.29</v>
      </c>
      <c r="J2588" s="6" t="n">
        <v>15</v>
      </c>
      <c r="K2588" s="7">
        <f>IF(I2588="","",I2588*(1+J2588/100))</f>
        <v/>
      </c>
      <c r="L2588" s="12" t="inlineStr"/>
      <c r="M2588" s="8">
        <f>IF(OR(L2588="",K2588="",L2588=0),"",
  (L2588-K2588)/L2588*100)</f>
        <v/>
      </c>
      <c r="N2588" s="9" t="inlineStr"/>
      <c r="O2588" s="10" t="inlineStr"/>
      <c r="P2588" s="10" t="inlineStr"/>
      <c r="Q2588" s="10" t="inlineStr"/>
      <c r="R2588" s="10" t="inlineStr">
        <is>
          <t>2026-03-12</t>
        </is>
      </c>
      <c r="S2588" s="10" t="inlineStr"/>
    </row>
    <row r="2589">
      <c r="A2589" s="3" t="inlineStr">
        <is>
          <t>F03052</t>
        </is>
      </c>
      <c r="B2589" s="4" t="inlineStr">
        <is>
          <t>F03052</t>
        </is>
      </c>
      <c r="C2589" s="4" t="inlineStr"/>
      <c r="D2589" s="4" t="inlineStr">
        <is>
          <t>6009705654321</t>
        </is>
      </c>
      <c r="E2589" s="3" t="inlineStr">
        <is>
          <t>DRILL BIT 9MM MASONARY</t>
        </is>
      </c>
      <c r="F2589" s="4" t="inlineStr"/>
      <c r="G2589" s="4" t="inlineStr"/>
      <c r="H2589" s="4" t="inlineStr"/>
      <c r="I2589" s="5" t="n">
        <v>8.99</v>
      </c>
      <c r="J2589" s="6" t="n">
        <v>15</v>
      </c>
      <c r="K2589" s="7">
        <f>IF(I2589="","",I2589*(1+J2589/100))</f>
        <v/>
      </c>
      <c r="L2589" s="12" t="inlineStr"/>
      <c r="M2589" s="8">
        <f>IF(OR(L2589="",K2589="",L2589=0),"",
  (L2589-K2589)/L2589*100)</f>
        <v/>
      </c>
      <c r="N2589" s="14" t="n">
        <v>445</v>
      </c>
      <c r="O2589" s="4" t="inlineStr"/>
      <c r="P2589" s="4" t="inlineStr"/>
      <c r="Q2589" s="4" t="inlineStr"/>
      <c r="R2589" s="4" t="inlineStr">
        <is>
          <t>2026-03-12</t>
        </is>
      </c>
      <c r="S2589" s="4" t="inlineStr"/>
    </row>
    <row r="2590">
      <c r="A2590" s="10" t="inlineStr">
        <is>
          <t>F03053</t>
        </is>
      </c>
      <c r="B2590" s="10" t="inlineStr">
        <is>
          <t>F03053</t>
        </is>
      </c>
      <c r="C2590" s="10" t="inlineStr"/>
      <c r="D2590" s="10" t="inlineStr">
        <is>
          <t>6009705654338</t>
        </is>
      </c>
      <c r="E2590" s="10" t="inlineStr">
        <is>
          <t>DRILL BIT 10MM,MASONARY</t>
        </is>
      </c>
      <c r="F2590" s="10" t="inlineStr"/>
      <c r="G2590" s="10" t="inlineStr"/>
      <c r="H2590" s="10" t="inlineStr"/>
      <c r="I2590" s="11" t="n">
        <v>10.99</v>
      </c>
      <c r="J2590" s="6" t="n">
        <v>15</v>
      </c>
      <c r="K2590" s="7">
        <f>IF(I2590="","",I2590*(1+J2590/100))</f>
        <v/>
      </c>
      <c r="L2590" s="12" t="inlineStr"/>
      <c r="M2590" s="8">
        <f>IF(OR(L2590="",K2590="",L2590=0),"",
  (L2590-K2590)/L2590*100)</f>
        <v/>
      </c>
      <c r="N2590" s="13" t="n">
        <v>250</v>
      </c>
      <c r="O2590" s="10" t="inlineStr"/>
      <c r="P2590" s="10" t="inlineStr"/>
      <c r="Q2590" s="10" t="inlineStr"/>
      <c r="R2590" s="10" t="inlineStr">
        <is>
          <t>2026-03-12</t>
        </is>
      </c>
      <c r="S2590" s="10" t="inlineStr"/>
    </row>
    <row r="2591">
      <c r="A2591" s="3" t="inlineStr">
        <is>
          <t>F03054</t>
        </is>
      </c>
      <c r="B2591" s="4" t="inlineStr">
        <is>
          <t>F03054</t>
        </is>
      </c>
      <c r="C2591" s="4" t="inlineStr"/>
      <c r="D2591" s="4" t="inlineStr">
        <is>
          <t>6009705654345</t>
        </is>
      </c>
      <c r="E2591" s="3" t="inlineStr">
        <is>
          <t>DRILL BIT 11MM, MASONARY</t>
        </is>
      </c>
      <c r="F2591" s="4" t="inlineStr"/>
      <c r="G2591" s="4" t="inlineStr"/>
      <c r="H2591" s="4" t="inlineStr"/>
      <c r="I2591" s="5" t="n">
        <v>12.99</v>
      </c>
      <c r="J2591" s="6" t="n">
        <v>15</v>
      </c>
      <c r="K2591" s="7">
        <f>IF(I2591="","",I2591*(1+J2591/100))</f>
        <v/>
      </c>
      <c r="L2591" s="12" t="inlineStr"/>
      <c r="M2591" s="8">
        <f>IF(OR(L2591="",K2591="",L2591=0),"",
  (L2591-K2591)/L2591*100)</f>
        <v/>
      </c>
      <c r="N2591" s="14" t="n">
        <v>549</v>
      </c>
      <c r="O2591" s="4" t="inlineStr"/>
      <c r="P2591" s="4" t="inlineStr"/>
      <c r="Q2591" s="4" t="inlineStr"/>
      <c r="R2591" s="4" t="inlineStr">
        <is>
          <t>2026-03-12</t>
        </is>
      </c>
      <c r="S2591" s="4" t="inlineStr"/>
    </row>
    <row r="2592">
      <c r="A2592" s="10" t="inlineStr">
        <is>
          <t>F03055</t>
        </is>
      </c>
      <c r="B2592" s="10" t="inlineStr">
        <is>
          <t>F03055</t>
        </is>
      </c>
      <c r="C2592" s="10" t="inlineStr"/>
      <c r="D2592" s="10" t="inlineStr">
        <is>
          <t>6009705654352</t>
        </is>
      </c>
      <c r="E2592" s="10" t="inlineStr">
        <is>
          <t>DRILL BIT 12MM, MASONARY</t>
        </is>
      </c>
      <c r="F2592" s="10" t="inlineStr"/>
      <c r="G2592" s="10" t="inlineStr"/>
      <c r="H2592" s="10" t="inlineStr"/>
      <c r="I2592" s="11" t="n">
        <v>15.99</v>
      </c>
      <c r="J2592" s="6" t="n">
        <v>15</v>
      </c>
      <c r="K2592" s="7">
        <f>IF(I2592="","",I2592*(1+J2592/100))</f>
        <v/>
      </c>
      <c r="L2592" s="12" t="inlineStr"/>
      <c r="M2592" s="8">
        <f>IF(OR(L2592="",K2592="",L2592=0),"",
  (L2592-K2592)/L2592*100)</f>
        <v/>
      </c>
      <c r="N2592" s="13" t="n">
        <v>441</v>
      </c>
      <c r="O2592" s="10" t="inlineStr"/>
      <c r="P2592" s="10" t="inlineStr"/>
      <c r="Q2592" s="10" t="inlineStr"/>
      <c r="R2592" s="10" t="inlineStr">
        <is>
          <t>2026-03-12</t>
        </is>
      </c>
      <c r="S2592" s="10" t="inlineStr"/>
    </row>
    <row r="2593">
      <c r="A2593" s="3" t="inlineStr">
        <is>
          <t>F03056</t>
        </is>
      </c>
      <c r="B2593" s="4" t="inlineStr">
        <is>
          <t>F03056</t>
        </is>
      </c>
      <c r="C2593" s="4" t="inlineStr"/>
      <c r="D2593" s="4" t="inlineStr">
        <is>
          <t>6009705654369</t>
        </is>
      </c>
      <c r="E2593" s="3" t="inlineStr">
        <is>
          <t>STAPLE GUN + STAPLES</t>
        </is>
      </c>
      <c r="F2593" s="4" t="inlineStr"/>
      <c r="G2593" s="4" t="inlineStr"/>
      <c r="H2593" s="4" t="inlineStr"/>
      <c r="I2593" s="5" t="n">
        <v>97.95</v>
      </c>
      <c r="J2593" s="6" t="n">
        <v>15</v>
      </c>
      <c r="K2593" s="7">
        <f>IF(I2593="","",I2593*(1+J2593/100))</f>
        <v/>
      </c>
      <c r="L2593" s="12" t="inlineStr"/>
      <c r="M2593" s="8">
        <f>IF(OR(L2593="",K2593="",L2593=0),"",
  (L2593-K2593)/L2593*100)</f>
        <v/>
      </c>
      <c r="N2593" s="14" t="n">
        <v>222</v>
      </c>
      <c r="O2593" s="4" t="inlineStr"/>
      <c r="P2593" s="4" t="inlineStr"/>
      <c r="Q2593" s="4" t="inlineStr"/>
      <c r="R2593" s="4" t="inlineStr">
        <is>
          <t>2026-03-12</t>
        </is>
      </c>
      <c r="S2593" s="4" t="inlineStr"/>
    </row>
    <row r="2594">
      <c r="A2594" s="10" t="inlineStr">
        <is>
          <t>F03057</t>
        </is>
      </c>
      <c r="B2594" s="10" t="inlineStr">
        <is>
          <t>F03057</t>
        </is>
      </c>
      <c r="C2594" s="10" t="inlineStr"/>
      <c r="D2594" s="10" t="inlineStr">
        <is>
          <t>6009705654376</t>
        </is>
      </c>
      <c r="E2594" s="10" t="inlineStr">
        <is>
          <t>DRILL BIT 6X160 ALCO SDS</t>
        </is>
      </c>
      <c r="F2594" s="10" t="inlineStr"/>
      <c r="G2594" s="10" t="inlineStr"/>
      <c r="H2594" s="10" t="inlineStr"/>
      <c r="I2594" s="11" t="n">
        <v>8.99</v>
      </c>
      <c r="J2594" s="6" t="n">
        <v>15</v>
      </c>
      <c r="K2594" s="7">
        <f>IF(I2594="","",I2594*(1+J2594/100))</f>
        <v/>
      </c>
      <c r="L2594" s="12" t="inlineStr"/>
      <c r="M2594" s="8">
        <f>IF(OR(L2594="",K2594="",L2594=0),"",
  (L2594-K2594)/L2594*100)</f>
        <v/>
      </c>
      <c r="N2594" s="13" t="n">
        <v>7</v>
      </c>
      <c r="O2594" s="10" t="inlineStr"/>
      <c r="P2594" s="10" t="inlineStr"/>
      <c r="Q2594" s="10" t="inlineStr"/>
      <c r="R2594" s="10" t="inlineStr">
        <is>
          <t>2026-03-12</t>
        </is>
      </c>
      <c r="S2594" s="10" t="inlineStr"/>
    </row>
    <row r="2595">
      <c r="A2595" s="3" t="inlineStr">
        <is>
          <t>F03058</t>
        </is>
      </c>
      <c r="B2595" s="4" t="inlineStr">
        <is>
          <t>F03058</t>
        </is>
      </c>
      <c r="C2595" s="4" t="inlineStr"/>
      <c r="D2595" s="4" t="inlineStr">
        <is>
          <t>6009705654383</t>
        </is>
      </c>
      <c r="E2595" s="3" t="inlineStr">
        <is>
          <t>DRILL BIT 8X160 ALCO SDS</t>
        </is>
      </c>
      <c r="F2595" s="4" t="inlineStr"/>
      <c r="G2595" s="4" t="inlineStr"/>
      <c r="H2595" s="4" t="inlineStr"/>
      <c r="I2595" s="5" t="n">
        <v>11.49</v>
      </c>
      <c r="J2595" s="6" t="n">
        <v>15</v>
      </c>
      <c r="K2595" s="7">
        <f>IF(I2595="","",I2595*(1+J2595/100))</f>
        <v/>
      </c>
      <c r="L2595" s="12" t="inlineStr"/>
      <c r="M2595" s="8">
        <f>IF(OR(L2595="",K2595="",L2595=0),"",
  (L2595-K2595)/L2595*100)</f>
        <v/>
      </c>
      <c r="N2595" s="14" t="n">
        <v>89</v>
      </c>
      <c r="O2595" s="4" t="inlineStr"/>
      <c r="P2595" s="4" t="inlineStr"/>
      <c r="Q2595" s="4" t="inlineStr"/>
      <c r="R2595" s="4" t="inlineStr">
        <is>
          <t>2026-03-12</t>
        </is>
      </c>
      <c r="S2595" s="4" t="inlineStr"/>
    </row>
    <row r="2596">
      <c r="A2596" s="10" t="inlineStr">
        <is>
          <t>F03059</t>
        </is>
      </c>
      <c r="B2596" s="10" t="inlineStr">
        <is>
          <t>F03059</t>
        </is>
      </c>
      <c r="C2596" s="10" t="inlineStr"/>
      <c r="D2596" s="10" t="inlineStr">
        <is>
          <t>6009705654390</t>
        </is>
      </c>
      <c r="E2596" s="10" t="inlineStr">
        <is>
          <t>DRILL BIT 10X160 ALCO SDS</t>
        </is>
      </c>
      <c r="F2596" s="10" t="inlineStr"/>
      <c r="G2596" s="10" t="inlineStr"/>
      <c r="H2596" s="10" t="inlineStr"/>
      <c r="I2596" s="11" t="n">
        <v>14.99</v>
      </c>
      <c r="J2596" s="6" t="n">
        <v>15</v>
      </c>
      <c r="K2596" s="7">
        <f>IF(I2596="","",I2596*(1+J2596/100))</f>
        <v/>
      </c>
      <c r="L2596" s="12" t="inlineStr"/>
      <c r="M2596" s="8">
        <f>IF(OR(L2596="",K2596="",L2596=0),"",
  (L2596-K2596)/L2596*100)</f>
        <v/>
      </c>
      <c r="N2596" s="13" t="n">
        <v>205</v>
      </c>
      <c r="O2596" s="10" t="inlineStr"/>
      <c r="P2596" s="10" t="inlineStr"/>
      <c r="Q2596" s="10" t="inlineStr"/>
      <c r="R2596" s="10" t="inlineStr">
        <is>
          <t>2026-03-12</t>
        </is>
      </c>
      <c r="S2596" s="10" t="inlineStr"/>
    </row>
    <row r="2597">
      <c r="A2597" s="3" t="inlineStr">
        <is>
          <t>F03060</t>
        </is>
      </c>
      <c r="B2597" s="4" t="inlineStr">
        <is>
          <t>F03060</t>
        </is>
      </c>
      <c r="C2597" s="4" t="inlineStr"/>
      <c r="D2597" s="4" t="inlineStr">
        <is>
          <t>6009705654406</t>
        </is>
      </c>
      <c r="E2597" s="3" t="inlineStr">
        <is>
          <t>DRILL BIT 12X160 ALCO SDS</t>
        </is>
      </c>
      <c r="F2597" s="4" t="inlineStr"/>
      <c r="G2597" s="4" t="inlineStr"/>
      <c r="H2597" s="4" t="inlineStr"/>
      <c r="I2597" s="5" t="n">
        <v>19.49</v>
      </c>
      <c r="J2597" s="6" t="n">
        <v>15</v>
      </c>
      <c r="K2597" s="7">
        <f>IF(I2597="","",I2597*(1+J2597/100))</f>
        <v/>
      </c>
      <c r="L2597" s="12" t="inlineStr"/>
      <c r="M2597" s="8">
        <f>IF(OR(L2597="",K2597="",L2597=0),"",
  (L2597-K2597)/L2597*100)</f>
        <v/>
      </c>
      <c r="N2597" s="14" t="n">
        <v>226</v>
      </c>
      <c r="O2597" s="4" t="inlineStr"/>
      <c r="P2597" s="4" t="inlineStr"/>
      <c r="Q2597" s="4" t="inlineStr"/>
      <c r="R2597" s="4" t="inlineStr">
        <is>
          <t>2026-03-12</t>
        </is>
      </c>
      <c r="S2597" s="4" t="inlineStr"/>
    </row>
    <row r="2598">
      <c r="A2598" s="10" t="inlineStr">
        <is>
          <t>F03061</t>
        </is>
      </c>
      <c r="B2598" s="10" t="inlineStr">
        <is>
          <t>F03061</t>
        </is>
      </c>
      <c r="C2598" s="10" t="inlineStr"/>
      <c r="D2598" s="10" t="inlineStr">
        <is>
          <t>6009705654413</t>
        </is>
      </c>
      <c r="E2598" s="10" t="inlineStr">
        <is>
          <t>TAPE INSULATION 10PK ASSRTD COLORS</t>
        </is>
      </c>
      <c r="F2598" s="10" t="inlineStr"/>
      <c r="G2598" s="10" t="inlineStr"/>
      <c r="H2598" s="10" t="inlineStr"/>
      <c r="I2598" s="11" t="n">
        <v>32.95</v>
      </c>
      <c r="J2598" s="6" t="n">
        <v>15</v>
      </c>
      <c r="K2598" s="7">
        <f>IF(I2598="","",I2598*(1+J2598/100))</f>
        <v/>
      </c>
      <c r="L2598" s="12" t="inlineStr"/>
      <c r="M2598" s="8">
        <f>IF(OR(L2598="",K2598="",L2598=0),"",
  (L2598-K2598)/L2598*100)</f>
        <v/>
      </c>
      <c r="N2598" s="13" t="n">
        <v>302</v>
      </c>
      <c r="O2598" s="10" t="inlineStr"/>
      <c r="P2598" s="10" t="inlineStr"/>
      <c r="Q2598" s="10" t="inlineStr"/>
      <c r="R2598" s="10" t="inlineStr">
        <is>
          <t>2026-03-12</t>
        </is>
      </c>
      <c r="S2598" s="10" t="inlineStr"/>
    </row>
    <row r="2599">
      <c r="A2599" s="3" t="inlineStr">
        <is>
          <t>F03062</t>
        </is>
      </c>
      <c r="B2599" s="4" t="inlineStr">
        <is>
          <t>F03062</t>
        </is>
      </c>
      <c r="C2599" s="4" t="inlineStr"/>
      <c r="D2599" s="4" t="inlineStr">
        <is>
          <t>6009705654420</t>
        </is>
      </c>
      <c r="E2599" s="3" t="inlineStr">
        <is>
          <t>TAPE INSULATION 10PK BLACK</t>
        </is>
      </c>
      <c r="F2599" s="4" t="inlineStr"/>
      <c r="G2599" s="4" t="inlineStr"/>
      <c r="H2599" s="4" t="inlineStr"/>
      <c r="I2599" s="5" t="n">
        <v>32.95</v>
      </c>
      <c r="J2599" s="6" t="n">
        <v>15</v>
      </c>
      <c r="K2599" s="7">
        <f>IF(I2599="","",I2599*(1+J2599/100))</f>
        <v/>
      </c>
      <c r="L2599" s="12" t="inlineStr"/>
      <c r="M2599" s="8">
        <f>IF(OR(L2599="",K2599="",L2599=0),"",
  (L2599-K2599)/L2599*100)</f>
        <v/>
      </c>
      <c r="N2599" s="14" t="n">
        <v>103</v>
      </c>
      <c r="O2599" s="4" t="inlineStr"/>
      <c r="P2599" s="4" t="inlineStr"/>
      <c r="Q2599" s="4" t="inlineStr"/>
      <c r="R2599" s="4" t="inlineStr">
        <is>
          <t>2026-03-12</t>
        </is>
      </c>
      <c r="S2599" s="4" t="inlineStr"/>
    </row>
    <row r="2600">
      <c r="A2600" s="10" t="inlineStr">
        <is>
          <t>F03063</t>
        </is>
      </c>
      <c r="B2600" s="10" t="inlineStr">
        <is>
          <t>F03063</t>
        </is>
      </c>
      <c r="C2600" s="10" t="inlineStr"/>
      <c r="D2600" s="10" t="inlineStr">
        <is>
          <t>6009705654680</t>
        </is>
      </c>
      <c r="E2600" s="10" t="inlineStr">
        <is>
          <t>ACOUSTIC WALL PANEL GREY COLR 2.7MX.60CM</t>
        </is>
      </c>
      <c r="F2600" s="10" t="inlineStr"/>
      <c r="G2600" s="10" t="inlineStr"/>
      <c r="H2600" s="10" t="inlineStr"/>
      <c r="I2600" s="11" t="n">
        <v>3180</v>
      </c>
      <c r="J2600" s="6" t="n">
        <v>15</v>
      </c>
      <c r="K2600" s="7">
        <f>IF(I2600="","",I2600*(1+J2600/100))</f>
        <v/>
      </c>
      <c r="L2600" s="12" t="inlineStr"/>
      <c r="M2600" s="8">
        <f>IF(OR(L2600="",K2600="",L2600=0),"",
  (L2600-K2600)/L2600*100)</f>
        <v/>
      </c>
      <c r="N2600" s="13" t="n">
        <v>129</v>
      </c>
      <c r="O2600" s="10" t="inlineStr"/>
      <c r="P2600" s="10" t="inlineStr"/>
      <c r="Q2600" s="10" t="inlineStr"/>
      <c r="R2600" s="10" t="inlineStr">
        <is>
          <t>2026-03-12</t>
        </is>
      </c>
      <c r="S2600" s="10" t="inlineStr"/>
    </row>
    <row r="2601">
      <c r="A2601" s="3" t="inlineStr">
        <is>
          <t>F03064</t>
        </is>
      </c>
      <c r="B2601" s="4" t="inlineStr">
        <is>
          <t>F03064</t>
        </is>
      </c>
      <c r="C2601" s="4" t="inlineStr"/>
      <c r="D2601" s="4" t="inlineStr">
        <is>
          <t>6009705654444</t>
        </is>
      </c>
      <c r="E2601" s="3" t="inlineStr">
        <is>
          <t>EDGING ROLL  S/STEEL 2CMX5M GOLD</t>
        </is>
      </c>
      <c r="F2601" s="4" t="inlineStr"/>
      <c r="G2601" s="4" t="inlineStr"/>
      <c r="H2601" s="4" t="inlineStr"/>
      <c r="I2601" s="5" t="n">
        <v>79.95</v>
      </c>
      <c r="J2601" s="6" t="n">
        <v>15</v>
      </c>
      <c r="K2601" s="7">
        <f>IF(I2601="","",I2601*(1+J2601/100))</f>
        <v/>
      </c>
      <c r="L2601" s="12" t="inlineStr"/>
      <c r="M2601" s="8">
        <f>IF(OR(L2601="",K2601="",L2601=0),"",
  (L2601-K2601)/L2601*100)</f>
        <v/>
      </c>
      <c r="N2601" s="14" t="n">
        <v>220</v>
      </c>
      <c r="O2601" s="4" t="inlineStr"/>
      <c r="P2601" s="4" t="inlineStr"/>
      <c r="Q2601" s="4" t="inlineStr"/>
      <c r="R2601" s="4" t="inlineStr">
        <is>
          <t>2026-03-12</t>
        </is>
      </c>
      <c r="S2601" s="4" t="inlineStr"/>
    </row>
    <row r="2602">
      <c r="A2602" s="10" t="inlineStr">
        <is>
          <t>F03065</t>
        </is>
      </c>
      <c r="B2602" s="10" t="inlineStr">
        <is>
          <t>F03065</t>
        </is>
      </c>
      <c r="C2602" s="10" t="inlineStr"/>
      <c r="D2602" s="10" t="inlineStr">
        <is>
          <t>6009705654451</t>
        </is>
      </c>
      <c r="E2602" s="10" t="inlineStr">
        <is>
          <t>EDGING ROLL S/STEEL 2CMX5M SILVER</t>
        </is>
      </c>
      <c r="F2602" s="10" t="inlineStr"/>
      <c r="G2602" s="10" t="inlineStr"/>
      <c r="H2602" s="10" t="inlineStr"/>
      <c r="I2602" s="11" t="n">
        <v>72.95</v>
      </c>
      <c r="J2602" s="6" t="n">
        <v>15</v>
      </c>
      <c r="K2602" s="7">
        <f>IF(I2602="","",I2602*(1+J2602/100))</f>
        <v/>
      </c>
      <c r="L2602" s="12" t="inlineStr"/>
      <c r="M2602" s="8">
        <f>IF(OR(L2602="",K2602="",L2602=0),"",
  (L2602-K2602)/L2602*100)</f>
        <v/>
      </c>
      <c r="N2602" s="13" t="n">
        <v>133</v>
      </c>
      <c r="O2602" s="10" t="inlineStr"/>
      <c r="P2602" s="10" t="inlineStr"/>
      <c r="Q2602" s="10" t="inlineStr"/>
      <c r="R2602" s="10" t="inlineStr">
        <is>
          <t>2026-03-12</t>
        </is>
      </c>
      <c r="S2602" s="10" t="inlineStr"/>
    </row>
    <row r="2603">
      <c r="A2603" s="3" t="inlineStr">
        <is>
          <t>F03066</t>
        </is>
      </c>
      <c r="B2603" s="4" t="inlineStr">
        <is>
          <t>F03066</t>
        </is>
      </c>
      <c r="C2603" s="4" t="inlineStr"/>
      <c r="D2603" s="4" t="inlineStr">
        <is>
          <t>6009705654468</t>
        </is>
      </c>
      <c r="E2603" s="3" t="inlineStr">
        <is>
          <t>EDGING ROLL  S/STEEL 2CMX5M BLACK</t>
        </is>
      </c>
      <c r="F2603" s="4" t="inlineStr"/>
      <c r="G2603" s="4" t="inlineStr"/>
      <c r="H2603" s="4" t="inlineStr"/>
      <c r="I2603" s="5" t="n">
        <v>72.95</v>
      </c>
      <c r="J2603" s="6" t="n">
        <v>15</v>
      </c>
      <c r="K2603" s="7">
        <f>IF(I2603="","",I2603*(1+J2603/100))</f>
        <v/>
      </c>
      <c r="L2603" s="12" t="inlineStr"/>
      <c r="M2603" s="8">
        <f>IF(OR(L2603="",K2603="",L2603=0),"",
  (L2603-K2603)/L2603*100)</f>
        <v/>
      </c>
      <c r="N2603" s="14" t="n">
        <v>804</v>
      </c>
      <c r="O2603" s="4" t="inlineStr"/>
      <c r="P2603" s="4" t="inlineStr"/>
      <c r="Q2603" s="4" t="inlineStr"/>
      <c r="R2603" s="4" t="inlineStr">
        <is>
          <t>2026-03-12</t>
        </is>
      </c>
      <c r="S2603" s="4" t="inlineStr"/>
    </row>
    <row r="2604">
      <c r="A2604" s="10" t="inlineStr">
        <is>
          <t>F03067</t>
        </is>
      </c>
      <c r="B2604" s="10" t="inlineStr">
        <is>
          <t>F03067</t>
        </is>
      </c>
      <c r="C2604" s="10" t="inlineStr"/>
      <c r="D2604" s="10" t="inlineStr">
        <is>
          <t>6009705654475</t>
        </is>
      </c>
      <c r="E2604" s="10" t="inlineStr">
        <is>
          <t>EDGING ROLL S/STEEL 2CMX5M  ROSEG</t>
        </is>
      </c>
      <c r="F2604" s="10" t="inlineStr"/>
      <c r="G2604" s="10" t="inlineStr"/>
      <c r="H2604" s="10" t="inlineStr"/>
      <c r="I2604" s="11" t="n">
        <v>79.95</v>
      </c>
      <c r="J2604" s="6" t="n">
        <v>15</v>
      </c>
      <c r="K2604" s="7">
        <f>IF(I2604="","",I2604*(1+J2604/100))</f>
        <v/>
      </c>
      <c r="L2604" s="12" t="inlineStr"/>
      <c r="M2604" s="8">
        <f>IF(OR(L2604="",K2604="",L2604=0),"",
  (L2604-K2604)/L2604*100)</f>
        <v/>
      </c>
      <c r="N2604" s="13" t="n">
        <v>240</v>
      </c>
      <c r="O2604" s="10" t="inlineStr"/>
      <c r="P2604" s="10" t="inlineStr"/>
      <c r="Q2604" s="10" t="inlineStr"/>
      <c r="R2604" s="10" t="inlineStr">
        <is>
          <t>2026-03-12</t>
        </is>
      </c>
      <c r="S2604" s="10" t="inlineStr"/>
    </row>
    <row r="2605">
      <c r="A2605" s="3" t="inlineStr">
        <is>
          <t>F03068</t>
        </is>
      </c>
      <c r="B2605" s="4" t="inlineStr">
        <is>
          <t>F03068</t>
        </is>
      </c>
      <c r="C2605" s="4" t="inlineStr"/>
      <c r="D2605" s="4" t="inlineStr">
        <is>
          <t>6009705654482</t>
        </is>
      </c>
      <c r="E2605" s="3" t="inlineStr">
        <is>
          <t>EDGING ROLL S/STEEL 5CMX5M STICKER GOLD</t>
        </is>
      </c>
      <c r="F2605" s="4" t="inlineStr"/>
      <c r="G2605" s="4" t="inlineStr"/>
      <c r="H2605" s="4" t="inlineStr"/>
      <c r="I2605" s="5" t="n">
        <v>125.95</v>
      </c>
      <c r="J2605" s="6" t="n">
        <v>15</v>
      </c>
      <c r="K2605" s="7">
        <f>IF(I2605="","",I2605*(1+J2605/100))</f>
        <v/>
      </c>
      <c r="L2605" s="12" t="inlineStr"/>
      <c r="M2605" s="8">
        <f>IF(OR(L2605="",K2605="",L2605=0),"",
  (L2605-K2605)/L2605*100)</f>
        <v/>
      </c>
      <c r="N2605" s="14" t="n">
        <v>57</v>
      </c>
      <c r="O2605" s="4" t="inlineStr"/>
      <c r="P2605" s="4" t="inlineStr"/>
      <c r="Q2605" s="4" t="inlineStr"/>
      <c r="R2605" s="4" t="inlineStr">
        <is>
          <t>2026-03-12</t>
        </is>
      </c>
      <c r="S2605" s="4" t="inlineStr"/>
    </row>
    <row r="2606">
      <c r="A2606" s="10" t="inlineStr">
        <is>
          <t>F03069</t>
        </is>
      </c>
      <c r="B2606" s="10" t="inlineStr">
        <is>
          <t>F03069</t>
        </is>
      </c>
      <c r="C2606" s="10" t="inlineStr"/>
      <c r="D2606" s="10" t="inlineStr">
        <is>
          <t>6009705654499</t>
        </is>
      </c>
      <c r="E2606" s="10" t="inlineStr">
        <is>
          <t>EDGING ROLL  S/STEEL 5CMX5M STICKER SILV</t>
        </is>
      </c>
      <c r="F2606" s="10" t="inlineStr"/>
      <c r="G2606" s="10" t="inlineStr"/>
      <c r="H2606" s="10" t="inlineStr"/>
      <c r="I2606" s="11" t="n">
        <v>115.95</v>
      </c>
      <c r="J2606" s="6" t="n">
        <v>15</v>
      </c>
      <c r="K2606" s="7">
        <f>IF(I2606="","",I2606*(1+J2606/100))</f>
        <v/>
      </c>
      <c r="L2606" s="12" t="inlineStr"/>
      <c r="M2606" s="8">
        <f>IF(OR(L2606="",K2606="",L2606=0),"",
  (L2606-K2606)/L2606*100)</f>
        <v/>
      </c>
      <c r="N2606" s="13" t="n">
        <v>108</v>
      </c>
      <c r="O2606" s="10" t="inlineStr"/>
      <c r="P2606" s="10" t="inlineStr"/>
      <c r="Q2606" s="10" t="inlineStr"/>
      <c r="R2606" s="10" t="inlineStr">
        <is>
          <t>2026-03-12</t>
        </is>
      </c>
      <c r="S2606" s="10" t="inlineStr"/>
    </row>
    <row r="2607">
      <c r="A2607" s="3" t="inlineStr">
        <is>
          <t>F03070</t>
        </is>
      </c>
      <c r="B2607" s="4" t="inlineStr">
        <is>
          <t>F03070</t>
        </is>
      </c>
      <c r="C2607" s="4" t="inlineStr"/>
      <c r="D2607" s="4" t="inlineStr">
        <is>
          <t>6009705654505</t>
        </is>
      </c>
      <c r="E2607" s="3" t="inlineStr">
        <is>
          <t>EDGING ROLL S/STEEL 5CMX5M STICKER BLACK</t>
        </is>
      </c>
      <c r="F2607" s="4" t="inlineStr"/>
      <c r="G2607" s="4" t="inlineStr"/>
      <c r="H2607" s="4" t="inlineStr"/>
      <c r="I2607" s="5" t="n">
        <v>115.95</v>
      </c>
      <c r="J2607" s="6" t="n">
        <v>15</v>
      </c>
      <c r="K2607" s="7">
        <f>IF(I2607="","",I2607*(1+J2607/100))</f>
        <v/>
      </c>
      <c r="L2607" s="12" t="inlineStr"/>
      <c r="M2607" s="8">
        <f>IF(OR(L2607="",K2607="",L2607=0),"",
  (L2607-K2607)/L2607*100)</f>
        <v/>
      </c>
      <c r="N2607" s="14" t="n">
        <v>149</v>
      </c>
      <c r="O2607" s="4" t="inlineStr"/>
      <c r="P2607" s="4" t="inlineStr"/>
      <c r="Q2607" s="4" t="inlineStr"/>
      <c r="R2607" s="4" t="inlineStr">
        <is>
          <t>2026-03-12</t>
        </is>
      </c>
      <c r="S2607" s="4" t="inlineStr"/>
    </row>
    <row r="2608">
      <c r="A2608" s="10" t="inlineStr">
        <is>
          <t>F03071</t>
        </is>
      </c>
      <c r="B2608" s="10" t="inlineStr">
        <is>
          <t>F03071</t>
        </is>
      </c>
      <c r="C2608" s="10" t="inlineStr"/>
      <c r="D2608" s="10" t="inlineStr">
        <is>
          <t>6009705654512</t>
        </is>
      </c>
      <c r="E2608" s="10" t="inlineStr">
        <is>
          <t>EDGING ROLL S/STEEL 5CMX5M STICKER ROSEG</t>
        </is>
      </c>
      <c r="F2608" s="10" t="inlineStr"/>
      <c r="G2608" s="10" t="inlineStr"/>
      <c r="H2608" s="10" t="inlineStr"/>
      <c r="I2608" s="11" t="n">
        <v>125.95</v>
      </c>
      <c r="J2608" s="6" t="n">
        <v>15</v>
      </c>
      <c r="K2608" s="7">
        <f>IF(I2608="","",I2608*(1+J2608/100))</f>
        <v/>
      </c>
      <c r="L2608" s="12" t="inlineStr"/>
      <c r="M2608" s="8">
        <f>IF(OR(L2608="",K2608="",L2608=0),"",
  (L2608-K2608)/L2608*100)</f>
        <v/>
      </c>
      <c r="N2608" s="13" t="n">
        <v>105</v>
      </c>
      <c r="O2608" s="10" t="inlineStr"/>
      <c r="P2608" s="10" t="inlineStr"/>
      <c r="Q2608" s="10" t="inlineStr"/>
      <c r="R2608" s="10" t="inlineStr">
        <is>
          <t>2026-03-12</t>
        </is>
      </c>
      <c r="S2608" s="10" t="inlineStr"/>
    </row>
    <row r="2609">
      <c r="A2609" s="3" t="inlineStr">
        <is>
          <t>F03072</t>
        </is>
      </c>
      <c r="B2609" s="4" t="inlineStr">
        <is>
          <t>F03072</t>
        </is>
      </c>
      <c r="C2609" s="4" t="inlineStr"/>
      <c r="D2609" s="4" t="inlineStr">
        <is>
          <t>6009705654529</t>
        </is>
      </c>
      <c r="E2609" s="3" t="inlineStr">
        <is>
          <t>DIVIDER WPC GREY  2.9MX10CMX5CM</t>
        </is>
      </c>
      <c r="F2609" s="4" t="inlineStr"/>
      <c r="G2609" s="4" t="inlineStr"/>
      <c r="H2609" s="4" t="inlineStr"/>
      <c r="I2609" s="5" t="n">
        <v>1590</v>
      </c>
      <c r="J2609" s="6" t="n">
        <v>15</v>
      </c>
      <c r="K2609" s="7">
        <f>IF(I2609="","",I2609*(1+J2609/100))</f>
        <v/>
      </c>
      <c r="L2609" s="12" t="inlineStr"/>
      <c r="M2609" s="8">
        <f>IF(OR(L2609="",K2609="",L2609=0),"",
  (L2609-K2609)/L2609*100)</f>
        <v/>
      </c>
      <c r="N2609" s="9" t="inlineStr"/>
      <c r="O2609" s="4" t="inlineStr"/>
      <c r="P2609" s="4" t="inlineStr"/>
      <c r="Q2609" s="4" t="inlineStr"/>
      <c r="R2609" s="4" t="inlineStr">
        <is>
          <t>2026-03-12</t>
        </is>
      </c>
      <c r="S2609" s="4" t="inlineStr"/>
    </row>
    <row r="2610">
      <c r="A2610" s="10" t="inlineStr">
        <is>
          <t>F03073</t>
        </is>
      </c>
      <c r="B2610" s="10" t="inlineStr">
        <is>
          <t>F03073</t>
        </is>
      </c>
      <c r="C2610" s="10" t="inlineStr"/>
      <c r="D2610" s="10" t="inlineStr">
        <is>
          <t>6009705654536</t>
        </is>
      </c>
      <c r="E2610" s="10" t="inlineStr">
        <is>
          <t>DIVIDER WPC DARK GREY  2.9MX10CMX5CM</t>
        </is>
      </c>
      <c r="F2610" s="10" t="inlineStr"/>
      <c r="G2610" s="10" t="inlineStr"/>
      <c r="H2610" s="10" t="inlineStr"/>
      <c r="I2610" s="11" t="n">
        <v>1590</v>
      </c>
      <c r="J2610" s="6" t="n">
        <v>15</v>
      </c>
      <c r="K2610" s="7">
        <f>IF(I2610="","",I2610*(1+J2610/100))</f>
        <v/>
      </c>
      <c r="L2610" s="12" t="inlineStr"/>
      <c r="M2610" s="8">
        <f>IF(OR(L2610="",K2610="",L2610=0),"",
  (L2610-K2610)/L2610*100)</f>
        <v/>
      </c>
      <c r="N2610" s="13" t="n">
        <v>7</v>
      </c>
      <c r="O2610" s="10" t="inlineStr"/>
      <c r="P2610" s="10" t="inlineStr"/>
      <c r="Q2610" s="10" t="inlineStr"/>
      <c r="R2610" s="10" t="inlineStr">
        <is>
          <t>2026-03-12</t>
        </is>
      </c>
      <c r="S2610" s="10" t="inlineStr"/>
    </row>
    <row r="2611">
      <c r="A2611" s="3" t="inlineStr">
        <is>
          <t>F03074</t>
        </is>
      </c>
      <c r="B2611" s="4" t="inlineStr">
        <is>
          <t>F03074</t>
        </is>
      </c>
      <c r="C2611" s="4" t="inlineStr"/>
      <c r="D2611" s="4" t="inlineStr">
        <is>
          <t>6009705654543</t>
        </is>
      </c>
      <c r="E2611" s="3" t="inlineStr">
        <is>
          <t>DIVIDER WPC WENGE  2.9MX10CMX5CM</t>
        </is>
      </c>
      <c r="F2611" s="4" t="inlineStr"/>
      <c r="G2611" s="4" t="inlineStr"/>
      <c r="H2611" s="4" t="inlineStr"/>
      <c r="I2611" s="5" t="n">
        <v>1590</v>
      </c>
      <c r="J2611" s="6" t="n">
        <v>15</v>
      </c>
      <c r="K2611" s="7">
        <f>IF(I2611="","",I2611*(1+J2611/100))</f>
        <v/>
      </c>
      <c r="L2611" s="12" t="inlineStr"/>
      <c r="M2611" s="8">
        <f>IF(OR(L2611="",K2611="",L2611=0),"",
  (L2611-K2611)/L2611*100)</f>
        <v/>
      </c>
      <c r="N2611" s="14" t="n">
        <v>19</v>
      </c>
      <c r="O2611" s="4" t="inlineStr"/>
      <c r="P2611" s="4" t="inlineStr"/>
      <c r="Q2611" s="4" t="inlineStr"/>
      <c r="R2611" s="4" t="inlineStr">
        <is>
          <t>2026-03-12</t>
        </is>
      </c>
      <c r="S2611" s="4" t="inlineStr"/>
    </row>
    <row r="2612">
      <c r="A2612" s="10" t="inlineStr">
        <is>
          <t>F03075</t>
        </is>
      </c>
      <c r="B2612" s="10" t="inlineStr">
        <is>
          <t>F03075</t>
        </is>
      </c>
      <c r="C2612" s="10" t="inlineStr"/>
      <c r="D2612" s="10" t="inlineStr">
        <is>
          <t>6009705654550</t>
        </is>
      </c>
      <c r="E2612" s="10" t="inlineStr">
        <is>
          <t>DIVIDER WPC NERO 2.9MX10CMX5CM</t>
        </is>
      </c>
      <c r="F2612" s="10" t="inlineStr"/>
      <c r="G2612" s="10" t="inlineStr"/>
      <c r="H2612" s="10" t="inlineStr"/>
      <c r="I2612" s="11" t="n">
        <v>1590</v>
      </c>
      <c r="J2612" s="6" t="n">
        <v>15</v>
      </c>
      <c r="K2612" s="7">
        <f>IF(I2612="","",I2612*(1+J2612/100))</f>
        <v/>
      </c>
      <c r="L2612" s="12" t="inlineStr"/>
      <c r="M2612" s="8">
        <f>IF(OR(L2612="",K2612="",L2612=0),"",
  (L2612-K2612)/L2612*100)</f>
        <v/>
      </c>
      <c r="N2612" s="13" t="n">
        <v>16</v>
      </c>
      <c r="O2612" s="10" t="inlineStr"/>
      <c r="P2612" s="10" t="inlineStr"/>
      <c r="Q2612" s="10" t="inlineStr"/>
      <c r="R2612" s="10" t="inlineStr">
        <is>
          <t>2026-03-12</t>
        </is>
      </c>
      <c r="S2612" s="10" t="inlineStr"/>
    </row>
    <row r="2613">
      <c r="A2613" s="3" t="inlineStr">
        <is>
          <t>F03076</t>
        </is>
      </c>
      <c r="B2613" s="4" t="inlineStr">
        <is>
          <t>F03076</t>
        </is>
      </c>
      <c r="C2613" s="4" t="inlineStr"/>
      <c r="D2613" s="4" t="inlineStr">
        <is>
          <t>6009705654567</t>
        </is>
      </c>
      <c r="E2613" s="3" t="inlineStr">
        <is>
          <t>DIVIDER WPC TEAKWOOD  2.9MX10CMX5CM</t>
        </is>
      </c>
      <c r="F2613" s="4" t="inlineStr"/>
      <c r="G2613" s="4" t="inlineStr"/>
      <c r="H2613" s="4" t="inlineStr"/>
      <c r="I2613" s="5" t="n">
        <v>1590</v>
      </c>
      <c r="J2613" s="6" t="n">
        <v>15</v>
      </c>
      <c r="K2613" s="7">
        <f>IF(I2613="","",I2613*(1+J2613/100))</f>
        <v/>
      </c>
      <c r="L2613" s="12" t="inlineStr"/>
      <c r="M2613" s="8">
        <f>IF(OR(L2613="",K2613="",L2613=0),"",
  (L2613-K2613)/L2613*100)</f>
        <v/>
      </c>
      <c r="N2613" s="14" t="n">
        <v>1</v>
      </c>
      <c r="O2613" s="4" t="inlineStr"/>
      <c r="P2613" s="4" t="inlineStr"/>
      <c r="Q2613" s="4" t="inlineStr"/>
      <c r="R2613" s="4" t="inlineStr">
        <is>
          <t>2026-03-12</t>
        </is>
      </c>
      <c r="S2613" s="4" t="inlineStr"/>
    </row>
    <row r="2614">
      <c r="A2614" s="10" t="inlineStr">
        <is>
          <t>F03077</t>
        </is>
      </c>
      <c r="B2614" s="10" t="inlineStr">
        <is>
          <t>F03077</t>
        </is>
      </c>
      <c r="C2614" s="10" t="inlineStr"/>
      <c r="D2614" s="10" t="inlineStr">
        <is>
          <t>6009705654574</t>
        </is>
      </c>
      <c r="E2614" s="10" t="inlineStr">
        <is>
          <t>CAMP CHAIR, DIRECTORS CHAIR-MEDIUM</t>
        </is>
      </c>
      <c r="F2614" s="10" t="inlineStr"/>
      <c r="G2614" s="10" t="inlineStr"/>
      <c r="H2614" s="10" t="inlineStr"/>
      <c r="I2614" s="11" t="n">
        <v>239</v>
      </c>
      <c r="J2614" s="6" t="n">
        <v>15</v>
      </c>
      <c r="K2614" s="7">
        <f>IF(I2614="","",I2614*(1+J2614/100))</f>
        <v/>
      </c>
      <c r="L2614" s="12" t="inlineStr"/>
      <c r="M2614" s="8">
        <f>IF(OR(L2614="",K2614="",L2614=0),"",
  (L2614-K2614)/L2614*100)</f>
        <v/>
      </c>
      <c r="N2614" s="9" t="inlineStr"/>
      <c r="O2614" s="10" t="inlineStr"/>
      <c r="P2614" s="10" t="inlineStr"/>
      <c r="Q2614" s="10" t="inlineStr"/>
      <c r="R2614" s="10" t="inlineStr">
        <is>
          <t>2026-03-12</t>
        </is>
      </c>
      <c r="S2614" s="10" t="inlineStr"/>
    </row>
    <row r="2615">
      <c r="A2615" s="3" t="inlineStr">
        <is>
          <t>F03078</t>
        </is>
      </c>
      <c r="B2615" s="4" t="inlineStr">
        <is>
          <t>F03078</t>
        </is>
      </c>
      <c r="C2615" s="4" t="inlineStr"/>
      <c r="D2615" s="4" t="inlineStr">
        <is>
          <t>6009705654581</t>
        </is>
      </c>
      <c r="E2615" s="3" t="inlineStr">
        <is>
          <t>CAMP CHAIR + SHADE COVER</t>
        </is>
      </c>
      <c r="F2615" s="4" t="inlineStr"/>
      <c r="G2615" s="4" t="inlineStr"/>
      <c r="H2615" s="4" t="inlineStr"/>
      <c r="I2615" s="5" t="n">
        <v>289</v>
      </c>
      <c r="J2615" s="6" t="n">
        <v>15</v>
      </c>
      <c r="K2615" s="7">
        <f>IF(I2615="","",I2615*(1+J2615/100))</f>
        <v/>
      </c>
      <c r="L2615" s="12" t="inlineStr"/>
      <c r="M2615" s="8">
        <f>IF(OR(L2615="",K2615="",L2615=0),"",
  (L2615-K2615)/L2615*100)</f>
        <v/>
      </c>
      <c r="N2615" s="14" t="n">
        <v>16</v>
      </c>
      <c r="O2615" s="4" t="inlineStr"/>
      <c r="P2615" s="4" t="inlineStr"/>
      <c r="Q2615" s="4" t="inlineStr"/>
      <c r="R2615" s="4" t="inlineStr">
        <is>
          <t>2026-03-12</t>
        </is>
      </c>
      <c r="S2615" s="4" t="inlineStr"/>
    </row>
    <row r="2616">
      <c r="A2616" s="10" t="inlineStr">
        <is>
          <t>F03079</t>
        </is>
      </c>
      <c r="B2616" s="10" t="inlineStr">
        <is>
          <t>F03079</t>
        </is>
      </c>
      <c r="C2616" s="10" t="inlineStr"/>
      <c r="D2616" s="10" t="inlineStr">
        <is>
          <t>6009705654598</t>
        </is>
      </c>
      <c r="E2616" s="10" t="inlineStr">
        <is>
          <t>MIRROR STICKER SILVER 23*26.5CM HB-01</t>
        </is>
      </c>
      <c r="F2616" s="10" t="inlineStr"/>
      <c r="G2616" s="10" t="inlineStr"/>
      <c r="H2616" s="10" t="inlineStr"/>
      <c r="I2616" s="11" t="n">
        <v>22.95</v>
      </c>
      <c r="J2616" s="6" t="n">
        <v>15</v>
      </c>
      <c r="K2616" s="7">
        <f>IF(I2616="","",I2616*(1+J2616/100))</f>
        <v/>
      </c>
      <c r="L2616" s="12" t="inlineStr"/>
      <c r="M2616" s="8">
        <f>IF(OR(L2616="",K2616="",L2616=0),"",
  (L2616-K2616)/L2616*100)</f>
        <v/>
      </c>
      <c r="N2616" s="13" t="n">
        <v>2776</v>
      </c>
      <c r="O2616" s="10" t="inlineStr"/>
      <c r="P2616" s="10" t="inlineStr"/>
      <c r="Q2616" s="10" t="inlineStr"/>
      <c r="R2616" s="10" t="inlineStr">
        <is>
          <t>2026-03-12</t>
        </is>
      </c>
      <c r="S2616" s="10" t="inlineStr"/>
    </row>
    <row r="2617">
      <c r="A2617" s="3" t="inlineStr">
        <is>
          <t>F03080</t>
        </is>
      </c>
      <c r="B2617" s="4" t="inlineStr">
        <is>
          <t>F03080</t>
        </is>
      </c>
      <c r="C2617" s="4" t="inlineStr"/>
      <c r="D2617" s="4" t="inlineStr">
        <is>
          <t>6009705654604</t>
        </is>
      </c>
      <c r="E2617" s="3" t="inlineStr">
        <is>
          <t>MIRROR BLACK STICKER</t>
        </is>
      </c>
      <c r="F2617" s="4" t="inlineStr"/>
      <c r="G2617" s="4" t="inlineStr"/>
      <c r="H2617" s="4" t="inlineStr"/>
      <c r="I2617" s="5" t="n">
        <v>22.95</v>
      </c>
      <c r="J2617" s="6" t="n">
        <v>15</v>
      </c>
      <c r="K2617" s="7">
        <f>IF(I2617="","",I2617*(1+J2617/100))</f>
        <v/>
      </c>
      <c r="L2617" s="12" t="inlineStr"/>
      <c r="M2617" s="8">
        <f>IF(OR(L2617="",K2617="",L2617=0),"",
  (L2617-K2617)/L2617*100)</f>
        <v/>
      </c>
      <c r="N2617" s="14" t="n">
        <v>3458</v>
      </c>
      <c r="O2617" s="4" t="inlineStr"/>
      <c r="P2617" s="4" t="inlineStr"/>
      <c r="Q2617" s="4" t="inlineStr"/>
      <c r="R2617" s="4" t="inlineStr">
        <is>
          <t>2026-03-12</t>
        </is>
      </c>
      <c r="S2617" s="4" t="inlineStr"/>
    </row>
    <row r="2618">
      <c r="A2618" s="10" t="inlineStr">
        <is>
          <t>F03081</t>
        </is>
      </c>
      <c r="B2618" s="10" t="inlineStr">
        <is>
          <t>F03081</t>
        </is>
      </c>
      <c r="C2618" s="10" t="inlineStr"/>
      <c r="D2618" s="10" t="inlineStr">
        <is>
          <t>6009705654611</t>
        </is>
      </c>
      <c r="E2618" s="10" t="inlineStr">
        <is>
          <t>MIRROR STICKER 23*26 5CM ROSE GOLD HB-04</t>
        </is>
      </c>
      <c r="F2618" s="10" t="inlineStr"/>
      <c r="G2618" s="10" t="inlineStr"/>
      <c r="H2618" s="10" t="inlineStr"/>
      <c r="I2618" s="11" t="n">
        <v>22.95</v>
      </c>
      <c r="J2618" s="6" t="n">
        <v>15</v>
      </c>
      <c r="K2618" s="7">
        <f>IF(I2618="","",I2618*(1+J2618/100))</f>
        <v/>
      </c>
      <c r="L2618" s="12" t="inlineStr"/>
      <c r="M2618" s="8">
        <f>IF(OR(L2618="",K2618="",L2618=0),"",
  (L2618-K2618)/L2618*100)</f>
        <v/>
      </c>
      <c r="N2618" s="13" t="n">
        <v>3038</v>
      </c>
      <c r="O2618" s="10" t="inlineStr"/>
      <c r="P2618" s="10" t="inlineStr"/>
      <c r="Q2618" s="10" t="inlineStr"/>
      <c r="R2618" s="10" t="inlineStr">
        <is>
          <t>2026-03-12</t>
        </is>
      </c>
      <c r="S2618" s="10" t="inlineStr"/>
    </row>
    <row r="2619">
      <c r="A2619" s="3" t="inlineStr">
        <is>
          <t>F03082</t>
        </is>
      </c>
      <c r="B2619" s="4" t="inlineStr">
        <is>
          <t>F03082</t>
        </is>
      </c>
      <c r="C2619" s="4" t="inlineStr"/>
      <c r="D2619" s="4" t="inlineStr">
        <is>
          <t>6009705654628</t>
        </is>
      </c>
      <c r="E2619" s="3" t="inlineStr">
        <is>
          <t>MIRROR STICKER 17*30CM SILVER HE-01</t>
        </is>
      </c>
      <c r="F2619" s="4" t="inlineStr"/>
      <c r="G2619" s="4" t="inlineStr"/>
      <c r="H2619" s="4" t="inlineStr"/>
      <c r="I2619" s="5" t="n">
        <v>17.95</v>
      </c>
      <c r="J2619" s="6" t="n">
        <v>15</v>
      </c>
      <c r="K2619" s="7">
        <f>IF(I2619="","",I2619*(1+J2619/100))</f>
        <v/>
      </c>
      <c r="L2619" s="12" t="inlineStr"/>
      <c r="M2619" s="8">
        <f>IF(OR(L2619="",K2619="",L2619=0),"",
  (L2619-K2619)/L2619*100)</f>
        <v/>
      </c>
      <c r="N2619" s="14" t="n">
        <v>2983</v>
      </c>
      <c r="O2619" s="4" t="inlineStr"/>
      <c r="P2619" s="4" t="inlineStr"/>
      <c r="Q2619" s="4" t="inlineStr"/>
      <c r="R2619" s="4" t="inlineStr">
        <is>
          <t>2026-03-12</t>
        </is>
      </c>
      <c r="S2619" s="4" t="inlineStr"/>
    </row>
    <row r="2620">
      <c r="A2620" s="10" t="inlineStr">
        <is>
          <t>F03083</t>
        </is>
      </c>
      <c r="B2620" s="10" t="inlineStr">
        <is>
          <t>F03083</t>
        </is>
      </c>
      <c r="C2620" s="10" t="inlineStr"/>
      <c r="D2620" s="10" t="inlineStr">
        <is>
          <t>6009705654635</t>
        </is>
      </c>
      <c r="E2620" s="10" t="inlineStr">
        <is>
          <t>MIRROR STICKER 17*30CM ROSE GOLD HE-04</t>
        </is>
      </c>
      <c r="F2620" s="10" t="inlineStr"/>
      <c r="G2620" s="10" t="inlineStr"/>
      <c r="H2620" s="10" t="inlineStr"/>
      <c r="I2620" s="11" t="n">
        <v>17.95</v>
      </c>
      <c r="J2620" s="6" t="n">
        <v>15</v>
      </c>
      <c r="K2620" s="7">
        <f>IF(I2620="","",I2620*(1+J2620/100))</f>
        <v/>
      </c>
      <c r="L2620" s="12" t="inlineStr"/>
      <c r="M2620" s="8">
        <f>IF(OR(L2620="",K2620="",L2620=0),"",
  (L2620-K2620)/L2620*100)</f>
        <v/>
      </c>
      <c r="N2620" s="13" t="n">
        <v>3222</v>
      </c>
      <c r="O2620" s="10" t="inlineStr"/>
      <c r="P2620" s="10" t="inlineStr"/>
      <c r="Q2620" s="10" t="inlineStr"/>
      <c r="R2620" s="10" t="inlineStr">
        <is>
          <t>2026-03-12</t>
        </is>
      </c>
      <c r="S2620" s="10" t="inlineStr"/>
    </row>
    <row r="2621">
      <c r="A2621" s="3" t="inlineStr">
        <is>
          <t>F03084</t>
        </is>
      </c>
      <c r="B2621" s="4" t="inlineStr">
        <is>
          <t>F03084</t>
        </is>
      </c>
      <c r="C2621" s="4" t="inlineStr"/>
      <c r="D2621" s="4" t="inlineStr">
        <is>
          <t>6009705654642</t>
        </is>
      </c>
      <c r="E2621" s="3" t="inlineStr">
        <is>
          <t>U PROFILE STEEL ROSE GOLD 4WPC  3CMX3M</t>
        </is>
      </c>
      <c r="F2621" s="4" t="inlineStr"/>
      <c r="G2621" s="4" t="inlineStr"/>
      <c r="H2621" s="4" t="inlineStr"/>
      <c r="I2621" s="5" t="n">
        <v>79.95</v>
      </c>
      <c r="J2621" s="6" t="n">
        <v>15</v>
      </c>
      <c r="K2621" s="7">
        <f>IF(I2621="","",I2621*(1+J2621/100))</f>
        <v/>
      </c>
      <c r="L2621" s="12" t="inlineStr"/>
      <c r="M2621" s="8">
        <f>IF(OR(L2621="",K2621="",L2621=0),"",
  (L2621-K2621)/L2621*100)</f>
        <v/>
      </c>
      <c r="N2621" s="14" t="n">
        <v>252</v>
      </c>
      <c r="O2621" s="4" t="inlineStr"/>
      <c r="P2621" s="4" t="inlineStr"/>
      <c r="Q2621" s="4" t="inlineStr"/>
      <c r="R2621" s="4" t="inlineStr">
        <is>
          <t>2026-03-12</t>
        </is>
      </c>
      <c r="S2621" s="4" t="inlineStr"/>
    </row>
    <row r="2622">
      <c r="A2622" s="10" t="inlineStr">
        <is>
          <t>F03085</t>
        </is>
      </c>
      <c r="B2622" s="10" t="inlineStr">
        <is>
          <t>F03085</t>
        </is>
      </c>
      <c r="C2622" s="10" t="inlineStr"/>
      <c r="D2622" s="10" t="inlineStr">
        <is>
          <t>6009705654659</t>
        </is>
      </c>
      <c r="E2622" s="10" t="inlineStr">
        <is>
          <t>U PROFILE STEEL GOLD 4 WPC P 2CMX3M</t>
        </is>
      </c>
      <c r="F2622" s="10" t="inlineStr"/>
      <c r="G2622" s="10" t="inlineStr"/>
      <c r="H2622" s="10" t="inlineStr"/>
      <c r="I2622" s="11" t="n">
        <v>69.95</v>
      </c>
      <c r="J2622" s="6" t="n">
        <v>15</v>
      </c>
      <c r="K2622" s="7">
        <f>IF(I2622="","",I2622*(1+J2622/100))</f>
        <v/>
      </c>
      <c r="L2622" s="12" t="inlineStr"/>
      <c r="M2622" s="8">
        <f>IF(OR(L2622="",K2622="",L2622=0),"",
  (L2622-K2622)/L2622*100)</f>
        <v/>
      </c>
      <c r="N2622" s="13" t="n">
        <v>7</v>
      </c>
      <c r="O2622" s="10" t="inlineStr"/>
      <c r="P2622" s="10" t="inlineStr"/>
      <c r="Q2622" s="10" t="inlineStr"/>
      <c r="R2622" s="10" t="inlineStr">
        <is>
          <t>2026-03-12</t>
        </is>
      </c>
      <c r="S2622" s="10" t="inlineStr"/>
    </row>
    <row r="2623">
      <c r="A2623" s="3" t="inlineStr">
        <is>
          <t>F03086</t>
        </is>
      </c>
      <c r="B2623" s="4" t="inlineStr">
        <is>
          <t>F03086</t>
        </is>
      </c>
      <c r="C2623" s="4" t="inlineStr"/>
      <c r="D2623" s="4" t="inlineStr">
        <is>
          <t>6009705654666</t>
        </is>
      </c>
      <c r="E2623" s="3" t="inlineStr">
        <is>
          <t>U PROFILE STEEL ROSE GOLD 4 WPC 2CMX3M</t>
        </is>
      </c>
      <c r="F2623" s="4" t="inlineStr"/>
      <c r="G2623" s="4" t="inlineStr"/>
      <c r="H2623" s="4" t="inlineStr"/>
      <c r="I2623" s="5" t="n">
        <v>69.95</v>
      </c>
      <c r="J2623" s="6" t="n">
        <v>15</v>
      </c>
      <c r="K2623" s="7">
        <f>IF(I2623="","",I2623*(1+J2623/100))</f>
        <v/>
      </c>
      <c r="L2623" s="12" t="inlineStr"/>
      <c r="M2623" s="8">
        <f>IF(OR(L2623="",K2623="",L2623=0),"",
  (L2623-K2623)/L2623*100)</f>
        <v/>
      </c>
      <c r="N2623" s="14" t="n">
        <v>154</v>
      </c>
      <c r="O2623" s="4" t="inlineStr"/>
      <c r="P2623" s="4" t="inlineStr"/>
      <c r="Q2623" s="4" t="inlineStr"/>
      <c r="R2623" s="4" t="inlineStr">
        <is>
          <t>2026-03-12</t>
        </is>
      </c>
      <c r="S2623" s="4" t="inlineStr"/>
    </row>
    <row r="2624">
      <c r="A2624" s="10" t="inlineStr">
        <is>
          <t>F03087</t>
        </is>
      </c>
      <c r="B2624" s="10" t="inlineStr">
        <is>
          <t>F03087</t>
        </is>
      </c>
      <c r="C2624" s="10" t="inlineStr"/>
      <c r="D2624" s="10" t="inlineStr">
        <is>
          <t>6009705654673</t>
        </is>
      </c>
      <c r="E2624" s="10" t="inlineStr">
        <is>
          <t>U PROFILE STEEL GOLD 4 WPC PANEL 3CMX3M</t>
        </is>
      </c>
      <c r="F2624" s="10" t="inlineStr"/>
      <c r="G2624" s="10" t="inlineStr"/>
      <c r="H2624" s="10" t="inlineStr"/>
      <c r="I2624" s="11" t="n">
        <v>79.95</v>
      </c>
      <c r="J2624" s="6" t="n">
        <v>15</v>
      </c>
      <c r="K2624" s="7">
        <f>IF(I2624="","",I2624*(1+J2624/100))</f>
        <v/>
      </c>
      <c r="L2624" s="12" t="inlineStr"/>
      <c r="M2624" s="8">
        <f>IF(OR(L2624="",K2624="",L2624=0),"",
  (L2624-K2624)/L2624*100)</f>
        <v/>
      </c>
      <c r="N2624" s="13" t="n">
        <v>177</v>
      </c>
      <c r="O2624" s="10" t="inlineStr"/>
      <c r="P2624" s="10" t="inlineStr"/>
      <c r="Q2624" s="10" t="inlineStr"/>
      <c r="R2624" s="10" t="inlineStr">
        <is>
          <t>2026-03-12</t>
        </is>
      </c>
      <c r="S2624" s="10" t="inlineStr"/>
    </row>
    <row r="2625">
      <c r="A2625" s="3" t="inlineStr">
        <is>
          <t>F03088</t>
        </is>
      </c>
      <c r="B2625" s="4" t="inlineStr">
        <is>
          <t>F03088</t>
        </is>
      </c>
      <c r="C2625" s="4" t="inlineStr"/>
      <c r="D2625" s="4" t="inlineStr">
        <is>
          <t>6009705654437</t>
        </is>
      </c>
      <c r="E2625" s="3" t="inlineStr">
        <is>
          <t>ACOUSTIC WALL PANEL WOOD COLR 2.7MX.60CM</t>
        </is>
      </c>
      <c r="F2625" s="4" t="inlineStr"/>
      <c r="G2625" s="4" t="inlineStr"/>
      <c r="H2625" s="4" t="inlineStr"/>
      <c r="I2625" s="5" t="n">
        <v>3180</v>
      </c>
      <c r="J2625" s="6" t="n">
        <v>15</v>
      </c>
      <c r="K2625" s="7">
        <f>IF(I2625="","",I2625*(1+J2625/100))</f>
        <v/>
      </c>
      <c r="L2625" s="12" t="inlineStr"/>
      <c r="M2625" s="8">
        <f>IF(OR(L2625="",K2625="",L2625=0),"",
  (L2625-K2625)/L2625*100)</f>
        <v/>
      </c>
      <c r="N2625" s="14" t="n">
        <v>128</v>
      </c>
      <c r="O2625" s="4" t="inlineStr"/>
      <c r="P2625" s="4" t="inlineStr"/>
      <c r="Q2625" s="4" t="inlineStr"/>
      <c r="R2625" s="4" t="inlineStr">
        <is>
          <t>2026-03-12</t>
        </is>
      </c>
      <c r="S2625" s="4" t="inlineStr"/>
    </row>
    <row r="2626">
      <c r="A2626" s="10" t="inlineStr">
        <is>
          <t>F03089</t>
        </is>
      </c>
      <c r="B2626" s="10" t="inlineStr">
        <is>
          <t>F03089</t>
        </is>
      </c>
      <c r="C2626" s="10" t="inlineStr"/>
      <c r="D2626" s="10" t="inlineStr">
        <is>
          <t>6009705654697</t>
        </is>
      </c>
      <c r="E2626" s="10" t="inlineStr">
        <is>
          <t>PAINT ROLLER HIGH DENSITY MED TEXTURED</t>
        </is>
      </c>
      <c r="F2626" s="10" t="inlineStr"/>
      <c r="G2626" s="10" t="inlineStr"/>
      <c r="H2626" s="10" t="inlineStr"/>
      <c r="I2626" s="11" t="n">
        <v>59.95</v>
      </c>
      <c r="J2626" s="6" t="n">
        <v>15</v>
      </c>
      <c r="K2626" s="7">
        <f>IF(I2626="","",I2626*(1+J2626/100))</f>
        <v/>
      </c>
      <c r="L2626" s="12" t="inlineStr"/>
      <c r="M2626" s="8">
        <f>IF(OR(L2626="",K2626="",L2626=0),"",
  (L2626-K2626)/L2626*100)</f>
        <v/>
      </c>
      <c r="N2626" s="13" t="n">
        <v>422</v>
      </c>
      <c r="O2626" s="10" t="inlineStr"/>
      <c r="P2626" s="10" t="inlineStr"/>
      <c r="Q2626" s="10" t="inlineStr"/>
      <c r="R2626" s="10" t="inlineStr">
        <is>
          <t>2026-03-12</t>
        </is>
      </c>
      <c r="S2626" s="10" t="inlineStr"/>
    </row>
    <row r="2627">
      <c r="A2627" s="3" t="inlineStr">
        <is>
          <t>F03090</t>
        </is>
      </c>
      <c r="B2627" s="4" t="inlineStr">
        <is>
          <t>F03090</t>
        </is>
      </c>
      <c r="C2627" s="4" t="inlineStr"/>
      <c r="D2627" s="4" t="inlineStr">
        <is>
          <t>6009705654703</t>
        </is>
      </c>
      <c r="E2627" s="3" t="inlineStr">
        <is>
          <t>SCRAPER BROAD RUBBER HANDLE 6" ALCO</t>
        </is>
      </c>
      <c r="F2627" s="4" t="inlineStr"/>
      <c r="G2627" s="4" t="inlineStr"/>
      <c r="H2627" s="4" t="inlineStr"/>
      <c r="I2627" s="5" t="n">
        <v>11.95</v>
      </c>
      <c r="J2627" s="6" t="n">
        <v>15</v>
      </c>
      <c r="K2627" s="7">
        <f>IF(I2627="","",I2627*(1+J2627/100))</f>
        <v/>
      </c>
      <c r="L2627" s="12" t="inlineStr"/>
      <c r="M2627" s="8">
        <f>IF(OR(L2627="",K2627="",L2627=0),"",
  (L2627-K2627)/L2627*100)</f>
        <v/>
      </c>
      <c r="N2627" s="14" t="n">
        <v>351</v>
      </c>
      <c r="O2627" s="4" t="inlineStr"/>
      <c r="P2627" s="4" t="inlineStr"/>
      <c r="Q2627" s="4" t="inlineStr"/>
      <c r="R2627" s="4" t="inlineStr">
        <is>
          <t>2026-03-12</t>
        </is>
      </c>
      <c r="S2627" s="4" t="inlineStr"/>
    </row>
    <row r="2628">
      <c r="A2628" s="10" t="inlineStr">
        <is>
          <t>F03091</t>
        </is>
      </c>
      <c r="B2628" s="10" t="inlineStr">
        <is>
          <t>F03091</t>
        </is>
      </c>
      <c r="C2628" s="10" t="inlineStr"/>
      <c r="D2628" s="10" t="inlineStr">
        <is>
          <t>6009705654710</t>
        </is>
      </c>
      <c r="E2628" s="10" t="inlineStr">
        <is>
          <t>SCRAPER BROAD RUBBER HNDL 8" ALCO</t>
        </is>
      </c>
      <c r="F2628" s="10" t="inlineStr"/>
      <c r="G2628" s="10" t="inlineStr"/>
      <c r="H2628" s="10" t="inlineStr"/>
      <c r="I2628" s="11" t="n">
        <v>14.95</v>
      </c>
      <c r="J2628" s="6" t="n">
        <v>15</v>
      </c>
      <c r="K2628" s="7">
        <f>IF(I2628="","",I2628*(1+J2628/100))</f>
        <v/>
      </c>
      <c r="L2628" s="12" t="inlineStr"/>
      <c r="M2628" s="8">
        <f>IF(OR(L2628="",K2628="",L2628=0),"",
  (L2628-K2628)/L2628*100)</f>
        <v/>
      </c>
      <c r="N2628" s="13" t="n">
        <v>262</v>
      </c>
      <c r="O2628" s="10" t="inlineStr"/>
      <c r="P2628" s="10" t="inlineStr"/>
      <c r="Q2628" s="10" t="inlineStr"/>
      <c r="R2628" s="10" t="inlineStr">
        <is>
          <t>2026-03-12</t>
        </is>
      </c>
      <c r="S2628" s="10" t="inlineStr"/>
    </row>
    <row r="2629">
      <c r="A2629" s="3" t="inlineStr">
        <is>
          <t>F03092</t>
        </is>
      </c>
      <c r="B2629" s="4" t="inlineStr">
        <is>
          <t>F03092</t>
        </is>
      </c>
      <c r="C2629" s="4" t="inlineStr"/>
      <c r="D2629" s="4" t="inlineStr">
        <is>
          <t>6009705654727</t>
        </is>
      </c>
      <c r="E2629" s="3" t="inlineStr">
        <is>
          <t>SCRAPER BROAD RUBBER HNDL 10" ALCO</t>
        </is>
      </c>
      <c r="F2629" s="4" t="inlineStr"/>
      <c r="G2629" s="4" t="inlineStr"/>
      <c r="H2629" s="4" t="inlineStr"/>
      <c r="I2629" s="5" t="n">
        <v>19.95</v>
      </c>
      <c r="J2629" s="6" t="n">
        <v>15</v>
      </c>
      <c r="K2629" s="7">
        <f>IF(I2629="","",I2629*(1+J2629/100))</f>
        <v/>
      </c>
      <c r="L2629" s="12" t="inlineStr"/>
      <c r="M2629" s="8">
        <f>IF(OR(L2629="",K2629="",L2629=0),"",
  (L2629-K2629)/L2629*100)</f>
        <v/>
      </c>
      <c r="N2629" s="14" t="n">
        <v>108</v>
      </c>
      <c r="O2629" s="4" t="inlineStr"/>
      <c r="P2629" s="4" t="inlineStr"/>
      <c r="Q2629" s="4" t="inlineStr"/>
      <c r="R2629" s="4" t="inlineStr">
        <is>
          <t>2026-03-12</t>
        </is>
      </c>
      <c r="S2629" s="4" t="inlineStr"/>
    </row>
    <row r="2630">
      <c r="A2630" s="10" t="inlineStr">
        <is>
          <t>F03093</t>
        </is>
      </c>
      <c r="B2630" s="10" t="inlineStr">
        <is>
          <t>F03093</t>
        </is>
      </c>
      <c r="C2630" s="10" t="inlineStr"/>
      <c r="D2630" s="10" t="inlineStr">
        <is>
          <t>6009705654734</t>
        </is>
      </c>
      <c r="E2630" s="10" t="inlineStr">
        <is>
          <t>MASKING PAPER TAPE FR PAINTING 2CMX20M</t>
        </is>
      </c>
      <c r="F2630" s="10" t="inlineStr"/>
      <c r="G2630" s="10" t="inlineStr"/>
      <c r="H2630" s="10" t="inlineStr"/>
      <c r="I2630" s="11" t="n">
        <v>6.95</v>
      </c>
      <c r="J2630" s="6" t="n">
        <v>15</v>
      </c>
      <c r="K2630" s="7">
        <f>IF(I2630="","",I2630*(1+J2630/100))</f>
        <v/>
      </c>
      <c r="L2630" s="12" t="inlineStr"/>
      <c r="M2630" s="8">
        <f>IF(OR(L2630="",K2630="",L2630=0),"",
  (L2630-K2630)/L2630*100)</f>
        <v/>
      </c>
      <c r="N2630" s="9" t="inlineStr"/>
      <c r="O2630" s="10" t="inlineStr"/>
      <c r="P2630" s="10" t="inlineStr"/>
      <c r="Q2630" s="10" t="inlineStr"/>
      <c r="R2630" s="10" t="inlineStr">
        <is>
          <t>2026-03-12</t>
        </is>
      </c>
      <c r="S2630" s="10" t="inlineStr"/>
    </row>
    <row r="2631">
      <c r="A2631" s="3" t="inlineStr">
        <is>
          <t>F03094</t>
        </is>
      </c>
      <c r="B2631" s="4" t="inlineStr">
        <is>
          <t>F03094</t>
        </is>
      </c>
      <c r="C2631" s="4" t="inlineStr"/>
      <c r="D2631" s="4" t="inlineStr">
        <is>
          <t>6009705654741</t>
        </is>
      </c>
      <c r="E2631" s="3" t="inlineStr">
        <is>
          <t>MASKING PAPER TAPE FR PAINTING 5CMX20M</t>
        </is>
      </c>
      <c r="F2631" s="4" t="inlineStr"/>
      <c r="G2631" s="4" t="inlineStr"/>
      <c r="H2631" s="4" t="inlineStr"/>
      <c r="I2631" s="5" t="n">
        <v>16.95</v>
      </c>
      <c r="J2631" s="6" t="n">
        <v>15</v>
      </c>
      <c r="K2631" s="7">
        <f>IF(I2631="","",I2631*(1+J2631/100))</f>
        <v/>
      </c>
      <c r="L2631" s="12" t="inlineStr"/>
      <c r="M2631" s="8">
        <f>IF(OR(L2631="",K2631="",L2631=0),"",
  (L2631-K2631)/L2631*100)</f>
        <v/>
      </c>
      <c r="N2631" s="14" t="n">
        <v>191</v>
      </c>
      <c r="O2631" s="4" t="inlineStr"/>
      <c r="P2631" s="4" t="inlineStr"/>
      <c r="Q2631" s="4" t="inlineStr"/>
      <c r="R2631" s="4" t="inlineStr">
        <is>
          <t>2026-03-12</t>
        </is>
      </c>
      <c r="S2631" s="4" t="inlineStr"/>
    </row>
    <row r="2632">
      <c r="A2632" s="10" t="inlineStr">
        <is>
          <t>F03095</t>
        </is>
      </c>
      <c r="B2632" s="10" t="inlineStr">
        <is>
          <t>F03095</t>
        </is>
      </c>
      <c r="C2632" s="10" t="inlineStr"/>
      <c r="D2632" s="10" t="inlineStr">
        <is>
          <t>6009705654758</t>
        </is>
      </c>
      <c r="E2632" s="10" t="inlineStr">
        <is>
          <t>PAINT TRAY SET WHITE MOHAIR</t>
        </is>
      </c>
      <c r="F2632" s="10" t="inlineStr"/>
      <c r="G2632" s="10" t="inlineStr"/>
      <c r="H2632" s="10" t="inlineStr"/>
      <c r="I2632" s="11" t="n">
        <v>35.95</v>
      </c>
      <c r="J2632" s="6" t="n">
        <v>15</v>
      </c>
      <c r="K2632" s="7">
        <f>IF(I2632="","",I2632*(1+J2632/100))</f>
        <v/>
      </c>
      <c r="L2632" s="12" t="inlineStr"/>
      <c r="M2632" s="8">
        <f>IF(OR(L2632="",K2632="",L2632=0),"",
  (L2632-K2632)/L2632*100)</f>
        <v/>
      </c>
      <c r="N2632" s="9" t="inlineStr"/>
      <c r="O2632" s="10" t="inlineStr"/>
      <c r="P2632" s="10" t="inlineStr"/>
      <c r="Q2632" s="10" t="inlineStr"/>
      <c r="R2632" s="10" t="inlineStr">
        <is>
          <t>2026-03-12</t>
        </is>
      </c>
      <c r="S2632" s="10" t="inlineStr"/>
    </row>
    <row r="2633">
      <c r="A2633" s="3" t="inlineStr">
        <is>
          <t>F03096</t>
        </is>
      </c>
      <c r="B2633" s="4" t="inlineStr">
        <is>
          <t>F03096</t>
        </is>
      </c>
      <c r="C2633" s="4" t="inlineStr"/>
      <c r="D2633" s="4" t="inlineStr">
        <is>
          <t>6009705654765</t>
        </is>
      </c>
      <c r="E2633" s="3" t="inlineStr">
        <is>
          <t>PAINT ROLLER GREY SPONGE LONG HANDLE</t>
        </is>
      </c>
      <c r="F2633" s="4" t="inlineStr"/>
      <c r="G2633" s="4" t="inlineStr"/>
      <c r="H2633" s="4" t="inlineStr"/>
      <c r="I2633" s="5" t="n">
        <v>18.95</v>
      </c>
      <c r="J2633" s="6" t="n">
        <v>15</v>
      </c>
      <c r="K2633" s="7">
        <f>IF(I2633="","",I2633*(1+J2633/100))</f>
        <v/>
      </c>
      <c r="L2633" s="12" t="inlineStr"/>
      <c r="M2633" s="8">
        <f>IF(OR(L2633="",K2633="",L2633=0),"",
  (L2633-K2633)/L2633*100)</f>
        <v/>
      </c>
      <c r="N2633" s="14" t="n">
        <v>346</v>
      </c>
      <c r="O2633" s="4" t="inlineStr"/>
      <c r="P2633" s="4" t="inlineStr"/>
      <c r="Q2633" s="4" t="inlineStr"/>
      <c r="R2633" s="4" t="inlineStr">
        <is>
          <t>2026-03-12</t>
        </is>
      </c>
      <c r="S2633" s="4" t="inlineStr"/>
    </row>
    <row r="2634">
      <c r="A2634" s="10" t="inlineStr">
        <is>
          <t>F03097</t>
        </is>
      </c>
      <c r="B2634" s="10" t="inlineStr">
        <is>
          <t>F03097</t>
        </is>
      </c>
      <c r="C2634" s="10" t="inlineStr"/>
      <c r="D2634" s="10" t="inlineStr">
        <is>
          <t>6009705654772</t>
        </is>
      </c>
      <c r="E2634" s="10" t="inlineStr">
        <is>
          <t>PAINT ROLLER GREY SPONGE SHORT HNDLE</t>
        </is>
      </c>
      <c r="F2634" s="10" t="inlineStr"/>
      <c r="G2634" s="10" t="inlineStr"/>
      <c r="H2634" s="10" t="inlineStr"/>
      <c r="I2634" s="11" t="n">
        <v>15.95</v>
      </c>
      <c r="J2634" s="6" t="n">
        <v>15</v>
      </c>
      <c r="K2634" s="7">
        <f>IF(I2634="","",I2634*(1+J2634/100))</f>
        <v/>
      </c>
      <c r="L2634" s="12" t="inlineStr"/>
      <c r="M2634" s="8">
        <f>IF(OR(L2634="",K2634="",L2634=0),"",
  (L2634-K2634)/L2634*100)</f>
        <v/>
      </c>
      <c r="N2634" s="13" t="n">
        <v>19</v>
      </c>
      <c r="O2634" s="10" t="inlineStr"/>
      <c r="P2634" s="10" t="inlineStr"/>
      <c r="Q2634" s="10" t="inlineStr"/>
      <c r="R2634" s="10" t="inlineStr">
        <is>
          <t>2026-03-12</t>
        </is>
      </c>
      <c r="S2634" s="10" t="inlineStr"/>
    </row>
    <row r="2635">
      <c r="A2635" s="3" t="inlineStr">
        <is>
          <t>F03098</t>
        </is>
      </c>
      <c r="B2635" s="4" t="inlineStr">
        <is>
          <t>F03098</t>
        </is>
      </c>
      <c r="C2635" s="4" t="inlineStr"/>
      <c r="D2635" s="4" t="inlineStr">
        <is>
          <t>6009705654789</t>
        </is>
      </c>
      <c r="E2635" s="3" t="inlineStr">
        <is>
          <t>PAINT BRUSH PLASTIC RED ,25MM,1"ALCO PRO</t>
        </is>
      </c>
      <c r="F2635" s="4" t="inlineStr"/>
      <c r="G2635" s="4" t="inlineStr"/>
      <c r="H2635" s="4" t="inlineStr"/>
      <c r="I2635" s="5" t="n">
        <v>5</v>
      </c>
      <c r="J2635" s="6" t="n">
        <v>15</v>
      </c>
      <c r="K2635" s="7">
        <f>IF(I2635="","",I2635*(1+J2635/100))</f>
        <v/>
      </c>
      <c r="L2635" s="12" t="inlineStr"/>
      <c r="M2635" s="8">
        <f>IF(OR(L2635="",K2635="",L2635=0),"",
  (L2635-K2635)/L2635*100)</f>
        <v/>
      </c>
      <c r="N2635" s="14" t="n">
        <v>1507</v>
      </c>
      <c r="O2635" s="4" t="inlineStr"/>
      <c r="P2635" s="4" t="inlineStr"/>
      <c r="Q2635" s="4" t="inlineStr"/>
      <c r="R2635" s="4" t="inlineStr">
        <is>
          <t>2026-03-12</t>
        </is>
      </c>
      <c r="S2635" s="4" t="inlineStr"/>
    </row>
    <row r="2636">
      <c r="A2636" s="10" t="inlineStr">
        <is>
          <t>F03099</t>
        </is>
      </c>
      <c r="B2636" s="10" t="inlineStr">
        <is>
          <t>F03099</t>
        </is>
      </c>
      <c r="C2636" s="10" t="inlineStr"/>
      <c r="D2636" s="10" t="inlineStr">
        <is>
          <t>6009705654796</t>
        </is>
      </c>
      <c r="E2636" s="10" t="inlineStr">
        <is>
          <t>PAINT BRUSH PLASTIC RED,38MM,1.5"ALCOPRO</t>
        </is>
      </c>
      <c r="F2636" s="10" t="inlineStr"/>
      <c r="G2636" s="10" t="inlineStr"/>
      <c r="H2636" s="10" t="inlineStr"/>
      <c r="I2636" s="11" t="n">
        <v>7</v>
      </c>
      <c r="J2636" s="6" t="n">
        <v>15</v>
      </c>
      <c r="K2636" s="7">
        <f>IF(I2636="","",I2636*(1+J2636/100))</f>
        <v/>
      </c>
      <c r="L2636" s="12" t="inlineStr"/>
      <c r="M2636" s="8">
        <f>IF(OR(L2636="",K2636="",L2636=0),"",
  (L2636-K2636)/L2636*100)</f>
        <v/>
      </c>
      <c r="N2636" s="13" t="n">
        <v>1233</v>
      </c>
      <c r="O2636" s="10" t="inlineStr"/>
      <c r="P2636" s="10" t="inlineStr"/>
      <c r="Q2636" s="10" t="inlineStr"/>
      <c r="R2636" s="10" t="inlineStr">
        <is>
          <t>2026-03-12</t>
        </is>
      </c>
      <c r="S2636" s="10" t="inlineStr"/>
    </row>
    <row r="2637">
      <c r="A2637" s="3" t="inlineStr">
        <is>
          <t>F03100</t>
        </is>
      </c>
      <c r="B2637" s="4" t="inlineStr">
        <is>
          <t>F03100</t>
        </is>
      </c>
      <c r="C2637" s="4" t="inlineStr"/>
      <c r="D2637" s="4" t="inlineStr">
        <is>
          <t>6009705654802</t>
        </is>
      </c>
      <c r="E2637" s="3" t="inlineStr">
        <is>
          <t>PAINT BRUSH PLASTIC RED,50MM,2' ALCOPRO</t>
        </is>
      </c>
      <c r="F2637" s="4" t="inlineStr"/>
      <c r="G2637" s="4" t="inlineStr"/>
      <c r="H2637" s="4" t="inlineStr"/>
      <c r="I2637" s="5" t="n">
        <v>9.289999999999999</v>
      </c>
      <c r="J2637" s="6" t="n">
        <v>15</v>
      </c>
      <c r="K2637" s="7">
        <f>IF(I2637="","",I2637*(1+J2637/100))</f>
        <v/>
      </c>
      <c r="L2637" s="12" t="inlineStr"/>
      <c r="M2637" s="8">
        <f>IF(OR(L2637="",K2637="",L2637=0),"",
  (L2637-K2637)/L2637*100)</f>
        <v/>
      </c>
      <c r="N2637" s="14" t="n">
        <v>802</v>
      </c>
      <c r="O2637" s="4" t="inlineStr"/>
      <c r="P2637" s="4" t="inlineStr"/>
      <c r="Q2637" s="4" t="inlineStr"/>
      <c r="R2637" s="4" t="inlineStr">
        <is>
          <t>2026-03-12</t>
        </is>
      </c>
      <c r="S2637" s="4" t="inlineStr"/>
    </row>
    <row r="2638">
      <c r="A2638" s="10" t="inlineStr">
        <is>
          <t>F03101</t>
        </is>
      </c>
      <c r="B2638" s="10" t="inlineStr">
        <is>
          <t>F03101</t>
        </is>
      </c>
      <c r="C2638" s="10" t="inlineStr"/>
      <c r="D2638" s="10" t="inlineStr">
        <is>
          <t>6009705654819</t>
        </is>
      </c>
      <c r="E2638" s="10" t="inlineStr">
        <is>
          <t>PAINT BRUSH PLASTIC RED,63MM,2.5'ALOCPRO</t>
        </is>
      </c>
      <c r="F2638" s="10" t="inlineStr"/>
      <c r="G2638" s="10" t="inlineStr"/>
      <c r="H2638" s="10" t="inlineStr"/>
      <c r="I2638" s="11" t="n">
        <v>11</v>
      </c>
      <c r="J2638" s="6" t="n">
        <v>15</v>
      </c>
      <c r="K2638" s="7">
        <f>IF(I2638="","",I2638*(1+J2638/100))</f>
        <v/>
      </c>
      <c r="L2638" s="12" t="inlineStr"/>
      <c r="M2638" s="8">
        <f>IF(OR(L2638="",K2638="",L2638=0),"",
  (L2638-K2638)/L2638*100)</f>
        <v/>
      </c>
      <c r="N2638" s="13" t="n">
        <v>1089</v>
      </c>
      <c r="O2638" s="10" t="inlineStr"/>
      <c r="P2638" s="10" t="inlineStr"/>
      <c r="Q2638" s="10" t="inlineStr"/>
      <c r="R2638" s="10" t="inlineStr">
        <is>
          <t>2026-03-12</t>
        </is>
      </c>
      <c r="S2638" s="10" t="inlineStr"/>
    </row>
    <row r="2639">
      <c r="A2639" s="3" t="inlineStr">
        <is>
          <t>F03102</t>
        </is>
      </c>
      <c r="B2639" s="4" t="inlineStr">
        <is>
          <t>F03102</t>
        </is>
      </c>
      <c r="C2639" s="4" t="inlineStr"/>
      <c r="D2639" s="4" t="inlineStr">
        <is>
          <t>6009705654826</t>
        </is>
      </c>
      <c r="E2639" s="3" t="inlineStr">
        <is>
          <t>PAINT BRUSH PLASTIC RED,75MM,3'ALCOPRO</t>
        </is>
      </c>
      <c r="F2639" s="4" t="inlineStr"/>
      <c r="G2639" s="4" t="inlineStr"/>
      <c r="H2639" s="4" t="inlineStr"/>
      <c r="I2639" s="5" t="n">
        <v>13.75</v>
      </c>
      <c r="J2639" s="6" t="n">
        <v>15</v>
      </c>
      <c r="K2639" s="7">
        <f>IF(I2639="","",I2639*(1+J2639/100))</f>
        <v/>
      </c>
      <c r="L2639" s="12" t="inlineStr"/>
      <c r="M2639" s="8">
        <f>IF(OR(L2639="",K2639="",L2639=0),"",
  (L2639-K2639)/L2639*100)</f>
        <v/>
      </c>
      <c r="N2639" s="14" t="n">
        <v>1049</v>
      </c>
      <c r="O2639" s="4" t="inlineStr"/>
      <c r="P2639" s="4" t="inlineStr"/>
      <c r="Q2639" s="4" t="inlineStr"/>
      <c r="R2639" s="4" t="inlineStr">
        <is>
          <t>2026-03-12</t>
        </is>
      </c>
      <c r="S2639" s="4" t="inlineStr"/>
    </row>
    <row r="2640">
      <c r="A2640" s="10" t="inlineStr">
        <is>
          <t>F03103</t>
        </is>
      </c>
      <c r="B2640" s="10" t="inlineStr">
        <is>
          <t>F03103</t>
        </is>
      </c>
      <c r="C2640" s="10" t="inlineStr"/>
      <c r="D2640" s="10" t="inlineStr">
        <is>
          <t>6009705654833</t>
        </is>
      </c>
      <c r="E2640" s="10" t="inlineStr">
        <is>
          <t>PAINT BRUSH PLASTIC RED,100MM, 4"ALCOPRO</t>
        </is>
      </c>
      <c r="F2640" s="10" t="inlineStr"/>
      <c r="G2640" s="10" t="inlineStr"/>
      <c r="H2640" s="10" t="inlineStr"/>
      <c r="I2640" s="11" t="n">
        <v>17.5</v>
      </c>
      <c r="J2640" s="6" t="n">
        <v>15</v>
      </c>
      <c r="K2640" s="7">
        <f>IF(I2640="","",I2640*(1+J2640/100))</f>
        <v/>
      </c>
      <c r="L2640" s="12" t="inlineStr"/>
      <c r="M2640" s="8">
        <f>IF(OR(L2640="",K2640="",L2640=0),"",
  (L2640-K2640)/L2640*100)</f>
        <v/>
      </c>
      <c r="N2640" s="13" t="n">
        <v>1500</v>
      </c>
      <c r="O2640" s="10" t="inlineStr"/>
      <c r="P2640" s="10" t="inlineStr"/>
      <c r="Q2640" s="10" t="inlineStr"/>
      <c r="R2640" s="10" t="inlineStr">
        <is>
          <t>2026-03-12</t>
        </is>
      </c>
      <c r="S2640" s="10" t="inlineStr"/>
    </row>
    <row r="2641">
      <c r="A2641" s="3" t="inlineStr">
        <is>
          <t>F03104</t>
        </is>
      </c>
      <c r="B2641" s="4" t="inlineStr">
        <is>
          <t>F03104</t>
        </is>
      </c>
      <c r="C2641" s="4" t="inlineStr"/>
      <c r="D2641" s="4" t="inlineStr">
        <is>
          <t>6009705654840</t>
        </is>
      </c>
      <c r="E2641" s="3" t="inlineStr">
        <is>
          <t>PAINT BRUSH LOTUS HANDLE, 25mm, 1"</t>
        </is>
      </c>
      <c r="F2641" s="4" t="inlineStr"/>
      <c r="G2641" s="4" t="inlineStr"/>
      <c r="H2641" s="4" t="inlineStr"/>
      <c r="I2641" s="5" t="n">
        <v>6</v>
      </c>
      <c r="J2641" s="6" t="n">
        <v>15</v>
      </c>
      <c r="K2641" s="7">
        <f>IF(I2641="","",I2641*(1+J2641/100))</f>
        <v/>
      </c>
      <c r="L2641" s="12" t="inlineStr"/>
      <c r="M2641" s="8">
        <f>IF(OR(L2641="",K2641="",L2641=0),"",
  (L2641-K2641)/L2641*100)</f>
        <v/>
      </c>
      <c r="N2641" s="14" t="n">
        <v>1226</v>
      </c>
      <c r="O2641" s="4" t="inlineStr"/>
      <c r="P2641" s="4" t="inlineStr"/>
      <c r="Q2641" s="4" t="inlineStr"/>
      <c r="R2641" s="4" t="inlineStr">
        <is>
          <t>2026-03-12</t>
        </is>
      </c>
      <c r="S2641" s="4" t="inlineStr"/>
    </row>
    <row r="2642">
      <c r="A2642" s="10" t="inlineStr">
        <is>
          <t>F03105</t>
        </is>
      </c>
      <c r="B2642" s="10" t="inlineStr">
        <is>
          <t>F03105</t>
        </is>
      </c>
      <c r="C2642" s="10" t="inlineStr"/>
      <c r="D2642" s="10" t="inlineStr">
        <is>
          <t>6009705654857</t>
        </is>
      </c>
      <c r="E2642" s="10" t="inlineStr">
        <is>
          <t>PAINT BRUSH LOTUS HANDLE, 38mm, 1.5"</t>
        </is>
      </c>
      <c r="F2642" s="10" t="inlineStr"/>
      <c r="G2642" s="10" t="inlineStr"/>
      <c r="H2642" s="10" t="inlineStr"/>
      <c r="I2642" s="11" t="n">
        <v>9.289999999999999</v>
      </c>
      <c r="J2642" s="6" t="n">
        <v>15</v>
      </c>
      <c r="K2642" s="7">
        <f>IF(I2642="","",I2642*(1+J2642/100))</f>
        <v/>
      </c>
      <c r="L2642" s="12" t="inlineStr"/>
      <c r="M2642" s="8">
        <f>IF(OR(L2642="",K2642="",L2642=0),"",
  (L2642-K2642)/L2642*100)</f>
        <v/>
      </c>
      <c r="N2642" s="13" t="n">
        <v>862</v>
      </c>
      <c r="O2642" s="10" t="inlineStr"/>
      <c r="P2642" s="10" t="inlineStr"/>
      <c r="Q2642" s="10" t="inlineStr"/>
      <c r="R2642" s="10" t="inlineStr">
        <is>
          <t>2026-03-12</t>
        </is>
      </c>
      <c r="S2642" s="10" t="inlineStr"/>
    </row>
    <row r="2643">
      <c r="A2643" s="3" t="inlineStr">
        <is>
          <t>F03106</t>
        </is>
      </c>
      <c r="B2643" s="4" t="inlineStr">
        <is>
          <t>F03106</t>
        </is>
      </c>
      <c r="C2643" s="4" t="inlineStr"/>
      <c r="D2643" s="4" t="inlineStr">
        <is>
          <t>6009705654864</t>
        </is>
      </c>
      <c r="E2643" s="3" t="inlineStr">
        <is>
          <t>PAINT BRUSH LOTUS HANDLE, 50mm,2"</t>
        </is>
      </c>
      <c r="F2643" s="4" t="inlineStr"/>
      <c r="G2643" s="4" t="inlineStr"/>
      <c r="H2643" s="4" t="inlineStr"/>
      <c r="I2643" s="5" t="n">
        <v>12.99</v>
      </c>
      <c r="J2643" s="6" t="n">
        <v>15</v>
      </c>
      <c r="K2643" s="7">
        <f>IF(I2643="","",I2643*(1+J2643/100))</f>
        <v/>
      </c>
      <c r="L2643" s="12" t="inlineStr"/>
      <c r="M2643" s="8">
        <f>IF(OR(L2643="",K2643="",L2643=0),"",
  (L2643-K2643)/L2643*100)</f>
        <v/>
      </c>
      <c r="N2643" s="14" t="n">
        <v>81</v>
      </c>
      <c r="O2643" s="4" t="inlineStr"/>
      <c r="P2643" s="4" t="inlineStr"/>
      <c r="Q2643" s="4" t="inlineStr"/>
      <c r="R2643" s="4" t="inlineStr">
        <is>
          <t>2026-03-12</t>
        </is>
      </c>
      <c r="S2643" s="4" t="inlineStr"/>
    </row>
    <row r="2644">
      <c r="A2644" s="10" t="inlineStr">
        <is>
          <t>F03107</t>
        </is>
      </c>
      <c r="B2644" s="10" t="inlineStr">
        <is>
          <t>F03107</t>
        </is>
      </c>
      <c r="C2644" s="10" t="inlineStr"/>
      <c r="D2644" s="10" t="inlineStr">
        <is>
          <t>6009705654871</t>
        </is>
      </c>
      <c r="E2644" s="10" t="inlineStr">
        <is>
          <t>PAINT BRUSH LOTUS HANDLE, 63mm, 2.5"</t>
        </is>
      </c>
      <c r="F2644" s="10" t="inlineStr"/>
      <c r="G2644" s="10" t="inlineStr"/>
      <c r="H2644" s="10" t="inlineStr"/>
      <c r="I2644" s="11" t="n">
        <v>18</v>
      </c>
      <c r="J2644" s="6" t="n">
        <v>15</v>
      </c>
      <c r="K2644" s="7">
        <f>IF(I2644="","",I2644*(1+J2644/100))</f>
        <v/>
      </c>
      <c r="L2644" s="12" t="inlineStr"/>
      <c r="M2644" s="8">
        <f>IF(OR(L2644="",K2644="",L2644=0),"",
  (L2644-K2644)/L2644*100)</f>
        <v/>
      </c>
      <c r="N2644" s="13" t="n">
        <v>1063</v>
      </c>
      <c r="O2644" s="10" t="inlineStr"/>
      <c r="P2644" s="10" t="inlineStr"/>
      <c r="Q2644" s="10" t="inlineStr"/>
      <c r="R2644" s="10" t="inlineStr">
        <is>
          <t>2026-03-12</t>
        </is>
      </c>
      <c r="S2644" s="10" t="inlineStr"/>
    </row>
    <row r="2645">
      <c r="A2645" s="3" t="inlineStr">
        <is>
          <t>F03108</t>
        </is>
      </c>
      <c r="B2645" s="4" t="inlineStr">
        <is>
          <t>F03108</t>
        </is>
      </c>
      <c r="C2645" s="4" t="inlineStr"/>
      <c r="D2645" s="4" t="inlineStr">
        <is>
          <t>6009705654888</t>
        </is>
      </c>
      <c r="E2645" s="3" t="inlineStr">
        <is>
          <t>PAINT BRUSH LOTUS HANDLE,75mm, 3"</t>
        </is>
      </c>
      <c r="F2645" s="4" t="inlineStr"/>
      <c r="G2645" s="4" t="inlineStr"/>
      <c r="H2645" s="4" t="inlineStr"/>
      <c r="I2645" s="5" t="n">
        <v>23.25</v>
      </c>
      <c r="J2645" s="6" t="n">
        <v>15</v>
      </c>
      <c r="K2645" s="7">
        <f>IF(I2645="","",I2645*(1+J2645/100))</f>
        <v/>
      </c>
      <c r="L2645" s="12" t="inlineStr"/>
      <c r="M2645" s="8">
        <f>IF(OR(L2645="",K2645="",L2645=0),"",
  (L2645-K2645)/L2645*100)</f>
        <v/>
      </c>
      <c r="N2645" s="14" t="n">
        <v>1371</v>
      </c>
      <c r="O2645" s="4" t="inlineStr"/>
      <c r="P2645" s="4" t="inlineStr"/>
      <c r="Q2645" s="4" t="inlineStr"/>
      <c r="R2645" s="4" t="inlineStr">
        <is>
          <t>2026-03-12</t>
        </is>
      </c>
      <c r="S2645" s="4" t="inlineStr"/>
    </row>
    <row r="2646">
      <c r="A2646" s="10" t="inlineStr">
        <is>
          <t>F03109</t>
        </is>
      </c>
      <c r="B2646" s="10" t="inlineStr">
        <is>
          <t>F03109</t>
        </is>
      </c>
      <c r="C2646" s="10" t="inlineStr"/>
      <c r="D2646" s="10" t="inlineStr">
        <is>
          <t>6009705654895</t>
        </is>
      </c>
      <c r="E2646" s="10" t="inlineStr">
        <is>
          <t>PAINT BRUSH LOTUS HANDLE,100mm, 4"</t>
        </is>
      </c>
      <c r="F2646" s="10" t="inlineStr"/>
      <c r="G2646" s="10" t="inlineStr"/>
      <c r="H2646" s="10" t="inlineStr"/>
      <c r="I2646" s="11" t="n">
        <v>28.5</v>
      </c>
      <c r="J2646" s="6" t="n">
        <v>15</v>
      </c>
      <c r="K2646" s="7">
        <f>IF(I2646="","",I2646*(1+J2646/100))</f>
        <v/>
      </c>
      <c r="L2646" s="12" t="inlineStr"/>
      <c r="M2646" s="8">
        <f>IF(OR(L2646="",K2646="",L2646=0),"",
  (L2646-K2646)/L2646*100)</f>
        <v/>
      </c>
      <c r="N2646" s="13" t="n">
        <v>1132</v>
      </c>
      <c r="O2646" s="10" t="inlineStr"/>
      <c r="P2646" s="10" t="inlineStr"/>
      <c r="Q2646" s="10" t="inlineStr"/>
      <c r="R2646" s="10" t="inlineStr">
        <is>
          <t>2026-03-12</t>
        </is>
      </c>
      <c r="S2646" s="10" t="inlineStr"/>
    </row>
    <row r="2647">
      <c r="A2647" s="3" t="inlineStr">
        <is>
          <t>F03110</t>
        </is>
      </c>
      <c r="B2647" s="4" t="inlineStr">
        <is>
          <t>F03110</t>
        </is>
      </c>
      <c r="C2647" s="4" t="inlineStr"/>
      <c r="D2647" s="4" t="inlineStr">
        <is>
          <t>6009705654901</t>
        </is>
      </c>
      <c r="E2647" s="3" t="inlineStr">
        <is>
          <t>PAINT BRUSH GREEN PLASTIC HNDL,25mm,1"</t>
        </is>
      </c>
      <c r="F2647" s="4" t="inlineStr"/>
      <c r="G2647" s="4" t="inlineStr"/>
      <c r="H2647" s="4" t="inlineStr"/>
      <c r="I2647" s="5" t="n">
        <v>4</v>
      </c>
      <c r="J2647" s="6" t="n">
        <v>15</v>
      </c>
      <c r="K2647" s="7">
        <f>IF(I2647="","",I2647*(1+J2647/100))</f>
        <v/>
      </c>
      <c r="L2647" s="12" t="inlineStr"/>
      <c r="M2647" s="8">
        <f>IF(OR(L2647="",K2647="",L2647=0),"",
  (L2647-K2647)/L2647*100)</f>
        <v/>
      </c>
      <c r="N2647" s="14" t="n">
        <v>568</v>
      </c>
      <c r="O2647" s="4" t="inlineStr"/>
      <c r="P2647" s="4" t="inlineStr"/>
      <c r="Q2647" s="4" t="inlineStr"/>
      <c r="R2647" s="4" t="inlineStr">
        <is>
          <t>2026-03-12</t>
        </is>
      </c>
      <c r="S2647" s="4" t="inlineStr"/>
    </row>
    <row r="2648">
      <c r="A2648" s="10" t="inlineStr">
        <is>
          <t>F03111</t>
        </is>
      </c>
      <c r="B2648" s="10" t="inlineStr">
        <is>
          <t>F03111</t>
        </is>
      </c>
      <c r="C2648" s="10" t="inlineStr"/>
      <c r="D2648" s="10" t="inlineStr">
        <is>
          <t>6009705654918</t>
        </is>
      </c>
      <c r="E2648" s="10" t="inlineStr">
        <is>
          <t>PAINT BRUSH GREEN PLASTIC HNDL,38mm,1.5"</t>
        </is>
      </c>
      <c r="F2648" s="10" t="inlineStr"/>
      <c r="G2648" s="10" t="inlineStr"/>
      <c r="H2648" s="10" t="inlineStr"/>
      <c r="I2648" s="11" t="n">
        <v>6</v>
      </c>
      <c r="J2648" s="6" t="n">
        <v>15</v>
      </c>
      <c r="K2648" s="7">
        <f>IF(I2648="","",I2648*(1+J2648/100))</f>
        <v/>
      </c>
      <c r="L2648" s="12" t="inlineStr"/>
      <c r="M2648" s="8">
        <f>IF(OR(L2648="",K2648="",L2648=0),"",
  (L2648-K2648)/L2648*100)</f>
        <v/>
      </c>
      <c r="N2648" s="13" t="n">
        <v>742</v>
      </c>
      <c r="O2648" s="10" t="inlineStr"/>
      <c r="P2648" s="10" t="inlineStr"/>
      <c r="Q2648" s="10" t="inlineStr"/>
      <c r="R2648" s="10" t="inlineStr">
        <is>
          <t>2026-03-12</t>
        </is>
      </c>
      <c r="S2648" s="10" t="inlineStr"/>
    </row>
    <row r="2649">
      <c r="A2649" s="3" t="inlineStr">
        <is>
          <t>F03112</t>
        </is>
      </c>
      <c r="B2649" s="4" t="inlineStr">
        <is>
          <t>F03112</t>
        </is>
      </c>
      <c r="C2649" s="4" t="inlineStr"/>
      <c r="D2649" s="4" t="inlineStr">
        <is>
          <t>6009705654925</t>
        </is>
      </c>
      <c r="E2649" s="3" t="inlineStr">
        <is>
          <t>PAINT BRUSH GREEN PLASTIC HNDL,50mm,2"</t>
        </is>
      </c>
      <c r="F2649" s="4" t="inlineStr"/>
      <c r="G2649" s="4" t="inlineStr"/>
      <c r="H2649" s="4" t="inlineStr"/>
      <c r="I2649" s="5" t="n">
        <v>8.99</v>
      </c>
      <c r="J2649" s="6" t="n">
        <v>15</v>
      </c>
      <c r="K2649" s="7">
        <f>IF(I2649="","",I2649*(1+J2649/100))</f>
        <v/>
      </c>
      <c r="L2649" s="12" t="inlineStr"/>
      <c r="M2649" s="8">
        <f>IF(OR(L2649="",K2649="",L2649=0),"",
  (L2649-K2649)/L2649*100)</f>
        <v/>
      </c>
      <c r="N2649" s="14" t="n">
        <v>696</v>
      </c>
      <c r="O2649" s="4" t="inlineStr"/>
      <c r="P2649" s="4" t="inlineStr"/>
      <c r="Q2649" s="4" t="inlineStr"/>
      <c r="R2649" s="4" t="inlineStr">
        <is>
          <t>2026-03-12</t>
        </is>
      </c>
      <c r="S2649" s="4" t="inlineStr"/>
    </row>
    <row r="2650">
      <c r="A2650" s="10" t="inlineStr">
        <is>
          <t>F03113</t>
        </is>
      </c>
      <c r="B2650" s="10" t="inlineStr">
        <is>
          <t>F03113</t>
        </is>
      </c>
      <c r="C2650" s="10" t="inlineStr"/>
      <c r="D2650" s="10" t="inlineStr">
        <is>
          <t>6009705654932</t>
        </is>
      </c>
      <c r="E2650" s="10" t="inlineStr">
        <is>
          <t>PAINT BRUSH GREEN PLASTIC HNDL,63mm,2.5"</t>
        </is>
      </c>
      <c r="F2650" s="10" t="inlineStr"/>
      <c r="G2650" s="10" t="inlineStr"/>
      <c r="H2650" s="10" t="inlineStr"/>
      <c r="I2650" s="11" t="n">
        <v>9.890000000000001</v>
      </c>
      <c r="J2650" s="6" t="n">
        <v>15</v>
      </c>
      <c r="K2650" s="7">
        <f>IF(I2650="","",I2650*(1+J2650/100))</f>
        <v/>
      </c>
      <c r="L2650" s="12" t="inlineStr"/>
      <c r="M2650" s="8">
        <f>IF(OR(L2650="",K2650="",L2650=0),"",
  (L2650-K2650)/L2650*100)</f>
        <v/>
      </c>
      <c r="N2650" s="13" t="n">
        <v>504</v>
      </c>
      <c r="O2650" s="10" t="inlineStr"/>
      <c r="P2650" s="10" t="inlineStr"/>
      <c r="Q2650" s="10" t="inlineStr"/>
      <c r="R2650" s="10" t="inlineStr">
        <is>
          <t>2026-03-12</t>
        </is>
      </c>
      <c r="S2650" s="10" t="inlineStr"/>
    </row>
    <row r="2651">
      <c r="A2651" s="3" t="inlineStr">
        <is>
          <t>F03114</t>
        </is>
      </c>
      <c r="B2651" s="4" t="inlineStr">
        <is>
          <t>F03114</t>
        </is>
      </c>
      <c r="C2651" s="4" t="inlineStr"/>
      <c r="D2651" s="4" t="inlineStr">
        <is>
          <t>6009705654949</t>
        </is>
      </c>
      <c r="E2651" s="3" t="inlineStr">
        <is>
          <t>PAINT BRUSH GREEN PLASTIC HNDL,75mm,3"</t>
        </is>
      </c>
      <c r="F2651" s="4" t="inlineStr"/>
      <c r="G2651" s="4" t="inlineStr"/>
      <c r="H2651" s="4" t="inlineStr"/>
      <c r="I2651" s="5" t="n">
        <v>12.95</v>
      </c>
      <c r="J2651" s="6" t="n">
        <v>15</v>
      </c>
      <c r="K2651" s="7">
        <f>IF(I2651="","",I2651*(1+J2651/100))</f>
        <v/>
      </c>
      <c r="L2651" s="12" t="inlineStr"/>
      <c r="M2651" s="8">
        <f>IF(OR(L2651="",K2651="",L2651=0),"",
  (L2651-K2651)/L2651*100)</f>
        <v/>
      </c>
      <c r="N2651" s="14" t="n">
        <v>763</v>
      </c>
      <c r="O2651" s="4" t="inlineStr"/>
      <c r="P2651" s="4" t="inlineStr"/>
      <c r="Q2651" s="4" t="inlineStr"/>
      <c r="R2651" s="4" t="inlineStr">
        <is>
          <t>2026-03-12</t>
        </is>
      </c>
      <c r="S2651" s="4" t="inlineStr"/>
    </row>
    <row r="2652">
      <c r="A2652" s="10" t="inlineStr">
        <is>
          <t>F03115</t>
        </is>
      </c>
      <c r="B2652" s="10" t="inlineStr">
        <is>
          <t>F03115</t>
        </is>
      </c>
      <c r="C2652" s="10" t="inlineStr"/>
      <c r="D2652" s="10" t="inlineStr">
        <is>
          <t>6009705654956</t>
        </is>
      </c>
      <c r="E2652" s="10" t="inlineStr">
        <is>
          <t>PAINT BRUSH GREEN PLASTIC HNDL,100mm,4"</t>
        </is>
      </c>
      <c r="F2652" s="10" t="inlineStr"/>
      <c r="G2652" s="10" t="inlineStr"/>
      <c r="H2652" s="10" t="inlineStr"/>
      <c r="I2652" s="11" t="n">
        <v>15.5</v>
      </c>
      <c r="J2652" s="6" t="n">
        <v>15</v>
      </c>
      <c r="K2652" s="7">
        <f>IF(I2652="","",I2652*(1+J2652/100))</f>
        <v/>
      </c>
      <c r="L2652" s="12" t="inlineStr"/>
      <c r="M2652" s="8">
        <f>IF(OR(L2652="",K2652="",L2652=0),"",
  (L2652-K2652)/L2652*100)</f>
        <v/>
      </c>
      <c r="N2652" s="13" t="n">
        <v>1079</v>
      </c>
      <c r="O2652" s="10" t="inlineStr"/>
      <c r="P2652" s="10" t="inlineStr"/>
      <c r="Q2652" s="10" t="inlineStr"/>
      <c r="R2652" s="10" t="inlineStr">
        <is>
          <t>2026-03-12</t>
        </is>
      </c>
      <c r="S2652" s="10" t="inlineStr"/>
    </row>
    <row r="2653">
      <c r="A2653" s="3" t="inlineStr">
        <is>
          <t>F03116</t>
        </is>
      </c>
      <c r="B2653" s="4" t="inlineStr">
        <is>
          <t>F03116</t>
        </is>
      </c>
      <c r="C2653" s="4" t="inlineStr"/>
      <c r="D2653" s="4" t="inlineStr">
        <is>
          <t>6009705654963</t>
        </is>
      </c>
      <c r="E2653" s="3" t="inlineStr">
        <is>
          <t>SCRAPER BEECH WOOD HANDLE,PUTTY O.7MM,1"</t>
        </is>
      </c>
      <c r="F2653" s="4" t="inlineStr"/>
      <c r="G2653" s="4" t="inlineStr"/>
      <c r="H2653" s="4" t="inlineStr"/>
      <c r="I2653" s="5" t="n">
        <v>7.5</v>
      </c>
      <c r="J2653" s="6" t="n">
        <v>15</v>
      </c>
      <c r="K2653" s="7">
        <f>IF(I2653="","",I2653*(1+J2653/100))</f>
        <v/>
      </c>
      <c r="L2653" s="12" t="inlineStr"/>
      <c r="M2653" s="8">
        <f>IF(OR(L2653="",K2653="",L2653=0),"",
  (L2653-K2653)/L2653*100)</f>
        <v/>
      </c>
      <c r="N2653" s="14" t="n">
        <v>518</v>
      </c>
      <c r="O2653" s="4" t="inlineStr"/>
      <c r="P2653" s="4" t="inlineStr"/>
      <c r="Q2653" s="4" t="inlineStr"/>
      <c r="R2653" s="4" t="inlineStr">
        <is>
          <t>2026-03-12</t>
        </is>
      </c>
      <c r="S2653" s="4" t="inlineStr"/>
    </row>
    <row r="2654">
      <c r="A2654" s="10" t="inlineStr">
        <is>
          <t>F03117</t>
        </is>
      </c>
      <c r="B2654" s="10" t="inlineStr">
        <is>
          <t>F03117</t>
        </is>
      </c>
      <c r="C2654" s="10" t="inlineStr"/>
      <c r="D2654" s="10" t="inlineStr">
        <is>
          <t>6009705654970</t>
        </is>
      </c>
      <c r="E2654" s="10" t="inlineStr">
        <is>
          <t>SCRAPER BEECH WOOD HANDLE 0.7MM,1.5"</t>
        </is>
      </c>
      <c r="F2654" s="10" t="inlineStr"/>
      <c r="G2654" s="10" t="inlineStr"/>
      <c r="H2654" s="10" t="inlineStr"/>
      <c r="I2654" s="11" t="n">
        <v>7.95</v>
      </c>
      <c r="J2654" s="6" t="n">
        <v>15</v>
      </c>
      <c r="K2654" s="7">
        <f>IF(I2654="","",I2654*(1+J2654/100))</f>
        <v/>
      </c>
      <c r="L2654" s="12" t="inlineStr"/>
      <c r="M2654" s="8">
        <f>IF(OR(L2654="",K2654="",L2654=0),"",
  (L2654-K2654)/L2654*100)</f>
        <v/>
      </c>
      <c r="N2654" s="13" t="n">
        <v>441</v>
      </c>
      <c r="O2654" s="10" t="inlineStr"/>
      <c r="P2654" s="10" t="inlineStr"/>
      <c r="Q2654" s="10" t="inlineStr"/>
      <c r="R2654" s="10" t="inlineStr">
        <is>
          <t>2026-03-12</t>
        </is>
      </c>
      <c r="S2654" s="10" t="inlineStr"/>
    </row>
    <row r="2655">
      <c r="A2655" s="3" t="inlineStr">
        <is>
          <t>F03118</t>
        </is>
      </c>
      <c r="B2655" s="4" t="inlineStr">
        <is>
          <t>F03118</t>
        </is>
      </c>
      <c r="C2655" s="4" t="inlineStr"/>
      <c r="D2655" s="4" t="inlineStr">
        <is>
          <t>6009705654987</t>
        </is>
      </c>
      <c r="E2655" s="3" t="inlineStr">
        <is>
          <t>SCRAPER BEECH WOOD HANDLE 0.7MM, 2"</t>
        </is>
      </c>
      <c r="F2655" s="4" t="inlineStr"/>
      <c r="G2655" s="4" t="inlineStr"/>
      <c r="H2655" s="4" t="inlineStr"/>
      <c r="I2655" s="5" t="n">
        <v>8.949999999999999</v>
      </c>
      <c r="J2655" s="6" t="n">
        <v>15</v>
      </c>
      <c r="K2655" s="7">
        <f>IF(I2655="","",I2655*(1+J2655/100))</f>
        <v/>
      </c>
      <c r="L2655" s="12" t="inlineStr"/>
      <c r="M2655" s="8">
        <f>IF(OR(L2655="",K2655="",L2655=0),"",
  (L2655-K2655)/L2655*100)</f>
        <v/>
      </c>
      <c r="N2655" s="14" t="n">
        <v>149</v>
      </c>
      <c r="O2655" s="4" t="inlineStr"/>
      <c r="P2655" s="4" t="inlineStr"/>
      <c r="Q2655" s="4" t="inlineStr"/>
      <c r="R2655" s="4" t="inlineStr">
        <is>
          <t>2026-03-12</t>
        </is>
      </c>
      <c r="S2655" s="4" t="inlineStr"/>
    </row>
    <row r="2656">
      <c r="A2656" s="10" t="inlineStr">
        <is>
          <t>F03119</t>
        </is>
      </c>
      <c r="B2656" s="10" t="inlineStr">
        <is>
          <t>F03119</t>
        </is>
      </c>
      <c r="C2656" s="10" t="inlineStr"/>
      <c r="D2656" s="10" t="inlineStr">
        <is>
          <t>6009705654994</t>
        </is>
      </c>
      <c r="E2656" s="10" t="inlineStr">
        <is>
          <t>SCRAPER BEECH WOOD HANDLE 0.7MM , 2.5"</t>
        </is>
      </c>
      <c r="F2656" s="10" t="inlineStr"/>
      <c r="G2656" s="10" t="inlineStr"/>
      <c r="H2656" s="10" t="inlineStr"/>
      <c r="I2656" s="11" t="n">
        <v>9.5</v>
      </c>
      <c r="J2656" s="6" t="n">
        <v>15</v>
      </c>
      <c r="K2656" s="7">
        <f>IF(I2656="","",I2656*(1+J2656/100))</f>
        <v/>
      </c>
      <c r="L2656" s="12" t="inlineStr"/>
      <c r="M2656" s="8">
        <f>IF(OR(L2656="",K2656="",L2656=0),"",
  (L2656-K2656)/L2656*100)</f>
        <v/>
      </c>
      <c r="N2656" s="13" t="n">
        <v>398</v>
      </c>
      <c r="O2656" s="10" t="inlineStr"/>
      <c r="P2656" s="10" t="inlineStr"/>
      <c r="Q2656" s="10" t="inlineStr"/>
      <c r="R2656" s="10" t="inlineStr">
        <is>
          <t>2026-03-12</t>
        </is>
      </c>
      <c r="S2656" s="10" t="inlineStr"/>
    </row>
    <row r="2657">
      <c r="A2657" s="3" t="inlineStr">
        <is>
          <t>F03120</t>
        </is>
      </c>
      <c r="B2657" s="4" t="inlineStr">
        <is>
          <t>F03120</t>
        </is>
      </c>
      <c r="C2657" s="4" t="inlineStr"/>
      <c r="D2657" s="4" t="inlineStr">
        <is>
          <t>6009705655007</t>
        </is>
      </c>
      <c r="E2657" s="3" t="inlineStr">
        <is>
          <t>SCRAPER BEECH WOOD HANLDE 0.7MM, 3"</t>
        </is>
      </c>
      <c r="F2657" s="4" t="inlineStr"/>
      <c r="G2657" s="4" t="inlineStr"/>
      <c r="H2657" s="4" t="inlineStr"/>
      <c r="I2657" s="5" t="n">
        <v>9.949999999999999</v>
      </c>
      <c r="J2657" s="6" t="n">
        <v>15</v>
      </c>
      <c r="K2657" s="7">
        <f>IF(I2657="","",I2657*(1+J2657/100))</f>
        <v/>
      </c>
      <c r="L2657" s="12" t="inlineStr"/>
      <c r="M2657" s="8">
        <f>IF(OR(L2657="",K2657="",L2657=0),"",
  (L2657-K2657)/L2657*100)</f>
        <v/>
      </c>
      <c r="N2657" s="14" t="n">
        <v>43</v>
      </c>
      <c r="O2657" s="4" t="inlineStr"/>
      <c r="P2657" s="4" t="inlineStr"/>
      <c r="Q2657" s="4" t="inlineStr"/>
      <c r="R2657" s="4" t="inlineStr">
        <is>
          <t>2026-03-12</t>
        </is>
      </c>
      <c r="S2657" s="4" t="inlineStr"/>
    </row>
    <row r="2658">
      <c r="A2658" s="10" t="inlineStr">
        <is>
          <t>F03121</t>
        </is>
      </c>
      <c r="B2658" s="10" t="inlineStr">
        <is>
          <t>F03121</t>
        </is>
      </c>
      <c r="C2658" s="10" t="inlineStr"/>
      <c r="D2658" s="10" t="inlineStr">
        <is>
          <t>6009705655014</t>
        </is>
      </c>
      <c r="E2658" s="10" t="inlineStr">
        <is>
          <t>SCRAPER BEECH WOOD HANDLE 0.7MM , 3.5"</t>
        </is>
      </c>
      <c r="F2658" s="10" t="inlineStr"/>
      <c r="G2658" s="10" t="inlineStr"/>
      <c r="H2658" s="10" t="inlineStr"/>
      <c r="I2658" s="11" t="n">
        <v>10.5</v>
      </c>
      <c r="J2658" s="6" t="n">
        <v>15</v>
      </c>
      <c r="K2658" s="7">
        <f>IF(I2658="","",I2658*(1+J2658/100))</f>
        <v/>
      </c>
      <c r="L2658" s="12" t="inlineStr"/>
      <c r="M2658" s="8">
        <f>IF(OR(L2658="",K2658="",L2658=0),"",
  (L2658-K2658)/L2658*100)</f>
        <v/>
      </c>
      <c r="N2658" s="13" t="n">
        <v>630</v>
      </c>
      <c r="O2658" s="10" t="inlineStr"/>
      <c r="P2658" s="10" t="inlineStr"/>
      <c r="Q2658" s="10" t="inlineStr"/>
      <c r="R2658" s="10" t="inlineStr">
        <is>
          <t>2026-03-12</t>
        </is>
      </c>
      <c r="S2658" s="10" t="inlineStr"/>
    </row>
    <row r="2659">
      <c r="A2659" s="3" t="inlineStr">
        <is>
          <t>F03122</t>
        </is>
      </c>
      <c r="B2659" s="4" t="inlineStr">
        <is>
          <t>F03122</t>
        </is>
      </c>
      <c r="C2659" s="4" t="inlineStr"/>
      <c r="D2659" s="4" t="inlineStr">
        <is>
          <t>6009705655021</t>
        </is>
      </c>
      <c r="E2659" s="3" t="inlineStr">
        <is>
          <t>SCRAPER BEECH WOOD HANLDE 0.7MM , 4"</t>
        </is>
      </c>
      <c r="F2659" s="4" t="inlineStr"/>
      <c r="G2659" s="4" t="inlineStr"/>
      <c r="H2659" s="4" t="inlineStr"/>
      <c r="I2659" s="5" t="n">
        <v>11.5</v>
      </c>
      <c r="J2659" s="6" t="n">
        <v>15</v>
      </c>
      <c r="K2659" s="7">
        <f>IF(I2659="","",I2659*(1+J2659/100))</f>
        <v/>
      </c>
      <c r="L2659" s="12" t="inlineStr"/>
      <c r="M2659" s="8">
        <f>IF(OR(L2659="",K2659="",L2659=0),"",
  (L2659-K2659)/L2659*100)</f>
        <v/>
      </c>
      <c r="N2659" s="14" t="n">
        <v>608</v>
      </c>
      <c r="O2659" s="4" t="inlineStr"/>
      <c r="P2659" s="4" t="inlineStr"/>
      <c r="Q2659" s="4" t="inlineStr"/>
      <c r="R2659" s="4" t="inlineStr">
        <is>
          <t>2026-03-12</t>
        </is>
      </c>
      <c r="S2659" s="4" t="inlineStr"/>
    </row>
    <row r="2660">
      <c r="A2660" s="10" t="inlineStr">
        <is>
          <t>F03123</t>
        </is>
      </c>
      <c r="B2660" s="10" t="inlineStr">
        <is>
          <t>F03123</t>
        </is>
      </c>
      <c r="C2660" s="10" t="inlineStr"/>
      <c r="D2660" s="10" t="inlineStr">
        <is>
          <t>6009705655038</t>
        </is>
      </c>
      <c r="E2660" s="10" t="inlineStr">
        <is>
          <t>SCRAPER BEECH WOOD HANDLE 0.7MM , 5"</t>
        </is>
      </c>
      <c r="F2660" s="10" t="inlineStr"/>
      <c r="G2660" s="10" t="inlineStr"/>
      <c r="H2660" s="10" t="inlineStr"/>
      <c r="I2660" s="11" t="n">
        <v>12.69</v>
      </c>
      <c r="J2660" s="6" t="n">
        <v>15</v>
      </c>
      <c r="K2660" s="7">
        <f>IF(I2660="","",I2660*(1+J2660/100))</f>
        <v/>
      </c>
      <c r="L2660" s="12" t="inlineStr"/>
      <c r="M2660" s="8">
        <f>IF(OR(L2660="",K2660="",L2660=0),"",
  (L2660-K2660)/L2660*100)</f>
        <v/>
      </c>
      <c r="N2660" s="13" t="n">
        <v>758</v>
      </c>
      <c r="O2660" s="10" t="inlineStr"/>
      <c r="P2660" s="10" t="inlineStr"/>
      <c r="Q2660" s="10" t="inlineStr"/>
      <c r="R2660" s="10" t="inlineStr">
        <is>
          <t>2026-03-12</t>
        </is>
      </c>
      <c r="S2660" s="10" t="inlineStr"/>
    </row>
    <row r="2661">
      <c r="A2661" s="3" t="inlineStr">
        <is>
          <t>F03124</t>
        </is>
      </c>
      <c r="B2661" s="4" t="inlineStr">
        <is>
          <t>F03124</t>
        </is>
      </c>
      <c r="C2661" s="4" t="inlineStr"/>
      <c r="D2661" s="4" t="inlineStr">
        <is>
          <t>6009705655045</t>
        </is>
      </c>
      <c r="E2661" s="3" t="inlineStr">
        <is>
          <t>SCRAPER BEECH WOOD HANLDE 0.7MM ,6"</t>
        </is>
      </c>
      <c r="F2661" s="4" t="inlineStr"/>
      <c r="G2661" s="4" t="inlineStr"/>
      <c r="H2661" s="4" t="inlineStr"/>
      <c r="I2661" s="5" t="n">
        <v>13.95</v>
      </c>
      <c r="J2661" s="6" t="n">
        <v>15</v>
      </c>
      <c r="K2661" s="7">
        <f>IF(I2661="","",I2661*(1+J2661/100))</f>
        <v/>
      </c>
      <c r="L2661" s="12" t="inlineStr"/>
      <c r="M2661" s="8">
        <f>IF(OR(L2661="",K2661="",L2661=0),"",
  (L2661-K2661)/L2661*100)</f>
        <v/>
      </c>
      <c r="N2661" s="14" t="n">
        <v>777</v>
      </c>
      <c r="O2661" s="4" t="inlineStr"/>
      <c r="P2661" s="4" t="inlineStr"/>
      <c r="Q2661" s="4" t="inlineStr"/>
      <c r="R2661" s="4" t="inlineStr">
        <is>
          <t>2026-03-12</t>
        </is>
      </c>
      <c r="S2661" s="4" t="inlineStr"/>
    </row>
    <row r="2662">
      <c r="A2662" s="10" t="inlineStr">
        <is>
          <t>F03125</t>
        </is>
      </c>
      <c r="B2662" s="10" t="inlineStr">
        <is>
          <t>F03125</t>
        </is>
      </c>
      <c r="C2662" s="10" t="inlineStr"/>
      <c r="D2662" s="10" t="inlineStr">
        <is>
          <t>6009705655052</t>
        </is>
      </c>
      <c r="E2662" s="10" t="inlineStr">
        <is>
          <t>SCRAPER GREEN PLASTIC HANDLE 0.7MM, 1"</t>
        </is>
      </c>
      <c r="F2662" s="10" t="inlineStr"/>
      <c r="G2662" s="10" t="inlineStr"/>
      <c r="H2662" s="10" t="inlineStr"/>
      <c r="I2662" s="11" t="n">
        <v>5.49</v>
      </c>
      <c r="J2662" s="6" t="n">
        <v>15</v>
      </c>
      <c r="K2662" s="7">
        <f>IF(I2662="","",I2662*(1+J2662/100))</f>
        <v/>
      </c>
      <c r="L2662" s="12" t="inlineStr"/>
      <c r="M2662" s="8">
        <f>IF(OR(L2662="",K2662="",L2662=0),"",
  (L2662-K2662)/L2662*100)</f>
        <v/>
      </c>
      <c r="N2662" s="13" t="n">
        <v>786</v>
      </c>
      <c r="O2662" s="10" t="inlineStr"/>
      <c r="P2662" s="10" t="inlineStr"/>
      <c r="Q2662" s="10" t="inlineStr"/>
      <c r="R2662" s="10" t="inlineStr">
        <is>
          <t>2026-03-12</t>
        </is>
      </c>
      <c r="S2662" s="10" t="inlineStr"/>
    </row>
    <row r="2663">
      <c r="A2663" s="3" t="inlineStr">
        <is>
          <t>F03126</t>
        </is>
      </c>
      <c r="B2663" s="4" t="inlineStr">
        <is>
          <t>F03126</t>
        </is>
      </c>
      <c r="C2663" s="4" t="inlineStr"/>
      <c r="D2663" s="4" t="inlineStr">
        <is>
          <t>6009705655069</t>
        </is>
      </c>
      <c r="E2663" s="3" t="inlineStr">
        <is>
          <t>SCRAPER GREEN PLASTIC HANDLE 0.7MM, 1.5"</t>
        </is>
      </c>
      <c r="F2663" s="4" t="inlineStr"/>
      <c r="G2663" s="4" t="inlineStr"/>
      <c r="H2663" s="4" t="inlineStr"/>
      <c r="I2663" s="5" t="n">
        <v>6.49</v>
      </c>
      <c r="J2663" s="6" t="n">
        <v>15</v>
      </c>
      <c r="K2663" s="7">
        <f>IF(I2663="","",I2663*(1+J2663/100))</f>
        <v/>
      </c>
      <c r="L2663" s="12" t="inlineStr"/>
      <c r="M2663" s="8">
        <f>IF(OR(L2663="",K2663="",L2663=0),"",
  (L2663-K2663)/L2663*100)</f>
        <v/>
      </c>
      <c r="N2663" s="14" t="n">
        <v>709</v>
      </c>
      <c r="O2663" s="4" t="inlineStr"/>
      <c r="P2663" s="4" t="inlineStr"/>
      <c r="Q2663" s="4" t="inlineStr"/>
      <c r="R2663" s="4" t="inlineStr">
        <is>
          <t>2026-03-12</t>
        </is>
      </c>
      <c r="S2663" s="4" t="inlineStr"/>
    </row>
    <row r="2664">
      <c r="A2664" s="10" t="inlineStr">
        <is>
          <t>F03127</t>
        </is>
      </c>
      <c r="B2664" s="10" t="inlineStr">
        <is>
          <t>F03127</t>
        </is>
      </c>
      <c r="C2664" s="10" t="inlineStr"/>
      <c r="D2664" s="10" t="inlineStr">
        <is>
          <t>6009705655076</t>
        </is>
      </c>
      <c r="E2664" s="10" t="inlineStr">
        <is>
          <t>SCRAPER GREEN PLASTIC HANLDE 0.7MM, 2"</t>
        </is>
      </c>
      <c r="F2664" s="10" t="inlineStr"/>
      <c r="G2664" s="10" t="inlineStr"/>
      <c r="H2664" s="10" t="inlineStr"/>
      <c r="I2664" s="11" t="n">
        <v>7.69</v>
      </c>
      <c r="J2664" s="6" t="n">
        <v>15</v>
      </c>
      <c r="K2664" s="7">
        <f>IF(I2664="","",I2664*(1+J2664/100))</f>
        <v/>
      </c>
      <c r="L2664" s="12" t="inlineStr"/>
      <c r="M2664" s="8">
        <f>IF(OR(L2664="",K2664="",L2664=0),"",
  (L2664-K2664)/L2664*100)</f>
        <v/>
      </c>
      <c r="N2664" s="13" t="n">
        <v>219</v>
      </c>
      <c r="O2664" s="10" t="inlineStr"/>
      <c r="P2664" s="10" t="inlineStr"/>
      <c r="Q2664" s="10" t="inlineStr"/>
      <c r="R2664" s="10" t="inlineStr">
        <is>
          <t>2026-03-12</t>
        </is>
      </c>
      <c r="S2664" s="10" t="inlineStr"/>
    </row>
    <row r="2665">
      <c r="A2665" s="3" t="inlineStr">
        <is>
          <t>F03128</t>
        </is>
      </c>
      <c r="B2665" s="4" t="inlineStr">
        <is>
          <t>F03128</t>
        </is>
      </c>
      <c r="C2665" s="4" t="inlineStr"/>
      <c r="D2665" s="4" t="inlineStr">
        <is>
          <t>6009705655083</t>
        </is>
      </c>
      <c r="E2665" s="3" t="inlineStr">
        <is>
          <t>SCRAPER GREEN PLASTIC HANDLE 0.7MM, 2.5"</t>
        </is>
      </c>
      <c r="F2665" s="4" t="inlineStr"/>
      <c r="G2665" s="4" t="inlineStr"/>
      <c r="H2665" s="4" t="inlineStr"/>
      <c r="I2665" s="5" t="n">
        <v>8.49</v>
      </c>
      <c r="J2665" s="6" t="n">
        <v>15</v>
      </c>
      <c r="K2665" s="7">
        <f>IF(I2665="","",I2665*(1+J2665/100))</f>
        <v/>
      </c>
      <c r="L2665" s="12" t="inlineStr"/>
      <c r="M2665" s="8">
        <f>IF(OR(L2665="",K2665="",L2665=0),"",
  (L2665-K2665)/L2665*100)</f>
        <v/>
      </c>
      <c r="N2665" s="14" t="n">
        <v>697</v>
      </c>
      <c r="O2665" s="4" t="inlineStr"/>
      <c r="P2665" s="4" t="inlineStr"/>
      <c r="Q2665" s="4" t="inlineStr"/>
      <c r="R2665" s="4" t="inlineStr">
        <is>
          <t>2026-03-12</t>
        </is>
      </c>
      <c r="S2665" s="4" t="inlineStr"/>
    </row>
    <row r="2666">
      <c r="A2666" s="10" t="inlineStr">
        <is>
          <t>F03129</t>
        </is>
      </c>
      <c r="B2666" s="10" t="inlineStr">
        <is>
          <t>F03129</t>
        </is>
      </c>
      <c r="C2666" s="10" t="inlineStr"/>
      <c r="D2666" s="10" t="inlineStr">
        <is>
          <t>6009705655090</t>
        </is>
      </c>
      <c r="E2666" s="10" t="inlineStr">
        <is>
          <t>SCRAPER GREEN PLASTIC HANLDE 0.7MM, 3"</t>
        </is>
      </c>
      <c r="F2666" s="10" t="inlineStr"/>
      <c r="G2666" s="10" t="inlineStr"/>
      <c r="H2666" s="10" t="inlineStr"/>
      <c r="I2666" s="11" t="n">
        <v>8.949999999999999</v>
      </c>
      <c r="J2666" s="6" t="n">
        <v>15</v>
      </c>
      <c r="K2666" s="7">
        <f>IF(I2666="","",I2666*(1+J2666/100))</f>
        <v/>
      </c>
      <c r="L2666" s="12" t="inlineStr"/>
      <c r="M2666" s="8">
        <f>IF(OR(L2666="",K2666="",L2666=0),"",
  (L2666-K2666)/L2666*100)</f>
        <v/>
      </c>
      <c r="N2666" s="13" t="n">
        <v>9</v>
      </c>
      <c r="O2666" s="10" t="inlineStr"/>
      <c r="P2666" s="10" t="inlineStr"/>
      <c r="Q2666" s="10" t="inlineStr"/>
      <c r="R2666" s="10" t="inlineStr">
        <is>
          <t>2026-03-12</t>
        </is>
      </c>
      <c r="S2666" s="10" t="inlineStr"/>
    </row>
    <row r="2667">
      <c r="A2667" s="3" t="inlineStr">
        <is>
          <t>F03130</t>
        </is>
      </c>
      <c r="B2667" s="4" t="inlineStr">
        <is>
          <t>F03130</t>
        </is>
      </c>
      <c r="C2667" s="4" t="inlineStr"/>
      <c r="D2667" s="4" t="inlineStr">
        <is>
          <t>6009705655106</t>
        </is>
      </c>
      <c r="E2667" s="3" t="inlineStr">
        <is>
          <t>SCRAPER GREEN PLASTIC HANLDE 0.7MM, 3.5"</t>
        </is>
      </c>
      <c r="F2667" s="4" t="inlineStr"/>
      <c r="G2667" s="4" t="inlineStr"/>
      <c r="H2667" s="4" t="inlineStr"/>
      <c r="I2667" s="5" t="n">
        <v>9.5</v>
      </c>
      <c r="J2667" s="6" t="n">
        <v>15</v>
      </c>
      <c r="K2667" s="7">
        <f>IF(I2667="","",I2667*(1+J2667/100))</f>
        <v/>
      </c>
      <c r="L2667" s="12" t="inlineStr"/>
      <c r="M2667" s="8">
        <f>IF(OR(L2667="",K2667="",L2667=0),"",
  (L2667-K2667)/L2667*100)</f>
        <v/>
      </c>
      <c r="N2667" s="14" t="n">
        <v>1061</v>
      </c>
      <c r="O2667" s="4" t="inlineStr"/>
      <c r="P2667" s="4" t="inlineStr"/>
      <c r="Q2667" s="4" t="inlineStr"/>
      <c r="R2667" s="4" t="inlineStr">
        <is>
          <t>2026-03-12</t>
        </is>
      </c>
      <c r="S2667" s="4" t="inlineStr"/>
    </row>
    <row r="2668">
      <c r="A2668" s="10" t="inlineStr">
        <is>
          <t>F03131</t>
        </is>
      </c>
      <c r="B2668" s="10" t="inlineStr">
        <is>
          <t>F03131</t>
        </is>
      </c>
      <c r="C2668" s="10" t="inlineStr"/>
      <c r="D2668" s="10" t="inlineStr">
        <is>
          <t>6009705655113</t>
        </is>
      </c>
      <c r="E2668" s="10" t="inlineStr">
        <is>
          <t>SCRAPER GREEN PLASTIC HANDLE 0.7MM,4"</t>
        </is>
      </c>
      <c r="F2668" s="10" t="inlineStr"/>
      <c r="G2668" s="10" t="inlineStr"/>
      <c r="H2668" s="10" t="inlineStr"/>
      <c r="I2668" s="11" t="n">
        <v>9.789999999999999</v>
      </c>
      <c r="J2668" s="6" t="n">
        <v>15</v>
      </c>
      <c r="K2668" s="7">
        <f>IF(I2668="","",I2668*(1+J2668/100))</f>
        <v/>
      </c>
      <c r="L2668" s="12" t="inlineStr"/>
      <c r="M2668" s="8">
        <f>IF(OR(L2668="",K2668="",L2668=0),"",
  (L2668-K2668)/L2668*100)</f>
        <v/>
      </c>
      <c r="N2668" s="13" t="n">
        <v>997</v>
      </c>
      <c r="O2668" s="10" t="inlineStr"/>
      <c r="P2668" s="10" t="inlineStr"/>
      <c r="Q2668" s="10" t="inlineStr"/>
      <c r="R2668" s="10" t="inlineStr">
        <is>
          <t>2026-03-12</t>
        </is>
      </c>
      <c r="S2668" s="10" t="inlineStr"/>
    </row>
    <row r="2669">
      <c r="A2669" s="3" t="inlineStr">
        <is>
          <t>F03132</t>
        </is>
      </c>
      <c r="B2669" s="4" t="inlineStr">
        <is>
          <t>F03132</t>
        </is>
      </c>
      <c r="C2669" s="4" t="inlineStr"/>
      <c r="D2669" s="4" t="inlineStr">
        <is>
          <t>6009705655120</t>
        </is>
      </c>
      <c r="E2669" s="3" t="inlineStr">
        <is>
          <t>SCRAPER GREEN PLASTIC HANLDE 0.7MM, 5"</t>
        </is>
      </c>
      <c r="F2669" s="4" t="inlineStr"/>
      <c r="G2669" s="4" t="inlineStr"/>
      <c r="H2669" s="4" t="inlineStr"/>
      <c r="I2669" s="5" t="n">
        <v>10.95</v>
      </c>
      <c r="J2669" s="6" t="n">
        <v>15</v>
      </c>
      <c r="K2669" s="7">
        <f>IF(I2669="","",I2669*(1+J2669/100))</f>
        <v/>
      </c>
      <c r="L2669" s="12" t="inlineStr"/>
      <c r="M2669" s="8">
        <f>IF(OR(L2669="",K2669="",L2669=0),"",
  (L2669-K2669)/L2669*100)</f>
        <v/>
      </c>
      <c r="N2669" s="14" t="n">
        <v>1056</v>
      </c>
      <c r="O2669" s="4" t="inlineStr"/>
      <c r="P2669" s="4" t="inlineStr"/>
      <c r="Q2669" s="4" t="inlineStr"/>
      <c r="R2669" s="4" t="inlineStr">
        <is>
          <t>2026-03-12</t>
        </is>
      </c>
      <c r="S2669" s="4" t="inlineStr"/>
    </row>
    <row r="2670">
      <c r="A2670" s="10" t="inlineStr">
        <is>
          <t>F03133</t>
        </is>
      </c>
      <c r="B2670" s="10" t="inlineStr">
        <is>
          <t>F03133</t>
        </is>
      </c>
      <c r="C2670" s="10" t="inlineStr"/>
      <c r="D2670" s="10" t="inlineStr">
        <is>
          <t>6009705655137</t>
        </is>
      </c>
      <c r="E2670" s="10" t="inlineStr">
        <is>
          <t>SCRAPER GREEN PLASTIC HANLDE 0.7MM, 6"</t>
        </is>
      </c>
      <c r="F2670" s="10" t="inlineStr"/>
      <c r="G2670" s="10" t="inlineStr"/>
      <c r="H2670" s="10" t="inlineStr"/>
      <c r="I2670" s="11" t="n">
        <v>11.95</v>
      </c>
      <c r="J2670" s="6" t="n">
        <v>15</v>
      </c>
      <c r="K2670" s="7">
        <f>IF(I2670="","",I2670*(1+J2670/100))</f>
        <v/>
      </c>
      <c r="L2670" s="12" t="inlineStr"/>
      <c r="M2670" s="8">
        <f>IF(OR(L2670="",K2670="",L2670=0),"",
  (L2670-K2670)/L2670*100)</f>
        <v/>
      </c>
      <c r="N2670" s="13" t="n">
        <v>1169</v>
      </c>
      <c r="O2670" s="10" t="inlineStr"/>
      <c r="P2670" s="10" t="inlineStr"/>
      <c r="Q2670" s="10" t="inlineStr"/>
      <c r="R2670" s="10" t="inlineStr">
        <is>
          <t>2026-03-12</t>
        </is>
      </c>
      <c r="S2670" s="10" t="inlineStr"/>
    </row>
    <row r="2671">
      <c r="A2671" s="3" t="inlineStr">
        <is>
          <t>F03134</t>
        </is>
      </c>
      <c r="B2671" s="4" t="inlineStr">
        <is>
          <t>F03134</t>
        </is>
      </c>
      <c r="C2671" s="4" t="inlineStr"/>
      <c r="D2671" s="4" t="inlineStr">
        <is>
          <t>6009705655144</t>
        </is>
      </c>
      <c r="E2671" s="3" t="inlineStr">
        <is>
          <t>PAINT TRAY SET PINK "HER PILE"</t>
        </is>
      </c>
      <c r="F2671" s="4" t="inlineStr"/>
      <c r="G2671" s="4" t="inlineStr"/>
      <c r="H2671" s="4" t="inlineStr"/>
      <c r="I2671" s="5" t="n">
        <v>29.95</v>
      </c>
      <c r="J2671" s="6" t="n">
        <v>15</v>
      </c>
      <c r="K2671" s="7">
        <f>IF(I2671="","",I2671*(1+J2671/100))</f>
        <v/>
      </c>
      <c r="L2671" s="12" t="inlineStr"/>
      <c r="M2671" s="8">
        <f>IF(OR(L2671="",K2671="",L2671=0),"",
  (L2671-K2671)/L2671*100)</f>
        <v/>
      </c>
      <c r="N2671" s="9" t="inlineStr"/>
      <c r="O2671" s="4" t="inlineStr"/>
      <c r="P2671" s="4" t="inlineStr"/>
      <c r="Q2671" s="4" t="inlineStr"/>
      <c r="R2671" s="4" t="inlineStr">
        <is>
          <t>2026-03-12</t>
        </is>
      </c>
      <c r="S2671" s="4" t="inlineStr"/>
    </row>
    <row r="2672">
      <c r="A2672" s="10" t="inlineStr">
        <is>
          <t>F03135</t>
        </is>
      </c>
      <c r="B2672" s="10" t="inlineStr">
        <is>
          <t>F03135</t>
        </is>
      </c>
      <c r="C2672" s="10" t="inlineStr"/>
      <c r="D2672" s="10" t="inlineStr">
        <is>
          <t>6009705655151</t>
        </is>
      </c>
      <c r="E2672" s="10" t="inlineStr">
        <is>
          <t>PAINT ROLLER GREEN HANDLE PRO' MED</t>
        </is>
      </c>
      <c r="F2672" s="10" t="inlineStr"/>
      <c r="G2672" s="10" t="inlineStr"/>
      <c r="H2672" s="10" t="inlineStr"/>
      <c r="I2672" s="11" t="n">
        <v>22.95</v>
      </c>
      <c r="J2672" s="6" t="n">
        <v>15</v>
      </c>
      <c r="K2672" s="7">
        <f>IF(I2672="","",I2672*(1+J2672/100))</f>
        <v/>
      </c>
      <c r="L2672" s="12" t="inlineStr"/>
      <c r="M2672" s="8">
        <f>IF(OR(L2672="",K2672="",L2672=0),"",
  (L2672-K2672)/L2672*100)</f>
        <v/>
      </c>
      <c r="N2672" s="13" t="n">
        <v>2642</v>
      </c>
      <c r="O2672" s="10" t="inlineStr"/>
      <c r="P2672" s="10" t="inlineStr"/>
      <c r="Q2672" s="10" t="inlineStr"/>
      <c r="R2672" s="10" t="inlineStr">
        <is>
          <t>2026-03-12</t>
        </is>
      </c>
      <c r="S2672" s="10" t="inlineStr"/>
    </row>
    <row r="2673">
      <c r="A2673" s="3" t="inlineStr">
        <is>
          <t>F03136</t>
        </is>
      </c>
      <c r="B2673" s="4" t="inlineStr">
        <is>
          <t>F03136</t>
        </is>
      </c>
      <c r="C2673" s="4" t="inlineStr"/>
      <c r="D2673" s="4" t="inlineStr">
        <is>
          <t>6060202317058</t>
        </is>
      </c>
      <c r="E2673" s="3" t="inlineStr">
        <is>
          <t>MORTICE LOCK S/STRONG FANCY BRASS 2KEY</t>
        </is>
      </c>
      <c r="F2673" s="4" t="inlineStr"/>
      <c r="G2673" s="4" t="inlineStr"/>
      <c r="H2673" s="4" t="inlineStr"/>
      <c r="I2673" s="5" t="n">
        <v>79.95</v>
      </c>
      <c r="J2673" s="6" t="n">
        <v>15</v>
      </c>
      <c r="K2673" s="7">
        <f>IF(I2673="","",I2673*(1+J2673/100))</f>
        <v/>
      </c>
      <c r="L2673" s="12" t="inlineStr"/>
      <c r="M2673" s="8">
        <f>IF(OR(L2673="",K2673="",L2673=0),"",
  (L2673-K2673)/L2673*100)</f>
        <v/>
      </c>
      <c r="N2673" s="9" t="inlineStr"/>
      <c r="O2673" s="4" t="inlineStr"/>
      <c r="P2673" s="4" t="inlineStr"/>
      <c r="Q2673" s="4" t="inlineStr"/>
      <c r="R2673" s="4" t="inlineStr">
        <is>
          <t>2026-03-12</t>
        </is>
      </c>
      <c r="S2673" s="4" t="inlineStr"/>
    </row>
    <row r="2674">
      <c r="A2674" s="10" t="inlineStr">
        <is>
          <t>F03137</t>
        </is>
      </c>
      <c r="B2674" s="10" t="inlineStr">
        <is>
          <t>F03137</t>
        </is>
      </c>
      <c r="C2674" s="10" t="inlineStr"/>
      <c r="D2674" s="10" t="inlineStr">
        <is>
          <t>60602020317041</t>
        </is>
      </c>
      <c r="E2674" s="10" t="inlineStr">
        <is>
          <t>MORTICE LOCK S/STRONG FANCY GOLD 2KEY</t>
        </is>
      </c>
      <c r="F2674" s="10" t="inlineStr"/>
      <c r="G2674" s="10" t="inlineStr"/>
      <c r="H2674" s="10" t="inlineStr"/>
      <c r="I2674" s="11" t="n">
        <v>79.95</v>
      </c>
      <c r="J2674" s="6" t="n">
        <v>15</v>
      </c>
      <c r="K2674" s="7">
        <f>IF(I2674="","",I2674*(1+J2674/100))</f>
        <v/>
      </c>
      <c r="L2674" s="12" t="inlineStr"/>
      <c r="M2674" s="8">
        <f>IF(OR(L2674="",K2674="",L2674=0),"",
  (L2674-K2674)/L2674*100)</f>
        <v/>
      </c>
      <c r="N2674" s="13" t="n">
        <v>75</v>
      </c>
      <c r="O2674" s="10" t="inlineStr"/>
      <c r="P2674" s="10" t="inlineStr"/>
      <c r="Q2674" s="10" t="inlineStr"/>
      <c r="R2674" s="10" t="inlineStr">
        <is>
          <t>2026-03-12</t>
        </is>
      </c>
      <c r="S2674" s="10" t="inlineStr"/>
    </row>
    <row r="2675">
      <c r="A2675" s="3" t="inlineStr">
        <is>
          <t>F03138</t>
        </is>
      </c>
      <c r="B2675" s="4" t="inlineStr">
        <is>
          <t>F03138</t>
        </is>
      </c>
      <c r="C2675" s="4" t="inlineStr"/>
      <c r="D2675" s="4" t="inlineStr">
        <is>
          <t>6060202317034</t>
        </is>
      </c>
      <c r="E2675" s="3" t="inlineStr">
        <is>
          <t>MORTICE LOCK S/STRONG FANCY SILVER 2KEY</t>
        </is>
      </c>
      <c r="F2675" s="4" t="inlineStr"/>
      <c r="G2675" s="4" t="inlineStr"/>
      <c r="H2675" s="4" t="inlineStr"/>
      <c r="I2675" s="5" t="n">
        <v>79.95</v>
      </c>
      <c r="J2675" s="6" t="n">
        <v>15</v>
      </c>
      <c r="K2675" s="7">
        <f>IF(I2675="","",I2675*(1+J2675/100))</f>
        <v/>
      </c>
      <c r="L2675" s="12" t="inlineStr"/>
      <c r="M2675" s="8">
        <f>IF(OR(L2675="",K2675="",L2675=0),"",
  (L2675-K2675)/L2675*100)</f>
        <v/>
      </c>
      <c r="N2675" s="9" t="inlineStr"/>
      <c r="O2675" s="4" t="inlineStr"/>
      <c r="P2675" s="4" t="inlineStr"/>
      <c r="Q2675" s="4" t="inlineStr"/>
      <c r="R2675" s="4" t="inlineStr">
        <is>
          <t>2026-03-12</t>
        </is>
      </c>
      <c r="S2675" s="4" t="inlineStr"/>
    </row>
    <row r="2676">
      <c r="A2676" s="10" t="inlineStr">
        <is>
          <t>F03139</t>
        </is>
      </c>
      <c r="B2676" s="10" t="inlineStr">
        <is>
          <t>F03139</t>
        </is>
      </c>
      <c r="C2676" s="10" t="inlineStr"/>
      <c r="D2676" s="10" t="inlineStr">
        <is>
          <t>6009705655168</t>
        </is>
      </c>
      <c r="E2676" s="10" t="inlineStr">
        <is>
          <t>PAINT -ROLLER 3PCS ALCO</t>
        </is>
      </c>
      <c r="F2676" s="10" t="inlineStr"/>
      <c r="G2676" s="10" t="inlineStr"/>
      <c r="H2676" s="10" t="inlineStr"/>
      <c r="I2676" s="11" t="n">
        <v>19.95</v>
      </c>
      <c r="J2676" s="6" t="n">
        <v>15</v>
      </c>
      <c r="K2676" s="7">
        <f>IF(I2676="","",I2676*(1+J2676/100))</f>
        <v/>
      </c>
      <c r="L2676" s="12" t="inlineStr"/>
      <c r="M2676" s="8">
        <f>IF(OR(L2676="",K2676="",L2676=0),"",
  (L2676-K2676)/L2676*100)</f>
        <v/>
      </c>
      <c r="N2676" s="13" t="n">
        <v>1204</v>
      </c>
      <c r="O2676" s="10" t="inlineStr"/>
      <c r="P2676" s="10" t="inlineStr"/>
      <c r="Q2676" s="10" t="inlineStr"/>
      <c r="R2676" s="10" t="inlineStr">
        <is>
          <t>2026-03-12</t>
        </is>
      </c>
      <c r="S2676" s="10" t="inlineStr"/>
    </row>
    <row r="2677">
      <c r="A2677" s="3" t="inlineStr">
        <is>
          <t>F03140</t>
        </is>
      </c>
      <c r="B2677" s="4" t="inlineStr">
        <is>
          <t>F03140</t>
        </is>
      </c>
      <c r="C2677" s="4" t="inlineStr"/>
      <c r="D2677" s="4" t="inlineStr">
        <is>
          <t>6009705655175</t>
        </is>
      </c>
      <c r="E2677" s="3" t="inlineStr">
        <is>
          <t>PAINT ROLLER MEDIUM PRO GREY STRIPE YELL</t>
        </is>
      </c>
      <c r="F2677" s="4" t="inlineStr"/>
      <c r="G2677" s="4" t="inlineStr"/>
      <c r="H2677" s="4" t="inlineStr"/>
      <c r="I2677" s="5" t="n">
        <v>26.95</v>
      </c>
      <c r="J2677" s="6" t="n">
        <v>15</v>
      </c>
      <c r="K2677" s="7">
        <f>IF(I2677="","",I2677*(1+J2677/100))</f>
        <v/>
      </c>
      <c r="L2677" s="12" t="inlineStr"/>
      <c r="M2677" s="8">
        <f>IF(OR(L2677="",K2677="",L2677=0),"",
  (L2677-K2677)/L2677*100)</f>
        <v/>
      </c>
      <c r="N2677" s="14" t="n">
        <v>1294</v>
      </c>
      <c r="O2677" s="4" t="inlineStr"/>
      <c r="P2677" s="4" t="inlineStr"/>
      <c r="Q2677" s="4" t="inlineStr"/>
      <c r="R2677" s="4" t="inlineStr">
        <is>
          <t>2026-03-12</t>
        </is>
      </c>
      <c r="S2677" s="4" t="inlineStr"/>
    </row>
    <row r="2678">
      <c r="A2678" s="10" t="inlineStr">
        <is>
          <t>F03141</t>
        </is>
      </c>
      <c r="B2678" s="10" t="inlineStr">
        <is>
          <t>F03141</t>
        </is>
      </c>
      <c r="C2678" s="10" t="inlineStr"/>
      <c r="D2678" s="10" t="inlineStr">
        <is>
          <t>6009705655182</t>
        </is>
      </c>
      <c r="E2678" s="10" t="inlineStr">
        <is>
          <t>PAINT ROLLER PRO" BEST QLTY BLUE HANDLE</t>
        </is>
      </c>
      <c r="F2678" s="10" t="inlineStr"/>
      <c r="G2678" s="10" t="inlineStr"/>
      <c r="H2678" s="10" t="inlineStr"/>
      <c r="I2678" s="11" t="n">
        <v>45.95</v>
      </c>
      <c r="J2678" s="6" t="n">
        <v>15</v>
      </c>
      <c r="K2678" s="7">
        <f>IF(I2678="","",I2678*(1+J2678/100))</f>
        <v/>
      </c>
      <c r="L2678" s="12" t="inlineStr"/>
      <c r="M2678" s="8">
        <f>IF(OR(L2678="",K2678="",L2678=0),"",
  (L2678-K2678)/L2678*100)</f>
        <v/>
      </c>
      <c r="N2678" s="13" t="n">
        <v>143</v>
      </c>
      <c r="O2678" s="10" t="inlineStr"/>
      <c r="P2678" s="10" t="inlineStr"/>
      <c r="Q2678" s="10" t="inlineStr"/>
      <c r="R2678" s="10" t="inlineStr">
        <is>
          <t>2026-03-12</t>
        </is>
      </c>
      <c r="S2678" s="10" t="inlineStr"/>
    </row>
    <row r="2679">
      <c r="A2679" s="3" t="inlineStr">
        <is>
          <t>F03142</t>
        </is>
      </c>
      <c r="B2679" s="4" t="inlineStr">
        <is>
          <t>F03142</t>
        </is>
      </c>
      <c r="C2679" s="4" t="inlineStr"/>
      <c r="D2679" s="4" t="inlineStr">
        <is>
          <t>6009705655199</t>
        </is>
      </c>
      <c r="E2679" s="3" t="inlineStr">
        <is>
          <t>PAINT ROLLER PRO" HIGH QLTY YELLO HANDLE</t>
        </is>
      </c>
      <c r="F2679" s="4" t="inlineStr"/>
      <c r="G2679" s="4" t="inlineStr"/>
      <c r="H2679" s="4" t="inlineStr"/>
      <c r="I2679" s="5" t="n">
        <v>42.95</v>
      </c>
      <c r="J2679" s="6" t="n">
        <v>15</v>
      </c>
      <c r="K2679" s="7">
        <f>IF(I2679="","",I2679*(1+J2679/100))</f>
        <v/>
      </c>
      <c r="L2679" s="12" t="inlineStr"/>
      <c r="M2679" s="8">
        <f>IF(OR(L2679="",K2679="",L2679=0),"",
  (L2679-K2679)/L2679*100)</f>
        <v/>
      </c>
      <c r="N2679" s="14" t="n">
        <v>36</v>
      </c>
      <c r="O2679" s="4" t="inlineStr"/>
      <c r="P2679" s="4" t="inlineStr"/>
      <c r="Q2679" s="4" t="inlineStr"/>
      <c r="R2679" s="4" t="inlineStr">
        <is>
          <t>2026-03-12</t>
        </is>
      </c>
      <c r="S2679" s="4" t="inlineStr"/>
    </row>
    <row r="2680">
      <c r="A2680" s="10" t="inlineStr">
        <is>
          <t>F03143</t>
        </is>
      </c>
      <c r="B2680" s="10" t="inlineStr">
        <is>
          <t>F03143</t>
        </is>
      </c>
      <c r="C2680" s="10" t="inlineStr"/>
      <c r="D2680" s="10" t="inlineStr">
        <is>
          <t>6009705655205</t>
        </is>
      </c>
      <c r="E2680" s="10" t="inlineStr">
        <is>
          <t>PAINT ROLLER WHT HNDL PROF'' PILE</t>
        </is>
      </c>
      <c r="F2680" s="10" t="inlineStr"/>
      <c r="G2680" s="10" t="inlineStr"/>
      <c r="H2680" s="10" t="inlineStr"/>
      <c r="I2680" s="11" t="n">
        <v>2</v>
      </c>
      <c r="J2680" s="6" t="n">
        <v>15</v>
      </c>
      <c r="K2680" s="7">
        <f>IF(I2680="","",I2680*(1+J2680/100))</f>
        <v/>
      </c>
      <c r="L2680" s="12" t="inlineStr"/>
      <c r="M2680" s="8">
        <f>IF(OR(L2680="",K2680="",L2680=0),"",
  (L2680-K2680)/L2680*100)</f>
        <v/>
      </c>
      <c r="N2680" s="9" t="inlineStr"/>
      <c r="O2680" s="10" t="inlineStr"/>
      <c r="P2680" s="10" t="inlineStr"/>
      <c r="Q2680" s="10" t="inlineStr"/>
      <c r="R2680" s="10" t="inlineStr">
        <is>
          <t>2026-03-12</t>
        </is>
      </c>
      <c r="S2680" s="10" t="inlineStr"/>
    </row>
    <row r="2681">
      <c r="A2681" s="3" t="inlineStr">
        <is>
          <t>F03144</t>
        </is>
      </c>
      <c r="B2681" s="4" t="inlineStr">
        <is>
          <t>F03144</t>
        </is>
      </c>
      <c r="C2681" s="4" t="inlineStr"/>
      <c r="D2681" s="4" t="inlineStr">
        <is>
          <t>6009705655212</t>
        </is>
      </c>
      <c r="E2681" s="3" t="inlineStr">
        <is>
          <t>PAINT ROLLER SMALL DIY LONG HANDLE</t>
        </is>
      </c>
      <c r="F2681" s="4" t="inlineStr"/>
      <c r="G2681" s="4" t="inlineStr"/>
      <c r="H2681" s="4" t="inlineStr"/>
      <c r="I2681" s="5" t="n">
        <v>18.95</v>
      </c>
      <c r="J2681" s="6" t="n">
        <v>15</v>
      </c>
      <c r="K2681" s="7">
        <f>IF(I2681="","",I2681*(1+J2681/100))</f>
        <v/>
      </c>
      <c r="L2681" s="12" t="inlineStr"/>
      <c r="M2681" s="8">
        <f>IF(OR(L2681="",K2681="",L2681=0),"",
  (L2681-K2681)/L2681*100)</f>
        <v/>
      </c>
      <c r="N2681" s="14" t="n">
        <v>221</v>
      </c>
      <c r="O2681" s="4" t="inlineStr"/>
      <c r="P2681" s="4" t="inlineStr"/>
      <c r="Q2681" s="4" t="inlineStr"/>
      <c r="R2681" s="4" t="inlineStr">
        <is>
          <t>2026-03-12</t>
        </is>
      </c>
      <c r="S2681" s="4" t="inlineStr"/>
    </row>
    <row r="2682">
      <c r="A2682" s="10" t="inlineStr">
        <is>
          <t>F03145</t>
        </is>
      </c>
      <c r="B2682" s="10" t="inlineStr">
        <is>
          <t>F03145</t>
        </is>
      </c>
      <c r="C2682" s="10" t="inlineStr"/>
      <c r="D2682" s="10" t="inlineStr">
        <is>
          <t>6009705655229</t>
        </is>
      </c>
      <c r="E2682" s="10" t="inlineStr">
        <is>
          <t>PAINT ROLLER -SOFT PATTERN DESIGN 6"</t>
        </is>
      </c>
      <c r="F2682" s="10" t="inlineStr"/>
      <c r="G2682" s="10" t="inlineStr"/>
      <c r="H2682" s="10" t="inlineStr"/>
      <c r="I2682" s="11" t="n">
        <v>139</v>
      </c>
      <c r="J2682" s="6" t="n">
        <v>15</v>
      </c>
      <c r="K2682" s="7">
        <f>IF(I2682="","",I2682*(1+J2682/100))</f>
        <v/>
      </c>
      <c r="L2682" s="12" t="inlineStr"/>
      <c r="M2682" s="8">
        <f>IF(OR(L2682="",K2682="",L2682=0),"",
  (L2682-K2682)/L2682*100)</f>
        <v/>
      </c>
      <c r="N2682" s="13" t="n">
        <v>39</v>
      </c>
      <c r="O2682" s="10" t="inlineStr"/>
      <c r="P2682" s="10" t="inlineStr"/>
      <c r="Q2682" s="10" t="inlineStr"/>
      <c r="R2682" s="10" t="inlineStr">
        <is>
          <t>2026-03-12</t>
        </is>
      </c>
      <c r="S2682" s="10" t="inlineStr"/>
    </row>
    <row r="2683">
      <c r="A2683" s="3" t="inlineStr">
        <is>
          <t>F03146</t>
        </is>
      </c>
      <c r="B2683" s="4" t="inlineStr">
        <is>
          <t>F03146</t>
        </is>
      </c>
      <c r="C2683" s="4" t="inlineStr"/>
      <c r="D2683" s="4" t="inlineStr">
        <is>
          <t>6009705655236</t>
        </is>
      </c>
      <c r="E2683" s="3" t="inlineStr">
        <is>
          <t>PAINT- ROLLER HANDLE EXTENDER 3MTR</t>
        </is>
      </c>
      <c r="F2683" s="4" t="inlineStr"/>
      <c r="G2683" s="4" t="inlineStr"/>
      <c r="H2683" s="4" t="inlineStr"/>
      <c r="I2683" s="5" t="n">
        <v>37.95</v>
      </c>
      <c r="J2683" s="6" t="n">
        <v>15</v>
      </c>
      <c r="K2683" s="7">
        <f>IF(I2683="","",I2683*(1+J2683/100))</f>
        <v/>
      </c>
      <c r="L2683" s="12" t="inlineStr"/>
      <c r="M2683" s="8">
        <f>IF(OR(L2683="",K2683="",L2683=0),"",
  (L2683-K2683)/L2683*100)</f>
        <v/>
      </c>
      <c r="N2683" s="14" t="n">
        <v>1458</v>
      </c>
      <c r="O2683" s="4" t="inlineStr"/>
      <c r="P2683" s="4" t="inlineStr"/>
      <c r="Q2683" s="4" t="inlineStr"/>
      <c r="R2683" s="4" t="inlineStr">
        <is>
          <t>2026-03-12</t>
        </is>
      </c>
      <c r="S2683" s="4" t="inlineStr"/>
    </row>
    <row r="2684">
      <c r="A2684" s="10" t="inlineStr">
        <is>
          <t>F03147</t>
        </is>
      </c>
      <c r="B2684" s="10" t="inlineStr">
        <is>
          <t>F03147</t>
        </is>
      </c>
      <c r="C2684" s="10" t="inlineStr"/>
      <c r="D2684" s="10" t="inlineStr">
        <is>
          <t>6009705655243</t>
        </is>
      </c>
      <c r="E2684" s="10" t="inlineStr">
        <is>
          <t>PAINT -ROLLER ANTI SPLASH PROTECTION</t>
        </is>
      </c>
      <c r="F2684" s="10" t="inlineStr"/>
      <c r="G2684" s="10" t="inlineStr"/>
      <c r="H2684" s="10" t="inlineStr"/>
      <c r="I2684" s="11" t="n">
        <v>49.95</v>
      </c>
      <c r="J2684" s="6" t="n">
        <v>15</v>
      </c>
      <c r="K2684" s="7">
        <f>IF(I2684="","",I2684*(1+J2684/100))</f>
        <v/>
      </c>
      <c r="L2684" s="12" t="inlineStr"/>
      <c r="M2684" s="8">
        <f>IF(OR(L2684="",K2684="",L2684=0),"",
  (L2684-K2684)/L2684*100)</f>
        <v/>
      </c>
      <c r="N2684" s="13" t="n">
        <v>72</v>
      </c>
      <c r="O2684" s="10" t="inlineStr"/>
      <c r="P2684" s="10" t="inlineStr"/>
      <c r="Q2684" s="10" t="inlineStr"/>
      <c r="R2684" s="10" t="inlineStr">
        <is>
          <t>2026-03-12</t>
        </is>
      </c>
      <c r="S2684" s="10" t="inlineStr"/>
    </row>
    <row r="2685">
      <c r="A2685" s="3" t="inlineStr">
        <is>
          <t>F03148</t>
        </is>
      </c>
      <c r="B2685" s="4" t="inlineStr">
        <is>
          <t>F03148</t>
        </is>
      </c>
      <c r="C2685" s="4" t="inlineStr"/>
      <c r="D2685" s="4" t="inlineStr">
        <is>
          <t>6009705655250</t>
        </is>
      </c>
      <c r="E2685" s="3" t="inlineStr">
        <is>
          <t>PAINT ROLLER TEXTURED/SPAGHETTI DESIGN</t>
        </is>
      </c>
      <c r="F2685" s="4" t="inlineStr"/>
      <c r="G2685" s="4" t="inlineStr"/>
      <c r="H2685" s="4" t="inlineStr"/>
      <c r="I2685" s="5" t="n">
        <v>59.95</v>
      </c>
      <c r="J2685" s="6" t="n">
        <v>15</v>
      </c>
      <c r="K2685" s="7">
        <f>IF(I2685="","",I2685*(1+J2685/100))</f>
        <v/>
      </c>
      <c r="L2685" s="12" t="inlineStr"/>
      <c r="M2685" s="8">
        <f>IF(OR(L2685="",K2685="",L2685=0),"",
  (L2685-K2685)/L2685*100)</f>
        <v/>
      </c>
      <c r="N2685" s="14" t="n">
        <v>199</v>
      </c>
      <c r="O2685" s="4" t="inlineStr"/>
      <c r="P2685" s="4" t="inlineStr"/>
      <c r="Q2685" s="4" t="inlineStr"/>
      <c r="R2685" s="4" t="inlineStr">
        <is>
          <t>2026-03-12</t>
        </is>
      </c>
      <c r="S2685" s="4" t="inlineStr"/>
    </row>
    <row r="2686">
      <c r="A2686" s="10" t="inlineStr">
        <is>
          <t>F03149</t>
        </is>
      </c>
      <c r="B2686" s="10" t="inlineStr">
        <is>
          <t>F03149</t>
        </is>
      </c>
      <c r="C2686" s="10" t="inlineStr"/>
      <c r="D2686" s="10" t="inlineStr">
        <is>
          <t>6009705655267</t>
        </is>
      </c>
      <c r="E2686" s="10" t="inlineStr">
        <is>
          <t>PAINT ROLLER BLACK HANDLE SUPA BUDGET</t>
        </is>
      </c>
      <c r="F2686" s="10" t="inlineStr"/>
      <c r="G2686" s="10" t="inlineStr"/>
      <c r="H2686" s="10" t="inlineStr"/>
      <c r="I2686" s="11" t="n">
        <v>2</v>
      </c>
      <c r="J2686" s="6" t="n">
        <v>15</v>
      </c>
      <c r="K2686" s="7">
        <f>IF(I2686="","",I2686*(1+J2686/100))</f>
        <v/>
      </c>
      <c r="L2686" s="12" t="inlineStr"/>
      <c r="M2686" s="8">
        <f>IF(OR(L2686="",K2686="",L2686=0),"",
  (L2686-K2686)/L2686*100)</f>
        <v/>
      </c>
      <c r="N2686" s="9" t="inlineStr"/>
      <c r="O2686" s="10" t="inlineStr"/>
      <c r="P2686" s="10" t="inlineStr"/>
      <c r="Q2686" s="10" t="inlineStr"/>
      <c r="R2686" s="10" t="inlineStr">
        <is>
          <t>2026-03-12</t>
        </is>
      </c>
      <c r="S2686" s="10" t="inlineStr"/>
    </row>
    <row r="2687">
      <c r="A2687" s="3" t="inlineStr">
        <is>
          <t>F03150</t>
        </is>
      </c>
      <c r="B2687" s="4" t="inlineStr">
        <is>
          <t>F03150</t>
        </is>
      </c>
      <c r="C2687" s="4" t="inlineStr"/>
      <c r="D2687" s="4" t="inlineStr">
        <is>
          <t>6009705655274</t>
        </is>
      </c>
      <c r="E2687" s="3" t="inlineStr">
        <is>
          <t>GATE ROLLER KIT 100MM</t>
        </is>
      </c>
      <c r="F2687" s="4" t="inlineStr"/>
      <c r="G2687" s="4" t="inlineStr"/>
      <c r="H2687" s="4" t="inlineStr"/>
      <c r="I2687" s="5" t="n">
        <v>239</v>
      </c>
      <c r="J2687" s="6" t="n">
        <v>15</v>
      </c>
      <c r="K2687" s="7">
        <f>IF(I2687="","",I2687*(1+J2687/100))</f>
        <v/>
      </c>
      <c r="L2687" s="12" t="inlineStr"/>
      <c r="M2687" s="8">
        <f>IF(OR(L2687="",K2687="",L2687=0),"",
  (L2687-K2687)/L2687*100)</f>
        <v/>
      </c>
      <c r="N2687" s="14" t="n">
        <v>163</v>
      </c>
      <c r="O2687" s="4" t="inlineStr"/>
      <c r="P2687" s="4" t="inlineStr"/>
      <c r="Q2687" s="4" t="inlineStr"/>
      <c r="R2687" s="4" t="inlineStr">
        <is>
          <t>2026-03-12</t>
        </is>
      </c>
      <c r="S2687" s="4" t="inlineStr"/>
    </row>
    <row r="2688">
      <c r="A2688" s="10" t="inlineStr">
        <is>
          <t>F03151</t>
        </is>
      </c>
      <c r="B2688" s="10" t="inlineStr">
        <is>
          <t>F03151</t>
        </is>
      </c>
      <c r="C2688" s="10" t="inlineStr"/>
      <c r="D2688" s="10" t="inlineStr">
        <is>
          <t>6009705655298</t>
        </is>
      </c>
      <c r="E2688" s="10" t="inlineStr">
        <is>
          <t>HINGE CONCEALED HVY DUTY  BLACK 117*28</t>
        </is>
      </c>
      <c r="F2688" s="10" t="inlineStr"/>
      <c r="G2688" s="10" t="inlineStr"/>
      <c r="H2688" s="10" t="inlineStr"/>
      <c r="I2688" s="11" t="n">
        <v>489</v>
      </c>
      <c r="J2688" s="6" t="n">
        <v>15</v>
      </c>
      <c r="K2688" s="7">
        <f>IF(I2688="","",I2688*(1+J2688/100))</f>
        <v/>
      </c>
      <c r="L2688" s="12" t="inlineStr"/>
      <c r="M2688" s="8">
        <f>IF(OR(L2688="",K2688="",L2688=0),"",
  (L2688-K2688)/L2688*100)</f>
        <v/>
      </c>
      <c r="N2688" s="13" t="n">
        <v>5</v>
      </c>
      <c r="O2688" s="10" t="inlineStr"/>
      <c r="P2688" s="10" t="inlineStr"/>
      <c r="Q2688" s="10" t="inlineStr"/>
      <c r="R2688" s="10" t="inlineStr">
        <is>
          <t>2026-03-12</t>
        </is>
      </c>
      <c r="S2688" s="10" t="inlineStr"/>
    </row>
    <row r="2689">
      <c r="A2689" s="3" t="inlineStr">
        <is>
          <t>F03152</t>
        </is>
      </c>
      <c r="B2689" s="4" t="inlineStr">
        <is>
          <t>F03152</t>
        </is>
      </c>
      <c r="C2689" s="4" t="inlineStr"/>
      <c r="D2689" s="4" t="inlineStr">
        <is>
          <t>6009705655304</t>
        </is>
      </c>
      <c r="E2689" s="3" t="inlineStr">
        <is>
          <t>HINGE CONCEALED HVY DUTY SILVER 177*28</t>
        </is>
      </c>
      <c r="F2689" s="4" t="inlineStr"/>
      <c r="G2689" s="4" t="inlineStr"/>
      <c r="H2689" s="4" t="inlineStr"/>
      <c r="I2689" s="5" t="n">
        <v>489</v>
      </c>
      <c r="J2689" s="6" t="n">
        <v>15</v>
      </c>
      <c r="K2689" s="7">
        <f>IF(I2689="","",I2689*(1+J2689/100))</f>
        <v/>
      </c>
      <c r="L2689" s="12" t="inlineStr"/>
      <c r="M2689" s="8">
        <f>IF(OR(L2689="",K2689="",L2689=0),"",
  (L2689-K2689)/L2689*100)</f>
        <v/>
      </c>
      <c r="N2689" s="14" t="n">
        <v>15</v>
      </c>
      <c r="O2689" s="4" t="inlineStr"/>
      <c r="P2689" s="4" t="inlineStr"/>
      <c r="Q2689" s="4" t="inlineStr"/>
      <c r="R2689" s="4" t="inlineStr">
        <is>
          <t>2026-03-12</t>
        </is>
      </c>
      <c r="S2689" s="4" t="inlineStr"/>
    </row>
    <row r="2690">
      <c r="A2690" s="10" t="inlineStr">
        <is>
          <t>F03153</t>
        </is>
      </c>
      <c r="B2690" s="10" t="inlineStr">
        <is>
          <t>F03153</t>
        </is>
      </c>
      <c r="C2690" s="10" t="inlineStr"/>
      <c r="D2690" s="10" t="inlineStr">
        <is>
          <t>6009705655311</t>
        </is>
      </c>
      <c r="E2690" s="10" t="inlineStr">
        <is>
          <t>HINGE CONCEALED HVY DUTY BLACK 140*30</t>
        </is>
      </c>
      <c r="F2690" s="10" t="inlineStr"/>
      <c r="G2690" s="10" t="inlineStr"/>
      <c r="H2690" s="10" t="inlineStr"/>
      <c r="I2690" s="11" t="n">
        <v>455</v>
      </c>
      <c r="J2690" s="6" t="n">
        <v>15</v>
      </c>
      <c r="K2690" s="7">
        <f>IF(I2690="","",I2690*(1+J2690/100))</f>
        <v/>
      </c>
      <c r="L2690" s="12" t="inlineStr"/>
      <c r="M2690" s="8">
        <f>IF(OR(L2690="",K2690="",L2690=0),"",
  (L2690-K2690)/L2690*100)</f>
        <v/>
      </c>
      <c r="N2690" s="13" t="n">
        <v>4</v>
      </c>
      <c r="O2690" s="10" t="inlineStr"/>
      <c r="P2690" s="10" t="inlineStr"/>
      <c r="Q2690" s="10" t="inlineStr"/>
      <c r="R2690" s="10" t="inlineStr">
        <is>
          <t>2026-03-12</t>
        </is>
      </c>
      <c r="S2690" s="10" t="inlineStr"/>
    </row>
    <row r="2691">
      <c r="A2691" s="3" t="inlineStr">
        <is>
          <t>F03154</t>
        </is>
      </c>
      <c r="B2691" s="4" t="inlineStr">
        <is>
          <t>F03154</t>
        </is>
      </c>
      <c r="C2691" s="4" t="inlineStr"/>
      <c r="D2691" s="4" t="inlineStr">
        <is>
          <t>6009705655328</t>
        </is>
      </c>
      <c r="E2691" s="3" t="inlineStr">
        <is>
          <t>HINGE CONCEALED HVY DUTY SILVER  140*30</t>
        </is>
      </c>
      <c r="F2691" s="4" t="inlineStr"/>
      <c r="G2691" s="4" t="inlineStr"/>
      <c r="H2691" s="4" t="inlineStr"/>
      <c r="I2691" s="5" t="n">
        <v>455</v>
      </c>
      <c r="J2691" s="6" t="n">
        <v>15</v>
      </c>
      <c r="K2691" s="7">
        <f>IF(I2691="","",I2691*(1+J2691/100))</f>
        <v/>
      </c>
      <c r="L2691" s="12" t="inlineStr"/>
      <c r="M2691" s="8">
        <f>IF(OR(L2691="",K2691="",L2691=0),"",
  (L2691-K2691)/L2691*100)</f>
        <v/>
      </c>
      <c r="N2691" s="14" t="n">
        <v>14</v>
      </c>
      <c r="O2691" s="4" t="inlineStr"/>
      <c r="P2691" s="4" t="inlineStr"/>
      <c r="Q2691" s="4" t="inlineStr"/>
      <c r="R2691" s="4" t="inlineStr">
        <is>
          <t>2026-03-12</t>
        </is>
      </c>
      <c r="S2691" s="4" t="inlineStr"/>
    </row>
    <row r="2692">
      <c r="A2692" s="10" t="inlineStr">
        <is>
          <t>F03155</t>
        </is>
      </c>
      <c r="B2692" s="10" t="inlineStr">
        <is>
          <t>F03155</t>
        </is>
      </c>
      <c r="C2692" s="10" t="inlineStr">
        <is>
          <t>32119</t>
        </is>
      </c>
      <c r="D2692" s="10" t="inlineStr">
        <is>
          <t>6009705655335</t>
        </is>
      </c>
      <c r="E2692" s="10" t="inlineStr">
        <is>
          <t>GLOVES,ANTI CUT WITH CARD</t>
        </is>
      </c>
      <c r="F2692" s="10" t="inlineStr"/>
      <c r="G2692" s="10" t="inlineStr"/>
      <c r="H2692" s="10" t="inlineStr"/>
      <c r="I2692" s="11" t="n">
        <v>44.95</v>
      </c>
      <c r="J2692" s="6" t="n">
        <v>15</v>
      </c>
      <c r="K2692" s="7">
        <f>IF(I2692="","",I2692*(1+J2692/100))</f>
        <v/>
      </c>
      <c r="L2692" s="12" t="inlineStr"/>
      <c r="M2692" s="8">
        <f>IF(OR(L2692="",K2692="",L2692=0),"",
  (L2692-K2692)/L2692*100)</f>
        <v/>
      </c>
      <c r="N2692" s="9" t="inlineStr"/>
      <c r="O2692" s="10" t="inlineStr"/>
      <c r="P2692" s="10" t="inlineStr"/>
      <c r="Q2692" s="10" t="inlineStr"/>
      <c r="R2692" s="10" t="inlineStr">
        <is>
          <t>2026-03-12</t>
        </is>
      </c>
      <c r="S2692" s="10" t="inlineStr"/>
    </row>
    <row r="2693">
      <c r="A2693" s="3" t="inlineStr">
        <is>
          <t>F03156</t>
        </is>
      </c>
      <c r="B2693" s="4" t="inlineStr">
        <is>
          <t>F03156</t>
        </is>
      </c>
      <c r="C2693" s="4" t="inlineStr">
        <is>
          <t>32122</t>
        </is>
      </c>
      <c r="D2693" s="4" t="inlineStr">
        <is>
          <t>6009705655342</t>
        </is>
      </c>
      <c r="E2693" s="3" t="inlineStr">
        <is>
          <t>GLOVES REFLECTION</t>
        </is>
      </c>
      <c r="F2693" s="4" t="inlineStr"/>
      <c r="G2693" s="4" t="inlineStr"/>
      <c r="H2693" s="4" t="inlineStr"/>
      <c r="I2693" s="5" t="n">
        <v>59.95</v>
      </c>
      <c r="J2693" s="6" t="n">
        <v>15</v>
      </c>
      <c r="K2693" s="7">
        <f>IF(I2693="","",I2693*(1+J2693/100))</f>
        <v/>
      </c>
      <c r="L2693" s="12" t="inlineStr"/>
      <c r="M2693" s="8">
        <f>IF(OR(L2693="",K2693="",L2693=0),"",
  (L2693-K2693)/L2693*100)</f>
        <v/>
      </c>
      <c r="N2693" s="14" t="n">
        <v>402</v>
      </c>
      <c r="O2693" s="4" t="inlineStr"/>
      <c r="P2693" s="4" t="inlineStr"/>
      <c r="Q2693" s="4" t="inlineStr"/>
      <c r="R2693" s="4" t="inlineStr">
        <is>
          <t>2026-03-12</t>
        </is>
      </c>
      <c r="S2693" s="4" t="inlineStr"/>
    </row>
    <row r="2694">
      <c r="A2694" s="10" t="inlineStr">
        <is>
          <t>F03157</t>
        </is>
      </c>
      <c r="B2694" s="10" t="inlineStr">
        <is>
          <t>F03157</t>
        </is>
      </c>
      <c r="C2694" s="10" t="inlineStr"/>
      <c r="D2694" s="10" t="inlineStr">
        <is>
          <t>6009705655359</t>
        </is>
      </c>
      <c r="E2694" s="10" t="inlineStr">
        <is>
          <t>GLOVES LATEX HOUSEHOLD +PLASTIC PACKING</t>
        </is>
      </c>
      <c r="F2694" s="10" t="inlineStr"/>
      <c r="G2694" s="10" t="inlineStr"/>
      <c r="H2694" s="10" t="inlineStr"/>
      <c r="I2694" s="11" t="n">
        <v>8.99</v>
      </c>
      <c r="J2694" s="6" t="n">
        <v>15</v>
      </c>
      <c r="K2694" s="7">
        <f>IF(I2694="","",I2694*(1+J2694/100))</f>
        <v/>
      </c>
      <c r="L2694" s="12" t="inlineStr"/>
      <c r="M2694" s="8">
        <f>IF(OR(L2694="",K2694="",L2694=0),"",
  (L2694-K2694)/L2694*100)</f>
        <v/>
      </c>
      <c r="N2694" s="13" t="n">
        <v>57</v>
      </c>
      <c r="O2694" s="10" t="inlineStr"/>
      <c r="P2694" s="10" t="inlineStr"/>
      <c r="Q2694" s="10" t="inlineStr"/>
      <c r="R2694" s="10" t="inlineStr">
        <is>
          <t>2026-03-12</t>
        </is>
      </c>
      <c r="S2694" s="10" t="inlineStr"/>
    </row>
    <row r="2695">
      <c r="A2695" s="3" t="inlineStr">
        <is>
          <t>F03158</t>
        </is>
      </c>
      <c r="B2695" s="4" t="inlineStr">
        <is>
          <t>F03158</t>
        </is>
      </c>
      <c r="C2695" s="4" t="inlineStr">
        <is>
          <t>32102</t>
        </is>
      </c>
      <c r="D2695" s="4" t="inlineStr">
        <is>
          <t>6009705655366</t>
        </is>
      </c>
      <c r="E2695" s="3" t="inlineStr">
        <is>
          <t>GLOVES , CRAYFISH GLOVE 80G WITH CARD</t>
        </is>
      </c>
      <c r="F2695" s="4" t="inlineStr"/>
      <c r="G2695" s="4" t="inlineStr"/>
      <c r="H2695" s="4" t="inlineStr"/>
      <c r="I2695" s="5" t="n">
        <v>11.95</v>
      </c>
      <c r="J2695" s="6" t="n">
        <v>15</v>
      </c>
      <c r="K2695" s="7">
        <f>IF(I2695="","",I2695*(1+J2695/100))</f>
        <v/>
      </c>
      <c r="L2695" s="12" t="inlineStr"/>
      <c r="M2695" s="8">
        <f>IF(OR(L2695="",K2695="",L2695=0),"",
  (L2695-K2695)/L2695*100)</f>
        <v/>
      </c>
      <c r="N2695" s="14" t="n">
        <v>608</v>
      </c>
      <c r="O2695" s="4" t="inlineStr"/>
      <c r="P2695" s="4" t="inlineStr"/>
      <c r="Q2695" s="4" t="inlineStr"/>
      <c r="R2695" s="4" t="inlineStr">
        <is>
          <t>2026-03-12</t>
        </is>
      </c>
      <c r="S2695" s="4" t="inlineStr"/>
    </row>
    <row r="2696">
      <c r="A2696" s="10" t="inlineStr">
        <is>
          <t>F03159</t>
        </is>
      </c>
      <c r="B2696" s="10" t="inlineStr">
        <is>
          <t>F03159</t>
        </is>
      </c>
      <c r="C2696" s="10" t="inlineStr"/>
      <c r="D2696" s="10" t="inlineStr">
        <is>
          <t>6009705655373</t>
        </is>
      </c>
      <c r="E2696" s="10" t="inlineStr">
        <is>
          <t>SQUEEGIE  RUBBER STRIP ,SPARE PARTS</t>
        </is>
      </c>
      <c r="F2696" s="10" t="inlineStr"/>
      <c r="G2696" s="10" t="inlineStr"/>
      <c r="H2696" s="10" t="inlineStr"/>
      <c r="I2696" s="11" t="n">
        <v>37.95</v>
      </c>
      <c r="J2696" s="6" t="n">
        <v>15</v>
      </c>
      <c r="K2696" s="7">
        <f>IF(I2696="","",I2696*(1+J2696/100))</f>
        <v/>
      </c>
      <c r="L2696" s="12" t="inlineStr"/>
      <c r="M2696" s="8">
        <f>IF(OR(L2696="",K2696="",L2696=0),"",
  (L2696-K2696)/L2696*100)</f>
        <v/>
      </c>
      <c r="N2696" s="13" t="n">
        <v>47</v>
      </c>
      <c r="O2696" s="10" t="inlineStr"/>
      <c r="P2696" s="10" t="inlineStr"/>
      <c r="Q2696" s="10" t="inlineStr"/>
      <c r="R2696" s="10" t="inlineStr">
        <is>
          <t>2026-03-12</t>
        </is>
      </c>
      <c r="S2696" s="10" t="inlineStr"/>
    </row>
    <row r="2697">
      <c r="A2697" s="3" t="inlineStr">
        <is>
          <t>F03160</t>
        </is>
      </c>
      <c r="B2697" s="4" t="inlineStr">
        <is>
          <t>F03160</t>
        </is>
      </c>
      <c r="C2697" s="4" t="inlineStr"/>
      <c r="D2697" s="4" t="inlineStr">
        <is>
          <t>6009705655380</t>
        </is>
      </c>
      <c r="E2697" s="3" t="inlineStr">
        <is>
          <t>SQUEEGIE METAL HANDLE 50CM</t>
        </is>
      </c>
      <c r="F2697" s="4" t="inlineStr"/>
      <c r="G2697" s="4" t="inlineStr"/>
      <c r="H2697" s="4" t="inlineStr"/>
      <c r="I2697" s="5" t="n">
        <v>69.95</v>
      </c>
      <c r="J2697" s="6" t="n">
        <v>15</v>
      </c>
      <c r="K2697" s="7">
        <f>IF(I2697="","",I2697*(1+J2697/100))</f>
        <v/>
      </c>
      <c r="L2697" s="12" t="inlineStr"/>
      <c r="M2697" s="8">
        <f>IF(OR(L2697="",K2697="",L2697=0),"",
  (L2697-K2697)/L2697*100)</f>
        <v/>
      </c>
      <c r="N2697" s="14" t="n">
        <v>6</v>
      </c>
      <c r="O2697" s="4" t="inlineStr"/>
      <c r="P2697" s="4" t="inlineStr"/>
      <c r="Q2697" s="4" t="inlineStr"/>
      <c r="R2697" s="4" t="inlineStr">
        <is>
          <t>2026-03-12</t>
        </is>
      </c>
      <c r="S2697" s="4" t="inlineStr"/>
    </row>
    <row r="2698">
      <c r="A2698" s="10" t="inlineStr">
        <is>
          <t>F03161</t>
        </is>
      </c>
      <c r="B2698" s="10" t="inlineStr">
        <is>
          <t>F03161</t>
        </is>
      </c>
      <c r="C2698" s="10" t="inlineStr"/>
      <c r="D2698" s="10" t="inlineStr">
        <is>
          <t>6009705655397</t>
        </is>
      </c>
      <c r="E2698" s="10" t="inlineStr">
        <is>
          <t>SQUEEGIE+PLASTIC HANDLE 45CM</t>
        </is>
      </c>
      <c r="F2698" s="10" t="inlineStr"/>
      <c r="G2698" s="10" t="inlineStr"/>
      <c r="H2698" s="10" t="inlineStr"/>
      <c r="I2698" s="11" t="n">
        <v>79.95</v>
      </c>
      <c r="J2698" s="6" t="n">
        <v>15</v>
      </c>
      <c r="K2698" s="7">
        <f>IF(I2698="","",I2698*(1+J2698/100))</f>
        <v/>
      </c>
      <c r="L2698" s="12" t="inlineStr"/>
      <c r="M2698" s="8">
        <f>IF(OR(L2698="",K2698="",L2698=0),"",
  (L2698-K2698)/L2698*100)</f>
        <v/>
      </c>
      <c r="N2698" s="9" t="inlineStr"/>
      <c r="O2698" s="10" t="inlineStr"/>
      <c r="P2698" s="10" t="inlineStr"/>
      <c r="Q2698" s="10" t="inlineStr"/>
      <c r="R2698" s="10" t="inlineStr">
        <is>
          <t>2026-03-12</t>
        </is>
      </c>
      <c r="S2698" s="10" t="inlineStr"/>
    </row>
    <row r="2699">
      <c r="A2699" s="3" t="inlineStr">
        <is>
          <t>F03162</t>
        </is>
      </c>
      <c r="B2699" s="4" t="inlineStr">
        <is>
          <t>F03162</t>
        </is>
      </c>
      <c r="C2699" s="4" t="inlineStr"/>
      <c r="D2699" s="4" t="inlineStr">
        <is>
          <t>6009705655403</t>
        </is>
      </c>
      <c r="E2699" s="3" t="inlineStr">
        <is>
          <t>MOP TORNADO TWIST&amp;TURN ULTRA FINE</t>
        </is>
      </c>
      <c r="F2699" s="4" t="inlineStr"/>
      <c r="G2699" s="4" t="inlineStr"/>
      <c r="H2699" s="4" t="inlineStr"/>
      <c r="I2699" s="5" t="n">
        <v>79.95</v>
      </c>
      <c r="J2699" s="6" t="n">
        <v>15</v>
      </c>
      <c r="K2699" s="7">
        <f>IF(I2699="","",I2699*(1+J2699/100))</f>
        <v/>
      </c>
      <c r="L2699" s="12" t="inlineStr"/>
      <c r="M2699" s="8">
        <f>IF(OR(L2699="",K2699="",L2699=0),"",
  (L2699-K2699)/L2699*100)</f>
        <v/>
      </c>
      <c r="N2699" s="9" t="inlineStr"/>
      <c r="O2699" s="4" t="inlineStr"/>
      <c r="P2699" s="4" t="inlineStr"/>
      <c r="Q2699" s="4" t="inlineStr"/>
      <c r="R2699" s="4" t="inlineStr">
        <is>
          <t>2026-03-12</t>
        </is>
      </c>
      <c r="S2699" s="4" t="inlineStr"/>
    </row>
    <row r="2700">
      <c r="A2700" s="10" t="inlineStr">
        <is>
          <t>F03163</t>
        </is>
      </c>
      <c r="B2700" s="10" t="inlineStr">
        <is>
          <t>F03163</t>
        </is>
      </c>
      <c r="C2700" s="10" t="inlineStr"/>
      <c r="D2700" s="10" t="inlineStr">
        <is>
          <t>6009705655410</t>
        </is>
      </c>
      <c r="E2700" s="10" t="inlineStr">
        <is>
          <t>MOP TORNADO TWIST&amp;TURN ULTRA FINE FIBRE</t>
        </is>
      </c>
      <c r="F2700" s="10" t="inlineStr"/>
      <c r="G2700" s="10" t="inlineStr"/>
      <c r="H2700" s="10" t="inlineStr"/>
      <c r="I2700" s="11" t="n">
        <v>77.95</v>
      </c>
      <c r="J2700" s="6" t="n">
        <v>15</v>
      </c>
      <c r="K2700" s="7">
        <f>IF(I2700="","",I2700*(1+J2700/100))</f>
        <v/>
      </c>
      <c r="L2700" s="12" t="inlineStr"/>
      <c r="M2700" s="8">
        <f>IF(OR(L2700="",K2700="",L2700=0),"",
  (L2700-K2700)/L2700*100)</f>
        <v/>
      </c>
      <c r="N2700" s="13" t="n">
        <v>1</v>
      </c>
      <c r="O2700" s="10" t="inlineStr"/>
      <c r="P2700" s="10" t="inlineStr"/>
      <c r="Q2700" s="10" t="inlineStr"/>
      <c r="R2700" s="10" t="inlineStr">
        <is>
          <t>2026-03-12</t>
        </is>
      </c>
      <c r="S2700" s="10" t="inlineStr"/>
    </row>
    <row r="2701">
      <c r="A2701" s="3" t="inlineStr">
        <is>
          <t>F03164</t>
        </is>
      </c>
      <c r="B2701" s="4" t="inlineStr">
        <is>
          <t>F03164</t>
        </is>
      </c>
      <c r="C2701" s="4" t="inlineStr"/>
      <c r="D2701" s="4" t="inlineStr">
        <is>
          <t>6009705655427</t>
        </is>
      </c>
      <c r="E2701" s="3" t="inlineStr">
        <is>
          <t>RATCHET TIE DOWN 2PC 5MX2.5CM 800KG IMP</t>
        </is>
      </c>
      <c r="F2701" s="4" t="inlineStr"/>
      <c r="G2701" s="4" t="inlineStr"/>
      <c r="H2701" s="4" t="inlineStr"/>
      <c r="I2701" s="5" t="n">
        <v>129</v>
      </c>
      <c r="J2701" s="6" t="n">
        <v>15</v>
      </c>
      <c r="K2701" s="7">
        <f>IF(I2701="","",I2701*(1+J2701/100))</f>
        <v/>
      </c>
      <c r="L2701" s="12" t="inlineStr"/>
      <c r="M2701" s="8">
        <f>IF(OR(L2701="",K2701="",L2701=0),"",
  (L2701-K2701)/L2701*100)</f>
        <v/>
      </c>
      <c r="N2701" s="14" t="n">
        <v>364</v>
      </c>
      <c r="O2701" s="4" t="inlineStr"/>
      <c r="P2701" s="4" t="inlineStr"/>
      <c r="Q2701" s="4" t="inlineStr"/>
      <c r="R2701" s="4" t="inlineStr">
        <is>
          <t>2026-03-12</t>
        </is>
      </c>
      <c r="S2701" s="4" t="inlineStr"/>
    </row>
    <row r="2702">
      <c r="A2702" s="10" t="inlineStr">
        <is>
          <t>F03165</t>
        </is>
      </c>
      <c r="B2702" s="10" t="inlineStr">
        <is>
          <t>F03165</t>
        </is>
      </c>
      <c r="C2702" s="10" t="inlineStr"/>
      <c r="D2702" s="10" t="inlineStr">
        <is>
          <t>6009705655434</t>
        </is>
      </c>
      <c r="E2702" s="10" t="inlineStr">
        <is>
          <t>DADOO RAILS PS 2.4M X4CM</t>
        </is>
      </c>
      <c r="F2702" s="10" t="inlineStr"/>
      <c r="G2702" s="10" t="inlineStr"/>
      <c r="H2702" s="10" t="inlineStr"/>
      <c r="I2702" s="11" t="n">
        <v>39.95</v>
      </c>
      <c r="J2702" s="6" t="n">
        <v>15</v>
      </c>
      <c r="K2702" s="7">
        <f>IF(I2702="","",I2702*(1+J2702/100))</f>
        <v/>
      </c>
      <c r="L2702" s="12" t="inlineStr"/>
      <c r="M2702" s="8">
        <f>IF(OR(L2702="",K2702="",L2702=0),"",
  (L2702-K2702)/L2702*100)</f>
        <v/>
      </c>
      <c r="N2702" s="13" t="n">
        <v>3604</v>
      </c>
      <c r="O2702" s="10" t="inlineStr"/>
      <c r="P2702" s="10" t="inlineStr"/>
      <c r="Q2702" s="10" t="inlineStr"/>
      <c r="R2702" s="10" t="inlineStr">
        <is>
          <t>2026-03-12</t>
        </is>
      </c>
      <c r="S2702" s="10" t="inlineStr"/>
    </row>
    <row r="2703">
      <c r="A2703" s="3" t="inlineStr">
        <is>
          <t>F03166</t>
        </is>
      </c>
      <c r="B2703" s="4" t="inlineStr">
        <is>
          <t>F03166</t>
        </is>
      </c>
      <c r="C2703" s="4" t="inlineStr"/>
      <c r="D2703" s="4" t="inlineStr">
        <is>
          <t>6009705655441</t>
        </is>
      </c>
      <c r="E2703" s="3" t="inlineStr">
        <is>
          <t>DADOO RAILS PS 2.4MX6CM</t>
        </is>
      </c>
      <c r="F2703" s="4" t="inlineStr"/>
      <c r="G2703" s="4" t="inlineStr"/>
      <c r="H2703" s="4" t="inlineStr"/>
      <c r="I2703" s="5" t="n">
        <v>69.95</v>
      </c>
      <c r="J2703" s="6" t="n">
        <v>15</v>
      </c>
      <c r="K2703" s="7">
        <f>IF(I2703="","",I2703*(1+J2703/100))</f>
        <v/>
      </c>
      <c r="L2703" s="12" t="inlineStr"/>
      <c r="M2703" s="8">
        <f>IF(OR(L2703="",K2703="",L2703=0),"",
  (L2703-K2703)/L2703*100)</f>
        <v/>
      </c>
      <c r="N2703" s="14" t="n">
        <v>2773</v>
      </c>
      <c r="O2703" s="4" t="inlineStr"/>
      <c r="P2703" s="4" t="inlineStr"/>
      <c r="Q2703" s="4" t="inlineStr"/>
      <c r="R2703" s="4" t="inlineStr">
        <is>
          <t>2026-03-12</t>
        </is>
      </c>
      <c r="S2703" s="4" t="inlineStr"/>
    </row>
    <row r="2704">
      <c r="A2704" s="10" t="inlineStr">
        <is>
          <t>F03167</t>
        </is>
      </c>
      <c r="B2704" s="10" t="inlineStr">
        <is>
          <t>F03167</t>
        </is>
      </c>
      <c r="C2704" s="10" t="inlineStr"/>
      <c r="D2704" s="10" t="inlineStr">
        <is>
          <t>6009705655458</t>
        </is>
      </c>
      <c r="E2704" s="10" t="inlineStr">
        <is>
          <t>DADOO RAILS PS  2.4MX4CM</t>
        </is>
      </c>
      <c r="F2704" s="10" t="inlineStr"/>
      <c r="G2704" s="10" t="inlineStr"/>
      <c r="H2704" s="10" t="inlineStr"/>
      <c r="I2704" s="11" t="n">
        <v>42.95</v>
      </c>
      <c r="J2704" s="6" t="n">
        <v>15</v>
      </c>
      <c r="K2704" s="7">
        <f>IF(I2704="","",I2704*(1+J2704/100))</f>
        <v/>
      </c>
      <c r="L2704" s="12" t="inlineStr"/>
      <c r="M2704" s="8">
        <f>IF(OR(L2704="",K2704="",L2704=0),"",
  (L2704-K2704)/L2704*100)</f>
        <v/>
      </c>
      <c r="N2704" s="13" t="n">
        <v>2201</v>
      </c>
      <c r="O2704" s="10" t="inlineStr"/>
      <c r="P2704" s="10" t="inlineStr"/>
      <c r="Q2704" s="10" t="inlineStr"/>
      <c r="R2704" s="10" t="inlineStr">
        <is>
          <t>2026-03-12</t>
        </is>
      </c>
      <c r="S2704" s="10" t="inlineStr"/>
    </row>
    <row r="2705">
      <c r="A2705" s="3" t="inlineStr">
        <is>
          <t>F03168</t>
        </is>
      </c>
      <c r="B2705" s="4" t="inlineStr">
        <is>
          <t>F03168</t>
        </is>
      </c>
      <c r="C2705" s="4" t="inlineStr"/>
      <c r="D2705" s="4" t="inlineStr">
        <is>
          <t>6009705655465</t>
        </is>
      </c>
      <c r="E2705" s="3" t="inlineStr">
        <is>
          <t>DADOO RAILS PS 2.4MX6CM</t>
        </is>
      </c>
      <c r="F2705" s="4" t="inlineStr"/>
      <c r="G2705" s="4" t="inlineStr"/>
      <c r="H2705" s="4" t="inlineStr"/>
      <c r="I2705" s="5" t="n">
        <v>74.95</v>
      </c>
      <c r="J2705" s="6" t="n">
        <v>15</v>
      </c>
      <c r="K2705" s="7">
        <f>IF(I2705="","",I2705*(1+J2705/100))</f>
        <v/>
      </c>
      <c r="L2705" s="12" t="inlineStr"/>
      <c r="M2705" s="8">
        <f>IF(OR(L2705="",K2705="",L2705=0),"",
  (L2705-K2705)/L2705*100)</f>
        <v/>
      </c>
      <c r="N2705" s="14" t="n">
        <v>2208</v>
      </c>
      <c r="O2705" s="4" t="inlineStr"/>
      <c r="P2705" s="4" t="inlineStr"/>
      <c r="Q2705" s="4" t="inlineStr"/>
      <c r="R2705" s="4" t="inlineStr">
        <is>
          <t>2026-03-12</t>
        </is>
      </c>
      <c r="S2705" s="4" t="inlineStr"/>
    </row>
    <row r="2706">
      <c r="A2706" s="10" t="inlineStr">
        <is>
          <t>F03169</t>
        </is>
      </c>
      <c r="B2706" s="10" t="inlineStr">
        <is>
          <t>F03169</t>
        </is>
      </c>
      <c r="C2706" s="10" t="inlineStr"/>
      <c r="D2706" s="10" t="inlineStr">
        <is>
          <t>6009705655472</t>
        </is>
      </c>
      <c r="E2706" s="10" t="inlineStr">
        <is>
          <t>JOINER -UV JOINER ALUMIN  3M GOLD</t>
        </is>
      </c>
      <c r="F2706" s="10" t="inlineStr"/>
      <c r="G2706" s="10" t="inlineStr"/>
      <c r="H2706" s="10" t="inlineStr"/>
      <c r="I2706" s="11" t="n">
        <v>27.95</v>
      </c>
      <c r="J2706" s="6" t="n">
        <v>15</v>
      </c>
      <c r="K2706" s="7">
        <f>IF(I2706="","",I2706*(1+J2706/100))</f>
        <v/>
      </c>
      <c r="L2706" s="12" t="inlineStr"/>
      <c r="M2706" s="8">
        <f>IF(OR(L2706="",K2706="",L2706=0),"",
  (L2706-K2706)/L2706*100)</f>
        <v/>
      </c>
      <c r="N2706" s="9" t="inlineStr"/>
      <c r="O2706" s="10" t="inlineStr"/>
      <c r="P2706" s="10" t="inlineStr"/>
      <c r="Q2706" s="10" t="inlineStr"/>
      <c r="R2706" s="10" t="inlineStr">
        <is>
          <t>2026-03-12</t>
        </is>
      </c>
      <c r="S2706" s="10" t="inlineStr"/>
    </row>
    <row r="2707">
      <c r="A2707" s="3" t="inlineStr">
        <is>
          <t>F03170</t>
        </is>
      </c>
      <c r="B2707" s="4" t="inlineStr">
        <is>
          <t>F03170</t>
        </is>
      </c>
      <c r="C2707" s="4" t="inlineStr"/>
      <c r="D2707" s="4" t="inlineStr">
        <is>
          <t>6009705655489</t>
        </is>
      </c>
      <c r="E2707" s="3" t="inlineStr">
        <is>
          <t>JOINER -UV JOINER ALUMIN 3M SILVER</t>
        </is>
      </c>
      <c r="F2707" s="4" t="inlineStr"/>
      <c r="G2707" s="4" t="inlineStr"/>
      <c r="H2707" s="4" t="inlineStr"/>
      <c r="I2707" s="5" t="n">
        <v>27.95</v>
      </c>
      <c r="J2707" s="6" t="n">
        <v>15</v>
      </c>
      <c r="K2707" s="7">
        <f>IF(I2707="","",I2707*(1+J2707/100))</f>
        <v/>
      </c>
      <c r="L2707" s="12" t="inlineStr"/>
      <c r="M2707" s="8">
        <f>IF(OR(L2707="",K2707="",L2707=0),"",
  (L2707-K2707)/L2707*100)</f>
        <v/>
      </c>
      <c r="N2707" s="14" t="n">
        <v>74</v>
      </c>
      <c r="O2707" s="4" t="inlineStr"/>
      <c r="P2707" s="4" t="inlineStr"/>
      <c r="Q2707" s="4" t="inlineStr"/>
      <c r="R2707" s="4" t="inlineStr">
        <is>
          <t>2026-03-12</t>
        </is>
      </c>
      <c r="S2707" s="4" t="inlineStr"/>
    </row>
    <row r="2708">
      <c r="A2708" s="10" t="inlineStr">
        <is>
          <t>F03171</t>
        </is>
      </c>
      <c r="B2708" s="10" t="inlineStr">
        <is>
          <t>F03171</t>
        </is>
      </c>
      <c r="C2708" s="10" t="inlineStr"/>
      <c r="D2708" s="10" t="inlineStr">
        <is>
          <t>6009705655496</t>
        </is>
      </c>
      <c r="E2708" s="10" t="inlineStr">
        <is>
          <t>JOINER -UV JOINER ALUMIN 3M BLACK</t>
        </is>
      </c>
      <c r="F2708" s="10" t="inlineStr"/>
      <c r="G2708" s="10" t="inlineStr"/>
      <c r="H2708" s="10" t="inlineStr"/>
      <c r="I2708" s="11" t="n">
        <v>27.95</v>
      </c>
      <c r="J2708" s="6" t="n">
        <v>15</v>
      </c>
      <c r="K2708" s="7">
        <f>IF(I2708="","",I2708*(1+J2708/100))</f>
        <v/>
      </c>
      <c r="L2708" s="12" t="inlineStr"/>
      <c r="M2708" s="8">
        <f>IF(OR(L2708="",K2708="",L2708=0),"",
  (L2708-K2708)/L2708*100)</f>
        <v/>
      </c>
      <c r="N2708" s="13" t="n">
        <v>159</v>
      </c>
      <c r="O2708" s="10" t="inlineStr"/>
      <c r="P2708" s="10" t="inlineStr"/>
      <c r="Q2708" s="10" t="inlineStr"/>
      <c r="R2708" s="10" t="inlineStr">
        <is>
          <t>2026-03-12</t>
        </is>
      </c>
      <c r="S2708" s="10" t="inlineStr"/>
    </row>
    <row r="2709">
      <c r="A2709" s="3" t="inlineStr">
        <is>
          <t>F03172</t>
        </is>
      </c>
      <c r="B2709" s="4" t="inlineStr">
        <is>
          <t>F03172</t>
        </is>
      </c>
      <c r="C2709" s="4" t="inlineStr"/>
      <c r="D2709" s="4" t="inlineStr">
        <is>
          <t>6009705655502</t>
        </is>
      </c>
      <c r="E2709" s="3" t="inlineStr">
        <is>
          <t>JOINER -UV JOINER ALUMIN 3M ROSE GOLD</t>
        </is>
      </c>
      <c r="F2709" s="4" t="inlineStr"/>
      <c r="G2709" s="4" t="inlineStr"/>
      <c r="H2709" s="4" t="inlineStr"/>
      <c r="I2709" s="5" t="n">
        <v>27.95</v>
      </c>
      <c r="J2709" s="6" t="n">
        <v>15</v>
      </c>
      <c r="K2709" s="7">
        <f>IF(I2709="","",I2709*(1+J2709/100))</f>
        <v/>
      </c>
      <c r="L2709" s="12" t="inlineStr"/>
      <c r="M2709" s="8">
        <f>IF(OR(L2709="",K2709="",L2709=0),"",
  (L2709-K2709)/L2709*100)</f>
        <v/>
      </c>
      <c r="N2709" s="14" t="n">
        <v>195</v>
      </c>
      <c r="O2709" s="4" t="inlineStr"/>
      <c r="P2709" s="4" t="inlineStr"/>
      <c r="Q2709" s="4" t="inlineStr"/>
      <c r="R2709" s="4" t="inlineStr">
        <is>
          <t>2026-03-12</t>
        </is>
      </c>
      <c r="S2709" s="4" t="inlineStr"/>
    </row>
    <row r="2710">
      <c r="A2710" s="10" t="inlineStr">
        <is>
          <t>F03173</t>
        </is>
      </c>
      <c r="B2710" s="10" t="inlineStr">
        <is>
          <t>F03173</t>
        </is>
      </c>
      <c r="C2710" s="10" t="inlineStr"/>
      <c r="D2710" s="10" t="inlineStr">
        <is>
          <t>6009705655519</t>
        </is>
      </c>
      <c r="E2710" s="10" t="inlineStr">
        <is>
          <t>BUILDERS LINE 0.70X100M</t>
        </is>
      </c>
      <c r="F2710" s="10" t="inlineStr"/>
      <c r="G2710" s="10" t="inlineStr"/>
      <c r="H2710" s="10" t="inlineStr"/>
      <c r="I2710" s="11" t="n">
        <v>10.5</v>
      </c>
      <c r="J2710" s="6" t="n">
        <v>15</v>
      </c>
      <c r="K2710" s="7">
        <f>IF(I2710="","",I2710*(1+J2710/100))</f>
        <v/>
      </c>
      <c r="L2710" s="12" t="inlineStr"/>
      <c r="M2710" s="8">
        <f>IF(OR(L2710="",K2710="",L2710=0),"",
  (L2710-K2710)/L2710*100)</f>
        <v/>
      </c>
      <c r="N2710" s="13" t="n">
        <v>37</v>
      </c>
      <c r="O2710" s="10" t="inlineStr"/>
      <c r="P2710" s="10" t="inlineStr"/>
      <c r="Q2710" s="10" t="inlineStr"/>
      <c r="R2710" s="10" t="inlineStr">
        <is>
          <t>2026-03-12</t>
        </is>
      </c>
      <c r="S2710" s="10" t="inlineStr"/>
    </row>
    <row r="2711">
      <c r="A2711" s="3" t="inlineStr">
        <is>
          <t>F03174</t>
        </is>
      </c>
      <c r="B2711" s="4" t="inlineStr">
        <is>
          <t>F03174</t>
        </is>
      </c>
      <c r="C2711" s="4" t="inlineStr"/>
      <c r="D2711" s="4" t="inlineStr">
        <is>
          <t>6009705655526</t>
        </is>
      </c>
      <c r="E2711" s="3" t="inlineStr">
        <is>
          <t>BUILDERS LINE 0.80X100M</t>
        </is>
      </c>
      <c r="F2711" s="4" t="inlineStr"/>
      <c r="G2711" s="4" t="inlineStr"/>
      <c r="H2711" s="4" t="inlineStr"/>
      <c r="I2711" s="5" t="n">
        <v>12.5</v>
      </c>
      <c r="J2711" s="6" t="n">
        <v>15</v>
      </c>
      <c r="K2711" s="7">
        <f>IF(I2711="","",I2711*(1+J2711/100))</f>
        <v/>
      </c>
      <c r="L2711" s="12" t="inlineStr"/>
      <c r="M2711" s="8">
        <f>IF(OR(L2711="",K2711="",L2711=0),"",
  (L2711-K2711)/L2711*100)</f>
        <v/>
      </c>
      <c r="N2711" s="9" t="inlineStr"/>
      <c r="O2711" s="4" t="inlineStr"/>
      <c r="P2711" s="4" t="inlineStr"/>
      <c r="Q2711" s="4" t="inlineStr"/>
      <c r="R2711" s="4" t="inlineStr">
        <is>
          <t>2026-03-12</t>
        </is>
      </c>
      <c r="S2711" s="4" t="inlineStr"/>
    </row>
    <row r="2712">
      <c r="A2712" s="10" t="inlineStr">
        <is>
          <t>F03175</t>
        </is>
      </c>
      <c r="B2712" s="10" t="inlineStr">
        <is>
          <t>F03175</t>
        </is>
      </c>
      <c r="C2712" s="10" t="inlineStr"/>
      <c r="D2712" s="10" t="inlineStr">
        <is>
          <t>6009705655533</t>
        </is>
      </c>
      <c r="E2712" s="10" t="inlineStr">
        <is>
          <t>BUILDERS LINE 0.85X100M</t>
        </is>
      </c>
      <c r="F2712" s="10" t="inlineStr"/>
      <c r="G2712" s="10" t="inlineStr"/>
      <c r="H2712" s="10" t="inlineStr"/>
      <c r="I2712" s="11" t="n">
        <v>13.5</v>
      </c>
      <c r="J2712" s="6" t="n">
        <v>15</v>
      </c>
      <c r="K2712" s="7">
        <f>IF(I2712="","",I2712*(1+J2712/100))</f>
        <v/>
      </c>
      <c r="L2712" s="12" t="inlineStr"/>
      <c r="M2712" s="8">
        <f>IF(OR(L2712="",K2712="",L2712=0),"",
  (L2712-K2712)/L2712*100)</f>
        <v/>
      </c>
      <c r="N2712" s="13" t="n">
        <v>699</v>
      </c>
      <c r="O2712" s="10" t="inlineStr"/>
      <c r="P2712" s="10" t="inlineStr"/>
      <c r="Q2712" s="10" t="inlineStr"/>
      <c r="R2712" s="10" t="inlineStr">
        <is>
          <t>2026-03-12</t>
        </is>
      </c>
      <c r="S2712" s="10" t="inlineStr"/>
    </row>
    <row r="2713">
      <c r="A2713" s="3" t="inlineStr">
        <is>
          <t>F03176</t>
        </is>
      </c>
      <c r="B2713" s="4" t="inlineStr">
        <is>
          <t>F03176</t>
        </is>
      </c>
      <c r="C2713" s="4" t="inlineStr"/>
      <c r="D2713" s="4" t="inlineStr">
        <is>
          <t>6009705655540</t>
        </is>
      </c>
      <c r="E2713" s="3" t="inlineStr">
        <is>
          <t>BUILDERS LINE 0.9X100M</t>
        </is>
      </c>
      <c r="F2713" s="4" t="inlineStr"/>
      <c r="G2713" s="4" t="inlineStr"/>
      <c r="H2713" s="4" t="inlineStr"/>
      <c r="I2713" s="5" t="n">
        <v>14.5</v>
      </c>
      <c r="J2713" s="6" t="n">
        <v>15</v>
      </c>
      <c r="K2713" s="7">
        <f>IF(I2713="","",I2713*(1+J2713/100))</f>
        <v/>
      </c>
      <c r="L2713" s="12" t="inlineStr"/>
      <c r="M2713" s="8">
        <f>IF(OR(L2713="",K2713="",L2713=0),"",
  (L2713-K2713)/L2713*100)</f>
        <v/>
      </c>
      <c r="N2713" s="14" t="n">
        <v>661</v>
      </c>
      <c r="O2713" s="4" t="inlineStr"/>
      <c r="P2713" s="4" t="inlineStr"/>
      <c r="Q2713" s="4" t="inlineStr"/>
      <c r="R2713" s="4" t="inlineStr">
        <is>
          <t>2026-03-12</t>
        </is>
      </c>
      <c r="S2713" s="4" t="inlineStr"/>
    </row>
    <row r="2714">
      <c r="A2714" s="10" t="inlineStr">
        <is>
          <t>F03177</t>
        </is>
      </c>
      <c r="B2714" s="10" t="inlineStr">
        <is>
          <t>F03177</t>
        </is>
      </c>
      <c r="C2714" s="10" t="inlineStr"/>
      <c r="D2714" s="10" t="inlineStr">
        <is>
          <t>6009705655557</t>
        </is>
      </c>
      <c r="E2714" s="10" t="inlineStr">
        <is>
          <t>BUILDERS LINE 1.00X100M</t>
        </is>
      </c>
      <c r="F2714" s="10" t="inlineStr"/>
      <c r="G2714" s="10" t="inlineStr"/>
      <c r="H2714" s="10" t="inlineStr"/>
      <c r="I2714" s="11" t="n">
        <v>16.5</v>
      </c>
      <c r="J2714" s="6" t="n">
        <v>15</v>
      </c>
      <c r="K2714" s="7">
        <f>IF(I2714="","",I2714*(1+J2714/100))</f>
        <v/>
      </c>
      <c r="L2714" s="12" t="inlineStr"/>
      <c r="M2714" s="8">
        <f>IF(OR(L2714="",K2714="",L2714=0),"",
  (L2714-K2714)/L2714*100)</f>
        <v/>
      </c>
      <c r="N2714" s="13" t="n">
        <v>101</v>
      </c>
      <c r="O2714" s="10" t="inlineStr"/>
      <c r="P2714" s="10" t="inlineStr"/>
      <c r="Q2714" s="10" t="inlineStr"/>
      <c r="R2714" s="10" t="inlineStr">
        <is>
          <t>2026-03-12</t>
        </is>
      </c>
      <c r="S2714" s="10" t="inlineStr"/>
    </row>
    <row r="2715">
      <c r="A2715" s="3" t="inlineStr">
        <is>
          <t>F03178</t>
        </is>
      </c>
      <c r="B2715" s="4" t="inlineStr">
        <is>
          <t>F03178</t>
        </is>
      </c>
      <c r="C2715" s="4" t="inlineStr"/>
      <c r="D2715" s="4" t="inlineStr">
        <is>
          <t>6009705655564</t>
        </is>
      </c>
      <c r="E2715" s="3" t="inlineStr">
        <is>
          <t>MOSAIC STICK ON DIAMOND BLOCKS SILVER</t>
        </is>
      </c>
      <c r="F2715" s="4" t="inlineStr"/>
      <c r="G2715" s="4" t="inlineStr"/>
      <c r="H2715" s="4" t="inlineStr"/>
      <c r="I2715" s="5" t="n">
        <v>38.95</v>
      </c>
      <c r="J2715" s="6" t="n">
        <v>15</v>
      </c>
      <c r="K2715" s="7">
        <f>IF(I2715="","",I2715*(1+J2715/100))</f>
        <v/>
      </c>
      <c r="L2715" s="12" t="inlineStr"/>
      <c r="M2715" s="8">
        <f>IF(OR(L2715="",K2715="",L2715=0),"",
  (L2715-K2715)/L2715*100)</f>
        <v/>
      </c>
      <c r="N2715" s="14" t="n">
        <v>435</v>
      </c>
      <c r="O2715" s="4" t="inlineStr"/>
      <c r="P2715" s="4" t="inlineStr"/>
      <c r="Q2715" s="4" t="inlineStr"/>
      <c r="R2715" s="4" t="inlineStr">
        <is>
          <t>2026-03-12</t>
        </is>
      </c>
      <c r="S2715" s="4" t="inlineStr"/>
    </row>
    <row r="2716">
      <c r="A2716" s="10" t="inlineStr">
        <is>
          <t>F03179</t>
        </is>
      </c>
      <c r="B2716" s="10" t="inlineStr">
        <is>
          <t>F03179</t>
        </is>
      </c>
      <c r="C2716" s="10" t="inlineStr"/>
      <c r="D2716" s="10" t="inlineStr">
        <is>
          <t>6009705655571</t>
        </is>
      </c>
      <c r="E2716" s="10" t="inlineStr">
        <is>
          <t>MOSAIC MIRROR</t>
        </is>
      </c>
      <c r="F2716" s="10" t="inlineStr"/>
      <c r="G2716" s="10" t="inlineStr"/>
      <c r="H2716" s="10" t="inlineStr"/>
      <c r="I2716" s="11" t="n">
        <v>49.95</v>
      </c>
      <c r="J2716" s="6" t="n">
        <v>15</v>
      </c>
      <c r="K2716" s="7">
        <f>IF(I2716="","",I2716*(1+J2716/100))</f>
        <v/>
      </c>
      <c r="L2716" s="12" t="inlineStr"/>
      <c r="M2716" s="8">
        <f>IF(OR(L2716="",K2716="",L2716=0),"",
  (L2716-K2716)/L2716*100)</f>
        <v/>
      </c>
      <c r="N2716" s="13" t="n">
        <v>66</v>
      </c>
      <c r="O2716" s="10" t="inlineStr"/>
      <c r="P2716" s="10" t="inlineStr"/>
      <c r="Q2716" s="10" t="inlineStr"/>
      <c r="R2716" s="10" t="inlineStr">
        <is>
          <t>2026-03-12</t>
        </is>
      </c>
      <c r="S2716" s="10" t="inlineStr"/>
    </row>
    <row r="2717">
      <c r="A2717" s="3" t="inlineStr">
        <is>
          <t>F03180</t>
        </is>
      </c>
      <c r="B2717" s="4" t="inlineStr">
        <is>
          <t>F03180</t>
        </is>
      </c>
      <c r="C2717" s="4" t="inlineStr"/>
      <c r="D2717" s="4" t="inlineStr">
        <is>
          <t>6009705655588</t>
        </is>
      </c>
      <c r="E2717" s="3" t="inlineStr">
        <is>
          <t>MOSAIC MIRROR</t>
        </is>
      </c>
      <c r="F2717" s="4" t="inlineStr"/>
      <c r="G2717" s="4" t="inlineStr"/>
      <c r="H2717" s="4" t="inlineStr"/>
      <c r="I2717" s="5" t="n">
        <v>74.65000000000001</v>
      </c>
      <c r="J2717" s="6" t="n">
        <v>15</v>
      </c>
      <c r="K2717" s="7">
        <f>IF(I2717="","",I2717*(1+J2717/100))</f>
        <v/>
      </c>
      <c r="L2717" s="12" t="inlineStr"/>
      <c r="M2717" s="8">
        <f>IF(OR(L2717="",K2717="",L2717=0),"",
  (L2717-K2717)/L2717*100)</f>
        <v/>
      </c>
      <c r="N2717" s="9" t="inlineStr"/>
      <c r="O2717" s="4" t="inlineStr"/>
      <c r="P2717" s="4" t="inlineStr"/>
      <c r="Q2717" s="4" t="inlineStr"/>
      <c r="R2717" s="4" t="inlineStr">
        <is>
          <t>2026-03-12</t>
        </is>
      </c>
      <c r="S2717" s="4" t="inlineStr"/>
    </row>
    <row r="2718">
      <c r="A2718" s="10" t="inlineStr">
        <is>
          <t>F03181</t>
        </is>
      </c>
      <c r="B2718" s="10" t="inlineStr">
        <is>
          <t>F03181</t>
        </is>
      </c>
      <c r="C2718" s="10" t="inlineStr"/>
      <c r="D2718" s="10" t="inlineStr">
        <is>
          <t>6009705655595</t>
        </is>
      </c>
      <c r="E2718" s="10" t="inlineStr">
        <is>
          <t>MOSAIC MIRROR</t>
        </is>
      </c>
      <c r="F2718" s="10" t="inlineStr"/>
      <c r="G2718" s="10" t="inlineStr"/>
      <c r="H2718" s="10" t="inlineStr"/>
      <c r="I2718" s="11" t="n">
        <v>74.65000000000001</v>
      </c>
      <c r="J2718" s="6" t="n">
        <v>15</v>
      </c>
      <c r="K2718" s="7">
        <f>IF(I2718="","",I2718*(1+J2718/100))</f>
        <v/>
      </c>
      <c r="L2718" s="12" t="inlineStr"/>
      <c r="M2718" s="8">
        <f>IF(OR(L2718="",K2718="",L2718=0),"",
  (L2718-K2718)/L2718*100)</f>
        <v/>
      </c>
      <c r="N2718" s="13" t="n">
        <v>3</v>
      </c>
      <c r="O2718" s="10" t="inlineStr"/>
      <c r="P2718" s="10" t="inlineStr"/>
      <c r="Q2718" s="10" t="inlineStr"/>
      <c r="R2718" s="10" t="inlineStr">
        <is>
          <t>2026-03-12</t>
        </is>
      </c>
      <c r="S2718" s="10" t="inlineStr"/>
    </row>
    <row r="2719">
      <c r="A2719" s="3" t="inlineStr">
        <is>
          <t>F03182</t>
        </is>
      </c>
      <c r="B2719" s="4" t="inlineStr">
        <is>
          <t>F03182</t>
        </is>
      </c>
      <c r="C2719" s="4" t="inlineStr"/>
      <c r="D2719" s="4" t="inlineStr">
        <is>
          <t>6009705655601</t>
        </is>
      </c>
      <c r="E2719" s="3" t="inlineStr">
        <is>
          <t>MOSAIC MIRROR</t>
        </is>
      </c>
      <c r="F2719" s="4" t="inlineStr"/>
      <c r="G2719" s="4" t="inlineStr"/>
      <c r="H2719" s="4" t="inlineStr"/>
      <c r="I2719" s="5" t="n">
        <v>74.65000000000001</v>
      </c>
      <c r="J2719" s="6" t="n">
        <v>15</v>
      </c>
      <c r="K2719" s="7">
        <f>IF(I2719="","",I2719*(1+J2719/100))</f>
        <v/>
      </c>
      <c r="L2719" s="12" t="inlineStr"/>
      <c r="M2719" s="8">
        <f>IF(OR(L2719="",K2719="",L2719=0),"",
  (L2719-K2719)/L2719*100)</f>
        <v/>
      </c>
      <c r="N2719" s="9" t="inlineStr"/>
      <c r="O2719" s="4" t="inlineStr"/>
      <c r="P2719" s="4" t="inlineStr"/>
      <c r="Q2719" s="4" t="inlineStr"/>
      <c r="R2719" s="4" t="inlineStr">
        <is>
          <t>2026-03-12</t>
        </is>
      </c>
      <c r="S2719" s="4" t="inlineStr"/>
    </row>
    <row r="2720">
      <c r="A2720" s="10" t="inlineStr">
        <is>
          <t>F03183</t>
        </is>
      </c>
      <c r="B2720" s="10" t="inlineStr">
        <is>
          <t>F03183</t>
        </is>
      </c>
      <c r="C2720" s="10" t="inlineStr"/>
      <c r="D2720" s="10" t="inlineStr">
        <is>
          <t>6009705655618</t>
        </is>
      </c>
      <c r="E2720" s="10" t="inlineStr">
        <is>
          <t>MOSAIC MIRROR</t>
        </is>
      </c>
      <c r="F2720" s="10" t="inlineStr"/>
      <c r="G2720" s="10" t="inlineStr"/>
      <c r="H2720" s="10" t="inlineStr"/>
      <c r="I2720" s="11" t="n">
        <v>59.95</v>
      </c>
      <c r="J2720" s="6" t="n">
        <v>15</v>
      </c>
      <c r="K2720" s="7">
        <f>IF(I2720="","",I2720*(1+J2720/100))</f>
        <v/>
      </c>
      <c r="L2720" s="12" t="inlineStr"/>
      <c r="M2720" s="8">
        <f>IF(OR(L2720="",K2720="",L2720=0),"",
  (L2720-K2720)/L2720*100)</f>
        <v/>
      </c>
      <c r="N2720" s="13" t="n">
        <v>1</v>
      </c>
      <c r="O2720" s="10" t="inlineStr"/>
      <c r="P2720" s="10" t="inlineStr"/>
      <c r="Q2720" s="10" t="inlineStr"/>
      <c r="R2720" s="10" t="inlineStr">
        <is>
          <t>2026-03-12</t>
        </is>
      </c>
      <c r="S2720" s="10" t="inlineStr"/>
    </row>
    <row r="2721">
      <c r="A2721" s="3" t="inlineStr">
        <is>
          <t>F03184</t>
        </is>
      </c>
      <c r="B2721" s="4" t="inlineStr">
        <is>
          <t>F03184</t>
        </is>
      </c>
      <c r="C2721" s="4" t="inlineStr"/>
      <c r="D2721" s="4" t="inlineStr">
        <is>
          <t>6009705655625</t>
        </is>
      </c>
      <c r="E2721" s="3" t="inlineStr">
        <is>
          <t>MOSAIC MIRROR</t>
        </is>
      </c>
      <c r="F2721" s="4" t="inlineStr"/>
      <c r="G2721" s="4" t="inlineStr"/>
      <c r="H2721" s="4" t="inlineStr"/>
      <c r="I2721" s="5" t="n">
        <v>74.65000000000001</v>
      </c>
      <c r="J2721" s="6" t="n">
        <v>15</v>
      </c>
      <c r="K2721" s="7">
        <f>IF(I2721="","",I2721*(1+J2721/100))</f>
        <v/>
      </c>
      <c r="L2721" s="12" t="inlineStr"/>
      <c r="M2721" s="8">
        <f>IF(OR(L2721="",K2721="",L2721=0),"",
  (L2721-K2721)/L2721*100)</f>
        <v/>
      </c>
      <c r="N2721" s="14" t="n">
        <v>9</v>
      </c>
      <c r="O2721" s="4" t="inlineStr"/>
      <c r="P2721" s="4" t="inlineStr"/>
      <c r="Q2721" s="4" t="inlineStr"/>
      <c r="R2721" s="4" t="inlineStr">
        <is>
          <t>2026-03-12</t>
        </is>
      </c>
      <c r="S2721" s="4" t="inlineStr"/>
    </row>
    <row r="2722">
      <c r="A2722" s="10" t="inlineStr">
        <is>
          <t>F03185</t>
        </is>
      </c>
      <c r="B2722" s="10" t="inlineStr">
        <is>
          <t>F03185</t>
        </is>
      </c>
      <c r="C2722" s="10" t="inlineStr"/>
      <c r="D2722" s="10" t="inlineStr">
        <is>
          <t>6009705655632</t>
        </is>
      </c>
      <c r="E2722" s="10" t="inlineStr">
        <is>
          <t>MOSAIC MIRROR</t>
        </is>
      </c>
      <c r="F2722" s="10" t="inlineStr"/>
      <c r="G2722" s="10" t="inlineStr"/>
      <c r="H2722" s="10" t="inlineStr"/>
      <c r="I2722" s="11" t="n">
        <v>19.95</v>
      </c>
      <c r="J2722" s="6" t="n">
        <v>15</v>
      </c>
      <c r="K2722" s="7">
        <f>IF(I2722="","",I2722*(1+J2722/100))</f>
        <v/>
      </c>
      <c r="L2722" s="12" t="inlineStr"/>
      <c r="M2722" s="8">
        <f>IF(OR(L2722="",K2722="",L2722=0),"",
  (L2722-K2722)/L2722*100)</f>
        <v/>
      </c>
      <c r="N2722" s="13" t="n">
        <v>42</v>
      </c>
      <c r="O2722" s="10" t="inlineStr"/>
      <c r="P2722" s="10" t="inlineStr"/>
      <c r="Q2722" s="10" t="inlineStr"/>
      <c r="R2722" s="10" t="inlineStr">
        <is>
          <t>2026-03-12</t>
        </is>
      </c>
      <c r="S2722" s="10" t="inlineStr"/>
    </row>
    <row r="2723">
      <c r="A2723" s="3" t="inlineStr">
        <is>
          <t>F03186</t>
        </is>
      </c>
      <c r="B2723" s="4" t="inlineStr">
        <is>
          <t>F03186</t>
        </is>
      </c>
      <c r="C2723" s="4" t="inlineStr"/>
      <c r="D2723" s="4" t="inlineStr">
        <is>
          <t>6009705655649</t>
        </is>
      </c>
      <c r="E2723" s="3" t="inlineStr">
        <is>
          <t>MOSAIC MIRROR</t>
        </is>
      </c>
      <c r="F2723" s="4" t="inlineStr"/>
      <c r="G2723" s="4" t="inlineStr"/>
      <c r="H2723" s="4" t="inlineStr"/>
      <c r="I2723" s="5" t="n">
        <v>59.95</v>
      </c>
      <c r="J2723" s="6" t="n">
        <v>15</v>
      </c>
      <c r="K2723" s="7">
        <f>IF(I2723="","",I2723*(1+J2723/100))</f>
        <v/>
      </c>
      <c r="L2723" s="12" t="inlineStr"/>
      <c r="M2723" s="8">
        <f>IF(OR(L2723="",K2723="",L2723=0),"",
  (L2723-K2723)/L2723*100)</f>
        <v/>
      </c>
      <c r="N2723" s="9" t="inlineStr"/>
      <c r="O2723" s="4" t="inlineStr"/>
      <c r="P2723" s="4" t="inlineStr"/>
      <c r="Q2723" s="4" t="inlineStr"/>
      <c r="R2723" s="4" t="inlineStr">
        <is>
          <t>2026-03-12</t>
        </is>
      </c>
      <c r="S2723" s="4" t="inlineStr"/>
    </row>
    <row r="2724">
      <c r="A2724" s="10" t="inlineStr">
        <is>
          <t>F03187</t>
        </is>
      </c>
      <c r="B2724" s="10" t="inlineStr">
        <is>
          <t>F03187</t>
        </is>
      </c>
      <c r="C2724" s="10" t="inlineStr"/>
      <c r="D2724" s="10" t="inlineStr">
        <is>
          <t>6009705655656</t>
        </is>
      </c>
      <c r="E2724" s="10" t="inlineStr">
        <is>
          <t>MOSAIC MIRROR</t>
        </is>
      </c>
      <c r="F2724" s="10" t="inlineStr"/>
      <c r="G2724" s="10" t="inlineStr"/>
      <c r="H2724" s="10" t="inlineStr"/>
      <c r="I2724" s="11" t="n">
        <v>59.95</v>
      </c>
      <c r="J2724" s="6" t="n">
        <v>15</v>
      </c>
      <c r="K2724" s="7">
        <f>IF(I2724="","",I2724*(1+J2724/100))</f>
        <v/>
      </c>
      <c r="L2724" s="12" t="inlineStr"/>
      <c r="M2724" s="8">
        <f>IF(OR(L2724="",K2724="",L2724=0),"",
  (L2724-K2724)/L2724*100)</f>
        <v/>
      </c>
      <c r="N2724" s="13" t="n">
        <v>1</v>
      </c>
      <c r="O2724" s="10" t="inlineStr"/>
      <c r="P2724" s="10" t="inlineStr"/>
      <c r="Q2724" s="10" t="inlineStr"/>
      <c r="R2724" s="10" t="inlineStr">
        <is>
          <t>2026-03-12</t>
        </is>
      </c>
      <c r="S2724" s="10" t="inlineStr"/>
    </row>
    <row r="2725">
      <c r="A2725" s="3" t="inlineStr">
        <is>
          <t>F03188</t>
        </is>
      </c>
      <c r="B2725" s="4" t="inlineStr">
        <is>
          <t>F03188</t>
        </is>
      </c>
      <c r="C2725" s="4" t="inlineStr"/>
      <c r="D2725" s="4" t="inlineStr">
        <is>
          <t>6009705655663</t>
        </is>
      </c>
      <c r="E2725" s="3" t="inlineStr">
        <is>
          <t>MOSAIC MIRROR</t>
        </is>
      </c>
      <c r="F2725" s="4" t="inlineStr"/>
      <c r="G2725" s="4" t="inlineStr"/>
      <c r="H2725" s="4" t="inlineStr"/>
      <c r="I2725" s="5" t="n">
        <v>59.95</v>
      </c>
      <c r="J2725" s="6" t="n">
        <v>15</v>
      </c>
      <c r="K2725" s="7">
        <f>IF(I2725="","",I2725*(1+J2725/100))</f>
        <v/>
      </c>
      <c r="L2725" s="12" t="inlineStr"/>
      <c r="M2725" s="8">
        <f>IF(OR(L2725="",K2725="",L2725=0),"",
  (L2725-K2725)/L2725*100)</f>
        <v/>
      </c>
      <c r="N2725" s="9" t="inlineStr"/>
      <c r="O2725" s="4" t="inlineStr"/>
      <c r="P2725" s="4" t="inlineStr"/>
      <c r="Q2725" s="4" t="inlineStr"/>
      <c r="R2725" s="4" t="inlineStr">
        <is>
          <t>2026-03-12</t>
        </is>
      </c>
      <c r="S2725" s="4" t="inlineStr"/>
    </row>
    <row r="2726">
      <c r="A2726" s="10" t="inlineStr">
        <is>
          <t>F03189</t>
        </is>
      </c>
      <c r="B2726" s="10" t="inlineStr">
        <is>
          <t>F03189</t>
        </is>
      </c>
      <c r="C2726" s="10" t="inlineStr"/>
      <c r="D2726" s="10" t="inlineStr">
        <is>
          <t>6009705655670</t>
        </is>
      </c>
      <c r="E2726" s="10" t="inlineStr">
        <is>
          <t>MOSAIC STICK ON HONEYCOMB SML METALIC</t>
        </is>
      </c>
      <c r="F2726" s="10" t="inlineStr"/>
      <c r="G2726" s="10" t="inlineStr"/>
      <c r="H2726" s="10" t="inlineStr"/>
      <c r="I2726" s="11" t="n">
        <v>38.95</v>
      </c>
      <c r="J2726" s="6" t="n">
        <v>15</v>
      </c>
      <c r="K2726" s="7">
        <f>IF(I2726="","",I2726*(1+J2726/100))</f>
        <v/>
      </c>
      <c r="L2726" s="12" t="inlineStr"/>
      <c r="M2726" s="8">
        <f>IF(OR(L2726="",K2726="",L2726=0),"",
  (L2726-K2726)/L2726*100)</f>
        <v/>
      </c>
      <c r="N2726" s="13" t="n">
        <v>436</v>
      </c>
      <c r="O2726" s="10" t="inlineStr"/>
      <c r="P2726" s="10" t="inlineStr"/>
      <c r="Q2726" s="10" t="inlineStr"/>
      <c r="R2726" s="10" t="inlineStr">
        <is>
          <t>2026-03-12</t>
        </is>
      </c>
      <c r="S2726" s="10" t="inlineStr"/>
    </row>
    <row r="2727">
      <c r="A2727" s="3" t="inlineStr">
        <is>
          <t>F03190</t>
        </is>
      </c>
      <c r="B2727" s="4" t="inlineStr">
        <is>
          <t>F03190</t>
        </is>
      </c>
      <c r="C2727" s="4" t="inlineStr"/>
      <c r="D2727" s="4" t="inlineStr">
        <is>
          <t>6009705655687</t>
        </is>
      </c>
      <c r="E2727" s="3" t="inlineStr">
        <is>
          <t>MOSAIC STICK ON HONEYCOMB SML ROSE GOLD</t>
        </is>
      </c>
      <c r="F2727" s="4" t="inlineStr"/>
      <c r="G2727" s="4" t="inlineStr"/>
      <c r="H2727" s="4" t="inlineStr"/>
      <c r="I2727" s="5" t="n">
        <v>38.95</v>
      </c>
      <c r="J2727" s="6" t="n">
        <v>15</v>
      </c>
      <c r="K2727" s="7">
        <f>IF(I2727="","",I2727*(1+J2727/100))</f>
        <v/>
      </c>
      <c r="L2727" s="12" t="inlineStr"/>
      <c r="M2727" s="8">
        <f>IF(OR(L2727="",K2727="",L2727=0),"",
  (L2727-K2727)/L2727*100)</f>
        <v/>
      </c>
      <c r="N2727" s="14" t="n">
        <v>283</v>
      </c>
      <c r="O2727" s="4" t="inlineStr"/>
      <c r="P2727" s="4" t="inlineStr"/>
      <c r="Q2727" s="4" t="inlineStr"/>
      <c r="R2727" s="4" t="inlineStr">
        <is>
          <t>2026-03-12</t>
        </is>
      </c>
      <c r="S2727" s="4" t="inlineStr"/>
    </row>
    <row r="2728">
      <c r="A2728" s="10" t="inlineStr">
        <is>
          <t>F03191</t>
        </is>
      </c>
      <c r="B2728" s="10" t="inlineStr">
        <is>
          <t>F03191</t>
        </is>
      </c>
      <c r="C2728" s="10" t="inlineStr"/>
      <c r="D2728" s="10" t="inlineStr">
        <is>
          <t>6009705655694</t>
        </is>
      </c>
      <c r="E2728" s="10" t="inlineStr">
        <is>
          <t>MOSAIC STICK ON HONEYCOMB SILVER</t>
        </is>
      </c>
      <c r="F2728" s="10" t="inlineStr"/>
      <c r="G2728" s="10" t="inlineStr"/>
      <c r="H2728" s="10" t="inlineStr"/>
      <c r="I2728" s="11" t="n">
        <v>26.95</v>
      </c>
      <c r="J2728" s="6" t="n">
        <v>15</v>
      </c>
      <c r="K2728" s="7">
        <f>IF(I2728="","",I2728*(1+J2728/100))</f>
        <v/>
      </c>
      <c r="L2728" s="12" t="inlineStr"/>
      <c r="M2728" s="8">
        <f>IF(OR(L2728="",K2728="",L2728=0),"",
  (L2728-K2728)/L2728*100)</f>
        <v/>
      </c>
      <c r="N2728" s="13" t="n">
        <v>515</v>
      </c>
      <c r="O2728" s="10" t="inlineStr"/>
      <c r="P2728" s="10" t="inlineStr"/>
      <c r="Q2728" s="10" t="inlineStr"/>
      <c r="R2728" s="10" t="inlineStr">
        <is>
          <t>2026-03-12</t>
        </is>
      </c>
      <c r="S2728" s="10" t="inlineStr"/>
    </row>
    <row r="2729">
      <c r="A2729" s="3" t="inlineStr">
        <is>
          <t>F03192</t>
        </is>
      </c>
      <c r="B2729" s="4" t="inlineStr">
        <is>
          <t>F03192</t>
        </is>
      </c>
      <c r="C2729" s="4" t="inlineStr"/>
      <c r="D2729" s="4" t="inlineStr">
        <is>
          <t>6009705655700</t>
        </is>
      </c>
      <c r="E2729" s="3" t="inlineStr">
        <is>
          <t>MOSAIC STICK ON HONEYCOMB  GOLD</t>
        </is>
      </c>
      <c r="F2729" s="4" t="inlineStr"/>
      <c r="G2729" s="4" t="inlineStr"/>
      <c r="H2729" s="4" t="inlineStr"/>
      <c r="I2729" s="5" t="n">
        <v>26.95</v>
      </c>
      <c r="J2729" s="6" t="n">
        <v>15</v>
      </c>
      <c r="K2729" s="7">
        <f>IF(I2729="","",I2729*(1+J2729/100))</f>
        <v/>
      </c>
      <c r="L2729" s="12" t="inlineStr"/>
      <c r="M2729" s="8">
        <f>IF(OR(L2729="",K2729="",L2729=0),"",
  (L2729-K2729)/L2729*100)</f>
        <v/>
      </c>
      <c r="N2729" s="14" t="n">
        <v>343</v>
      </c>
      <c r="O2729" s="4" t="inlineStr"/>
      <c r="P2729" s="4" t="inlineStr"/>
      <c r="Q2729" s="4" t="inlineStr"/>
      <c r="R2729" s="4" t="inlineStr">
        <is>
          <t>2026-03-12</t>
        </is>
      </c>
      <c r="S2729" s="4" t="inlineStr"/>
    </row>
    <row r="2730">
      <c r="A2730" s="10" t="inlineStr">
        <is>
          <t>F03193</t>
        </is>
      </c>
      <c r="B2730" s="10" t="inlineStr">
        <is>
          <t>F03193</t>
        </is>
      </c>
      <c r="C2730" s="10" t="inlineStr"/>
      <c r="D2730" s="10" t="inlineStr">
        <is>
          <t>6009705655717</t>
        </is>
      </c>
      <c r="E2730" s="10" t="inlineStr">
        <is>
          <t>MOSAIC STICK ON ,DIAMOND SILVER</t>
        </is>
      </c>
      <c r="F2730" s="10" t="inlineStr"/>
      <c r="G2730" s="10" t="inlineStr"/>
      <c r="H2730" s="10" t="inlineStr"/>
      <c r="I2730" s="11" t="n">
        <v>38.95</v>
      </c>
      <c r="J2730" s="6" t="n">
        <v>15</v>
      </c>
      <c r="K2730" s="7">
        <f>IF(I2730="","",I2730*(1+J2730/100))</f>
        <v/>
      </c>
      <c r="L2730" s="12" t="inlineStr"/>
      <c r="M2730" s="8">
        <f>IF(OR(L2730="",K2730="",L2730=0),"",
  (L2730-K2730)/L2730*100)</f>
        <v/>
      </c>
      <c r="N2730" s="13" t="n">
        <v>544</v>
      </c>
      <c r="O2730" s="10" t="inlineStr"/>
      <c r="P2730" s="10" t="inlineStr"/>
      <c r="Q2730" s="10" t="inlineStr"/>
      <c r="R2730" s="10" t="inlineStr">
        <is>
          <t>2026-03-12</t>
        </is>
      </c>
      <c r="S2730" s="10" t="inlineStr"/>
    </row>
    <row r="2731">
      <c r="A2731" s="3" t="inlineStr">
        <is>
          <t>F03194</t>
        </is>
      </c>
      <c r="B2731" s="4" t="inlineStr">
        <is>
          <t>F03194</t>
        </is>
      </c>
      <c r="C2731" s="4" t="inlineStr"/>
      <c r="D2731" s="4" t="inlineStr">
        <is>
          <t>6009705655724</t>
        </is>
      </c>
      <c r="E2731" s="3" t="inlineStr">
        <is>
          <t>MOSAIC STICK ON HONEYCOMB ROSE GOLD</t>
        </is>
      </c>
      <c r="F2731" s="4" t="inlineStr"/>
      <c r="G2731" s="4" t="inlineStr"/>
      <c r="H2731" s="4" t="inlineStr"/>
      <c r="I2731" s="5" t="n">
        <v>26.95</v>
      </c>
      <c r="J2731" s="6" t="n">
        <v>15</v>
      </c>
      <c r="K2731" s="7">
        <f>IF(I2731="","",I2731*(1+J2731/100))</f>
        <v/>
      </c>
      <c r="L2731" s="12" t="inlineStr"/>
      <c r="M2731" s="8">
        <f>IF(OR(L2731="",K2731="",L2731=0),"",
  (L2731-K2731)/L2731*100)</f>
        <v/>
      </c>
      <c r="N2731" s="14" t="n">
        <v>266</v>
      </c>
      <c r="O2731" s="4" t="inlineStr"/>
      <c r="P2731" s="4" t="inlineStr"/>
      <c r="Q2731" s="4" t="inlineStr"/>
      <c r="R2731" s="4" t="inlineStr">
        <is>
          <t>2026-03-12</t>
        </is>
      </c>
      <c r="S2731" s="4" t="inlineStr"/>
    </row>
    <row r="2732">
      <c r="A2732" s="10" t="inlineStr">
        <is>
          <t>F03195</t>
        </is>
      </c>
      <c r="B2732" s="10" t="inlineStr">
        <is>
          <t>F03195</t>
        </is>
      </c>
      <c r="C2732" s="10" t="inlineStr"/>
      <c r="D2732" s="10" t="inlineStr">
        <is>
          <t>6009705655731</t>
        </is>
      </c>
      <c r="E2732" s="10" t="inlineStr">
        <is>
          <t>MOSAIC STICK ON,  WATERJET SILVER</t>
        </is>
      </c>
      <c r="F2732" s="10" t="inlineStr"/>
      <c r="G2732" s="10" t="inlineStr"/>
      <c r="H2732" s="10" t="inlineStr"/>
      <c r="I2732" s="11" t="n">
        <v>46.95</v>
      </c>
      <c r="J2732" s="6" t="n">
        <v>15</v>
      </c>
      <c r="K2732" s="7">
        <f>IF(I2732="","",I2732*(1+J2732/100))</f>
        <v/>
      </c>
      <c r="L2732" s="12" t="inlineStr"/>
      <c r="M2732" s="8">
        <f>IF(OR(L2732="",K2732="",L2732=0),"",
  (L2732-K2732)/L2732*100)</f>
        <v/>
      </c>
      <c r="N2732" s="13" t="n">
        <v>374</v>
      </c>
      <c r="O2732" s="10" t="inlineStr"/>
      <c r="P2732" s="10" t="inlineStr"/>
      <c r="Q2732" s="10" t="inlineStr"/>
      <c r="R2732" s="10" t="inlineStr">
        <is>
          <t>2026-03-12</t>
        </is>
      </c>
      <c r="S2732" s="10" t="inlineStr"/>
    </row>
    <row r="2733">
      <c r="A2733" s="3" t="inlineStr">
        <is>
          <t>F03196</t>
        </is>
      </c>
      <c r="B2733" s="4" t="inlineStr">
        <is>
          <t>F03196</t>
        </is>
      </c>
      <c r="C2733" s="4" t="inlineStr"/>
      <c r="D2733" s="4" t="inlineStr">
        <is>
          <t>6009705655748</t>
        </is>
      </c>
      <c r="E2733" s="3" t="inlineStr">
        <is>
          <t>MOSAIC MIRROR</t>
        </is>
      </c>
      <c r="F2733" s="4" t="inlineStr"/>
      <c r="G2733" s="4" t="inlineStr"/>
      <c r="H2733" s="4" t="inlineStr"/>
      <c r="I2733" s="5" t="n">
        <v>38.95</v>
      </c>
      <c r="J2733" s="6" t="n">
        <v>15</v>
      </c>
      <c r="K2733" s="7">
        <f>IF(I2733="","",I2733*(1+J2733/100))</f>
        <v/>
      </c>
      <c r="L2733" s="12" t="inlineStr"/>
      <c r="M2733" s="8">
        <f>IF(OR(L2733="",K2733="",L2733=0),"",
  (L2733-K2733)/L2733*100)</f>
        <v/>
      </c>
      <c r="N2733" s="14" t="n">
        <v>555</v>
      </c>
      <c r="O2733" s="4" t="inlineStr"/>
      <c r="P2733" s="4" t="inlineStr"/>
      <c r="Q2733" s="4" t="inlineStr"/>
      <c r="R2733" s="4" t="inlineStr">
        <is>
          <t>2026-03-12</t>
        </is>
      </c>
      <c r="S2733" s="4" t="inlineStr"/>
    </row>
    <row r="2734">
      <c r="A2734" s="10" t="inlineStr">
        <is>
          <t>F03197</t>
        </is>
      </c>
      <c r="B2734" s="10" t="inlineStr">
        <is>
          <t>F03197</t>
        </is>
      </c>
      <c r="C2734" s="10" t="inlineStr"/>
      <c r="D2734" s="10" t="inlineStr">
        <is>
          <t>6009705655755</t>
        </is>
      </c>
      <c r="E2734" s="10" t="inlineStr">
        <is>
          <t>MOTICE LOCKFANCY SABS 3L ALCO CARBAN BLK</t>
        </is>
      </c>
      <c r="F2734" s="10" t="inlineStr"/>
      <c r="G2734" s="10" t="inlineStr"/>
      <c r="H2734" s="10" t="inlineStr"/>
      <c r="I2734" s="11" t="n">
        <v>99.95</v>
      </c>
      <c r="J2734" s="6" t="n">
        <v>15</v>
      </c>
      <c r="K2734" s="7">
        <f>IF(I2734="","",I2734*(1+J2734/100))</f>
        <v/>
      </c>
      <c r="L2734" s="12" t="inlineStr"/>
      <c r="M2734" s="8">
        <f>IF(OR(L2734="",K2734="",L2734=0),"",
  (L2734-K2734)/L2734*100)</f>
        <v/>
      </c>
      <c r="N2734" s="13" t="n">
        <v>584</v>
      </c>
      <c r="O2734" s="10" t="inlineStr"/>
      <c r="P2734" s="10" t="inlineStr"/>
      <c r="Q2734" s="10" t="inlineStr"/>
      <c r="R2734" s="10" t="inlineStr">
        <is>
          <t>2026-03-12</t>
        </is>
      </c>
      <c r="S2734" s="10" t="inlineStr"/>
    </row>
    <row r="2735">
      <c r="A2735" s="3" t="inlineStr">
        <is>
          <t>F03198</t>
        </is>
      </c>
      <c r="B2735" s="4" t="inlineStr">
        <is>
          <t>F03198</t>
        </is>
      </c>
      <c r="C2735" s="4" t="inlineStr"/>
      <c r="D2735" s="4" t="inlineStr">
        <is>
          <t>6009705655762</t>
        </is>
      </c>
      <c r="E2735" s="3" t="inlineStr">
        <is>
          <t>MORTICE LOCK FANCY SABS 3L ALCO CP</t>
        </is>
      </c>
      <c r="F2735" s="4" t="inlineStr"/>
      <c r="G2735" s="4" t="inlineStr"/>
      <c r="H2735" s="4" t="inlineStr"/>
      <c r="I2735" s="5" t="n">
        <v>99.95</v>
      </c>
      <c r="J2735" s="6" t="n">
        <v>15</v>
      </c>
      <c r="K2735" s="7">
        <f>IF(I2735="","",I2735*(1+J2735/100))</f>
        <v/>
      </c>
      <c r="L2735" s="12" t="inlineStr"/>
      <c r="M2735" s="8">
        <f>IF(OR(L2735="",K2735="",L2735=0),"",
  (L2735-K2735)/L2735*100)</f>
        <v/>
      </c>
      <c r="N2735" s="14" t="n">
        <v>577</v>
      </c>
      <c r="O2735" s="4" t="inlineStr"/>
      <c r="P2735" s="4" t="inlineStr"/>
      <c r="Q2735" s="4" t="inlineStr"/>
      <c r="R2735" s="4" t="inlineStr">
        <is>
          <t>2026-03-12</t>
        </is>
      </c>
      <c r="S2735" s="4" t="inlineStr"/>
    </row>
    <row r="2736">
      <c r="A2736" s="10" t="inlineStr">
        <is>
          <t>F03199</t>
        </is>
      </c>
      <c r="B2736" s="10" t="inlineStr">
        <is>
          <t>F03199</t>
        </is>
      </c>
      <c r="C2736" s="10" t="inlineStr"/>
      <c r="D2736" s="10" t="inlineStr">
        <is>
          <t>6009705655779</t>
        </is>
      </c>
      <c r="E2736" s="10" t="inlineStr">
        <is>
          <t>MORTICE LOCK FANCY SABS 3L ALCO CARBON</t>
        </is>
      </c>
      <c r="F2736" s="10" t="inlineStr"/>
      <c r="G2736" s="10" t="inlineStr"/>
      <c r="H2736" s="10" t="inlineStr"/>
      <c r="I2736" s="11" t="n">
        <v>99.95</v>
      </c>
      <c r="J2736" s="6" t="n">
        <v>15</v>
      </c>
      <c r="K2736" s="7">
        <f>IF(I2736="","",I2736*(1+J2736/100))</f>
        <v/>
      </c>
      <c r="L2736" s="12" t="inlineStr"/>
      <c r="M2736" s="8">
        <f>IF(OR(L2736="",K2736="",L2736=0),"",
  (L2736-K2736)/L2736*100)</f>
        <v/>
      </c>
      <c r="N2736" s="13" t="n">
        <v>672</v>
      </c>
      <c r="O2736" s="10" t="inlineStr"/>
      <c r="P2736" s="10" t="inlineStr"/>
      <c r="Q2736" s="10" t="inlineStr"/>
      <c r="R2736" s="10" t="inlineStr">
        <is>
          <t>2026-03-12</t>
        </is>
      </c>
      <c r="S2736" s="10" t="inlineStr"/>
    </row>
    <row r="2737">
      <c r="A2737" s="3" t="inlineStr">
        <is>
          <t>F03200</t>
        </is>
      </c>
      <c r="B2737" s="4" t="inlineStr">
        <is>
          <t>F03200</t>
        </is>
      </c>
      <c r="C2737" s="4" t="inlineStr"/>
      <c r="D2737" s="4" t="inlineStr">
        <is>
          <t>6009705655786</t>
        </is>
      </c>
      <c r="E2737" s="3" t="inlineStr">
        <is>
          <t>MORTICE LOCK FANCY SABS 3L ALCO CP</t>
        </is>
      </c>
      <c r="F2737" s="4" t="inlineStr"/>
      <c r="G2737" s="4" t="inlineStr"/>
      <c r="H2737" s="4" t="inlineStr"/>
      <c r="I2737" s="5" t="n">
        <v>99.95</v>
      </c>
      <c r="J2737" s="6" t="n">
        <v>15</v>
      </c>
      <c r="K2737" s="7">
        <f>IF(I2737="","",I2737*(1+J2737/100))</f>
        <v/>
      </c>
      <c r="L2737" s="12" t="inlineStr"/>
      <c r="M2737" s="8">
        <f>IF(OR(L2737="",K2737="",L2737=0),"",
  (L2737-K2737)/L2737*100)</f>
        <v/>
      </c>
      <c r="N2737" s="14" t="n">
        <v>537</v>
      </c>
      <c r="O2737" s="4" t="inlineStr"/>
      <c r="P2737" s="4" t="inlineStr"/>
      <c r="Q2737" s="4" t="inlineStr"/>
      <c r="R2737" s="4" t="inlineStr">
        <is>
          <t>2026-03-12</t>
        </is>
      </c>
      <c r="S2737" s="4" t="inlineStr"/>
    </row>
    <row r="2738">
      <c r="A2738" s="10" t="inlineStr">
        <is>
          <t>F03201</t>
        </is>
      </c>
      <c r="B2738" s="10" t="inlineStr">
        <is>
          <t>F03201</t>
        </is>
      </c>
      <c r="C2738" s="10" t="inlineStr"/>
      <c r="D2738" s="10" t="inlineStr">
        <is>
          <t>6009705655793</t>
        </is>
      </c>
      <c r="E2738" s="10" t="inlineStr">
        <is>
          <t>MORTICE LOCK FANCY SABS 3L ALCO COPPER</t>
        </is>
      </c>
      <c r="F2738" s="10" t="inlineStr"/>
      <c r="G2738" s="10" t="inlineStr"/>
      <c r="H2738" s="10" t="inlineStr"/>
      <c r="I2738" s="11" t="n">
        <v>99.95</v>
      </c>
      <c r="J2738" s="6" t="n">
        <v>15</v>
      </c>
      <c r="K2738" s="7">
        <f>IF(I2738="","",I2738*(1+J2738/100))</f>
        <v/>
      </c>
      <c r="L2738" s="12" t="inlineStr"/>
      <c r="M2738" s="8">
        <f>IF(OR(L2738="",K2738="",L2738=0),"",
  (L2738-K2738)/L2738*100)</f>
        <v/>
      </c>
      <c r="N2738" s="13" t="n">
        <v>469</v>
      </c>
      <c r="O2738" s="10" t="inlineStr"/>
      <c r="P2738" s="10" t="inlineStr"/>
      <c r="Q2738" s="10" t="inlineStr"/>
      <c r="R2738" s="10" t="inlineStr">
        <is>
          <t>2026-03-12</t>
        </is>
      </c>
      <c r="S2738" s="10" t="inlineStr"/>
    </row>
    <row r="2739">
      <c r="A2739" s="3" t="inlineStr">
        <is>
          <t>F03202</t>
        </is>
      </c>
      <c r="B2739" s="4" t="inlineStr">
        <is>
          <t>F03202</t>
        </is>
      </c>
      <c r="C2739" s="4" t="inlineStr"/>
      <c r="D2739" s="4" t="inlineStr">
        <is>
          <t>6009705655809</t>
        </is>
      </c>
      <c r="E2739" s="3" t="inlineStr">
        <is>
          <t>MORTICE LOCK FANCY SABS 3L ALCO CP</t>
        </is>
      </c>
      <c r="F2739" s="4" t="inlineStr"/>
      <c r="G2739" s="4" t="inlineStr"/>
      <c r="H2739" s="4" t="inlineStr"/>
      <c r="I2739" s="5" t="n">
        <v>89.95</v>
      </c>
      <c r="J2739" s="6" t="n">
        <v>15</v>
      </c>
      <c r="K2739" s="7">
        <f>IF(I2739="","",I2739*(1+J2739/100))</f>
        <v/>
      </c>
      <c r="L2739" s="12" t="inlineStr"/>
      <c r="M2739" s="8">
        <f>IF(OR(L2739="",K2739="",L2739=0),"",
  (L2739-K2739)/L2739*100)</f>
        <v/>
      </c>
      <c r="N2739" s="14" t="n">
        <v>506</v>
      </c>
      <c r="O2739" s="4" t="inlineStr"/>
      <c r="P2739" s="4" t="inlineStr"/>
      <c r="Q2739" s="4" t="inlineStr"/>
      <c r="R2739" s="4" t="inlineStr">
        <is>
          <t>2026-03-12</t>
        </is>
      </c>
      <c r="S2739" s="4" t="inlineStr"/>
    </row>
    <row r="2740">
      <c r="A2740" s="10" t="inlineStr">
        <is>
          <t>F03203</t>
        </is>
      </c>
      <c r="B2740" s="10" t="inlineStr">
        <is>
          <t>F03203</t>
        </is>
      </c>
      <c r="C2740" s="10" t="inlineStr"/>
      <c r="D2740" s="10" t="inlineStr">
        <is>
          <t>6009705655816</t>
        </is>
      </c>
      <c r="E2740" s="10" t="inlineStr">
        <is>
          <t>MORTICE LOCKFANCY SABS 3L ALCO ANTIQ COP</t>
        </is>
      </c>
      <c r="F2740" s="10" t="inlineStr"/>
      <c r="G2740" s="10" t="inlineStr"/>
      <c r="H2740" s="10" t="inlineStr"/>
      <c r="I2740" s="11" t="n">
        <v>99.95</v>
      </c>
      <c r="J2740" s="6" t="n">
        <v>15</v>
      </c>
      <c r="K2740" s="7">
        <f>IF(I2740="","",I2740*(1+J2740/100))</f>
        <v/>
      </c>
      <c r="L2740" s="12" t="inlineStr"/>
      <c r="M2740" s="8">
        <f>IF(OR(L2740="",K2740="",L2740=0),"",
  (L2740-K2740)/L2740*100)</f>
        <v/>
      </c>
      <c r="N2740" s="13" t="n">
        <v>457</v>
      </c>
      <c r="O2740" s="10" t="inlineStr"/>
      <c r="P2740" s="10" t="inlineStr"/>
      <c r="Q2740" s="10" t="inlineStr"/>
      <c r="R2740" s="10" t="inlineStr">
        <is>
          <t>2026-03-12</t>
        </is>
      </c>
      <c r="S2740" s="10" t="inlineStr"/>
    </row>
    <row r="2741">
      <c r="A2741" s="3" t="inlineStr">
        <is>
          <t>F03204</t>
        </is>
      </c>
      <c r="B2741" s="4" t="inlineStr">
        <is>
          <t>F03204</t>
        </is>
      </c>
      <c r="C2741" s="4" t="inlineStr"/>
      <c r="D2741" s="4" t="inlineStr">
        <is>
          <t>6009705655823</t>
        </is>
      </c>
      <c r="E2741" s="3" t="inlineStr">
        <is>
          <t>MORTICE LOCK FANCY SABS 3LEVER CP</t>
        </is>
      </c>
      <c r="F2741" s="4" t="inlineStr"/>
      <c r="G2741" s="4" t="inlineStr"/>
      <c r="H2741" s="4" t="inlineStr"/>
      <c r="I2741" s="5" t="n">
        <v>89.95</v>
      </c>
      <c r="J2741" s="6" t="n">
        <v>15</v>
      </c>
      <c r="K2741" s="7">
        <f>IF(I2741="","",I2741*(1+J2741/100))</f>
        <v/>
      </c>
      <c r="L2741" s="12" t="inlineStr"/>
      <c r="M2741" s="8">
        <f>IF(OR(L2741="",K2741="",L2741=0),"",
  (L2741-K2741)/L2741*100)</f>
        <v/>
      </c>
      <c r="N2741" s="14" t="n">
        <v>555</v>
      </c>
      <c r="O2741" s="4" t="inlineStr"/>
      <c r="P2741" s="4" t="inlineStr"/>
      <c r="Q2741" s="4" t="inlineStr"/>
      <c r="R2741" s="4" t="inlineStr">
        <is>
          <t>2026-03-12</t>
        </is>
      </c>
      <c r="S2741" s="4" t="inlineStr"/>
    </row>
    <row r="2742">
      <c r="A2742" s="10" t="inlineStr">
        <is>
          <t>F03205</t>
        </is>
      </c>
      <c r="B2742" s="10" t="inlineStr">
        <is>
          <t>F03205</t>
        </is>
      </c>
      <c r="C2742" s="10" t="inlineStr"/>
      <c r="D2742" s="10" t="inlineStr">
        <is>
          <t>6009705655830</t>
        </is>
      </c>
      <c r="E2742" s="10" t="inlineStr">
        <is>
          <t>MORTICE LOCK FANCY SABS 3L ALCOBLK NICKL</t>
        </is>
      </c>
      <c r="F2742" s="10" t="inlineStr"/>
      <c r="G2742" s="10" t="inlineStr"/>
      <c r="H2742" s="10" t="inlineStr"/>
      <c r="I2742" s="11" t="n">
        <v>89.95</v>
      </c>
      <c r="J2742" s="6" t="n">
        <v>15</v>
      </c>
      <c r="K2742" s="7">
        <f>IF(I2742="","",I2742*(1+J2742/100))</f>
        <v/>
      </c>
      <c r="L2742" s="12" t="inlineStr"/>
      <c r="M2742" s="8">
        <f>IF(OR(L2742="",K2742="",L2742=0),"",
  (L2742-K2742)/L2742*100)</f>
        <v/>
      </c>
      <c r="N2742" s="13" t="n">
        <v>385</v>
      </c>
      <c r="O2742" s="10" t="inlineStr"/>
      <c r="P2742" s="10" t="inlineStr"/>
      <c r="Q2742" s="10" t="inlineStr"/>
      <c r="R2742" s="10" t="inlineStr">
        <is>
          <t>2026-03-12</t>
        </is>
      </c>
      <c r="S2742" s="10" t="inlineStr"/>
    </row>
    <row r="2743">
      <c r="A2743" s="3" t="inlineStr">
        <is>
          <t>F03206</t>
        </is>
      </c>
      <c r="B2743" s="4" t="inlineStr">
        <is>
          <t>F03206</t>
        </is>
      </c>
      <c r="C2743" s="4" t="inlineStr"/>
      <c r="D2743" s="4" t="inlineStr">
        <is>
          <t>6009705655847</t>
        </is>
      </c>
      <c r="E2743" s="3" t="inlineStr">
        <is>
          <t>MORTICE LOCK FANCY SABS 3L ALCO CP</t>
        </is>
      </c>
      <c r="F2743" s="4" t="inlineStr"/>
      <c r="G2743" s="4" t="inlineStr"/>
      <c r="H2743" s="4" t="inlineStr"/>
      <c r="I2743" s="5" t="n">
        <v>89.95</v>
      </c>
      <c r="J2743" s="6" t="n">
        <v>15</v>
      </c>
      <c r="K2743" s="7">
        <f>IF(I2743="","",I2743*(1+J2743/100))</f>
        <v/>
      </c>
      <c r="L2743" s="12" t="inlineStr"/>
      <c r="M2743" s="8">
        <f>IF(OR(L2743="",K2743="",L2743=0),"",
  (L2743-K2743)/L2743*100)</f>
        <v/>
      </c>
      <c r="N2743" s="14" t="n">
        <v>515</v>
      </c>
      <c r="O2743" s="4" t="inlineStr"/>
      <c r="P2743" s="4" t="inlineStr"/>
      <c r="Q2743" s="4" t="inlineStr"/>
      <c r="R2743" s="4" t="inlineStr">
        <is>
          <t>2026-03-12</t>
        </is>
      </c>
      <c r="S2743" s="4" t="inlineStr"/>
    </row>
    <row r="2744">
      <c r="A2744" s="10" t="inlineStr">
        <is>
          <t>F03207</t>
        </is>
      </c>
      <c r="B2744" s="10" t="inlineStr">
        <is>
          <t>F03207</t>
        </is>
      </c>
      <c r="C2744" s="10" t="inlineStr"/>
      <c r="D2744" s="10" t="inlineStr">
        <is>
          <t>6009705655854</t>
        </is>
      </c>
      <c r="E2744" s="10" t="inlineStr">
        <is>
          <t>MORTICE LOCKFANCY SABS 3L ALCO BLK NICKL</t>
        </is>
      </c>
      <c r="F2744" s="10" t="inlineStr"/>
      <c r="G2744" s="10" t="inlineStr"/>
      <c r="H2744" s="10" t="inlineStr"/>
      <c r="I2744" s="11" t="n">
        <v>99.95</v>
      </c>
      <c r="J2744" s="6" t="n">
        <v>15</v>
      </c>
      <c r="K2744" s="7">
        <f>IF(I2744="","",I2744*(1+J2744/100))</f>
        <v/>
      </c>
      <c r="L2744" s="12" t="inlineStr"/>
      <c r="M2744" s="8">
        <f>IF(OR(L2744="",K2744="",L2744=0),"",
  (L2744-K2744)/L2744*100)</f>
        <v/>
      </c>
      <c r="N2744" s="13" t="n">
        <v>710</v>
      </c>
      <c r="O2744" s="10" t="inlineStr"/>
      <c r="P2744" s="10" t="inlineStr"/>
      <c r="Q2744" s="10" t="inlineStr"/>
      <c r="R2744" s="10" t="inlineStr">
        <is>
          <t>2026-03-12</t>
        </is>
      </c>
      <c r="S2744" s="10" t="inlineStr"/>
    </row>
    <row r="2745">
      <c r="A2745" s="3" t="inlineStr">
        <is>
          <t>F03208</t>
        </is>
      </c>
      <c r="B2745" s="4" t="inlineStr">
        <is>
          <t>F03208</t>
        </is>
      </c>
      <c r="C2745" s="4" t="inlineStr"/>
      <c r="D2745" s="4" t="inlineStr">
        <is>
          <t>6009705655861</t>
        </is>
      </c>
      <c r="E2745" s="3" t="inlineStr">
        <is>
          <t>MORTICE LOCK FANCY SABS 3L ALCO CP</t>
        </is>
      </c>
      <c r="F2745" s="4" t="inlineStr"/>
      <c r="G2745" s="4" t="inlineStr"/>
      <c r="H2745" s="4" t="inlineStr"/>
      <c r="I2745" s="5" t="n">
        <v>99.95</v>
      </c>
      <c r="J2745" s="6" t="n">
        <v>15</v>
      </c>
      <c r="K2745" s="7">
        <f>IF(I2745="","",I2745*(1+J2745/100))</f>
        <v/>
      </c>
      <c r="L2745" s="12" t="inlineStr"/>
      <c r="M2745" s="8">
        <f>IF(OR(L2745="",K2745="",L2745=0),"",
  (L2745-K2745)/L2745*100)</f>
        <v/>
      </c>
      <c r="N2745" s="14" t="n">
        <v>819</v>
      </c>
      <c r="O2745" s="4" t="inlineStr"/>
      <c r="P2745" s="4" t="inlineStr"/>
      <c r="Q2745" s="4" t="inlineStr"/>
      <c r="R2745" s="4" t="inlineStr">
        <is>
          <t>2026-03-12</t>
        </is>
      </c>
      <c r="S2745" s="4" t="inlineStr"/>
    </row>
    <row r="2746">
      <c r="A2746" s="10" t="inlineStr">
        <is>
          <t>F03209</t>
        </is>
      </c>
      <c r="B2746" s="10" t="inlineStr">
        <is>
          <t>F03209</t>
        </is>
      </c>
      <c r="C2746" s="10" t="inlineStr"/>
      <c r="D2746" s="10" t="inlineStr">
        <is>
          <t>6009705655878</t>
        </is>
      </c>
      <c r="E2746" s="10" t="inlineStr">
        <is>
          <t>MORTICE LOCK FANCY SABS 3L ALCO COFFEE</t>
        </is>
      </c>
      <c r="F2746" s="10" t="inlineStr"/>
      <c r="G2746" s="10" t="inlineStr"/>
      <c r="H2746" s="10" t="inlineStr"/>
      <c r="I2746" s="11" t="n">
        <v>99.95</v>
      </c>
      <c r="J2746" s="6" t="n">
        <v>15</v>
      </c>
      <c r="K2746" s="7">
        <f>IF(I2746="","",I2746*(1+J2746/100))</f>
        <v/>
      </c>
      <c r="L2746" s="12" t="inlineStr"/>
      <c r="M2746" s="8">
        <f>IF(OR(L2746="",K2746="",L2746=0),"",
  (L2746-K2746)/L2746*100)</f>
        <v/>
      </c>
      <c r="N2746" s="13" t="n">
        <v>609</v>
      </c>
      <c r="O2746" s="10" t="inlineStr"/>
      <c r="P2746" s="10" t="inlineStr"/>
      <c r="Q2746" s="10" t="inlineStr"/>
      <c r="R2746" s="10" t="inlineStr">
        <is>
          <t>2026-03-12</t>
        </is>
      </c>
      <c r="S2746" s="10" t="inlineStr"/>
    </row>
    <row r="2747">
      <c r="A2747" s="3" t="inlineStr">
        <is>
          <t>F03210</t>
        </is>
      </c>
      <c r="B2747" s="4" t="inlineStr">
        <is>
          <t>F03210</t>
        </is>
      </c>
      <c r="C2747" s="4" t="inlineStr"/>
      <c r="D2747" s="4" t="inlineStr">
        <is>
          <t>6009705655885</t>
        </is>
      </c>
      <c r="E2747" s="3" t="inlineStr">
        <is>
          <t>MORTICE LOCK FANCY SABS 3L ALCOANTIQ CPR</t>
        </is>
      </c>
      <c r="F2747" s="4" t="inlineStr"/>
      <c r="G2747" s="4" t="inlineStr"/>
      <c r="H2747" s="4" t="inlineStr"/>
      <c r="I2747" s="5" t="n">
        <v>99.95</v>
      </c>
      <c r="J2747" s="6" t="n">
        <v>15</v>
      </c>
      <c r="K2747" s="7">
        <f>IF(I2747="","",I2747*(1+J2747/100))</f>
        <v/>
      </c>
      <c r="L2747" s="12" t="inlineStr"/>
      <c r="M2747" s="8">
        <f>IF(OR(L2747="",K2747="",L2747=0),"",
  (L2747-K2747)/L2747*100)</f>
        <v/>
      </c>
      <c r="N2747" s="14" t="n">
        <v>476</v>
      </c>
      <c r="O2747" s="4" t="inlineStr"/>
      <c r="P2747" s="4" t="inlineStr"/>
      <c r="Q2747" s="4" t="inlineStr"/>
      <c r="R2747" s="4" t="inlineStr">
        <is>
          <t>2026-03-12</t>
        </is>
      </c>
      <c r="S2747" s="4" t="inlineStr"/>
    </row>
    <row r="2748">
      <c r="A2748" s="10" t="inlineStr">
        <is>
          <t>F03211</t>
        </is>
      </c>
      <c r="B2748" s="10" t="inlineStr">
        <is>
          <t>F03211</t>
        </is>
      </c>
      <c r="C2748" s="10" t="inlineStr"/>
      <c r="D2748" s="10" t="inlineStr">
        <is>
          <t>6009705655892</t>
        </is>
      </c>
      <c r="E2748" s="10" t="inlineStr">
        <is>
          <t>MORTICE LOCK FANCY SABS 3L ALCO BRASS</t>
        </is>
      </c>
      <c r="F2748" s="10" t="inlineStr"/>
      <c r="G2748" s="10" t="inlineStr"/>
      <c r="H2748" s="10" t="inlineStr"/>
      <c r="I2748" s="11" t="n">
        <v>99.95</v>
      </c>
      <c r="J2748" s="6" t="n">
        <v>15</v>
      </c>
      <c r="K2748" s="7">
        <f>IF(I2748="","",I2748*(1+J2748/100))</f>
        <v/>
      </c>
      <c r="L2748" s="12" t="inlineStr"/>
      <c r="M2748" s="8">
        <f>IF(OR(L2748="",K2748="",L2748=0),"",
  (L2748-K2748)/L2748*100)</f>
        <v/>
      </c>
      <c r="N2748" s="13" t="n">
        <v>740</v>
      </c>
      <c r="O2748" s="10" t="inlineStr"/>
      <c r="P2748" s="10" t="inlineStr"/>
      <c r="Q2748" s="10" t="inlineStr"/>
      <c r="R2748" s="10" t="inlineStr">
        <is>
          <t>2026-03-12</t>
        </is>
      </c>
      <c r="S2748" s="10" t="inlineStr"/>
    </row>
    <row r="2749">
      <c r="A2749" s="3" t="inlineStr">
        <is>
          <t>F03212</t>
        </is>
      </c>
      <c r="B2749" s="4" t="inlineStr">
        <is>
          <t>F03212</t>
        </is>
      </c>
      <c r="C2749" s="4" t="inlineStr"/>
      <c r="D2749" s="4" t="inlineStr">
        <is>
          <t>6009705655908</t>
        </is>
      </c>
      <c r="E2749" s="3" t="inlineStr">
        <is>
          <t>MORTICE LOCK FANCY SABS 3L ALCO MATTE</t>
        </is>
      </c>
      <c r="F2749" s="4" t="inlineStr"/>
      <c r="G2749" s="4" t="inlineStr"/>
      <c r="H2749" s="4" t="inlineStr"/>
      <c r="I2749" s="5" t="n">
        <v>89.95</v>
      </c>
      <c r="J2749" s="6" t="n">
        <v>15</v>
      </c>
      <c r="K2749" s="7">
        <f>IF(I2749="","",I2749*(1+J2749/100))</f>
        <v/>
      </c>
      <c r="L2749" s="12" t="inlineStr"/>
      <c r="M2749" s="8">
        <f>IF(OR(L2749="",K2749="",L2749=0),"",
  (L2749-K2749)/L2749*100)</f>
        <v/>
      </c>
      <c r="N2749" s="14" t="n">
        <v>268</v>
      </c>
      <c r="O2749" s="4" t="inlineStr"/>
      <c r="P2749" s="4" t="inlineStr"/>
      <c r="Q2749" s="4" t="inlineStr"/>
      <c r="R2749" s="4" t="inlineStr">
        <is>
          <t>2026-03-12</t>
        </is>
      </c>
      <c r="S2749" s="4" t="inlineStr"/>
    </row>
    <row r="2750">
      <c r="A2750" s="10" t="inlineStr">
        <is>
          <t>F03213</t>
        </is>
      </c>
      <c r="B2750" s="10" t="inlineStr">
        <is>
          <t>F03213</t>
        </is>
      </c>
      <c r="C2750" s="10" t="inlineStr"/>
      <c r="D2750" s="10" t="inlineStr">
        <is>
          <t>6009705656905</t>
        </is>
      </c>
      <c r="E2750" s="10" t="inlineStr">
        <is>
          <t>MORTICE LOCK FANCY SABS 3L ALCO</t>
        </is>
      </c>
      <c r="F2750" s="10" t="inlineStr"/>
      <c r="G2750" s="10" t="inlineStr"/>
      <c r="H2750" s="10" t="inlineStr"/>
      <c r="I2750" s="11" t="n">
        <v>99.95</v>
      </c>
      <c r="J2750" s="6" t="n">
        <v>15</v>
      </c>
      <c r="K2750" s="7">
        <f>IF(I2750="","",I2750*(1+J2750/100))</f>
        <v/>
      </c>
      <c r="L2750" s="12" t="inlineStr"/>
      <c r="M2750" s="8">
        <f>IF(OR(L2750="",K2750="",L2750=0),"",
  (L2750-K2750)/L2750*100)</f>
        <v/>
      </c>
      <c r="N2750" s="13" t="n">
        <v>442</v>
      </c>
      <c r="O2750" s="10" t="inlineStr"/>
      <c r="P2750" s="10" t="inlineStr"/>
      <c r="Q2750" s="10" t="inlineStr"/>
      <c r="R2750" s="10" t="inlineStr">
        <is>
          <t>2026-03-12</t>
        </is>
      </c>
      <c r="S2750" s="10" t="inlineStr"/>
    </row>
    <row r="2751">
      <c r="A2751" s="3" t="inlineStr">
        <is>
          <t>F03214</t>
        </is>
      </c>
      <c r="B2751" s="4" t="inlineStr">
        <is>
          <t>F03214</t>
        </is>
      </c>
      <c r="C2751" s="4" t="inlineStr"/>
      <c r="D2751" s="4" t="inlineStr">
        <is>
          <t>6009705655922</t>
        </is>
      </c>
      <c r="E2751" s="3" t="inlineStr">
        <is>
          <t>MORTICE LOCK FANCY SABS 3L ALCO  BLACK</t>
        </is>
      </c>
      <c r="F2751" s="4" t="inlineStr"/>
      <c r="G2751" s="4" t="inlineStr"/>
      <c r="H2751" s="4" t="inlineStr"/>
      <c r="I2751" s="5" t="n">
        <v>89.95</v>
      </c>
      <c r="J2751" s="6" t="n">
        <v>15</v>
      </c>
      <c r="K2751" s="7">
        <f>IF(I2751="","",I2751*(1+J2751/100))</f>
        <v/>
      </c>
      <c r="L2751" s="12" t="inlineStr"/>
      <c r="M2751" s="8">
        <f>IF(OR(L2751="",K2751="",L2751=0),"",
  (L2751-K2751)/L2751*100)</f>
        <v/>
      </c>
      <c r="N2751" s="14" t="n">
        <v>97</v>
      </c>
      <c r="O2751" s="4" t="inlineStr"/>
      <c r="P2751" s="4" t="inlineStr"/>
      <c r="Q2751" s="4" t="inlineStr"/>
      <c r="R2751" s="4" t="inlineStr">
        <is>
          <t>2026-03-12</t>
        </is>
      </c>
      <c r="S2751" s="4" t="inlineStr"/>
    </row>
    <row r="2752">
      <c r="A2752" s="10" t="inlineStr">
        <is>
          <t>F03215</t>
        </is>
      </c>
      <c r="B2752" s="10" t="inlineStr">
        <is>
          <t>F03215</t>
        </is>
      </c>
      <c r="C2752" s="10" t="inlineStr"/>
      <c r="D2752" s="10" t="inlineStr">
        <is>
          <t>6009705655939</t>
        </is>
      </c>
      <c r="E2752" s="10" t="inlineStr">
        <is>
          <t>MORTICE LOCK FANCY SABS 3L ALCO BLACK</t>
        </is>
      </c>
      <c r="F2752" s="10" t="inlineStr"/>
      <c r="G2752" s="10" t="inlineStr"/>
      <c r="H2752" s="10" t="inlineStr"/>
      <c r="I2752" s="11" t="n">
        <v>89.95</v>
      </c>
      <c r="J2752" s="6" t="n">
        <v>15</v>
      </c>
      <c r="K2752" s="7">
        <f>IF(I2752="","",I2752*(1+J2752/100))</f>
        <v/>
      </c>
      <c r="L2752" s="12" t="inlineStr"/>
      <c r="M2752" s="8">
        <f>IF(OR(L2752="",K2752="",L2752=0),"",
  (L2752-K2752)/L2752*100)</f>
        <v/>
      </c>
      <c r="N2752" s="13" t="n">
        <v>50</v>
      </c>
      <c r="O2752" s="10" t="inlineStr"/>
      <c r="P2752" s="10" t="inlineStr"/>
      <c r="Q2752" s="10" t="inlineStr"/>
      <c r="R2752" s="10" t="inlineStr">
        <is>
          <t>2026-03-12</t>
        </is>
      </c>
      <c r="S2752" s="10" t="inlineStr"/>
    </row>
    <row r="2753">
      <c r="A2753" s="3" t="inlineStr">
        <is>
          <t>F03216</t>
        </is>
      </c>
      <c r="B2753" s="4" t="inlineStr">
        <is>
          <t>F03216</t>
        </is>
      </c>
      <c r="C2753" s="4" t="inlineStr"/>
      <c r="D2753" s="4" t="inlineStr">
        <is>
          <t>6009705655946</t>
        </is>
      </c>
      <c r="E2753" s="3" t="inlineStr">
        <is>
          <t>LOCK MORTICE  SABS 2L ALCO CHROME</t>
        </is>
      </c>
      <c r="F2753" s="4" t="inlineStr"/>
      <c r="G2753" s="4" t="inlineStr"/>
      <c r="H2753" s="4" t="inlineStr"/>
      <c r="I2753" s="5" t="n">
        <v>39.95</v>
      </c>
      <c r="J2753" s="6" t="n">
        <v>15</v>
      </c>
      <c r="K2753" s="7">
        <f>IF(I2753="","",I2753*(1+J2753/100))</f>
        <v/>
      </c>
      <c r="L2753" s="12" t="inlineStr"/>
      <c r="M2753" s="8">
        <f>IF(OR(L2753="",K2753="",L2753=0),"",
  (L2753-K2753)/L2753*100)</f>
        <v/>
      </c>
      <c r="N2753" s="14" t="n">
        <v>1535</v>
      </c>
      <c r="O2753" s="4" t="inlineStr"/>
      <c r="P2753" s="4" t="inlineStr"/>
      <c r="Q2753" s="4" t="inlineStr"/>
      <c r="R2753" s="4" t="inlineStr">
        <is>
          <t>2026-03-12</t>
        </is>
      </c>
      <c r="S2753" s="4" t="inlineStr"/>
    </row>
    <row r="2754">
      <c r="A2754" s="10" t="inlineStr">
        <is>
          <t>F03217</t>
        </is>
      </c>
      <c r="B2754" s="10" t="inlineStr">
        <is>
          <t>F03217</t>
        </is>
      </c>
      <c r="C2754" s="10" t="inlineStr"/>
      <c r="D2754" s="10" t="inlineStr">
        <is>
          <t>6009705655953</t>
        </is>
      </c>
      <c r="E2754" s="10" t="inlineStr">
        <is>
          <t>MORTICE LOCK SABS 2L ALCO BRASS</t>
        </is>
      </c>
      <c r="F2754" s="10" t="inlineStr"/>
      <c r="G2754" s="10" t="inlineStr"/>
      <c r="H2754" s="10" t="inlineStr"/>
      <c r="I2754" s="11" t="n">
        <v>48.95</v>
      </c>
      <c r="J2754" s="6" t="n">
        <v>15</v>
      </c>
      <c r="K2754" s="7">
        <f>IF(I2754="","",I2754*(1+J2754/100))</f>
        <v/>
      </c>
      <c r="L2754" s="12" t="inlineStr"/>
      <c r="M2754" s="8">
        <f>IF(OR(L2754="",K2754="",L2754=0),"",
  (L2754-K2754)/L2754*100)</f>
        <v/>
      </c>
      <c r="N2754" s="13" t="n">
        <v>1</v>
      </c>
      <c r="O2754" s="10" t="inlineStr"/>
      <c r="P2754" s="10" t="inlineStr"/>
      <c r="Q2754" s="10" t="inlineStr"/>
      <c r="R2754" s="10" t="inlineStr">
        <is>
          <t>2026-03-12</t>
        </is>
      </c>
      <c r="S2754" s="10" t="inlineStr"/>
    </row>
    <row r="2755">
      <c r="A2755" s="3" t="inlineStr">
        <is>
          <t>F03218</t>
        </is>
      </c>
      <c r="B2755" s="4" t="inlineStr">
        <is>
          <t>F03218</t>
        </is>
      </c>
      <c r="C2755" s="4" t="inlineStr"/>
      <c r="D2755" s="4" t="inlineStr">
        <is>
          <t>6009705655960</t>
        </is>
      </c>
      <c r="E2755" s="3" t="inlineStr">
        <is>
          <t>LOCKSET SABS CONTRACTRS 2L ALCO CHRM</t>
        </is>
      </c>
      <c r="F2755" s="4" t="inlineStr"/>
      <c r="G2755" s="4" t="inlineStr"/>
      <c r="H2755" s="4" t="inlineStr"/>
      <c r="I2755" s="5" t="n">
        <v>56.95</v>
      </c>
      <c r="J2755" s="6" t="n">
        <v>15</v>
      </c>
      <c r="K2755" s="7">
        <f>IF(I2755="","",I2755*(1+J2755/100))</f>
        <v/>
      </c>
      <c r="L2755" s="12" t="inlineStr"/>
      <c r="M2755" s="8">
        <f>IF(OR(L2755="",K2755="",L2755=0),"",
  (L2755-K2755)/L2755*100)</f>
        <v/>
      </c>
      <c r="N2755" s="14" t="n">
        <v>3027</v>
      </c>
      <c r="O2755" s="4" t="inlineStr"/>
      <c r="P2755" s="4" t="inlineStr"/>
      <c r="Q2755" s="4" t="inlineStr"/>
      <c r="R2755" s="4" t="inlineStr">
        <is>
          <t>2026-03-12</t>
        </is>
      </c>
      <c r="S2755" s="4" t="inlineStr"/>
    </row>
    <row r="2756">
      <c r="A2756" s="10" t="inlineStr">
        <is>
          <t>F03219</t>
        </is>
      </c>
      <c r="B2756" s="10" t="inlineStr">
        <is>
          <t>F03219</t>
        </is>
      </c>
      <c r="C2756" s="10" t="inlineStr"/>
      <c r="D2756" s="10" t="inlineStr">
        <is>
          <t>6009705655977</t>
        </is>
      </c>
      <c r="E2756" s="10" t="inlineStr">
        <is>
          <t>LOCKSET SABS CONTRACTRS 2L ALCO BRASS</t>
        </is>
      </c>
      <c r="F2756" s="10" t="inlineStr"/>
      <c r="G2756" s="10" t="inlineStr"/>
      <c r="H2756" s="10" t="inlineStr"/>
      <c r="I2756" s="11" t="n">
        <v>58.95</v>
      </c>
      <c r="J2756" s="6" t="n">
        <v>15</v>
      </c>
      <c r="K2756" s="7">
        <f>IF(I2756="","",I2756*(1+J2756/100))</f>
        <v/>
      </c>
      <c r="L2756" s="12" t="inlineStr"/>
      <c r="M2756" s="8">
        <f>IF(OR(L2756="",K2756="",L2756=0),"",
  (L2756-K2756)/L2756*100)</f>
        <v/>
      </c>
      <c r="N2756" s="13" t="n">
        <v>292</v>
      </c>
      <c r="O2756" s="10" t="inlineStr"/>
      <c r="P2756" s="10" t="inlineStr"/>
      <c r="Q2756" s="10" t="inlineStr"/>
      <c r="R2756" s="10" t="inlineStr">
        <is>
          <t>2026-03-12</t>
        </is>
      </c>
      <c r="S2756" s="10" t="inlineStr"/>
    </row>
    <row r="2757">
      <c r="A2757" s="3" t="inlineStr">
        <is>
          <t>F03220</t>
        </is>
      </c>
      <c r="B2757" s="4" t="inlineStr">
        <is>
          <t>F03220</t>
        </is>
      </c>
      <c r="C2757" s="4" t="inlineStr"/>
      <c r="D2757" s="4" t="inlineStr">
        <is>
          <t>6009705655984</t>
        </is>
      </c>
      <c r="E2757" s="3" t="inlineStr">
        <is>
          <t>LOCKSET CYLINDER ALCO CHROME</t>
        </is>
      </c>
      <c r="F2757" s="4" t="inlineStr"/>
      <c r="G2757" s="4" t="inlineStr"/>
      <c r="H2757" s="4" t="inlineStr"/>
      <c r="I2757" s="5" t="n">
        <v>74.95</v>
      </c>
      <c r="J2757" s="6" t="n">
        <v>15</v>
      </c>
      <c r="K2757" s="7">
        <f>IF(I2757="","",I2757*(1+J2757/100))</f>
        <v/>
      </c>
      <c r="L2757" s="12" t="inlineStr"/>
      <c r="M2757" s="8">
        <f>IF(OR(L2757="",K2757="",L2757=0),"",
  (L2757-K2757)/L2757*100)</f>
        <v/>
      </c>
      <c r="N2757" s="14" t="n">
        <v>549</v>
      </c>
      <c r="O2757" s="4" t="inlineStr"/>
      <c r="P2757" s="4" t="inlineStr"/>
      <c r="Q2757" s="4" t="inlineStr"/>
      <c r="R2757" s="4" t="inlineStr">
        <is>
          <t>2026-03-12</t>
        </is>
      </c>
      <c r="S2757" s="4" t="inlineStr"/>
    </row>
    <row r="2758">
      <c r="A2758" s="10" t="inlineStr">
        <is>
          <t>F03221</t>
        </is>
      </c>
      <c r="B2758" s="10" t="inlineStr">
        <is>
          <t>F03221</t>
        </is>
      </c>
      <c r="C2758" s="10" t="inlineStr"/>
      <c r="D2758" s="10" t="inlineStr">
        <is>
          <t>6009705655991</t>
        </is>
      </c>
      <c r="E2758" s="10" t="inlineStr">
        <is>
          <t>LOCKSET CYLINDER ALCO BRASS</t>
        </is>
      </c>
      <c r="F2758" s="10" t="inlineStr"/>
      <c r="G2758" s="10" t="inlineStr"/>
      <c r="H2758" s="10" t="inlineStr"/>
      <c r="I2758" s="11" t="n">
        <v>78.95</v>
      </c>
      <c r="J2758" s="6" t="n">
        <v>15</v>
      </c>
      <c r="K2758" s="7">
        <f>IF(I2758="","",I2758*(1+J2758/100))</f>
        <v/>
      </c>
      <c r="L2758" s="12" t="inlineStr"/>
      <c r="M2758" s="8">
        <f>IF(OR(L2758="",K2758="",L2758=0),"",
  (L2758-K2758)/L2758*100)</f>
        <v/>
      </c>
      <c r="N2758" s="13" t="n">
        <v>157</v>
      </c>
      <c r="O2758" s="10" t="inlineStr"/>
      <c r="P2758" s="10" t="inlineStr"/>
      <c r="Q2758" s="10" t="inlineStr"/>
      <c r="R2758" s="10" t="inlineStr">
        <is>
          <t>2026-03-12</t>
        </is>
      </c>
      <c r="S2758" s="10" t="inlineStr"/>
    </row>
    <row r="2759">
      <c r="A2759" s="3" t="inlineStr">
        <is>
          <t>F03222</t>
        </is>
      </c>
      <c r="B2759" s="4" t="inlineStr">
        <is>
          <t>F03222</t>
        </is>
      </c>
      <c r="C2759" s="4" t="inlineStr"/>
      <c r="D2759" s="4" t="inlineStr">
        <is>
          <t>6009705656004</t>
        </is>
      </c>
      <c r="E2759" s="3" t="inlineStr">
        <is>
          <t>LOCK BODY SPARES SABS 2LEVER ALCO</t>
        </is>
      </c>
      <c r="F2759" s="4" t="inlineStr"/>
      <c r="G2759" s="4" t="inlineStr"/>
      <c r="H2759" s="4" t="inlineStr"/>
      <c r="I2759" s="5" t="n">
        <v>34.95</v>
      </c>
      <c r="J2759" s="6" t="n">
        <v>15</v>
      </c>
      <c r="K2759" s="7">
        <f>IF(I2759="","",I2759*(1+J2759/100))</f>
        <v/>
      </c>
      <c r="L2759" s="12" t="inlineStr"/>
      <c r="M2759" s="8">
        <f>IF(OR(L2759="",K2759="",L2759=0),"",
  (L2759-K2759)/L2759*100)</f>
        <v/>
      </c>
      <c r="N2759" s="9" t="inlineStr"/>
      <c r="O2759" s="4" t="inlineStr"/>
      <c r="P2759" s="4" t="inlineStr"/>
      <c r="Q2759" s="4" t="inlineStr"/>
      <c r="R2759" s="4" t="inlineStr">
        <is>
          <t>2026-03-12</t>
        </is>
      </c>
      <c r="S2759" s="4" t="inlineStr"/>
    </row>
    <row r="2760">
      <c r="A2760" s="10" t="inlineStr">
        <is>
          <t>F03223</t>
        </is>
      </c>
      <c r="B2760" s="10" t="inlineStr">
        <is>
          <t>F03223</t>
        </is>
      </c>
      <c r="C2760" s="10" t="inlineStr"/>
      <c r="D2760" s="10" t="inlineStr">
        <is>
          <t>6009705656011</t>
        </is>
      </c>
      <c r="E2760" s="10" t="inlineStr">
        <is>
          <t>LOCK SPARES SABS 3L ALCO ,LOCK BODY</t>
        </is>
      </c>
      <c r="F2760" s="10" t="inlineStr"/>
      <c r="G2760" s="10" t="inlineStr"/>
      <c r="H2760" s="10" t="inlineStr"/>
      <c r="I2760" s="11" t="n">
        <v>42.5</v>
      </c>
      <c r="J2760" s="6" t="n">
        <v>15</v>
      </c>
      <c r="K2760" s="7">
        <f>IF(I2760="","",I2760*(1+J2760/100))</f>
        <v/>
      </c>
      <c r="L2760" s="12" t="inlineStr"/>
      <c r="M2760" s="8">
        <f>IF(OR(L2760="",K2760="",L2760=0),"",
  (L2760-K2760)/L2760*100)</f>
        <v/>
      </c>
      <c r="N2760" s="9" t="inlineStr"/>
      <c r="O2760" s="10" t="inlineStr"/>
      <c r="P2760" s="10" t="inlineStr"/>
      <c r="Q2760" s="10" t="inlineStr"/>
      <c r="R2760" s="10" t="inlineStr">
        <is>
          <t>2026-03-12</t>
        </is>
      </c>
      <c r="S2760" s="10" t="inlineStr"/>
    </row>
    <row r="2761">
      <c r="A2761" s="3" t="inlineStr">
        <is>
          <t>F03224</t>
        </is>
      </c>
      <c r="B2761" s="4" t="inlineStr">
        <is>
          <t>F03224</t>
        </is>
      </c>
      <c r="C2761" s="4" t="inlineStr"/>
      <c r="D2761" s="4" t="inlineStr">
        <is>
          <t>6009705656028</t>
        </is>
      </c>
      <c r="E2761" s="3" t="inlineStr">
        <is>
          <t>LOCK SPARES SABS CYLINDER+KEY</t>
        </is>
      </c>
      <c r="F2761" s="4" t="inlineStr"/>
      <c r="G2761" s="4" t="inlineStr"/>
      <c r="H2761" s="4" t="inlineStr"/>
      <c r="I2761" s="5" t="n">
        <v>2</v>
      </c>
      <c r="J2761" s="6" t="n">
        <v>15</v>
      </c>
      <c r="K2761" s="7">
        <f>IF(I2761="","",I2761*(1+J2761/100))</f>
        <v/>
      </c>
      <c r="L2761" s="12" t="inlineStr"/>
      <c r="M2761" s="8">
        <f>IF(OR(L2761="",K2761="",L2761=0),"",
  (L2761-K2761)/L2761*100)</f>
        <v/>
      </c>
      <c r="N2761" s="9" t="inlineStr"/>
      <c r="O2761" s="4" t="inlineStr"/>
      <c r="P2761" s="4" t="inlineStr"/>
      <c r="Q2761" s="4" t="inlineStr"/>
      <c r="R2761" s="4" t="inlineStr">
        <is>
          <t>2026-03-12</t>
        </is>
      </c>
      <c r="S2761" s="4" t="inlineStr"/>
    </row>
    <row r="2762">
      <c r="A2762" s="10" t="inlineStr">
        <is>
          <t>F03228</t>
        </is>
      </c>
      <c r="B2762" s="10" t="inlineStr">
        <is>
          <t>F03228</t>
        </is>
      </c>
      <c r="C2762" s="10" t="inlineStr"/>
      <c r="D2762" s="10" t="inlineStr">
        <is>
          <t>6009705656035</t>
        </is>
      </c>
      <c r="E2762" s="10" t="inlineStr">
        <is>
          <t>CAULKING GUN 410GR ALCO RED</t>
        </is>
      </c>
      <c r="F2762" s="10" t="inlineStr"/>
      <c r="G2762" s="10" t="inlineStr"/>
      <c r="H2762" s="10" t="inlineStr"/>
      <c r="I2762" s="11" t="n">
        <v>39.95</v>
      </c>
      <c r="J2762" s="6" t="n">
        <v>15</v>
      </c>
      <c r="K2762" s="7">
        <f>IF(I2762="","",I2762*(1+J2762/100))</f>
        <v/>
      </c>
      <c r="L2762" s="12" t="inlineStr"/>
      <c r="M2762" s="8">
        <f>IF(OR(L2762="",K2762="",L2762=0),"",
  (L2762-K2762)/L2762*100)</f>
        <v/>
      </c>
      <c r="N2762" s="13" t="n">
        <v>169</v>
      </c>
      <c r="O2762" s="10" t="inlineStr"/>
      <c r="P2762" s="10" t="inlineStr"/>
      <c r="Q2762" s="10" t="inlineStr"/>
      <c r="R2762" s="10" t="inlineStr">
        <is>
          <t>2026-03-12</t>
        </is>
      </c>
      <c r="S2762" s="10" t="inlineStr"/>
    </row>
    <row r="2763">
      <c r="A2763" s="3" t="inlineStr">
        <is>
          <t>F03229</t>
        </is>
      </c>
      <c r="B2763" s="4" t="inlineStr">
        <is>
          <t>F03229</t>
        </is>
      </c>
      <c r="C2763" s="4" t="inlineStr"/>
      <c r="D2763" s="4" t="inlineStr">
        <is>
          <t>6009705656042</t>
        </is>
      </c>
      <c r="E2763" s="3" t="inlineStr">
        <is>
          <t>CAULKING GUN METAL 410GR ALCO BLACK</t>
        </is>
      </c>
      <c r="F2763" s="4" t="inlineStr"/>
      <c r="G2763" s="4" t="inlineStr"/>
      <c r="H2763" s="4" t="inlineStr"/>
      <c r="I2763" s="5" t="n">
        <v>39.95</v>
      </c>
      <c r="J2763" s="6" t="n">
        <v>15</v>
      </c>
      <c r="K2763" s="7">
        <f>IF(I2763="","",I2763*(1+J2763/100))</f>
        <v/>
      </c>
      <c r="L2763" s="12" t="inlineStr"/>
      <c r="M2763" s="8">
        <f>IF(OR(L2763="",K2763="",L2763=0),"",
  (L2763-K2763)/L2763*100)</f>
        <v/>
      </c>
      <c r="N2763" s="14" t="n">
        <v>379</v>
      </c>
      <c r="O2763" s="4" t="inlineStr"/>
      <c r="P2763" s="4" t="inlineStr"/>
      <c r="Q2763" s="4" t="inlineStr"/>
      <c r="R2763" s="4" t="inlineStr">
        <is>
          <t>2026-03-12</t>
        </is>
      </c>
      <c r="S2763" s="4" t="inlineStr"/>
    </row>
    <row r="2764">
      <c r="A2764" s="10" t="inlineStr">
        <is>
          <t>F03230</t>
        </is>
      </c>
      <c r="B2764" s="10" t="inlineStr">
        <is>
          <t>F03230</t>
        </is>
      </c>
      <c r="C2764" s="10" t="inlineStr"/>
      <c r="D2764" s="10" t="inlineStr"/>
      <c r="E2764" s="10" t="inlineStr">
        <is>
          <t>BABY BOTTLE 150ML</t>
        </is>
      </c>
      <c r="F2764" s="10" t="inlineStr"/>
      <c r="G2764" s="10" t="inlineStr"/>
      <c r="H2764" s="10" t="inlineStr"/>
      <c r="I2764" s="11" t="n">
        <v>24.95</v>
      </c>
      <c r="J2764" s="6" t="n">
        <v>15</v>
      </c>
      <c r="K2764" s="7">
        <f>IF(I2764="","",I2764*(1+J2764/100))</f>
        <v/>
      </c>
      <c r="L2764" s="12" t="inlineStr"/>
      <c r="M2764" s="8">
        <f>IF(OR(L2764="",K2764="",L2764=0),"",
  (L2764-K2764)/L2764*100)</f>
        <v/>
      </c>
      <c r="N2764" s="9" t="inlineStr"/>
      <c r="O2764" s="10" t="inlineStr"/>
      <c r="P2764" s="10" t="inlineStr"/>
      <c r="Q2764" s="10" t="inlineStr"/>
      <c r="R2764" s="10" t="inlineStr">
        <is>
          <t>2026-03-12</t>
        </is>
      </c>
      <c r="S2764" s="10" t="inlineStr"/>
    </row>
    <row r="2765">
      <c r="A2765" s="3" t="inlineStr">
        <is>
          <t>F03231</t>
        </is>
      </c>
      <c r="B2765" s="4" t="inlineStr">
        <is>
          <t>F03231</t>
        </is>
      </c>
      <c r="C2765" s="4" t="inlineStr"/>
      <c r="D2765" s="4" t="inlineStr"/>
      <c r="E2765" s="3" t="inlineStr">
        <is>
          <t>BABY BOTTLE 260ML</t>
        </is>
      </c>
      <c r="F2765" s="4" t="inlineStr"/>
      <c r="G2765" s="4" t="inlineStr"/>
      <c r="H2765" s="4" t="inlineStr"/>
      <c r="I2765" s="5" t="n">
        <v>26.95</v>
      </c>
      <c r="J2765" s="6" t="n">
        <v>15</v>
      </c>
      <c r="K2765" s="7">
        <f>IF(I2765="","",I2765*(1+J2765/100))</f>
        <v/>
      </c>
      <c r="L2765" s="12" t="inlineStr"/>
      <c r="M2765" s="8">
        <f>IF(OR(L2765="",K2765="",L2765=0),"",
  (L2765-K2765)/L2765*100)</f>
        <v/>
      </c>
      <c r="N2765" s="9" t="inlineStr"/>
      <c r="O2765" s="4" t="inlineStr"/>
      <c r="P2765" s="4" t="inlineStr"/>
      <c r="Q2765" s="4" t="inlineStr"/>
      <c r="R2765" s="4" t="inlineStr">
        <is>
          <t>2026-03-12</t>
        </is>
      </c>
      <c r="S2765" s="4" t="inlineStr"/>
    </row>
    <row r="2766">
      <c r="A2766" s="10" t="inlineStr">
        <is>
          <t>F03232</t>
        </is>
      </c>
      <c r="B2766" s="10" t="inlineStr">
        <is>
          <t>F03232</t>
        </is>
      </c>
      <c r="C2766" s="10" t="inlineStr"/>
      <c r="D2766" s="10" t="inlineStr"/>
      <c r="E2766" s="10" t="inlineStr">
        <is>
          <t>BABY BOTTLE 330ML</t>
        </is>
      </c>
      <c r="F2766" s="10" t="inlineStr"/>
      <c r="G2766" s="10" t="inlineStr"/>
      <c r="H2766" s="10" t="inlineStr"/>
      <c r="I2766" s="11" t="n">
        <v>28.95</v>
      </c>
      <c r="J2766" s="6" t="n">
        <v>15</v>
      </c>
      <c r="K2766" s="7">
        <f>IF(I2766="","",I2766*(1+J2766/100))</f>
        <v/>
      </c>
      <c r="L2766" s="12" t="inlineStr"/>
      <c r="M2766" s="8">
        <f>IF(OR(L2766="",K2766="",L2766=0),"",
  (L2766-K2766)/L2766*100)</f>
        <v/>
      </c>
      <c r="N2766" s="9" t="inlineStr"/>
      <c r="O2766" s="10" t="inlineStr"/>
      <c r="P2766" s="10" t="inlineStr"/>
      <c r="Q2766" s="10" t="inlineStr"/>
      <c r="R2766" s="10" t="inlineStr">
        <is>
          <t>2026-03-12</t>
        </is>
      </c>
      <c r="S2766" s="10" t="inlineStr"/>
    </row>
    <row r="2767">
      <c r="A2767" s="3" t="inlineStr">
        <is>
          <t>F03233</t>
        </is>
      </c>
      <c r="B2767" s="4" t="inlineStr">
        <is>
          <t>F03233</t>
        </is>
      </c>
      <c r="C2767" s="4" t="inlineStr"/>
      <c r="D2767" s="4" t="inlineStr"/>
      <c r="E2767" s="3" t="inlineStr">
        <is>
          <t>BABY FEEDING MUG SPILL PROOF</t>
        </is>
      </c>
      <c r="F2767" s="4" t="inlineStr"/>
      <c r="G2767" s="4" t="inlineStr"/>
      <c r="H2767" s="4" t="inlineStr"/>
      <c r="I2767" s="5" t="n">
        <v>16.95</v>
      </c>
      <c r="J2767" s="6" t="n">
        <v>15</v>
      </c>
      <c r="K2767" s="7">
        <f>IF(I2767="","",I2767*(1+J2767/100))</f>
        <v/>
      </c>
      <c r="L2767" s="12" t="inlineStr"/>
      <c r="M2767" s="8">
        <f>IF(OR(L2767="",K2767="",L2767=0),"",
  (L2767-K2767)/L2767*100)</f>
        <v/>
      </c>
      <c r="N2767" s="9" t="inlineStr"/>
      <c r="O2767" s="4" t="inlineStr"/>
      <c r="P2767" s="4" t="inlineStr"/>
      <c r="Q2767" s="4" t="inlineStr"/>
      <c r="R2767" s="4" t="inlineStr">
        <is>
          <t>2026-03-12</t>
        </is>
      </c>
      <c r="S2767" s="4" t="inlineStr"/>
    </row>
    <row r="2768">
      <c r="A2768" s="10" t="inlineStr">
        <is>
          <t>F03234</t>
        </is>
      </c>
      <c r="B2768" s="10" t="inlineStr">
        <is>
          <t>F03234</t>
        </is>
      </c>
      <c r="C2768" s="10" t="inlineStr"/>
      <c r="D2768" s="10" t="inlineStr"/>
      <c r="E2768" s="10" t="inlineStr">
        <is>
          <t>BABY FEEDING SET 4PC</t>
        </is>
      </c>
      <c r="F2768" s="10" t="inlineStr"/>
      <c r="G2768" s="10" t="inlineStr"/>
      <c r="H2768" s="10" t="inlineStr"/>
      <c r="I2768" s="11" t="n">
        <v>19.99</v>
      </c>
      <c r="J2768" s="6" t="n">
        <v>15</v>
      </c>
      <c r="K2768" s="7">
        <f>IF(I2768="","",I2768*(1+J2768/100))</f>
        <v/>
      </c>
      <c r="L2768" s="12" t="inlineStr"/>
      <c r="M2768" s="8">
        <f>IF(OR(L2768="",K2768="",L2768=0),"",
  (L2768-K2768)/L2768*100)</f>
        <v/>
      </c>
      <c r="N2768" s="9" t="inlineStr"/>
      <c r="O2768" s="10" t="inlineStr"/>
      <c r="P2768" s="10" t="inlineStr"/>
      <c r="Q2768" s="10" t="inlineStr"/>
      <c r="R2768" s="10" t="inlineStr">
        <is>
          <t>2026-03-12</t>
        </is>
      </c>
      <c r="S2768" s="10" t="inlineStr"/>
    </row>
    <row r="2769">
      <c r="A2769" s="3" t="inlineStr">
        <is>
          <t>F03235</t>
        </is>
      </c>
      <c r="B2769" s="4" t="inlineStr">
        <is>
          <t>F03235</t>
        </is>
      </c>
      <c r="C2769" s="4" t="inlineStr"/>
      <c r="D2769" s="4" t="inlineStr"/>
      <c r="E2769" s="3" t="inlineStr">
        <is>
          <t>LUNCH BOX OPTIMA MINI</t>
        </is>
      </c>
      <c r="F2769" s="4" t="inlineStr"/>
      <c r="G2769" s="4" t="inlineStr"/>
      <c r="H2769" s="4" t="inlineStr"/>
      <c r="I2769" s="5" t="n">
        <v>9.949999999999999</v>
      </c>
      <c r="J2769" s="6" t="n">
        <v>15</v>
      </c>
      <c r="K2769" s="7">
        <f>IF(I2769="","",I2769*(1+J2769/100))</f>
        <v/>
      </c>
      <c r="L2769" s="12" t="inlineStr"/>
      <c r="M2769" s="8">
        <f>IF(OR(L2769="",K2769="",L2769=0),"",
  (L2769-K2769)/L2769*100)</f>
        <v/>
      </c>
      <c r="N2769" s="9" t="inlineStr"/>
      <c r="O2769" s="4" t="inlineStr"/>
      <c r="P2769" s="4" t="inlineStr"/>
      <c r="Q2769" s="4" t="inlineStr"/>
      <c r="R2769" s="4" t="inlineStr">
        <is>
          <t>2026-03-12</t>
        </is>
      </c>
      <c r="S2769" s="4" t="inlineStr"/>
    </row>
    <row r="2770">
      <c r="A2770" s="10" t="inlineStr">
        <is>
          <t>F03236</t>
        </is>
      </c>
      <c r="B2770" s="10" t="inlineStr">
        <is>
          <t>F03236</t>
        </is>
      </c>
      <c r="C2770" s="10" t="inlineStr"/>
      <c r="D2770" s="10" t="inlineStr"/>
      <c r="E2770" s="10" t="inlineStr">
        <is>
          <t>LUNCH BOX MATE HINGED</t>
        </is>
      </c>
      <c r="F2770" s="10" t="inlineStr"/>
      <c r="G2770" s="10" t="inlineStr"/>
      <c r="H2770" s="10" t="inlineStr"/>
      <c r="I2770" s="11" t="n">
        <v>9.949999999999999</v>
      </c>
      <c r="J2770" s="6" t="n">
        <v>15</v>
      </c>
      <c r="K2770" s="7">
        <f>IF(I2770="","",I2770*(1+J2770/100))</f>
        <v/>
      </c>
      <c r="L2770" s="12" t="inlineStr"/>
      <c r="M2770" s="8">
        <f>IF(OR(L2770="",K2770="",L2770=0),"",
  (L2770-K2770)/L2770*100)</f>
        <v/>
      </c>
      <c r="N2770" s="9" t="inlineStr"/>
      <c r="O2770" s="10" t="inlineStr"/>
      <c r="P2770" s="10" t="inlineStr"/>
      <c r="Q2770" s="10" t="inlineStr"/>
      <c r="R2770" s="10" t="inlineStr">
        <is>
          <t>2026-03-12</t>
        </is>
      </c>
      <c r="S2770" s="10" t="inlineStr"/>
    </row>
    <row r="2771">
      <c r="A2771" s="3" t="inlineStr">
        <is>
          <t>F03237</t>
        </is>
      </c>
      <c r="B2771" s="4" t="inlineStr">
        <is>
          <t>F03237</t>
        </is>
      </c>
      <c r="C2771" s="4" t="inlineStr"/>
      <c r="D2771" s="4" t="inlineStr"/>
      <c r="E2771" s="3" t="inlineStr">
        <is>
          <t>EGG HOLDER 6'S SOPHIA</t>
        </is>
      </c>
      <c r="F2771" s="4" t="inlineStr"/>
      <c r="G2771" s="4" t="inlineStr"/>
      <c r="H2771" s="4" t="inlineStr"/>
      <c r="I2771" s="5" t="n">
        <v>8.5</v>
      </c>
      <c r="J2771" s="6" t="n">
        <v>15</v>
      </c>
      <c r="K2771" s="7">
        <f>IF(I2771="","",I2771*(1+J2771/100))</f>
        <v/>
      </c>
      <c r="L2771" s="12" t="inlineStr"/>
      <c r="M2771" s="8">
        <f>IF(OR(L2771="",K2771="",L2771=0),"",
  (L2771-K2771)/L2771*100)</f>
        <v/>
      </c>
      <c r="N2771" s="9" t="inlineStr"/>
      <c r="O2771" s="4" t="inlineStr"/>
      <c r="P2771" s="4" t="inlineStr"/>
      <c r="Q2771" s="4" t="inlineStr"/>
      <c r="R2771" s="4" t="inlineStr">
        <is>
          <t>2026-03-12</t>
        </is>
      </c>
      <c r="S2771" s="4" t="inlineStr"/>
    </row>
    <row r="2772">
      <c r="A2772" s="10" t="inlineStr">
        <is>
          <t>F03238</t>
        </is>
      </c>
      <c r="B2772" s="10" t="inlineStr">
        <is>
          <t>F03238</t>
        </is>
      </c>
      <c r="C2772" s="10" t="inlineStr"/>
      <c r="D2772" s="10" t="inlineStr"/>
      <c r="E2772" s="10" t="inlineStr">
        <is>
          <t>WATER BOTLE 440ML KIDDIES</t>
        </is>
      </c>
      <c r="F2772" s="10" t="inlineStr"/>
      <c r="G2772" s="10" t="inlineStr"/>
      <c r="H2772" s="10" t="inlineStr"/>
      <c r="I2772" s="11" t="n">
        <v>6.85</v>
      </c>
      <c r="J2772" s="6" t="n">
        <v>15</v>
      </c>
      <c r="K2772" s="7">
        <f>IF(I2772="","",I2772*(1+J2772/100))</f>
        <v/>
      </c>
      <c r="L2772" s="12" t="inlineStr"/>
      <c r="M2772" s="8">
        <f>IF(OR(L2772="",K2772="",L2772=0),"",
  (L2772-K2772)/L2772*100)</f>
        <v/>
      </c>
      <c r="N2772" s="9" t="inlineStr"/>
      <c r="O2772" s="10" t="inlineStr"/>
      <c r="P2772" s="10" t="inlineStr"/>
      <c r="Q2772" s="10" t="inlineStr"/>
      <c r="R2772" s="10" t="inlineStr">
        <is>
          <t>2026-03-12</t>
        </is>
      </c>
      <c r="S2772" s="10" t="inlineStr"/>
    </row>
    <row r="2773">
      <c r="A2773" s="3" t="inlineStr">
        <is>
          <t>F03239</t>
        </is>
      </c>
      <c r="B2773" s="4" t="inlineStr">
        <is>
          <t>F03239</t>
        </is>
      </c>
      <c r="C2773" s="4" t="inlineStr"/>
      <c r="D2773" s="4" t="inlineStr"/>
      <c r="E2773" s="3" t="inlineStr">
        <is>
          <t>WATER BOTTLE 1000ML STEELO SANCIA</t>
        </is>
      </c>
      <c r="F2773" s="4" t="inlineStr"/>
      <c r="G2773" s="4" t="inlineStr"/>
      <c r="H2773" s="4" t="inlineStr"/>
      <c r="I2773" s="5" t="n">
        <v>16.85</v>
      </c>
      <c r="J2773" s="6" t="n">
        <v>15</v>
      </c>
      <c r="K2773" s="7">
        <f>IF(I2773="","",I2773*(1+J2773/100))</f>
        <v/>
      </c>
      <c r="L2773" s="12" t="inlineStr"/>
      <c r="M2773" s="8">
        <f>IF(OR(L2773="",K2773="",L2773=0),"",
  (L2773-K2773)/L2773*100)</f>
        <v/>
      </c>
      <c r="N2773" s="9" t="inlineStr"/>
      <c r="O2773" s="4" t="inlineStr"/>
      <c r="P2773" s="4" t="inlineStr"/>
      <c r="Q2773" s="4" t="inlineStr"/>
      <c r="R2773" s="4" t="inlineStr">
        <is>
          <t>2026-03-12</t>
        </is>
      </c>
      <c r="S2773" s="4" t="inlineStr"/>
    </row>
    <row r="2774">
      <c r="A2774" s="10" t="inlineStr">
        <is>
          <t>F03240</t>
        </is>
      </c>
      <c r="B2774" s="10" t="inlineStr">
        <is>
          <t>F03240</t>
        </is>
      </c>
      <c r="C2774" s="10" t="inlineStr"/>
      <c r="D2774" s="10" t="inlineStr"/>
      <c r="E2774" s="10" t="inlineStr">
        <is>
          <t>JUG 2LT MILK JUG</t>
        </is>
      </c>
      <c r="F2774" s="10" t="inlineStr"/>
      <c r="G2774" s="10" t="inlineStr"/>
      <c r="H2774" s="10" t="inlineStr"/>
      <c r="I2774" s="11" t="n">
        <v>47.5</v>
      </c>
      <c r="J2774" s="6" t="n">
        <v>15</v>
      </c>
      <c r="K2774" s="7">
        <f>IF(I2774="","",I2774*(1+J2774/100))</f>
        <v/>
      </c>
      <c r="L2774" s="12" t="inlineStr"/>
      <c r="M2774" s="8">
        <f>IF(OR(L2774="",K2774="",L2774=0),"",
  (L2774-K2774)/L2774*100)</f>
        <v/>
      </c>
      <c r="N2774" s="9" t="inlineStr"/>
      <c r="O2774" s="10" t="inlineStr"/>
      <c r="P2774" s="10" t="inlineStr"/>
      <c r="Q2774" s="10" t="inlineStr"/>
      <c r="R2774" s="10" t="inlineStr">
        <is>
          <t>2026-03-12</t>
        </is>
      </c>
      <c r="S2774" s="10" t="inlineStr"/>
    </row>
    <row r="2775">
      <c r="A2775" s="3" t="inlineStr">
        <is>
          <t>F03241</t>
        </is>
      </c>
      <c r="B2775" s="4" t="inlineStr">
        <is>
          <t>F03241</t>
        </is>
      </c>
      <c r="C2775" s="4" t="inlineStr"/>
      <c r="D2775" s="4" t="inlineStr"/>
      <c r="E2775" s="3" t="inlineStr">
        <is>
          <t>COLANDER LARGE</t>
        </is>
      </c>
      <c r="F2775" s="4" t="inlineStr"/>
      <c r="G2775" s="4" t="inlineStr"/>
      <c r="H2775" s="4" t="inlineStr"/>
      <c r="I2775" s="5" t="n">
        <v>14.3</v>
      </c>
      <c r="J2775" s="6" t="n">
        <v>15</v>
      </c>
      <c r="K2775" s="7">
        <f>IF(I2775="","",I2775*(1+J2775/100))</f>
        <v/>
      </c>
      <c r="L2775" s="12" t="inlineStr"/>
      <c r="M2775" s="8">
        <f>IF(OR(L2775="",K2775="",L2775=0),"",
  (L2775-K2775)/L2775*100)</f>
        <v/>
      </c>
      <c r="N2775" s="9" t="inlineStr"/>
      <c r="O2775" s="4" t="inlineStr"/>
      <c r="P2775" s="4" t="inlineStr"/>
      <c r="Q2775" s="4" t="inlineStr"/>
      <c r="R2775" s="4" t="inlineStr">
        <is>
          <t>2026-03-12</t>
        </is>
      </c>
      <c r="S2775" s="4" t="inlineStr"/>
    </row>
    <row r="2776">
      <c r="A2776" s="10" t="inlineStr">
        <is>
          <t>F03242</t>
        </is>
      </c>
      <c r="B2776" s="10" t="inlineStr">
        <is>
          <t>F03242</t>
        </is>
      </c>
      <c r="C2776" s="10" t="inlineStr"/>
      <c r="D2776" s="10" t="inlineStr"/>
      <c r="E2776" s="10" t="inlineStr">
        <is>
          <t>FOOD SAVER 1LTR NUWARE</t>
        </is>
      </c>
      <c r="F2776" s="10" t="inlineStr"/>
      <c r="G2776" s="10" t="inlineStr"/>
      <c r="H2776" s="10" t="inlineStr"/>
      <c r="I2776" s="11" t="n">
        <v>14.95</v>
      </c>
      <c r="J2776" s="6" t="n">
        <v>15</v>
      </c>
      <c r="K2776" s="7">
        <f>IF(I2776="","",I2776*(1+J2776/100))</f>
        <v/>
      </c>
      <c r="L2776" s="12" t="inlineStr"/>
      <c r="M2776" s="8">
        <f>IF(OR(L2776="",K2776="",L2776=0),"",
  (L2776-K2776)/L2776*100)</f>
        <v/>
      </c>
      <c r="N2776" s="9" t="inlineStr"/>
      <c r="O2776" s="10" t="inlineStr"/>
      <c r="P2776" s="10" t="inlineStr"/>
      <c r="Q2776" s="10" t="inlineStr"/>
      <c r="R2776" s="10" t="inlineStr">
        <is>
          <t>2026-03-12</t>
        </is>
      </c>
      <c r="S2776" s="10" t="inlineStr"/>
    </row>
    <row r="2777">
      <c r="A2777" s="3" t="inlineStr">
        <is>
          <t>F03243</t>
        </is>
      </c>
      <c r="B2777" s="4" t="inlineStr">
        <is>
          <t>F03243</t>
        </is>
      </c>
      <c r="C2777" s="4" t="inlineStr"/>
      <c r="D2777" s="4" t="inlineStr"/>
      <c r="E2777" s="3" t="inlineStr">
        <is>
          <t>FOOD SAVER 2LT</t>
        </is>
      </c>
      <c r="F2777" s="4" t="inlineStr"/>
      <c r="G2777" s="4" t="inlineStr"/>
      <c r="H2777" s="4" t="inlineStr"/>
      <c r="I2777" s="5" t="n">
        <v>16.5</v>
      </c>
      <c r="J2777" s="6" t="n">
        <v>15</v>
      </c>
      <c r="K2777" s="7">
        <f>IF(I2777="","",I2777*(1+J2777/100))</f>
        <v/>
      </c>
      <c r="L2777" s="12" t="inlineStr"/>
      <c r="M2777" s="8">
        <f>IF(OR(L2777="",K2777="",L2777=0),"",
  (L2777-K2777)/L2777*100)</f>
        <v/>
      </c>
      <c r="N2777" s="9" t="inlineStr"/>
      <c r="O2777" s="4" t="inlineStr"/>
      <c r="P2777" s="4" t="inlineStr"/>
      <c r="Q2777" s="4" t="inlineStr"/>
      <c r="R2777" s="4" t="inlineStr">
        <is>
          <t>2026-03-12</t>
        </is>
      </c>
      <c r="S2777" s="4" t="inlineStr"/>
    </row>
    <row r="2778">
      <c r="A2778" s="10" t="inlineStr">
        <is>
          <t>F03244</t>
        </is>
      </c>
      <c r="B2778" s="10" t="inlineStr">
        <is>
          <t>F03244</t>
        </is>
      </c>
      <c r="C2778" s="10" t="inlineStr"/>
      <c r="D2778" s="10" t="inlineStr"/>
      <c r="E2778" s="10" t="inlineStr">
        <is>
          <t>BIN WASTE PAPER ELEGANT</t>
        </is>
      </c>
      <c r="F2778" s="10" t="inlineStr"/>
      <c r="G2778" s="10" t="inlineStr"/>
      <c r="H2778" s="10" t="inlineStr"/>
      <c r="I2778" s="11" t="n">
        <v>23.5</v>
      </c>
      <c r="J2778" s="6" t="n">
        <v>15</v>
      </c>
      <c r="K2778" s="7">
        <f>IF(I2778="","",I2778*(1+J2778/100))</f>
        <v/>
      </c>
      <c r="L2778" s="12" t="inlineStr"/>
      <c r="M2778" s="8">
        <f>IF(OR(L2778="",K2778="",L2778=0),"",
  (L2778-K2778)/L2778*100)</f>
        <v/>
      </c>
      <c r="N2778" s="9" t="inlineStr"/>
      <c r="O2778" s="10" t="inlineStr"/>
      <c r="P2778" s="10" t="inlineStr"/>
      <c r="Q2778" s="10" t="inlineStr"/>
      <c r="R2778" s="10" t="inlineStr">
        <is>
          <t>2026-03-12</t>
        </is>
      </c>
      <c r="S2778" s="10" t="inlineStr"/>
    </row>
    <row r="2779">
      <c r="A2779" s="3" t="inlineStr">
        <is>
          <t>F03245</t>
        </is>
      </c>
      <c r="B2779" s="4" t="inlineStr">
        <is>
          <t>F03245</t>
        </is>
      </c>
      <c r="C2779" s="4" t="inlineStr"/>
      <c r="D2779" s="4" t="inlineStr"/>
      <c r="E2779" s="3" t="inlineStr">
        <is>
          <t>BASKET LAUNDRY HIPSTER NEW RATTAN</t>
        </is>
      </c>
      <c r="F2779" s="4" t="inlineStr"/>
      <c r="G2779" s="4" t="inlineStr"/>
      <c r="H2779" s="4" t="inlineStr"/>
      <c r="I2779" s="5" t="n">
        <v>93.5</v>
      </c>
      <c r="J2779" s="6" t="n">
        <v>15</v>
      </c>
      <c r="K2779" s="7">
        <f>IF(I2779="","",I2779*(1+J2779/100))</f>
        <v/>
      </c>
      <c r="L2779" s="12" t="inlineStr"/>
      <c r="M2779" s="8">
        <f>IF(OR(L2779="",K2779="",L2779=0),"",
  (L2779-K2779)/L2779*100)</f>
        <v/>
      </c>
      <c r="N2779" s="9" t="inlineStr"/>
      <c r="O2779" s="4" t="inlineStr"/>
      <c r="P2779" s="4" t="inlineStr"/>
      <c r="Q2779" s="4" t="inlineStr"/>
      <c r="R2779" s="4" t="inlineStr">
        <is>
          <t>2026-03-12</t>
        </is>
      </c>
      <c r="S2779" s="4" t="inlineStr"/>
    </row>
    <row r="2780">
      <c r="A2780" s="10" t="inlineStr">
        <is>
          <t>F03246</t>
        </is>
      </c>
      <c r="B2780" s="10" t="inlineStr">
        <is>
          <t>F03246</t>
        </is>
      </c>
      <c r="C2780" s="10" t="inlineStr"/>
      <c r="D2780" s="10" t="inlineStr"/>
      <c r="E2780" s="10" t="inlineStr">
        <is>
          <t>BASKET +LID LAUNDRY NEW RATTAN</t>
        </is>
      </c>
      <c r="F2780" s="10" t="inlineStr"/>
      <c r="G2780" s="10" t="inlineStr"/>
      <c r="H2780" s="10" t="inlineStr"/>
      <c r="I2780" s="11" t="n">
        <v>130</v>
      </c>
      <c r="J2780" s="6" t="n">
        <v>15</v>
      </c>
      <c r="K2780" s="7">
        <f>IF(I2780="","",I2780*(1+J2780/100))</f>
        <v/>
      </c>
      <c r="L2780" s="12" t="inlineStr"/>
      <c r="M2780" s="8">
        <f>IF(OR(L2780="",K2780="",L2780=0),"",
  (L2780-K2780)/L2780*100)</f>
        <v/>
      </c>
      <c r="N2780" s="9" t="inlineStr"/>
      <c r="O2780" s="10" t="inlineStr"/>
      <c r="P2780" s="10" t="inlineStr"/>
      <c r="Q2780" s="10" t="inlineStr"/>
      <c r="R2780" s="10" t="inlineStr">
        <is>
          <t>2026-03-12</t>
        </is>
      </c>
      <c r="S2780" s="10" t="inlineStr"/>
    </row>
    <row r="2781">
      <c r="A2781" s="3" t="inlineStr">
        <is>
          <t>F03247</t>
        </is>
      </c>
      <c r="B2781" s="4" t="inlineStr">
        <is>
          <t>F03247</t>
        </is>
      </c>
      <c r="C2781" s="4" t="inlineStr"/>
      <c r="D2781" s="4" t="inlineStr"/>
      <c r="E2781" s="3" t="inlineStr">
        <is>
          <t>BASKET +LID LAUNDRY LACE DESIGN</t>
        </is>
      </c>
      <c r="F2781" s="4" t="inlineStr"/>
      <c r="G2781" s="4" t="inlineStr"/>
      <c r="H2781" s="4" t="inlineStr"/>
      <c r="I2781" s="5" t="n">
        <v>97.5</v>
      </c>
      <c r="J2781" s="6" t="n">
        <v>15</v>
      </c>
      <c r="K2781" s="7">
        <f>IF(I2781="","",I2781*(1+J2781/100))</f>
        <v/>
      </c>
      <c r="L2781" s="12" t="inlineStr"/>
      <c r="M2781" s="8">
        <f>IF(OR(L2781="",K2781="",L2781=0),"",
  (L2781-K2781)/L2781*100)</f>
        <v/>
      </c>
      <c r="N2781" s="9" t="inlineStr"/>
      <c r="O2781" s="4" t="inlineStr"/>
      <c r="P2781" s="4" t="inlineStr"/>
      <c r="Q2781" s="4" t="inlineStr"/>
      <c r="R2781" s="4" t="inlineStr">
        <is>
          <t>2026-03-12</t>
        </is>
      </c>
      <c r="S2781" s="4" t="inlineStr"/>
    </row>
    <row r="2782">
      <c r="A2782" s="10" t="inlineStr">
        <is>
          <t>F03248</t>
        </is>
      </c>
      <c r="B2782" s="10" t="inlineStr">
        <is>
          <t>F03248</t>
        </is>
      </c>
      <c r="C2782" s="10" t="inlineStr"/>
      <c r="D2782" s="10" t="inlineStr">
        <is>
          <t>6009705656059</t>
        </is>
      </c>
      <c r="E2782" s="10" t="inlineStr">
        <is>
          <t>MUG FANCY WITH MIRROR LID</t>
        </is>
      </c>
      <c r="F2782" s="10" t="inlineStr"/>
      <c r="G2782" s="10" t="inlineStr"/>
      <c r="H2782" s="10" t="inlineStr"/>
      <c r="I2782" s="11" t="n">
        <v>37.95</v>
      </c>
      <c r="J2782" s="6" t="n">
        <v>15</v>
      </c>
      <c r="K2782" s="7">
        <f>IF(I2782="","",I2782*(1+J2782/100))</f>
        <v/>
      </c>
      <c r="L2782" s="12" t="inlineStr"/>
      <c r="M2782" s="8">
        <f>IF(OR(L2782="",K2782="",L2782=0),"",
  (L2782-K2782)/L2782*100)</f>
        <v/>
      </c>
      <c r="N2782" s="13" t="n">
        <v>3349</v>
      </c>
      <c r="O2782" s="10" t="inlineStr"/>
      <c r="P2782" s="10" t="inlineStr"/>
      <c r="Q2782" s="10" t="inlineStr"/>
      <c r="R2782" s="10" t="inlineStr">
        <is>
          <t>2026-03-12</t>
        </is>
      </c>
      <c r="S2782" s="10" t="inlineStr"/>
    </row>
    <row r="2783">
      <c r="A2783" s="3" t="inlineStr">
        <is>
          <t>F03249</t>
        </is>
      </c>
      <c r="B2783" s="4" t="inlineStr">
        <is>
          <t>F03249</t>
        </is>
      </c>
      <c r="C2783" s="4" t="inlineStr"/>
      <c r="D2783" s="4" t="inlineStr"/>
      <c r="E2783" s="3" t="inlineStr">
        <is>
          <t>WALL PANEL BARCELONA WOOD LOOSE PANEL</t>
        </is>
      </c>
      <c r="F2783" s="4" t="inlineStr"/>
      <c r="G2783" s="4" t="inlineStr"/>
      <c r="H2783" s="4" t="inlineStr"/>
      <c r="I2783" s="5" t="n">
        <v>139</v>
      </c>
      <c r="J2783" s="6" t="n">
        <v>15</v>
      </c>
      <c r="K2783" s="7">
        <f>IF(I2783="","",I2783*(1+J2783/100))</f>
        <v/>
      </c>
      <c r="L2783" s="12" t="inlineStr"/>
      <c r="M2783" s="8">
        <f>IF(OR(L2783="",K2783="",L2783=0),"",
  (L2783-K2783)/L2783*100)</f>
        <v/>
      </c>
      <c r="N2783" s="9" t="inlineStr"/>
      <c r="O2783" s="4" t="inlineStr"/>
      <c r="P2783" s="4" t="inlineStr"/>
      <c r="Q2783" s="4" t="inlineStr"/>
      <c r="R2783" s="4" t="inlineStr">
        <is>
          <t>2026-03-12</t>
        </is>
      </c>
      <c r="S2783" s="4" t="inlineStr"/>
    </row>
    <row r="2784">
      <c r="A2784" s="10" t="inlineStr">
        <is>
          <t>F03250</t>
        </is>
      </c>
      <c r="B2784" s="10" t="inlineStr">
        <is>
          <t>F03250</t>
        </is>
      </c>
      <c r="C2784" s="10" t="inlineStr"/>
      <c r="D2784" s="10" t="inlineStr"/>
      <c r="E2784" s="10" t="inlineStr">
        <is>
          <t>WALL PANEL BARCELONA MATT GREY LOOSE</t>
        </is>
      </c>
      <c r="F2784" s="10" t="inlineStr"/>
      <c r="G2784" s="10" t="inlineStr"/>
      <c r="H2784" s="10" t="inlineStr"/>
      <c r="I2784" s="11" t="n">
        <v>139</v>
      </c>
      <c r="J2784" s="6" t="n">
        <v>15</v>
      </c>
      <c r="K2784" s="7">
        <f>IF(I2784="","",I2784*(1+J2784/100))</f>
        <v/>
      </c>
      <c r="L2784" s="12" t="inlineStr"/>
      <c r="M2784" s="8">
        <f>IF(OR(L2784="",K2784="",L2784=0),"",
  (L2784-K2784)/L2784*100)</f>
        <v/>
      </c>
      <c r="N2784" s="9" t="inlineStr"/>
      <c r="O2784" s="10" t="inlineStr"/>
      <c r="P2784" s="10" t="inlineStr"/>
      <c r="Q2784" s="10" t="inlineStr"/>
      <c r="R2784" s="10" t="inlineStr">
        <is>
          <t>2026-03-12</t>
        </is>
      </c>
      <c r="S2784" s="10" t="inlineStr"/>
    </row>
    <row r="2785">
      <c r="A2785" s="3" t="inlineStr">
        <is>
          <t>F03251</t>
        </is>
      </c>
      <c r="B2785" s="4" t="inlineStr">
        <is>
          <t>F03251</t>
        </is>
      </c>
      <c r="C2785" s="4" t="inlineStr"/>
      <c r="D2785" s="4" t="inlineStr">
        <is>
          <t>6009705656578</t>
        </is>
      </c>
      <c r="E2785" s="3" t="inlineStr">
        <is>
          <t>WALL PANEL-BARCELONA SILVER 2.9MX0.175MM</t>
        </is>
      </c>
      <c r="F2785" s="4" t="inlineStr"/>
      <c r="G2785" s="4" t="inlineStr"/>
      <c r="H2785" s="4" t="inlineStr"/>
      <c r="I2785" s="5" t="n">
        <v>950</v>
      </c>
      <c r="J2785" s="6" t="n">
        <v>15</v>
      </c>
      <c r="K2785" s="7">
        <f>IF(I2785="","",I2785*(1+J2785/100))</f>
        <v/>
      </c>
      <c r="L2785" s="12" t="inlineStr"/>
      <c r="M2785" s="8">
        <f>IF(OR(L2785="",K2785="",L2785=0),"",
  (L2785-K2785)/L2785*100)</f>
        <v/>
      </c>
      <c r="N2785" s="14" t="n">
        <v>133</v>
      </c>
      <c r="O2785" s="4" t="inlineStr"/>
      <c r="P2785" s="4" t="inlineStr"/>
      <c r="Q2785" s="4" t="inlineStr"/>
      <c r="R2785" s="4" t="inlineStr">
        <is>
          <t>2026-03-12</t>
        </is>
      </c>
      <c r="S2785" s="4" t="inlineStr"/>
    </row>
    <row r="2786">
      <c r="A2786" s="10" t="inlineStr">
        <is>
          <t>F03252</t>
        </is>
      </c>
      <c r="B2786" s="10" t="inlineStr">
        <is>
          <t>F03252</t>
        </is>
      </c>
      <c r="C2786" s="10" t="inlineStr"/>
      <c r="D2786" s="10" t="inlineStr">
        <is>
          <t>6009705656585</t>
        </is>
      </c>
      <c r="E2786" s="10" t="inlineStr">
        <is>
          <t>WALL PANEL-BARCELONA GOLD  CHAMPAGNE</t>
        </is>
      </c>
      <c r="F2786" s="10" t="inlineStr"/>
      <c r="G2786" s="10" t="inlineStr"/>
      <c r="H2786" s="10" t="inlineStr"/>
      <c r="I2786" s="11" t="n">
        <v>950</v>
      </c>
      <c r="J2786" s="6" t="n">
        <v>15</v>
      </c>
      <c r="K2786" s="7">
        <f>IF(I2786="","",I2786*(1+J2786/100))</f>
        <v/>
      </c>
      <c r="L2786" s="12" t="inlineStr"/>
      <c r="M2786" s="8">
        <f>IF(OR(L2786="",K2786="",L2786=0),"",
  (L2786-K2786)/L2786*100)</f>
        <v/>
      </c>
      <c r="N2786" s="13" t="n">
        <v>145</v>
      </c>
      <c r="O2786" s="10" t="inlineStr"/>
      <c r="P2786" s="10" t="inlineStr"/>
      <c r="Q2786" s="10" t="inlineStr"/>
      <c r="R2786" s="10" t="inlineStr">
        <is>
          <t>2026-03-12</t>
        </is>
      </c>
      <c r="S2786" s="10" t="inlineStr"/>
    </row>
    <row r="2787">
      <c r="A2787" s="3" t="inlineStr">
        <is>
          <t>F03253</t>
        </is>
      </c>
      <c r="B2787" s="4" t="inlineStr">
        <is>
          <t>F03253</t>
        </is>
      </c>
      <c r="C2787" s="4" t="inlineStr"/>
      <c r="D2787" s="4" t="inlineStr">
        <is>
          <t>6009705656561</t>
        </is>
      </c>
      <c r="E2787" s="3" t="inlineStr">
        <is>
          <t>WALL PANEL-BARCELONA ROSE GOLD  2.9MX0</t>
        </is>
      </c>
      <c r="F2787" s="4" t="inlineStr"/>
      <c r="G2787" s="4" t="inlineStr"/>
      <c r="H2787" s="4" t="inlineStr"/>
      <c r="I2787" s="5" t="n">
        <v>950</v>
      </c>
      <c r="J2787" s="6" t="n">
        <v>15</v>
      </c>
      <c r="K2787" s="7">
        <f>IF(I2787="","",I2787*(1+J2787/100))</f>
        <v/>
      </c>
      <c r="L2787" s="12" t="inlineStr"/>
      <c r="M2787" s="8">
        <f>IF(OR(L2787="",K2787="",L2787=0),"",
  (L2787-K2787)/L2787*100)</f>
        <v/>
      </c>
      <c r="N2787" s="14" t="n">
        <v>306</v>
      </c>
      <c r="O2787" s="4" t="inlineStr"/>
      <c r="P2787" s="4" t="inlineStr"/>
      <c r="Q2787" s="4" t="inlineStr"/>
      <c r="R2787" s="4" t="inlineStr">
        <is>
          <t>2026-03-12</t>
        </is>
      </c>
      <c r="S2787" s="4" t="inlineStr"/>
    </row>
    <row r="2788">
      <c r="A2788" s="10" t="inlineStr">
        <is>
          <t>F03254</t>
        </is>
      </c>
      <c r="B2788" s="10" t="inlineStr">
        <is>
          <t>F03254</t>
        </is>
      </c>
      <c r="C2788" s="10" t="inlineStr"/>
      <c r="D2788" s="10" t="inlineStr">
        <is>
          <t>6009705656608</t>
        </is>
      </c>
      <c r="E2788" s="10" t="inlineStr">
        <is>
          <t>STRIP FOR BARCELONA  SILVER</t>
        </is>
      </c>
      <c r="F2788" s="10" t="inlineStr"/>
      <c r="G2788" s="10" t="inlineStr"/>
      <c r="H2788" s="10" t="inlineStr"/>
      <c r="I2788" s="11" t="n">
        <v>44.95</v>
      </c>
      <c r="J2788" s="6" t="n">
        <v>15</v>
      </c>
      <c r="K2788" s="7">
        <f>IF(I2788="","",I2788*(1+J2788/100))</f>
        <v/>
      </c>
      <c r="L2788" s="12" t="inlineStr"/>
      <c r="M2788" s="8">
        <f>IF(OR(L2788="",K2788="",L2788=0),"",
  (L2788-K2788)/L2788*100)</f>
        <v/>
      </c>
      <c r="N2788" s="13" t="n">
        <v>112</v>
      </c>
      <c r="O2788" s="10" t="inlineStr"/>
      <c r="P2788" s="10" t="inlineStr"/>
      <c r="Q2788" s="10" t="inlineStr"/>
      <c r="R2788" s="10" t="inlineStr">
        <is>
          <t>2026-03-12</t>
        </is>
      </c>
      <c r="S2788" s="10" t="inlineStr"/>
    </row>
    <row r="2789">
      <c r="A2789" s="3" t="inlineStr">
        <is>
          <t>F03255</t>
        </is>
      </c>
      <c r="B2789" s="4" t="inlineStr">
        <is>
          <t>F03255</t>
        </is>
      </c>
      <c r="C2789" s="4" t="inlineStr"/>
      <c r="D2789" s="4" t="inlineStr">
        <is>
          <t>6009705656615</t>
        </is>
      </c>
      <c r="E2789" s="3" t="inlineStr">
        <is>
          <t>STRIP FOR BARCELONA GOLD CHAMPAGNE</t>
        </is>
      </c>
      <c r="F2789" s="4" t="inlineStr"/>
      <c r="G2789" s="4" t="inlineStr"/>
      <c r="H2789" s="4" t="inlineStr"/>
      <c r="I2789" s="5" t="n">
        <v>44.95</v>
      </c>
      <c r="J2789" s="6" t="n">
        <v>15</v>
      </c>
      <c r="K2789" s="7">
        <f>IF(I2789="","",I2789*(1+J2789/100))</f>
        <v/>
      </c>
      <c r="L2789" s="12" t="inlineStr"/>
      <c r="M2789" s="8">
        <f>IF(OR(L2789="",K2789="",L2789=0),"",
  (L2789-K2789)/L2789*100)</f>
        <v/>
      </c>
      <c r="N2789" s="14" t="n">
        <v>2</v>
      </c>
      <c r="O2789" s="4" t="inlineStr"/>
      <c r="P2789" s="4" t="inlineStr"/>
      <c r="Q2789" s="4" t="inlineStr"/>
      <c r="R2789" s="4" t="inlineStr">
        <is>
          <t>2026-03-12</t>
        </is>
      </c>
      <c r="S2789" s="4" t="inlineStr"/>
    </row>
    <row r="2790">
      <c r="A2790" s="10" t="inlineStr">
        <is>
          <t>F03256</t>
        </is>
      </c>
      <c r="B2790" s="10" t="inlineStr">
        <is>
          <t>F03256</t>
        </is>
      </c>
      <c r="C2790" s="10" t="inlineStr"/>
      <c r="D2790" s="10" t="inlineStr">
        <is>
          <t>6009705656592</t>
        </is>
      </c>
      <c r="E2790" s="10" t="inlineStr">
        <is>
          <t>STRIP FOR BARCELONA  ROSE GOLD</t>
        </is>
      </c>
      <c r="F2790" s="10" t="inlineStr"/>
      <c r="G2790" s="10" t="inlineStr"/>
      <c r="H2790" s="10" t="inlineStr"/>
      <c r="I2790" s="11" t="n">
        <v>44.95</v>
      </c>
      <c r="J2790" s="6" t="n">
        <v>15</v>
      </c>
      <c r="K2790" s="7">
        <f>IF(I2790="","",I2790*(1+J2790/100))</f>
        <v/>
      </c>
      <c r="L2790" s="12" t="inlineStr"/>
      <c r="M2790" s="8">
        <f>IF(OR(L2790="",K2790="",L2790=0),"",
  (L2790-K2790)/L2790*100)</f>
        <v/>
      </c>
      <c r="N2790" s="13" t="n">
        <v>3</v>
      </c>
      <c r="O2790" s="10" t="inlineStr"/>
      <c r="P2790" s="10" t="inlineStr"/>
      <c r="Q2790" s="10" t="inlineStr"/>
      <c r="R2790" s="10" t="inlineStr">
        <is>
          <t>2026-03-12</t>
        </is>
      </c>
      <c r="S2790" s="10" t="inlineStr"/>
    </row>
    <row r="2791">
      <c r="A2791" s="3" t="inlineStr">
        <is>
          <t>F03257</t>
        </is>
      </c>
      <c r="B2791" s="4" t="inlineStr">
        <is>
          <t>F03257</t>
        </is>
      </c>
      <c r="C2791" s="4" t="inlineStr">
        <is>
          <t>31596</t>
        </is>
      </c>
      <c r="D2791" s="4" t="inlineStr">
        <is>
          <t>6009705656639</t>
        </is>
      </c>
      <c r="E2791" s="3" t="inlineStr">
        <is>
          <t>UV PANEL- BLING ROYAL 3D 2.7M X 1.220M</t>
        </is>
      </c>
      <c r="F2791" s="4" t="inlineStr"/>
      <c r="G2791" s="4" t="inlineStr"/>
      <c r="H2791" s="4" t="inlineStr"/>
      <c r="I2791" s="5" t="n">
        <v>369</v>
      </c>
      <c r="J2791" s="6" t="n">
        <v>15</v>
      </c>
      <c r="K2791" s="7">
        <f>IF(I2791="","",I2791*(1+J2791/100))</f>
        <v/>
      </c>
      <c r="L2791" s="5" t="n">
        <v>1300</v>
      </c>
      <c r="M2791" s="8">
        <f>IF(OR(L2791="",K2791="",L2791=0),"",
  (L2791-K2791)/L2791*100)</f>
        <v/>
      </c>
      <c r="N2791" s="14" t="n">
        <v>127</v>
      </c>
      <c r="O2791" s="4" t="inlineStr"/>
      <c r="P2791" s="4" t="inlineStr"/>
      <c r="Q2791" s="4" t="inlineStr"/>
      <c r="R2791" s="4" t="inlineStr">
        <is>
          <t>2026-03-12</t>
        </is>
      </c>
      <c r="S2791" s="4" t="inlineStr"/>
    </row>
    <row r="2792">
      <c r="A2792" s="10" t="inlineStr">
        <is>
          <t>F03258</t>
        </is>
      </c>
      <c r="B2792" s="10" t="inlineStr">
        <is>
          <t>F03258</t>
        </is>
      </c>
      <c r="C2792" s="10" t="inlineStr"/>
      <c r="D2792" s="10" t="inlineStr">
        <is>
          <t>6009705656646</t>
        </is>
      </c>
      <c r="E2792" s="10" t="inlineStr">
        <is>
          <t>UV SHEET BLING ASTOR 3D 2.7M X 1.220M</t>
        </is>
      </c>
      <c r="F2792" s="10" t="inlineStr"/>
      <c r="G2792" s="10" t="inlineStr"/>
      <c r="H2792" s="10" t="inlineStr"/>
      <c r="I2792" s="11" t="n">
        <v>2</v>
      </c>
      <c r="J2792" s="6" t="n">
        <v>15</v>
      </c>
      <c r="K2792" s="7">
        <f>IF(I2792="","",I2792*(1+J2792/100))</f>
        <v/>
      </c>
      <c r="L2792" s="12" t="inlineStr"/>
      <c r="M2792" s="8">
        <f>IF(OR(L2792="",K2792="",L2792=0),"",
  (L2792-K2792)/L2792*100)</f>
        <v/>
      </c>
      <c r="N2792" s="9" t="inlineStr"/>
      <c r="O2792" s="10" t="inlineStr"/>
      <c r="P2792" s="10" t="inlineStr"/>
      <c r="Q2792" s="10" t="inlineStr"/>
      <c r="R2792" s="10" t="inlineStr">
        <is>
          <t>2026-03-12</t>
        </is>
      </c>
      <c r="S2792" s="10" t="inlineStr"/>
    </row>
    <row r="2793">
      <c r="A2793" s="3" t="inlineStr">
        <is>
          <t>F03259</t>
        </is>
      </c>
      <c r="B2793" s="4" t="inlineStr">
        <is>
          <t>F03259</t>
        </is>
      </c>
      <c r="C2793" s="4" t="inlineStr">
        <is>
          <t>31565</t>
        </is>
      </c>
      <c r="D2793" s="4" t="inlineStr">
        <is>
          <t>6009705656653</t>
        </is>
      </c>
      <c r="E2793" s="3" t="inlineStr">
        <is>
          <t>UV PANEL- BLING ALBA 3D 2.7M X 1.220</t>
        </is>
      </c>
      <c r="F2793" s="4" t="inlineStr"/>
      <c r="G2793" s="4" t="inlineStr"/>
      <c r="H2793" s="4" t="inlineStr"/>
      <c r="I2793" s="5" t="n">
        <v>369</v>
      </c>
      <c r="J2793" s="6" t="n">
        <v>15</v>
      </c>
      <c r="K2793" s="7">
        <f>IF(I2793="","",I2793*(1+J2793/100))</f>
        <v/>
      </c>
      <c r="L2793" s="5" t="n">
        <v>1300</v>
      </c>
      <c r="M2793" s="8">
        <f>IF(OR(L2793="",K2793="",L2793=0),"",
  (L2793-K2793)/L2793*100)</f>
        <v/>
      </c>
      <c r="N2793" s="14" t="n">
        <v>113</v>
      </c>
      <c r="O2793" s="4" t="inlineStr"/>
      <c r="P2793" s="4" t="inlineStr"/>
      <c r="Q2793" s="4" t="inlineStr"/>
      <c r="R2793" s="4" t="inlineStr">
        <is>
          <t>2026-03-12</t>
        </is>
      </c>
      <c r="S2793" s="4" t="inlineStr"/>
    </row>
    <row r="2794">
      <c r="A2794" s="10" t="inlineStr">
        <is>
          <t>F03260</t>
        </is>
      </c>
      <c r="B2794" s="10" t="inlineStr">
        <is>
          <t>F03260</t>
        </is>
      </c>
      <c r="C2794" s="10" t="inlineStr">
        <is>
          <t>31593</t>
        </is>
      </c>
      <c r="D2794" s="10" t="inlineStr">
        <is>
          <t>6009705656660</t>
        </is>
      </c>
      <c r="E2794" s="10" t="inlineStr">
        <is>
          <t>UV PANEL- BLING MERCURY  3D 2.7M X 1.220</t>
        </is>
      </c>
      <c r="F2794" s="10" t="inlineStr"/>
      <c r="G2794" s="10" t="inlineStr"/>
      <c r="H2794" s="10" t="inlineStr"/>
      <c r="I2794" s="11" t="n">
        <v>419</v>
      </c>
      <c r="J2794" s="6" t="n">
        <v>15</v>
      </c>
      <c r="K2794" s="7">
        <f>IF(I2794="","",I2794*(1+J2794/100))</f>
        <v/>
      </c>
      <c r="L2794" s="11" t="n">
        <v>1300</v>
      </c>
      <c r="M2794" s="8">
        <f>IF(OR(L2794="",K2794="",L2794=0),"",
  (L2794-K2794)/L2794*100)</f>
        <v/>
      </c>
      <c r="N2794" s="9" t="inlineStr"/>
      <c r="O2794" s="10" t="inlineStr"/>
      <c r="P2794" s="10" t="inlineStr"/>
      <c r="Q2794" s="10" t="inlineStr"/>
      <c r="R2794" s="10" t="inlineStr">
        <is>
          <t>2026-03-12</t>
        </is>
      </c>
      <c r="S2794" s="10" t="inlineStr"/>
    </row>
    <row r="2795">
      <c r="A2795" s="3" t="inlineStr">
        <is>
          <t>F03261</t>
        </is>
      </c>
      <c r="B2795" s="4" t="inlineStr">
        <is>
          <t>F03261</t>
        </is>
      </c>
      <c r="C2795" s="4" t="inlineStr">
        <is>
          <t>31597</t>
        </is>
      </c>
      <c r="D2795" s="4" t="inlineStr">
        <is>
          <t>6009705656677</t>
        </is>
      </c>
      <c r="E2795" s="3" t="inlineStr">
        <is>
          <t>UV PANEL- BLING VERDE  3D 2.7M X 1.220</t>
        </is>
      </c>
      <c r="F2795" s="4" t="inlineStr"/>
      <c r="G2795" s="4" t="inlineStr"/>
      <c r="H2795" s="4" t="inlineStr"/>
      <c r="I2795" s="5" t="n">
        <v>369</v>
      </c>
      <c r="J2795" s="6" t="n">
        <v>15</v>
      </c>
      <c r="K2795" s="7">
        <f>IF(I2795="","",I2795*(1+J2795/100))</f>
        <v/>
      </c>
      <c r="L2795" s="5" t="n">
        <v>1300</v>
      </c>
      <c r="M2795" s="8">
        <f>IF(OR(L2795="",K2795="",L2795=0),"",
  (L2795-K2795)/L2795*100)</f>
        <v/>
      </c>
      <c r="N2795" s="14" t="n">
        <v>209</v>
      </c>
      <c r="O2795" s="4" t="inlineStr"/>
      <c r="P2795" s="4" t="inlineStr"/>
      <c r="Q2795" s="4" t="inlineStr"/>
      <c r="R2795" s="4" t="inlineStr">
        <is>
          <t>2026-03-12</t>
        </is>
      </c>
      <c r="S2795" s="4" t="inlineStr"/>
    </row>
    <row r="2796">
      <c r="A2796" s="10" t="inlineStr">
        <is>
          <t>F03262</t>
        </is>
      </c>
      <c r="B2796" s="10" t="inlineStr">
        <is>
          <t>F03262</t>
        </is>
      </c>
      <c r="C2796" s="10" t="inlineStr"/>
      <c r="D2796" s="10" t="inlineStr">
        <is>
          <t>6009705656684</t>
        </is>
      </c>
      <c r="E2796" s="10" t="inlineStr">
        <is>
          <t>UV SHEET BLING NERO  3D 2.44M X 1.220</t>
        </is>
      </c>
      <c r="F2796" s="10" t="inlineStr"/>
      <c r="G2796" s="10" t="inlineStr"/>
      <c r="H2796" s="10" t="inlineStr"/>
      <c r="I2796" s="11" t="n">
        <v>2</v>
      </c>
      <c r="J2796" s="6" t="n">
        <v>15</v>
      </c>
      <c r="K2796" s="7">
        <f>IF(I2796="","",I2796*(1+J2796/100))</f>
        <v/>
      </c>
      <c r="L2796" s="12" t="inlineStr"/>
      <c r="M2796" s="8">
        <f>IF(OR(L2796="",K2796="",L2796=0),"",
  (L2796-K2796)/L2796*100)</f>
        <v/>
      </c>
      <c r="N2796" s="9" t="inlineStr"/>
      <c r="O2796" s="10" t="inlineStr"/>
      <c r="P2796" s="10" t="inlineStr"/>
      <c r="Q2796" s="10" t="inlineStr"/>
      <c r="R2796" s="10" t="inlineStr">
        <is>
          <t>2026-03-12</t>
        </is>
      </c>
      <c r="S2796" s="10" t="inlineStr"/>
    </row>
    <row r="2797">
      <c r="A2797" s="3" t="inlineStr">
        <is>
          <t>F03263</t>
        </is>
      </c>
      <c r="B2797" s="4" t="inlineStr">
        <is>
          <t>F03263</t>
        </is>
      </c>
      <c r="C2797" s="4" t="inlineStr"/>
      <c r="D2797" s="4" t="inlineStr">
        <is>
          <t>6009705656691</t>
        </is>
      </c>
      <c r="E2797" s="3" t="inlineStr">
        <is>
          <t>UV SHEET BLING BURBERRY 3D 2.7M X 1.220</t>
        </is>
      </c>
      <c r="F2797" s="4" t="inlineStr"/>
      <c r="G2797" s="4" t="inlineStr"/>
      <c r="H2797" s="4" t="inlineStr"/>
      <c r="I2797" s="5" t="n">
        <v>369</v>
      </c>
      <c r="J2797" s="6" t="n">
        <v>15</v>
      </c>
      <c r="K2797" s="7">
        <f>IF(I2797="","",I2797*(1+J2797/100))</f>
        <v/>
      </c>
      <c r="L2797" s="12" t="inlineStr"/>
      <c r="M2797" s="8">
        <f>IF(OR(L2797="",K2797="",L2797=0),"",
  (L2797-K2797)/L2797*100)</f>
        <v/>
      </c>
      <c r="N2797" s="14" t="n">
        <v>182</v>
      </c>
      <c r="O2797" s="4" t="inlineStr"/>
      <c r="P2797" s="4" t="inlineStr"/>
      <c r="Q2797" s="4" t="inlineStr"/>
      <c r="R2797" s="4" t="inlineStr">
        <is>
          <t>2026-03-12</t>
        </is>
      </c>
      <c r="S2797" s="4" t="inlineStr"/>
    </row>
    <row r="2798">
      <c r="A2798" s="10" t="inlineStr">
        <is>
          <t>F03264</t>
        </is>
      </c>
      <c r="B2798" s="10" t="inlineStr">
        <is>
          <t>F03264</t>
        </is>
      </c>
      <c r="C2798" s="10" t="inlineStr">
        <is>
          <t>31566</t>
        </is>
      </c>
      <c r="D2798" s="10" t="inlineStr">
        <is>
          <t>6009705656707</t>
        </is>
      </c>
      <c r="E2798" s="10" t="inlineStr">
        <is>
          <t>UV PANEL- BLING AQUA 3D 2.7MX 1.220</t>
        </is>
      </c>
      <c r="F2798" s="10" t="inlineStr"/>
      <c r="G2798" s="10" t="inlineStr"/>
      <c r="H2798" s="10" t="inlineStr"/>
      <c r="I2798" s="11" t="n">
        <v>369</v>
      </c>
      <c r="J2798" s="6" t="n">
        <v>15</v>
      </c>
      <c r="K2798" s="7">
        <f>IF(I2798="","",I2798*(1+J2798/100))</f>
        <v/>
      </c>
      <c r="L2798" s="11" t="n">
        <v>1300</v>
      </c>
      <c r="M2798" s="8">
        <f>IF(OR(L2798="",K2798="",L2798=0),"",
  (L2798-K2798)/L2798*100)</f>
        <v/>
      </c>
      <c r="N2798" s="13" t="n">
        <v>81</v>
      </c>
      <c r="O2798" s="10" t="inlineStr"/>
      <c r="P2798" s="10" t="inlineStr"/>
      <c r="Q2798" s="10" t="inlineStr"/>
      <c r="R2798" s="10" t="inlineStr">
        <is>
          <t>2026-03-12</t>
        </is>
      </c>
      <c r="S2798" s="10" t="inlineStr"/>
    </row>
    <row r="2799">
      <c r="A2799" s="3" t="inlineStr">
        <is>
          <t>F03265</t>
        </is>
      </c>
      <c r="B2799" s="4" t="inlineStr">
        <is>
          <t>F03265</t>
        </is>
      </c>
      <c r="C2799" s="4" t="inlineStr">
        <is>
          <t>31598</t>
        </is>
      </c>
      <c r="D2799" s="4" t="inlineStr">
        <is>
          <t>6009705656714</t>
        </is>
      </c>
      <c r="E2799" s="3" t="inlineStr">
        <is>
          <t>UV PANEL- BLING VOLGA  3D 2.7M X 1.220</t>
        </is>
      </c>
      <c r="F2799" s="4" t="inlineStr"/>
      <c r="G2799" s="4" t="inlineStr"/>
      <c r="H2799" s="4" t="inlineStr"/>
      <c r="I2799" s="5" t="n">
        <v>369</v>
      </c>
      <c r="J2799" s="6" t="n">
        <v>15</v>
      </c>
      <c r="K2799" s="7">
        <f>IF(I2799="","",I2799*(1+J2799/100))</f>
        <v/>
      </c>
      <c r="L2799" s="5" t="n">
        <v>1300</v>
      </c>
      <c r="M2799" s="8">
        <f>IF(OR(L2799="",K2799="",L2799=0),"",
  (L2799-K2799)/L2799*100)</f>
        <v/>
      </c>
      <c r="N2799" s="9" t="inlineStr"/>
      <c r="O2799" s="4" t="inlineStr"/>
      <c r="P2799" s="4" t="inlineStr"/>
      <c r="Q2799" s="4" t="inlineStr"/>
      <c r="R2799" s="4" t="inlineStr">
        <is>
          <t>2026-03-12</t>
        </is>
      </c>
      <c r="S2799" s="4" t="inlineStr"/>
    </row>
    <row r="2800">
      <c r="A2800" s="10" t="inlineStr">
        <is>
          <t>F03266</t>
        </is>
      </c>
      <c r="B2800" s="10" t="inlineStr">
        <is>
          <t>F03266</t>
        </is>
      </c>
      <c r="C2800" s="10" t="inlineStr">
        <is>
          <t>31588</t>
        </is>
      </c>
      <c r="D2800" s="10" t="inlineStr">
        <is>
          <t>6009705656721</t>
        </is>
      </c>
      <c r="E2800" s="10" t="inlineStr">
        <is>
          <t>UV PANEL -BLING CLASSICO 3D 2.7M X 1.220</t>
        </is>
      </c>
      <c r="F2800" s="10" t="inlineStr"/>
      <c r="G2800" s="10" t="inlineStr"/>
      <c r="H2800" s="10" t="inlineStr"/>
      <c r="I2800" s="11" t="n">
        <v>369</v>
      </c>
      <c r="J2800" s="6" t="n">
        <v>15</v>
      </c>
      <c r="K2800" s="7">
        <f>IF(I2800="","",I2800*(1+J2800/100))</f>
        <v/>
      </c>
      <c r="L2800" s="11" t="n">
        <v>1300</v>
      </c>
      <c r="M2800" s="8">
        <f>IF(OR(L2800="",K2800="",L2800=0),"",
  (L2800-K2800)/L2800*100)</f>
        <v/>
      </c>
      <c r="N2800" s="13" t="n">
        <v>140</v>
      </c>
      <c r="O2800" s="10" t="inlineStr"/>
      <c r="P2800" s="10" t="inlineStr"/>
      <c r="Q2800" s="10" t="inlineStr"/>
      <c r="R2800" s="10" t="inlineStr">
        <is>
          <t>2026-03-12</t>
        </is>
      </c>
      <c r="S2800" s="10" t="inlineStr"/>
    </row>
    <row r="2801">
      <c r="A2801" s="3" t="inlineStr">
        <is>
          <t>F03267</t>
        </is>
      </c>
      <c r="B2801" s="4" t="inlineStr">
        <is>
          <t>F03267</t>
        </is>
      </c>
      <c r="C2801" s="4" t="inlineStr">
        <is>
          <t>31586</t>
        </is>
      </c>
      <c r="D2801" s="4" t="inlineStr">
        <is>
          <t>6009705656738</t>
        </is>
      </c>
      <c r="E2801" s="3" t="inlineStr">
        <is>
          <t>UV PANEL- BLING AURELIA  3D 2.7M X 1.220</t>
        </is>
      </c>
      <c r="F2801" s="4" t="inlineStr"/>
      <c r="G2801" s="4" t="inlineStr"/>
      <c r="H2801" s="4" t="inlineStr"/>
      <c r="I2801" s="5" t="n">
        <v>419</v>
      </c>
      <c r="J2801" s="6" t="n">
        <v>15</v>
      </c>
      <c r="K2801" s="7">
        <f>IF(I2801="","",I2801*(1+J2801/100))</f>
        <v/>
      </c>
      <c r="L2801" s="5" t="n">
        <v>1300</v>
      </c>
      <c r="M2801" s="8">
        <f>IF(OR(L2801="",K2801="",L2801=0),"",
  (L2801-K2801)/L2801*100)</f>
        <v/>
      </c>
      <c r="N2801" s="9" t="inlineStr"/>
      <c r="O2801" s="4" t="inlineStr"/>
      <c r="P2801" s="4" t="inlineStr"/>
      <c r="Q2801" s="4" t="inlineStr"/>
      <c r="R2801" s="4" t="inlineStr">
        <is>
          <t>2026-03-12</t>
        </is>
      </c>
      <c r="S2801" s="4" t="inlineStr"/>
    </row>
    <row r="2802">
      <c r="A2802" s="10" t="inlineStr">
        <is>
          <t>F03268</t>
        </is>
      </c>
      <c r="B2802" s="10" t="inlineStr">
        <is>
          <t>F03268</t>
        </is>
      </c>
      <c r="C2802" s="10" t="inlineStr">
        <is>
          <t>31595</t>
        </is>
      </c>
      <c r="D2802" s="10" t="inlineStr">
        <is>
          <t>6009705656745</t>
        </is>
      </c>
      <c r="E2802" s="10" t="inlineStr">
        <is>
          <t>UV PANEL- BLING ONYX  3D 2.7M X 1.220</t>
        </is>
      </c>
      <c r="F2802" s="10" t="inlineStr"/>
      <c r="G2802" s="10" t="inlineStr"/>
      <c r="H2802" s="10" t="inlineStr"/>
      <c r="I2802" s="11" t="n">
        <v>369</v>
      </c>
      <c r="J2802" s="6" t="n">
        <v>15</v>
      </c>
      <c r="K2802" s="7">
        <f>IF(I2802="","",I2802*(1+J2802/100))</f>
        <v/>
      </c>
      <c r="L2802" s="11" t="n">
        <v>1300</v>
      </c>
      <c r="M2802" s="8">
        <f>IF(OR(L2802="",K2802="",L2802=0),"",
  (L2802-K2802)/L2802*100)</f>
        <v/>
      </c>
      <c r="N2802" s="9" t="inlineStr"/>
      <c r="O2802" s="10" t="inlineStr"/>
      <c r="P2802" s="10" t="inlineStr"/>
      <c r="Q2802" s="10" t="inlineStr"/>
      <c r="R2802" s="10" t="inlineStr">
        <is>
          <t>2026-03-12</t>
        </is>
      </c>
      <c r="S2802" s="10" t="inlineStr"/>
    </row>
    <row r="2803">
      <c r="A2803" s="3" t="inlineStr">
        <is>
          <t>F03269</t>
        </is>
      </c>
      <c r="B2803" s="4" t="inlineStr">
        <is>
          <t>F03269</t>
        </is>
      </c>
      <c r="C2803" s="4" t="inlineStr">
        <is>
          <t>31590</t>
        </is>
      </c>
      <c r="D2803" s="4" t="inlineStr">
        <is>
          <t>6009705656752</t>
        </is>
      </c>
      <c r="E2803" s="3" t="inlineStr">
        <is>
          <t>UV PANEL -BLING DA VINCI 3D 2.7M X 1.220</t>
        </is>
      </c>
      <c r="F2803" s="4" t="inlineStr"/>
      <c r="G2803" s="4" t="inlineStr"/>
      <c r="H2803" s="4" t="inlineStr"/>
      <c r="I2803" s="5" t="n">
        <v>369</v>
      </c>
      <c r="J2803" s="6" t="n">
        <v>15</v>
      </c>
      <c r="K2803" s="7">
        <f>IF(I2803="","",I2803*(1+J2803/100))</f>
        <v/>
      </c>
      <c r="L2803" s="5" t="n">
        <v>1300</v>
      </c>
      <c r="M2803" s="8">
        <f>IF(OR(L2803="",K2803="",L2803=0),"",
  (L2803-K2803)/L2803*100)</f>
        <v/>
      </c>
      <c r="N2803" s="9" t="inlineStr"/>
      <c r="O2803" s="4" t="inlineStr"/>
      <c r="P2803" s="4" t="inlineStr"/>
      <c r="Q2803" s="4" t="inlineStr"/>
      <c r="R2803" s="4" t="inlineStr">
        <is>
          <t>2026-03-12</t>
        </is>
      </c>
      <c r="S2803" s="4" t="inlineStr"/>
    </row>
    <row r="2804">
      <c r="A2804" s="10" t="inlineStr">
        <is>
          <t>F03270</t>
        </is>
      </c>
      <c r="B2804" s="10" t="inlineStr">
        <is>
          <t>F03270</t>
        </is>
      </c>
      <c r="C2804" s="10" t="inlineStr">
        <is>
          <t>31592</t>
        </is>
      </c>
      <c r="D2804" s="10" t="inlineStr">
        <is>
          <t>6009705656769</t>
        </is>
      </c>
      <c r="E2804" s="10" t="inlineStr">
        <is>
          <t>UV PANEL- BLING LORENZO  3D 2.7M X 1.220</t>
        </is>
      </c>
      <c r="F2804" s="10" t="inlineStr"/>
      <c r="G2804" s="10" t="inlineStr"/>
      <c r="H2804" s="10" t="inlineStr"/>
      <c r="I2804" s="11" t="n">
        <v>369</v>
      </c>
      <c r="J2804" s="6" t="n">
        <v>15</v>
      </c>
      <c r="K2804" s="7">
        <f>IF(I2804="","",I2804*(1+J2804/100))</f>
        <v/>
      </c>
      <c r="L2804" s="11" t="n">
        <v>1300</v>
      </c>
      <c r="M2804" s="8">
        <f>IF(OR(L2804="",K2804="",L2804=0),"",
  (L2804-K2804)/L2804*100)</f>
        <v/>
      </c>
      <c r="N2804" s="13" t="n">
        <v>61</v>
      </c>
      <c r="O2804" s="10" t="inlineStr"/>
      <c r="P2804" s="10" t="inlineStr"/>
      <c r="Q2804" s="10" t="inlineStr"/>
      <c r="R2804" s="10" t="inlineStr">
        <is>
          <t>2026-03-12</t>
        </is>
      </c>
      <c r="S2804" s="10" t="inlineStr"/>
    </row>
    <row r="2805">
      <c r="A2805" s="3" t="inlineStr">
        <is>
          <t>F03271</t>
        </is>
      </c>
      <c r="B2805" s="4" t="inlineStr">
        <is>
          <t>F03271</t>
        </is>
      </c>
      <c r="C2805" s="4" t="inlineStr">
        <is>
          <t>31589</t>
        </is>
      </c>
      <c r="D2805" s="4" t="inlineStr">
        <is>
          <t>6009705656776</t>
        </is>
      </c>
      <c r="E2805" s="3" t="inlineStr">
        <is>
          <t>UV PANEL- BLING COSMIC  3D 2.7M X 1.220</t>
        </is>
      </c>
      <c r="F2805" s="4" t="inlineStr"/>
      <c r="G2805" s="4" t="inlineStr"/>
      <c r="H2805" s="4" t="inlineStr"/>
      <c r="I2805" s="5" t="n">
        <v>419</v>
      </c>
      <c r="J2805" s="6" t="n">
        <v>15</v>
      </c>
      <c r="K2805" s="7">
        <f>IF(I2805="","",I2805*(1+J2805/100))</f>
        <v/>
      </c>
      <c r="L2805" s="5" t="n">
        <v>1300</v>
      </c>
      <c r="M2805" s="8">
        <f>IF(OR(L2805="",K2805="",L2805=0),"",
  (L2805-K2805)/L2805*100)</f>
        <v/>
      </c>
      <c r="N2805" s="14" t="n">
        <v>120</v>
      </c>
      <c r="O2805" s="4" t="inlineStr"/>
      <c r="P2805" s="4" t="inlineStr"/>
      <c r="Q2805" s="4" t="inlineStr"/>
      <c r="R2805" s="4" t="inlineStr">
        <is>
          <t>2026-03-12</t>
        </is>
      </c>
      <c r="S2805" s="4" t="inlineStr"/>
    </row>
    <row r="2806">
      <c r="A2806" s="10" t="inlineStr">
        <is>
          <t>F03272</t>
        </is>
      </c>
      <c r="B2806" s="10" t="inlineStr">
        <is>
          <t>F03272</t>
        </is>
      </c>
      <c r="C2806" s="10" t="inlineStr">
        <is>
          <t>31591</t>
        </is>
      </c>
      <c r="D2806" s="10" t="inlineStr">
        <is>
          <t>6009705656783</t>
        </is>
      </c>
      <c r="E2806" s="10" t="inlineStr">
        <is>
          <t>UV PANEL- BLING IMPERO 3D 2.7M X 1.220</t>
        </is>
      </c>
      <c r="F2806" s="10" t="inlineStr"/>
      <c r="G2806" s="10" t="inlineStr"/>
      <c r="H2806" s="10" t="inlineStr"/>
      <c r="I2806" s="11" t="n">
        <v>369</v>
      </c>
      <c r="J2806" s="6" t="n">
        <v>15</v>
      </c>
      <c r="K2806" s="7">
        <f>IF(I2806="","",I2806*(1+J2806/100))</f>
        <v/>
      </c>
      <c r="L2806" s="11" t="n">
        <v>1300</v>
      </c>
      <c r="M2806" s="8">
        <f>IF(OR(L2806="",K2806="",L2806=0),"",
  (L2806-K2806)/L2806*100)</f>
        <v/>
      </c>
      <c r="N2806" s="9" t="inlineStr"/>
      <c r="O2806" s="10" t="inlineStr"/>
      <c r="P2806" s="10" t="inlineStr"/>
      <c r="Q2806" s="10" t="inlineStr"/>
      <c r="R2806" s="10" t="inlineStr">
        <is>
          <t>2026-03-12</t>
        </is>
      </c>
      <c r="S2806" s="10" t="inlineStr"/>
    </row>
    <row r="2807">
      <c r="A2807" s="3" t="inlineStr">
        <is>
          <t>F03273</t>
        </is>
      </c>
      <c r="B2807" s="4" t="inlineStr">
        <is>
          <t>F03273</t>
        </is>
      </c>
      <c r="C2807" s="4" t="inlineStr">
        <is>
          <t>31599</t>
        </is>
      </c>
      <c r="D2807" s="4" t="inlineStr">
        <is>
          <t>6009705656790</t>
        </is>
      </c>
      <c r="E2807" s="3" t="inlineStr">
        <is>
          <t>UV PANEL VENATO NATURAL 2.7M X 1.220M</t>
        </is>
      </c>
      <c r="F2807" s="4" t="inlineStr"/>
      <c r="G2807" s="4" t="inlineStr"/>
      <c r="H2807" s="4" t="inlineStr"/>
      <c r="I2807" s="5" t="n">
        <v>379</v>
      </c>
      <c r="J2807" s="6" t="n">
        <v>15</v>
      </c>
      <c r="K2807" s="7">
        <f>IF(I2807="","",I2807*(1+J2807/100))</f>
        <v/>
      </c>
      <c r="L2807" s="5" t="n">
        <v>1300</v>
      </c>
      <c r="M2807" s="8">
        <f>IF(OR(L2807="",K2807="",L2807=0),"",
  (L2807-K2807)/L2807*100)</f>
        <v/>
      </c>
      <c r="N2807" s="14" t="n">
        <v>127</v>
      </c>
      <c r="O2807" s="4" t="inlineStr"/>
      <c r="P2807" s="4" t="inlineStr"/>
      <c r="Q2807" s="4" t="inlineStr"/>
      <c r="R2807" s="4" t="inlineStr">
        <is>
          <t>2026-03-12</t>
        </is>
      </c>
      <c r="S2807" s="4" t="inlineStr"/>
    </row>
    <row r="2808">
      <c r="A2808" s="10" t="inlineStr">
        <is>
          <t>F03275</t>
        </is>
      </c>
      <c r="B2808" s="10" t="inlineStr">
        <is>
          <t>F03275</t>
        </is>
      </c>
      <c r="C2808" s="10" t="inlineStr"/>
      <c r="D2808" s="10" t="inlineStr">
        <is>
          <t>6009705656806</t>
        </is>
      </c>
      <c r="E2808" s="10" t="inlineStr">
        <is>
          <t>WALL PANEL BARCELONA WHITE MATT LOOSE</t>
        </is>
      </c>
      <c r="F2808" s="10" t="inlineStr"/>
      <c r="G2808" s="10" t="inlineStr"/>
      <c r="H2808" s="10" t="inlineStr"/>
      <c r="I2808" s="11" t="n">
        <v>159</v>
      </c>
      <c r="J2808" s="6" t="n">
        <v>15</v>
      </c>
      <c r="K2808" s="7">
        <f>IF(I2808="","",I2808*(1+J2808/100))</f>
        <v/>
      </c>
      <c r="L2808" s="12" t="inlineStr"/>
      <c r="M2808" s="8">
        <f>IF(OR(L2808="",K2808="",L2808=0),"",
  (L2808-K2808)/L2808*100)</f>
        <v/>
      </c>
      <c r="N2808" s="9" t="inlineStr"/>
      <c r="O2808" s="10" t="inlineStr"/>
      <c r="P2808" s="10" t="inlineStr"/>
      <c r="Q2808" s="10" t="inlineStr"/>
      <c r="R2808" s="10" t="inlineStr">
        <is>
          <t>2026-03-12</t>
        </is>
      </c>
      <c r="S2808" s="10" t="inlineStr"/>
    </row>
    <row r="2809">
      <c r="A2809" s="3" t="inlineStr">
        <is>
          <t>F03276</t>
        </is>
      </c>
      <c r="B2809" s="4" t="inlineStr">
        <is>
          <t>F03276</t>
        </is>
      </c>
      <c r="C2809" s="4" t="inlineStr"/>
      <c r="D2809" s="4" t="inlineStr"/>
      <c r="E2809" s="3" t="inlineStr">
        <is>
          <t>WALL PANEL- BARCELONA WHITE MATT</t>
        </is>
      </c>
      <c r="F2809" s="4" t="inlineStr"/>
      <c r="G2809" s="4" t="inlineStr"/>
      <c r="H2809" s="4" t="inlineStr"/>
      <c r="I2809" s="5" t="n">
        <v>950</v>
      </c>
      <c r="J2809" s="6" t="n">
        <v>15</v>
      </c>
      <c r="K2809" s="7">
        <f>IF(I2809="","",I2809*(1+J2809/100))</f>
        <v/>
      </c>
      <c r="L2809" s="12" t="inlineStr"/>
      <c r="M2809" s="8">
        <f>IF(OR(L2809="",K2809="",L2809=0),"",
  (L2809-K2809)/L2809*100)</f>
        <v/>
      </c>
      <c r="N2809" s="14" t="n">
        <v>144</v>
      </c>
      <c r="O2809" s="4" t="inlineStr"/>
      <c r="P2809" s="4" t="inlineStr"/>
      <c r="Q2809" s="4" t="inlineStr"/>
      <c r="R2809" s="4" t="inlineStr">
        <is>
          <t>2026-03-12</t>
        </is>
      </c>
      <c r="S2809" s="4" t="inlineStr"/>
    </row>
    <row r="2810">
      <c r="A2810" s="10" t="inlineStr">
        <is>
          <t>F03277</t>
        </is>
      </c>
      <c r="B2810" s="10" t="inlineStr">
        <is>
          <t>F03277</t>
        </is>
      </c>
      <c r="C2810" s="10" t="inlineStr"/>
      <c r="D2810" s="10" t="inlineStr"/>
      <c r="E2810" s="10" t="inlineStr">
        <is>
          <t>STRIP FOR BARCELONA  MATT WHITE</t>
        </is>
      </c>
      <c r="F2810" s="10" t="inlineStr"/>
      <c r="G2810" s="10" t="inlineStr"/>
      <c r="H2810" s="10" t="inlineStr"/>
      <c r="I2810" s="11" t="n">
        <v>39.95</v>
      </c>
      <c r="J2810" s="6" t="n">
        <v>15</v>
      </c>
      <c r="K2810" s="7">
        <f>IF(I2810="","",I2810*(1+J2810/100))</f>
        <v/>
      </c>
      <c r="L2810" s="12" t="inlineStr"/>
      <c r="M2810" s="8">
        <f>IF(OR(L2810="",K2810="",L2810=0),"",
  (L2810-K2810)/L2810*100)</f>
        <v/>
      </c>
      <c r="N2810" s="13" t="n">
        <v>111</v>
      </c>
      <c r="O2810" s="10" t="inlineStr"/>
      <c r="P2810" s="10" t="inlineStr"/>
      <c r="Q2810" s="10" t="inlineStr"/>
      <c r="R2810" s="10" t="inlineStr">
        <is>
          <t>2026-03-12</t>
        </is>
      </c>
      <c r="S2810" s="10" t="inlineStr"/>
    </row>
    <row r="2811">
      <c r="A2811" s="3" t="inlineStr">
        <is>
          <t>F03278</t>
        </is>
      </c>
      <c r="B2811" s="4" t="inlineStr">
        <is>
          <t>F03278</t>
        </is>
      </c>
      <c r="C2811" s="4" t="inlineStr"/>
      <c r="D2811" s="4" t="inlineStr">
        <is>
          <t>6009705656851</t>
        </is>
      </c>
      <c r="E2811" s="3" t="inlineStr">
        <is>
          <t>BUILDERS PLASTIC DPC 2M X 30M  100MIC</t>
        </is>
      </c>
      <c r="F2811" s="4" t="inlineStr"/>
      <c r="G2811" s="4" t="inlineStr"/>
      <c r="H2811" s="4" t="inlineStr"/>
      <c r="I2811" s="5" t="n">
        <v>105</v>
      </c>
      <c r="J2811" s="6" t="n">
        <v>15</v>
      </c>
      <c r="K2811" s="7">
        <f>IF(I2811="","",I2811*(1+J2811/100))</f>
        <v/>
      </c>
      <c r="L2811" s="12" t="inlineStr"/>
      <c r="M2811" s="8">
        <f>IF(OR(L2811="",K2811="",L2811=0),"",
  (L2811-K2811)/L2811*100)</f>
        <v/>
      </c>
      <c r="N2811" s="14" t="n">
        <v>98</v>
      </c>
      <c r="O2811" s="4" t="inlineStr"/>
      <c r="P2811" s="4" t="inlineStr"/>
      <c r="Q2811" s="4" t="inlineStr"/>
      <c r="R2811" s="4" t="inlineStr">
        <is>
          <t>2026-03-12</t>
        </is>
      </c>
      <c r="S2811" s="4" t="inlineStr"/>
    </row>
    <row r="2812">
      <c r="A2812" s="10" t="inlineStr">
        <is>
          <t>F03279</t>
        </is>
      </c>
      <c r="B2812" s="10" t="inlineStr">
        <is>
          <t>F03279</t>
        </is>
      </c>
      <c r="C2812" s="10" t="inlineStr"/>
      <c r="D2812" s="10" t="inlineStr">
        <is>
          <t>6009705656844</t>
        </is>
      </c>
      <c r="E2812" s="10" t="inlineStr">
        <is>
          <t>BUILDERS PLASTIC DPC 2MX30M  250MIC</t>
        </is>
      </c>
      <c r="F2812" s="10" t="inlineStr"/>
      <c r="G2812" s="10" t="inlineStr"/>
      <c r="H2812" s="10" t="inlineStr"/>
      <c r="I2812" s="11" t="n">
        <v>225</v>
      </c>
      <c r="J2812" s="6" t="n">
        <v>15</v>
      </c>
      <c r="K2812" s="7">
        <f>IF(I2812="","",I2812*(1+J2812/100))</f>
        <v/>
      </c>
      <c r="L2812" s="12" t="inlineStr"/>
      <c r="M2812" s="8">
        <f>IF(OR(L2812="",K2812="",L2812=0),"",
  (L2812-K2812)/L2812*100)</f>
        <v/>
      </c>
      <c r="N2812" s="13" t="n">
        <v>2</v>
      </c>
      <c r="O2812" s="10" t="inlineStr"/>
      <c r="P2812" s="10" t="inlineStr"/>
      <c r="Q2812" s="10" t="inlineStr"/>
      <c r="R2812" s="10" t="inlineStr">
        <is>
          <t>2026-03-12</t>
        </is>
      </c>
      <c r="S2812" s="10" t="inlineStr"/>
    </row>
    <row r="2813">
      <c r="A2813" s="3" t="inlineStr">
        <is>
          <t>F03280</t>
        </is>
      </c>
      <c r="B2813" s="4" t="inlineStr">
        <is>
          <t>F03280</t>
        </is>
      </c>
      <c r="C2813" s="4" t="inlineStr"/>
      <c r="D2813" s="4" t="inlineStr">
        <is>
          <t>6009705656868</t>
        </is>
      </c>
      <c r="E2813" s="3" t="inlineStr">
        <is>
          <t>PAINT TRAY SET BRWN PROF' PILE</t>
        </is>
      </c>
      <c r="F2813" s="4" t="inlineStr"/>
      <c r="G2813" s="4" t="inlineStr"/>
      <c r="H2813" s="4" t="inlineStr"/>
      <c r="I2813" s="5" t="n">
        <v>47.95</v>
      </c>
      <c r="J2813" s="6" t="n">
        <v>15</v>
      </c>
      <c r="K2813" s="7">
        <f>IF(I2813="","",I2813*(1+J2813/100))</f>
        <v/>
      </c>
      <c r="L2813" s="12" t="inlineStr"/>
      <c r="M2813" s="8">
        <f>IF(OR(L2813="",K2813="",L2813=0),"",
  (L2813-K2813)/L2813*100)</f>
        <v/>
      </c>
      <c r="N2813" s="9" t="inlineStr"/>
      <c r="O2813" s="4" t="inlineStr"/>
      <c r="P2813" s="4" t="inlineStr"/>
      <c r="Q2813" s="4" t="inlineStr"/>
      <c r="R2813" s="4" t="inlineStr">
        <is>
          <t>2026-03-12</t>
        </is>
      </c>
      <c r="S2813" s="4" t="inlineStr"/>
    </row>
    <row r="2814">
      <c r="A2814" s="10" t="inlineStr">
        <is>
          <t>F03281</t>
        </is>
      </c>
      <c r="B2814" s="10" t="inlineStr">
        <is>
          <t>F03281</t>
        </is>
      </c>
      <c r="C2814" s="10" t="inlineStr"/>
      <c r="D2814" s="10" t="inlineStr">
        <is>
          <t>60009705656875</t>
        </is>
      </c>
      <c r="E2814" s="10" t="inlineStr">
        <is>
          <t>PAINT TRAY SET ECONO ROLLER BLK</t>
        </is>
      </c>
      <c r="F2814" s="10" t="inlineStr"/>
      <c r="G2814" s="10" t="inlineStr"/>
      <c r="H2814" s="10" t="inlineStr"/>
      <c r="I2814" s="11" t="n">
        <v>15.95</v>
      </c>
      <c r="J2814" s="6" t="n">
        <v>15</v>
      </c>
      <c r="K2814" s="7">
        <f>IF(I2814="","",I2814*(1+J2814/100))</f>
        <v/>
      </c>
      <c r="L2814" s="12" t="inlineStr"/>
      <c r="M2814" s="8">
        <f>IF(OR(L2814="",K2814="",L2814=0),"",
  (L2814-K2814)/L2814*100)</f>
        <v/>
      </c>
      <c r="N2814" s="9" t="inlineStr"/>
      <c r="O2814" s="10" t="inlineStr"/>
      <c r="P2814" s="10" t="inlineStr"/>
      <c r="Q2814" s="10" t="inlineStr"/>
      <c r="R2814" s="10" t="inlineStr">
        <is>
          <t>2026-03-12</t>
        </is>
      </c>
      <c r="S2814" s="10" t="inlineStr"/>
    </row>
    <row r="2815">
      <c r="A2815" s="3" t="inlineStr">
        <is>
          <t>F03282</t>
        </is>
      </c>
      <c r="B2815" s="4" t="inlineStr">
        <is>
          <t>F03282</t>
        </is>
      </c>
      <c r="C2815" s="4" t="inlineStr"/>
      <c r="D2815" s="4" t="inlineStr">
        <is>
          <t>6009705656882</t>
        </is>
      </c>
      <c r="E2815" s="3" t="inlineStr">
        <is>
          <t>PAINT ROLLER HER PILE</t>
        </is>
      </c>
      <c r="F2815" s="4" t="inlineStr"/>
      <c r="G2815" s="4" t="inlineStr"/>
      <c r="H2815" s="4" t="inlineStr"/>
      <c r="I2815" s="5" t="n">
        <v>2</v>
      </c>
      <c r="J2815" s="6" t="n">
        <v>15</v>
      </c>
      <c r="K2815" s="7">
        <f>IF(I2815="","",I2815*(1+J2815/100))</f>
        <v/>
      </c>
      <c r="L2815" s="12" t="inlineStr"/>
      <c r="M2815" s="8">
        <f>IF(OR(L2815="",K2815="",L2815=0),"",
  (L2815-K2815)/L2815*100)</f>
        <v/>
      </c>
      <c r="N2815" s="9" t="inlineStr"/>
      <c r="O2815" s="4" t="inlineStr"/>
      <c r="P2815" s="4" t="inlineStr"/>
      <c r="Q2815" s="4" t="inlineStr"/>
      <c r="R2815" s="4" t="inlineStr">
        <is>
          <t>2026-03-12</t>
        </is>
      </c>
      <c r="S2815" s="4" t="inlineStr"/>
    </row>
    <row r="2816">
      <c r="A2816" s="10" t="inlineStr">
        <is>
          <t>F03283</t>
        </is>
      </c>
      <c r="B2816" s="10" t="inlineStr">
        <is>
          <t>F03283</t>
        </is>
      </c>
      <c r="C2816" s="10" t="inlineStr"/>
      <c r="D2816" s="10" t="inlineStr">
        <is>
          <t>7891114013467</t>
        </is>
      </c>
      <c r="E2816" s="10" t="inlineStr">
        <is>
          <t>LEVEL 600MM  ALUMINIUM</t>
        </is>
      </c>
      <c r="F2816" s="10" t="inlineStr"/>
      <c r="G2816" s="10" t="inlineStr"/>
      <c r="H2816" s="10" t="inlineStr"/>
      <c r="I2816" s="11" t="n">
        <v>49.5</v>
      </c>
      <c r="J2816" s="6" t="n">
        <v>15</v>
      </c>
      <c r="K2816" s="7">
        <f>IF(I2816="","",I2816*(1+J2816/100))</f>
        <v/>
      </c>
      <c r="L2816" s="12" t="inlineStr"/>
      <c r="M2816" s="8">
        <f>IF(OR(L2816="",K2816="",L2816=0),"",
  (L2816-K2816)/L2816*100)</f>
        <v/>
      </c>
      <c r="N2816" s="9" t="inlineStr"/>
      <c r="O2816" s="10" t="inlineStr"/>
      <c r="P2816" s="10" t="inlineStr"/>
      <c r="Q2816" s="10" t="inlineStr"/>
      <c r="R2816" s="10" t="inlineStr">
        <is>
          <t>2026-03-12</t>
        </is>
      </c>
      <c r="S2816" s="10" t="inlineStr"/>
    </row>
    <row r="2817">
      <c r="A2817" s="3" t="inlineStr">
        <is>
          <t>F03284</t>
        </is>
      </c>
      <c r="B2817" s="4" t="inlineStr">
        <is>
          <t>F03284</t>
        </is>
      </c>
      <c r="C2817" s="4" t="inlineStr"/>
      <c r="D2817" s="4" t="inlineStr">
        <is>
          <t>7891114013450</t>
        </is>
      </c>
      <c r="E2817" s="3" t="inlineStr">
        <is>
          <t>LEVEL 450MM ALUMINUM</t>
        </is>
      </c>
      <c r="F2817" s="4" t="inlineStr"/>
      <c r="G2817" s="4" t="inlineStr"/>
      <c r="H2817" s="4" t="inlineStr"/>
      <c r="I2817" s="5" t="n">
        <v>37.95</v>
      </c>
      <c r="J2817" s="6" t="n">
        <v>15</v>
      </c>
      <c r="K2817" s="7">
        <f>IF(I2817="","",I2817*(1+J2817/100))</f>
        <v/>
      </c>
      <c r="L2817" s="12" t="inlineStr"/>
      <c r="M2817" s="8">
        <f>IF(OR(L2817="",K2817="",L2817=0),"",
  (L2817-K2817)/L2817*100)</f>
        <v/>
      </c>
      <c r="N2817" s="9" t="inlineStr"/>
      <c r="O2817" s="4" t="inlineStr"/>
      <c r="P2817" s="4" t="inlineStr"/>
      <c r="Q2817" s="4" t="inlineStr"/>
      <c r="R2817" s="4" t="inlineStr">
        <is>
          <t>2026-03-12</t>
        </is>
      </c>
      <c r="S2817" s="4" t="inlineStr"/>
    </row>
    <row r="2818">
      <c r="A2818" s="10" t="inlineStr">
        <is>
          <t>F03285</t>
        </is>
      </c>
      <c r="B2818" s="10" t="inlineStr">
        <is>
          <t>F03285</t>
        </is>
      </c>
      <c r="C2818" s="10" t="inlineStr"/>
      <c r="D2818" s="10" t="inlineStr"/>
      <c r="E2818" s="10" t="inlineStr">
        <is>
          <t>BICYLCE PUMP KIT 7PC</t>
        </is>
      </c>
      <c r="F2818" s="10" t="inlineStr"/>
      <c r="G2818" s="10" t="inlineStr"/>
      <c r="H2818" s="10" t="inlineStr"/>
      <c r="I2818" s="11" t="n">
        <v>250</v>
      </c>
      <c r="J2818" s="6" t="n">
        <v>15</v>
      </c>
      <c r="K2818" s="7">
        <f>IF(I2818="","",I2818*(1+J2818/100))</f>
        <v/>
      </c>
      <c r="L2818" s="12" t="inlineStr"/>
      <c r="M2818" s="8">
        <f>IF(OR(L2818="",K2818="",L2818=0),"",
  (L2818-K2818)/L2818*100)</f>
        <v/>
      </c>
      <c r="N2818" s="9" t="inlineStr"/>
      <c r="O2818" s="10" t="inlineStr"/>
      <c r="P2818" s="10" t="inlineStr"/>
      <c r="Q2818" s="10" t="inlineStr"/>
      <c r="R2818" s="10" t="inlineStr">
        <is>
          <t>2026-03-12</t>
        </is>
      </c>
      <c r="S2818" s="10" t="inlineStr"/>
    </row>
    <row r="2819">
      <c r="A2819" s="3" t="inlineStr">
        <is>
          <t>F03286</t>
        </is>
      </c>
      <c r="B2819" s="4" t="inlineStr">
        <is>
          <t>F03286</t>
        </is>
      </c>
      <c r="C2819" s="4" t="inlineStr"/>
      <c r="D2819" s="4" t="inlineStr">
        <is>
          <t>7891114151749</t>
        </is>
      </c>
      <c r="E2819" s="3" t="inlineStr">
        <is>
          <t>TOOL BOX PLASTIC  70INCH</t>
        </is>
      </c>
      <c r="F2819" s="4" t="inlineStr"/>
      <c r="G2819" s="4" t="inlineStr"/>
      <c r="H2819" s="4" t="inlineStr"/>
      <c r="I2819" s="5" t="n">
        <v>120</v>
      </c>
      <c r="J2819" s="6" t="n">
        <v>15</v>
      </c>
      <c r="K2819" s="7">
        <f>IF(I2819="","",I2819*(1+J2819/100))</f>
        <v/>
      </c>
      <c r="L2819" s="12" t="inlineStr"/>
      <c r="M2819" s="8">
        <f>IF(OR(L2819="",K2819="",L2819=0),"",
  (L2819-K2819)/L2819*100)</f>
        <v/>
      </c>
      <c r="N2819" s="9" t="inlineStr"/>
      <c r="O2819" s="4" t="inlineStr"/>
      <c r="P2819" s="4" t="inlineStr"/>
      <c r="Q2819" s="4" t="inlineStr"/>
      <c r="R2819" s="4" t="inlineStr">
        <is>
          <t>2026-03-12</t>
        </is>
      </c>
      <c r="S2819" s="4" t="inlineStr"/>
    </row>
    <row r="2820">
      <c r="A2820" s="10" t="inlineStr">
        <is>
          <t>F03287</t>
        </is>
      </c>
      <c r="B2820" s="10" t="inlineStr">
        <is>
          <t>F03287</t>
        </is>
      </c>
      <c r="C2820" s="10" t="inlineStr"/>
      <c r="D2820" s="10" t="inlineStr"/>
      <c r="E2820" s="10" t="inlineStr">
        <is>
          <t>TABLE FOLDING BLACK -LOCAL (Z20)</t>
        </is>
      </c>
      <c r="F2820" s="10" t="inlineStr"/>
      <c r="G2820" s="10" t="inlineStr"/>
      <c r="H2820" s="10" t="inlineStr"/>
      <c r="I2820" s="11" t="n">
        <v>479</v>
      </c>
      <c r="J2820" s="6" t="n">
        <v>15</v>
      </c>
      <c r="K2820" s="7">
        <f>IF(I2820="","",I2820*(1+J2820/100))</f>
        <v/>
      </c>
      <c r="L2820" s="12" t="inlineStr"/>
      <c r="M2820" s="8">
        <f>IF(OR(L2820="",K2820="",L2820=0),"",
  (L2820-K2820)/L2820*100)</f>
        <v/>
      </c>
      <c r="N2820" s="9" t="inlineStr"/>
      <c r="O2820" s="10" t="inlineStr"/>
      <c r="P2820" s="10" t="inlineStr"/>
      <c r="Q2820" s="10" t="inlineStr"/>
      <c r="R2820" s="10" t="inlineStr">
        <is>
          <t>2026-03-12</t>
        </is>
      </c>
      <c r="S2820" s="10" t="inlineStr"/>
    </row>
    <row r="2821">
      <c r="A2821" s="3" t="inlineStr">
        <is>
          <t>F03288</t>
        </is>
      </c>
      <c r="B2821" s="4" t="inlineStr">
        <is>
          <t>F03288</t>
        </is>
      </c>
      <c r="C2821" s="4" t="inlineStr"/>
      <c r="D2821" s="4" t="inlineStr"/>
      <c r="E2821" s="3" t="inlineStr">
        <is>
          <t>DOOR 8 PANEL BEVEL HEAY DUTY ,NOSTAIN</t>
        </is>
      </c>
      <c r="F2821" s="4" t="inlineStr"/>
      <c r="G2821" s="4" t="inlineStr"/>
      <c r="H2821" s="4" t="inlineStr"/>
      <c r="I2821" s="5" t="n">
        <v>769</v>
      </c>
      <c r="J2821" s="6" t="n">
        <v>15</v>
      </c>
      <c r="K2821" s="7">
        <f>IF(I2821="","",I2821*(1+J2821/100))</f>
        <v/>
      </c>
      <c r="L2821" s="12" t="inlineStr"/>
      <c r="M2821" s="8">
        <f>IF(OR(L2821="",K2821="",L2821=0),"",
  (L2821-K2821)/L2821*100)</f>
        <v/>
      </c>
      <c r="N2821" s="9" t="inlineStr"/>
      <c r="O2821" s="4" t="inlineStr"/>
      <c r="P2821" s="4" t="inlineStr"/>
      <c r="Q2821" s="4" t="inlineStr"/>
      <c r="R2821" s="4" t="inlineStr">
        <is>
          <t>2026-03-12</t>
        </is>
      </c>
      <c r="S2821" s="4" t="inlineStr"/>
    </row>
    <row r="2822">
      <c r="A2822" s="10" t="inlineStr">
        <is>
          <t>F03289</t>
        </is>
      </c>
      <c r="B2822" s="10" t="inlineStr">
        <is>
          <t>F03289</t>
        </is>
      </c>
      <c r="C2822" s="10" t="inlineStr"/>
      <c r="D2822" s="10" t="inlineStr"/>
      <c r="E2822" s="10" t="inlineStr">
        <is>
          <t>PAINT TRAY WHITE</t>
        </is>
      </c>
      <c r="F2822" s="10" t="inlineStr"/>
      <c r="G2822" s="10" t="inlineStr"/>
      <c r="H2822" s="10" t="inlineStr"/>
      <c r="I2822" s="11" t="n">
        <v>10.95</v>
      </c>
      <c r="J2822" s="6" t="n">
        <v>15</v>
      </c>
      <c r="K2822" s="7">
        <f>IF(I2822="","",I2822*(1+J2822/100))</f>
        <v/>
      </c>
      <c r="L2822" s="12" t="inlineStr"/>
      <c r="M2822" s="8">
        <f>IF(OR(L2822="",K2822="",L2822=0),"",
  (L2822-K2822)/L2822*100)</f>
        <v/>
      </c>
      <c r="N2822" s="13" t="n">
        <v>1785</v>
      </c>
      <c r="O2822" s="10" t="inlineStr"/>
      <c r="P2822" s="10" t="inlineStr"/>
      <c r="Q2822" s="10" t="inlineStr"/>
      <c r="R2822" s="10" t="inlineStr">
        <is>
          <t>2026-03-12</t>
        </is>
      </c>
      <c r="S2822" s="10" t="inlineStr"/>
    </row>
    <row r="2823">
      <c r="A2823" s="3" t="inlineStr">
        <is>
          <t>F03290</t>
        </is>
      </c>
      <c r="B2823" s="4" t="inlineStr">
        <is>
          <t>F03290</t>
        </is>
      </c>
      <c r="C2823" s="4" t="inlineStr"/>
      <c r="D2823" s="4" t="inlineStr"/>
      <c r="E2823" s="3" t="inlineStr">
        <is>
          <t>PAINT TRAY PINK</t>
        </is>
      </c>
      <c r="F2823" s="4" t="inlineStr"/>
      <c r="G2823" s="4" t="inlineStr"/>
      <c r="H2823" s="4" t="inlineStr"/>
      <c r="I2823" s="5" t="n">
        <v>10.95</v>
      </c>
      <c r="J2823" s="6" t="n">
        <v>15</v>
      </c>
      <c r="K2823" s="7">
        <f>IF(I2823="","",I2823*(1+J2823/100))</f>
        <v/>
      </c>
      <c r="L2823" s="12" t="inlineStr"/>
      <c r="M2823" s="8">
        <f>IF(OR(L2823="",K2823="",L2823=0),"",
  (L2823-K2823)/L2823*100)</f>
        <v/>
      </c>
      <c r="N2823" s="14" t="n">
        <v>1810</v>
      </c>
      <c r="O2823" s="4" t="inlineStr"/>
      <c r="P2823" s="4" t="inlineStr"/>
      <c r="Q2823" s="4" t="inlineStr"/>
      <c r="R2823" s="4" t="inlineStr">
        <is>
          <t>2026-03-12</t>
        </is>
      </c>
      <c r="S2823" s="4" t="inlineStr"/>
    </row>
    <row r="2824">
      <c r="A2824" s="10" t="inlineStr">
        <is>
          <t>F03291</t>
        </is>
      </c>
      <c r="B2824" s="10" t="inlineStr">
        <is>
          <t>F03291</t>
        </is>
      </c>
      <c r="C2824" s="10" t="inlineStr"/>
      <c r="D2824" s="10" t="inlineStr">
        <is>
          <t>6009699455140</t>
        </is>
      </c>
      <c r="E2824" s="10" t="inlineStr">
        <is>
          <t>REFUSE BAG 20S BUDGET FLAT PACK</t>
        </is>
      </c>
      <c r="F2824" s="10" t="inlineStr"/>
      <c r="G2824" s="10" t="inlineStr"/>
      <c r="H2824" s="10" t="inlineStr"/>
      <c r="I2824" s="11" t="n">
        <v>16.5</v>
      </c>
      <c r="J2824" s="6" t="n">
        <v>15</v>
      </c>
      <c r="K2824" s="7">
        <f>IF(I2824="","",I2824*(1+J2824/100))</f>
        <v/>
      </c>
      <c r="L2824" s="12" t="inlineStr"/>
      <c r="M2824" s="8">
        <f>IF(OR(L2824="",K2824="",L2824=0),"",
  (L2824-K2824)/L2824*100)</f>
        <v/>
      </c>
      <c r="N2824" s="9" t="inlineStr"/>
      <c r="O2824" s="10" t="inlineStr"/>
      <c r="P2824" s="10" t="inlineStr"/>
      <c r="Q2824" s="10" t="inlineStr"/>
      <c r="R2824" s="10" t="inlineStr">
        <is>
          <t>2026-03-12</t>
        </is>
      </c>
      <c r="S2824" s="10" t="inlineStr"/>
    </row>
    <row r="2825">
      <c r="A2825" s="3" t="inlineStr">
        <is>
          <t>F03292</t>
        </is>
      </c>
      <c r="B2825" s="4" t="inlineStr">
        <is>
          <t>F03292</t>
        </is>
      </c>
      <c r="C2825" s="4" t="inlineStr"/>
      <c r="D2825" s="4" t="inlineStr"/>
      <c r="E2825" s="3" t="inlineStr">
        <is>
          <t>ROOF TILE UNDERLAY EMPIRE SABS</t>
        </is>
      </c>
      <c r="F2825" s="4" t="inlineStr"/>
      <c r="G2825" s="4" t="inlineStr"/>
      <c r="H2825" s="4" t="inlineStr"/>
      <c r="I2825" s="5" t="n">
        <v>229</v>
      </c>
      <c r="J2825" s="6" t="n">
        <v>15</v>
      </c>
      <c r="K2825" s="7">
        <f>IF(I2825="","",I2825*(1+J2825/100))</f>
        <v/>
      </c>
      <c r="L2825" s="12" t="inlineStr"/>
      <c r="M2825" s="8">
        <f>IF(OR(L2825="",K2825="",L2825=0),"",
  (L2825-K2825)/L2825*100)</f>
        <v/>
      </c>
      <c r="N2825" s="9" t="inlineStr"/>
      <c r="O2825" s="4" t="inlineStr"/>
      <c r="P2825" s="4" t="inlineStr"/>
      <c r="Q2825" s="4" t="inlineStr"/>
      <c r="R2825" s="4" t="inlineStr">
        <is>
          <t>2026-03-12</t>
        </is>
      </c>
      <c r="S2825" s="4" t="inlineStr"/>
    </row>
    <row r="2826">
      <c r="A2826" s="10" t="inlineStr">
        <is>
          <t>F03293</t>
        </is>
      </c>
      <c r="B2826" s="10" t="inlineStr">
        <is>
          <t>F03293</t>
        </is>
      </c>
      <c r="C2826" s="10" t="inlineStr"/>
      <c r="D2826" s="10" t="inlineStr"/>
      <c r="E2826" s="10" t="inlineStr">
        <is>
          <t>PAINT TRAY ASSORTED COLORS</t>
        </is>
      </c>
      <c r="F2826" s="10" t="inlineStr"/>
      <c r="G2826" s="10" t="inlineStr"/>
      <c r="H2826" s="10" t="inlineStr"/>
      <c r="I2826" s="11" t="n">
        <v>10.5</v>
      </c>
      <c r="J2826" s="6" t="n">
        <v>15</v>
      </c>
      <c r="K2826" s="7">
        <f>IF(I2826="","",I2826*(1+J2826/100))</f>
        <v/>
      </c>
      <c r="L2826" s="12" t="inlineStr"/>
      <c r="M2826" s="8">
        <f>IF(OR(L2826="",K2826="",L2826=0),"",
  (L2826-K2826)/L2826*100)</f>
        <v/>
      </c>
      <c r="N2826" s="13" t="n">
        <v>297</v>
      </c>
      <c r="O2826" s="10" t="inlineStr"/>
      <c r="P2826" s="10" t="inlineStr"/>
      <c r="Q2826" s="10" t="inlineStr"/>
      <c r="R2826" s="10" t="inlineStr">
        <is>
          <t>2026-03-12</t>
        </is>
      </c>
      <c r="S2826" s="10" t="inlineStr"/>
    </row>
    <row r="2827">
      <c r="A2827" s="3" t="inlineStr">
        <is>
          <t>F03294</t>
        </is>
      </c>
      <c r="B2827" s="4" t="inlineStr">
        <is>
          <t>F03294</t>
        </is>
      </c>
      <c r="C2827" s="4" t="inlineStr"/>
      <c r="D2827" s="4" t="inlineStr">
        <is>
          <t>6009705656929</t>
        </is>
      </c>
      <c r="E2827" s="3" t="inlineStr">
        <is>
          <t>STRIP FOR BARCELONA  MAHOGANY</t>
        </is>
      </c>
      <c r="F2827" s="4" t="inlineStr"/>
      <c r="G2827" s="4" t="inlineStr"/>
      <c r="H2827" s="4" t="inlineStr"/>
      <c r="I2827" s="5" t="n">
        <v>39.95</v>
      </c>
      <c r="J2827" s="6" t="n">
        <v>15</v>
      </c>
      <c r="K2827" s="7">
        <f>IF(I2827="","",I2827*(1+J2827/100))</f>
        <v/>
      </c>
      <c r="L2827" s="12" t="inlineStr"/>
      <c r="M2827" s="8">
        <f>IF(OR(L2827="",K2827="",L2827=0),"",
  (L2827-K2827)/L2827*100)</f>
        <v/>
      </c>
      <c r="N2827" s="14" t="n">
        <v>136</v>
      </c>
      <c r="O2827" s="4" t="inlineStr"/>
      <c r="P2827" s="4" t="inlineStr"/>
      <c r="Q2827" s="4" t="inlineStr"/>
      <c r="R2827" s="4" t="inlineStr">
        <is>
          <t>2026-03-12</t>
        </is>
      </c>
      <c r="S2827" s="4" t="inlineStr"/>
    </row>
    <row r="2828">
      <c r="A2828" s="10" t="inlineStr">
        <is>
          <t>F03295</t>
        </is>
      </c>
      <c r="B2828" s="10" t="inlineStr">
        <is>
          <t>F03295</t>
        </is>
      </c>
      <c r="C2828" s="10" t="inlineStr"/>
      <c r="D2828" s="10" t="inlineStr">
        <is>
          <t>6009705656974</t>
        </is>
      </c>
      <c r="E2828" s="10" t="inlineStr">
        <is>
          <t>HOSE PIPE 12MM X 15M + FITTING</t>
        </is>
      </c>
      <c r="F2828" s="10" t="inlineStr"/>
      <c r="G2828" s="10" t="inlineStr"/>
      <c r="H2828" s="10" t="inlineStr"/>
      <c r="I2828" s="11" t="n">
        <v>75.95</v>
      </c>
      <c r="J2828" s="6" t="n">
        <v>15</v>
      </c>
      <c r="K2828" s="7">
        <f>IF(I2828="","",I2828*(1+J2828/100))</f>
        <v/>
      </c>
      <c r="L2828" s="12" t="inlineStr"/>
      <c r="M2828" s="8">
        <f>IF(OR(L2828="",K2828="",L2828=0),"",
  (L2828-K2828)/L2828*100)</f>
        <v/>
      </c>
      <c r="N2828" s="13" t="n">
        <v>149</v>
      </c>
      <c r="O2828" s="10" t="inlineStr"/>
      <c r="P2828" s="10" t="inlineStr"/>
      <c r="Q2828" s="10" t="inlineStr"/>
      <c r="R2828" s="10" t="inlineStr">
        <is>
          <t>2026-03-12</t>
        </is>
      </c>
      <c r="S2828" s="10" t="inlineStr"/>
    </row>
    <row r="2829">
      <c r="A2829" s="3" t="inlineStr">
        <is>
          <t>F03296</t>
        </is>
      </c>
      <c r="B2829" s="4" t="inlineStr">
        <is>
          <t>F03296</t>
        </is>
      </c>
      <c r="C2829" s="4" t="inlineStr"/>
      <c r="D2829" s="4" t="inlineStr">
        <is>
          <t>6009705656967</t>
        </is>
      </c>
      <c r="E2829" s="3" t="inlineStr">
        <is>
          <t>HOSE PIPE 20MM X 20M  + FITTING</t>
        </is>
      </c>
      <c r="F2829" s="4" t="inlineStr"/>
      <c r="G2829" s="4" t="inlineStr"/>
      <c r="H2829" s="4" t="inlineStr"/>
      <c r="I2829" s="5" t="n">
        <v>159.95</v>
      </c>
      <c r="J2829" s="6" t="n">
        <v>15</v>
      </c>
      <c r="K2829" s="7">
        <f>IF(I2829="","",I2829*(1+J2829/100))</f>
        <v/>
      </c>
      <c r="L2829" s="12" t="inlineStr"/>
      <c r="M2829" s="8">
        <f>IF(OR(L2829="",K2829="",L2829=0),"",
  (L2829-K2829)/L2829*100)</f>
        <v/>
      </c>
      <c r="N2829" s="9" t="inlineStr"/>
      <c r="O2829" s="4" t="inlineStr"/>
      <c r="P2829" s="4" t="inlineStr"/>
      <c r="Q2829" s="4" t="inlineStr"/>
      <c r="R2829" s="4" t="inlineStr">
        <is>
          <t>2026-03-12</t>
        </is>
      </c>
      <c r="S2829" s="4" t="inlineStr"/>
    </row>
    <row r="2830">
      <c r="A2830" s="10" t="inlineStr">
        <is>
          <t>F03297</t>
        </is>
      </c>
      <c r="B2830" s="10" t="inlineStr">
        <is>
          <t>F03297</t>
        </is>
      </c>
      <c r="C2830" s="10" t="inlineStr"/>
      <c r="D2830" s="10" t="inlineStr">
        <is>
          <t>6009705656981</t>
        </is>
      </c>
      <c r="E2830" s="10" t="inlineStr">
        <is>
          <t>HOSE PIPE 4PC FITTING SET  12MM</t>
        </is>
      </c>
      <c r="F2830" s="10" t="inlineStr"/>
      <c r="G2830" s="10" t="inlineStr"/>
      <c r="H2830" s="10" t="inlineStr"/>
      <c r="I2830" s="11" t="n">
        <v>19.79</v>
      </c>
      <c r="J2830" s="6" t="n">
        <v>15</v>
      </c>
      <c r="K2830" s="7">
        <f>IF(I2830="","",I2830*(1+J2830/100))</f>
        <v/>
      </c>
      <c r="L2830" s="12" t="inlineStr"/>
      <c r="M2830" s="8">
        <f>IF(OR(L2830="",K2830="",L2830=0),"",
  (L2830-K2830)/L2830*100)</f>
        <v/>
      </c>
      <c r="N2830" s="13" t="n">
        <v>660</v>
      </c>
      <c r="O2830" s="10" t="inlineStr"/>
      <c r="P2830" s="10" t="inlineStr"/>
      <c r="Q2830" s="10" t="inlineStr"/>
      <c r="R2830" s="10" t="inlineStr">
        <is>
          <t>2026-03-12</t>
        </is>
      </c>
      <c r="S2830" s="10" t="inlineStr"/>
    </row>
    <row r="2831">
      <c r="A2831" s="3" t="inlineStr">
        <is>
          <t>F03298</t>
        </is>
      </c>
      <c r="B2831" s="4" t="inlineStr">
        <is>
          <t>F03298</t>
        </is>
      </c>
      <c r="C2831" s="4" t="inlineStr"/>
      <c r="D2831" s="4" t="inlineStr">
        <is>
          <t>6009705656998</t>
        </is>
      </c>
      <c r="E2831" s="3" t="inlineStr">
        <is>
          <t>HOSE PIPE 4PC FITTING SET 20MM</t>
        </is>
      </c>
      <c r="F2831" s="4" t="inlineStr"/>
      <c r="G2831" s="4" t="inlineStr"/>
      <c r="H2831" s="4" t="inlineStr"/>
      <c r="I2831" s="5" t="n">
        <v>21.95</v>
      </c>
      <c r="J2831" s="6" t="n">
        <v>15</v>
      </c>
      <c r="K2831" s="7">
        <f>IF(I2831="","",I2831*(1+J2831/100))</f>
        <v/>
      </c>
      <c r="L2831" s="12" t="inlineStr"/>
      <c r="M2831" s="8">
        <f>IF(OR(L2831="",K2831="",L2831=0),"",
  (L2831-K2831)/L2831*100)</f>
        <v/>
      </c>
      <c r="N2831" s="14" t="n">
        <v>3</v>
      </c>
      <c r="O2831" s="4" t="inlineStr"/>
      <c r="P2831" s="4" t="inlineStr"/>
      <c r="Q2831" s="4" t="inlineStr"/>
      <c r="R2831" s="4" t="inlineStr">
        <is>
          <t>2026-03-12</t>
        </is>
      </c>
      <c r="S2831" s="4" t="inlineStr"/>
    </row>
    <row r="2832">
      <c r="A2832" s="10" t="inlineStr">
        <is>
          <t>F03299</t>
        </is>
      </c>
      <c r="B2832" s="10" t="inlineStr">
        <is>
          <t>F03299</t>
        </is>
      </c>
      <c r="C2832" s="10" t="inlineStr"/>
      <c r="D2832" s="10" t="inlineStr">
        <is>
          <t>6009705657001</t>
        </is>
      </c>
      <c r="E2832" s="10" t="inlineStr">
        <is>
          <t>HOSE PIPE NOZZLE - 12MM</t>
        </is>
      </c>
      <c r="F2832" s="10" t="inlineStr"/>
      <c r="G2832" s="10" t="inlineStr"/>
      <c r="H2832" s="10" t="inlineStr"/>
      <c r="I2832" s="11" t="n">
        <v>9.390000000000001</v>
      </c>
      <c r="J2832" s="6" t="n">
        <v>15</v>
      </c>
      <c r="K2832" s="7">
        <f>IF(I2832="","",I2832*(1+J2832/100))</f>
        <v/>
      </c>
      <c r="L2832" s="12" t="inlineStr"/>
      <c r="M2832" s="8">
        <f>IF(OR(L2832="",K2832="",L2832=0),"",
  (L2832-K2832)/L2832*100)</f>
        <v/>
      </c>
      <c r="N2832" s="13" t="n">
        <v>650</v>
      </c>
      <c r="O2832" s="10" t="inlineStr"/>
      <c r="P2832" s="10" t="inlineStr"/>
      <c r="Q2832" s="10" t="inlineStr"/>
      <c r="R2832" s="10" t="inlineStr">
        <is>
          <t>2026-03-12</t>
        </is>
      </c>
      <c r="S2832" s="10" t="inlineStr"/>
    </row>
    <row r="2833">
      <c r="A2833" s="3" t="inlineStr">
        <is>
          <t>F03300</t>
        </is>
      </c>
      <c r="B2833" s="4" t="inlineStr">
        <is>
          <t>F03300</t>
        </is>
      </c>
      <c r="C2833" s="4" t="inlineStr"/>
      <c r="D2833" s="4" t="inlineStr">
        <is>
          <t>6009705657018</t>
        </is>
      </c>
      <c r="E2833" s="3" t="inlineStr">
        <is>
          <t>HOSE PIPE MALE ADAPTOR FITTING</t>
        </is>
      </c>
      <c r="F2833" s="4" t="inlineStr"/>
      <c r="G2833" s="4" t="inlineStr"/>
      <c r="H2833" s="4" t="inlineStr"/>
      <c r="I2833" s="5" t="n">
        <v>6.59</v>
      </c>
      <c r="J2833" s="6" t="n">
        <v>15</v>
      </c>
      <c r="K2833" s="7">
        <f>IF(I2833="","",I2833*(1+J2833/100))</f>
        <v/>
      </c>
      <c r="L2833" s="12" t="inlineStr"/>
      <c r="M2833" s="8">
        <f>IF(OR(L2833="",K2833="",L2833=0),"",
  (L2833-K2833)/L2833*100)</f>
        <v/>
      </c>
      <c r="N2833" s="9" t="inlineStr"/>
      <c r="O2833" s="4" t="inlineStr"/>
      <c r="P2833" s="4" t="inlineStr"/>
      <c r="Q2833" s="4" t="inlineStr"/>
      <c r="R2833" s="4" t="inlineStr">
        <is>
          <t>2026-03-12</t>
        </is>
      </c>
      <c r="S2833" s="4" t="inlineStr"/>
    </row>
    <row r="2834">
      <c r="A2834" s="10" t="inlineStr">
        <is>
          <t>F03301</t>
        </is>
      </c>
      <c r="B2834" s="10" t="inlineStr">
        <is>
          <t>F03301</t>
        </is>
      </c>
      <c r="C2834" s="10" t="inlineStr"/>
      <c r="D2834" s="10" t="inlineStr">
        <is>
          <t>6009705657032</t>
        </is>
      </c>
      <c r="E2834" s="10" t="inlineStr">
        <is>
          <t>HOSE PIPE FEMALE CONNECT 12MM NON STOP</t>
        </is>
      </c>
      <c r="F2834" s="10" t="inlineStr"/>
      <c r="G2834" s="10" t="inlineStr"/>
      <c r="H2834" s="10" t="inlineStr"/>
      <c r="I2834" s="11" t="n">
        <v>9.49</v>
      </c>
      <c r="J2834" s="6" t="n">
        <v>15</v>
      </c>
      <c r="K2834" s="7">
        <f>IF(I2834="","",I2834*(1+J2834/100))</f>
        <v/>
      </c>
      <c r="L2834" s="12" t="inlineStr"/>
      <c r="M2834" s="8">
        <f>IF(OR(L2834="",K2834="",L2834=0),"",
  (L2834-K2834)/L2834*100)</f>
        <v/>
      </c>
      <c r="N2834" s="13" t="n">
        <v>142</v>
      </c>
      <c r="O2834" s="10" t="inlineStr"/>
      <c r="P2834" s="10" t="inlineStr"/>
      <c r="Q2834" s="10" t="inlineStr"/>
      <c r="R2834" s="10" t="inlineStr">
        <is>
          <t>2026-03-12</t>
        </is>
      </c>
      <c r="S2834" s="10" t="inlineStr"/>
    </row>
    <row r="2835">
      <c r="A2835" s="3" t="inlineStr">
        <is>
          <t>F03302</t>
        </is>
      </c>
      <c r="B2835" s="4" t="inlineStr">
        <is>
          <t>F03302</t>
        </is>
      </c>
      <c r="C2835" s="4" t="inlineStr"/>
      <c r="D2835" s="4" t="inlineStr">
        <is>
          <t>6009705657025</t>
        </is>
      </c>
      <c r="E2835" s="3" t="inlineStr">
        <is>
          <t>HOSE PIPE FEMALE CONNECT 20MM</t>
        </is>
      </c>
      <c r="F2835" s="4" t="inlineStr"/>
      <c r="G2835" s="4" t="inlineStr"/>
      <c r="H2835" s="4" t="inlineStr"/>
      <c r="I2835" s="5" t="n">
        <v>9.99</v>
      </c>
      <c r="J2835" s="6" t="n">
        <v>15</v>
      </c>
      <c r="K2835" s="7">
        <f>IF(I2835="","",I2835*(1+J2835/100))</f>
        <v/>
      </c>
      <c r="L2835" s="12" t="inlineStr"/>
      <c r="M2835" s="8">
        <f>IF(OR(L2835="",K2835="",L2835=0),"",
  (L2835-K2835)/L2835*100)</f>
        <v/>
      </c>
      <c r="N2835" s="14" t="n">
        <v>2</v>
      </c>
      <c r="O2835" s="4" t="inlineStr"/>
      <c r="P2835" s="4" t="inlineStr"/>
      <c r="Q2835" s="4" t="inlineStr"/>
      <c r="R2835" s="4" t="inlineStr">
        <is>
          <t>2026-03-12</t>
        </is>
      </c>
      <c r="S2835" s="4" t="inlineStr"/>
    </row>
    <row r="2836">
      <c r="A2836" s="10" t="inlineStr">
        <is>
          <t>F03303</t>
        </is>
      </c>
      <c r="B2836" s="10" t="inlineStr">
        <is>
          <t>F03303</t>
        </is>
      </c>
      <c r="C2836" s="10" t="inlineStr"/>
      <c r="D2836" s="10" t="inlineStr">
        <is>
          <t>6009705657049</t>
        </is>
      </c>
      <c r="E2836" s="10" t="inlineStr">
        <is>
          <t>HOSE PIPE 4PC FITTING SET 12MM H/DUTY</t>
        </is>
      </c>
      <c r="F2836" s="10" t="inlineStr"/>
      <c r="G2836" s="10" t="inlineStr"/>
      <c r="H2836" s="10" t="inlineStr"/>
      <c r="I2836" s="11" t="n">
        <v>27.95</v>
      </c>
      <c r="J2836" s="6" t="n">
        <v>15</v>
      </c>
      <c r="K2836" s="7">
        <f>IF(I2836="","",I2836*(1+J2836/100))</f>
        <v/>
      </c>
      <c r="L2836" s="12" t="inlineStr"/>
      <c r="M2836" s="8">
        <f>IF(OR(L2836="",K2836="",L2836=0),"",
  (L2836-K2836)/L2836*100)</f>
        <v/>
      </c>
      <c r="N2836" s="13" t="n">
        <v>1823</v>
      </c>
      <c r="O2836" s="10" t="inlineStr"/>
      <c r="P2836" s="10" t="inlineStr"/>
      <c r="Q2836" s="10" t="inlineStr"/>
      <c r="R2836" s="10" t="inlineStr">
        <is>
          <t>2026-03-12</t>
        </is>
      </c>
      <c r="S2836" s="10" t="inlineStr"/>
    </row>
    <row r="2837">
      <c r="A2837" s="3" t="inlineStr">
        <is>
          <t>F03304</t>
        </is>
      </c>
      <c r="B2837" s="4" t="inlineStr">
        <is>
          <t>F03304</t>
        </is>
      </c>
      <c r="C2837" s="4" t="inlineStr"/>
      <c r="D2837" s="4" t="inlineStr">
        <is>
          <t>6009705657056</t>
        </is>
      </c>
      <c r="E2837" s="3" t="inlineStr">
        <is>
          <t>HOSE PIPE 4PC FITTING SET 20MM H/DUTY</t>
        </is>
      </c>
      <c r="F2837" s="4" t="inlineStr"/>
      <c r="G2837" s="4" t="inlineStr"/>
      <c r="H2837" s="4" t="inlineStr"/>
      <c r="I2837" s="5" t="n">
        <v>31.95</v>
      </c>
      <c r="J2837" s="6" t="n">
        <v>15</v>
      </c>
      <c r="K2837" s="7">
        <f>IF(I2837="","",I2837*(1+J2837/100))</f>
        <v/>
      </c>
      <c r="L2837" s="12" t="inlineStr"/>
      <c r="M2837" s="8">
        <f>IF(OR(L2837="",K2837="",L2837=0),"",
  (L2837-K2837)/L2837*100)</f>
        <v/>
      </c>
      <c r="N2837" s="14" t="n">
        <v>333</v>
      </c>
      <c r="O2837" s="4" t="inlineStr"/>
      <c r="P2837" s="4" t="inlineStr"/>
      <c r="Q2837" s="4" t="inlineStr"/>
      <c r="R2837" s="4" t="inlineStr">
        <is>
          <t>2026-03-12</t>
        </is>
      </c>
      <c r="S2837" s="4" t="inlineStr"/>
    </row>
    <row r="2838">
      <c r="A2838" s="10" t="inlineStr">
        <is>
          <t>F03305</t>
        </is>
      </c>
      <c r="B2838" s="10" t="inlineStr">
        <is>
          <t>F03305</t>
        </is>
      </c>
      <c r="C2838" s="10" t="inlineStr"/>
      <c r="D2838" s="10" t="inlineStr">
        <is>
          <t>6009705657063</t>
        </is>
      </c>
      <c r="E2838" s="10" t="inlineStr">
        <is>
          <t>HOSE PIPE NOZZLE 12MM H/DUTY</t>
        </is>
      </c>
      <c r="F2838" s="10" t="inlineStr"/>
      <c r="G2838" s="10" t="inlineStr"/>
      <c r="H2838" s="10" t="inlineStr"/>
      <c r="I2838" s="11" t="n">
        <v>13.95</v>
      </c>
      <c r="J2838" s="6" t="n">
        <v>15</v>
      </c>
      <c r="K2838" s="7">
        <f>IF(I2838="","",I2838*(1+J2838/100))</f>
        <v/>
      </c>
      <c r="L2838" s="12" t="inlineStr"/>
      <c r="M2838" s="8">
        <f>IF(OR(L2838="",K2838="",L2838=0),"",
  (L2838-K2838)/L2838*100)</f>
        <v/>
      </c>
      <c r="N2838" s="13" t="n">
        <v>1497</v>
      </c>
      <c r="O2838" s="10" t="inlineStr"/>
      <c r="P2838" s="10" t="inlineStr"/>
      <c r="Q2838" s="10" t="inlineStr"/>
      <c r="R2838" s="10" t="inlineStr">
        <is>
          <t>2026-03-12</t>
        </is>
      </c>
      <c r="S2838" s="10" t="inlineStr"/>
    </row>
    <row r="2839">
      <c r="A2839" s="3" t="inlineStr">
        <is>
          <t>F03306</t>
        </is>
      </c>
      <c r="B2839" s="4" t="inlineStr">
        <is>
          <t>F03306</t>
        </is>
      </c>
      <c r="C2839" s="4" t="inlineStr"/>
      <c r="D2839" s="4" t="inlineStr">
        <is>
          <t>6009705657070</t>
        </is>
      </c>
      <c r="E2839" s="3" t="inlineStr">
        <is>
          <t>HOSE PIPE MALE ADAPTOR FITTING H/DUTY</t>
        </is>
      </c>
      <c r="F2839" s="4" t="inlineStr"/>
      <c r="G2839" s="4" t="inlineStr"/>
      <c r="H2839" s="4" t="inlineStr"/>
      <c r="I2839" s="5" t="n">
        <v>7.95</v>
      </c>
      <c r="J2839" s="6" t="n">
        <v>15</v>
      </c>
      <c r="K2839" s="7">
        <f>IF(I2839="","",I2839*(1+J2839/100))</f>
        <v/>
      </c>
      <c r="L2839" s="12" t="inlineStr"/>
      <c r="M2839" s="8">
        <f>IF(OR(L2839="",K2839="",L2839=0),"",
  (L2839-K2839)/L2839*100)</f>
        <v/>
      </c>
      <c r="N2839" s="14" t="n">
        <v>1118</v>
      </c>
      <c r="O2839" s="4" t="inlineStr"/>
      <c r="P2839" s="4" t="inlineStr"/>
      <c r="Q2839" s="4" t="inlineStr"/>
      <c r="R2839" s="4" t="inlineStr">
        <is>
          <t>2026-03-12</t>
        </is>
      </c>
      <c r="S2839" s="4" t="inlineStr"/>
    </row>
    <row r="2840">
      <c r="A2840" s="10" t="inlineStr">
        <is>
          <t>F03307</t>
        </is>
      </c>
      <c r="B2840" s="10" t="inlineStr">
        <is>
          <t>F03307</t>
        </is>
      </c>
      <c r="C2840" s="10" t="inlineStr"/>
      <c r="D2840" s="10" t="inlineStr">
        <is>
          <t>6009705657087</t>
        </is>
      </c>
      <c r="E2840" s="10" t="inlineStr">
        <is>
          <t>HOSE PIPE CONNECTOR 1/2INCH H/DUTY</t>
        </is>
      </c>
      <c r="F2840" s="10" t="inlineStr"/>
      <c r="G2840" s="10" t="inlineStr"/>
      <c r="H2840" s="10" t="inlineStr"/>
      <c r="I2840" s="11" t="n">
        <v>11.95</v>
      </c>
      <c r="J2840" s="6" t="n">
        <v>15</v>
      </c>
      <c r="K2840" s="7">
        <f>IF(I2840="","",I2840*(1+J2840/100))</f>
        <v/>
      </c>
      <c r="L2840" s="12" t="inlineStr"/>
      <c r="M2840" s="8">
        <f>IF(OR(L2840="",K2840="",L2840=0),"",
  (L2840-K2840)/L2840*100)</f>
        <v/>
      </c>
      <c r="N2840" s="13" t="n">
        <v>1575</v>
      </c>
      <c r="O2840" s="10" t="inlineStr"/>
      <c r="P2840" s="10" t="inlineStr"/>
      <c r="Q2840" s="10" t="inlineStr"/>
      <c r="R2840" s="10" t="inlineStr">
        <is>
          <t>2026-03-12</t>
        </is>
      </c>
      <c r="S2840" s="10" t="inlineStr"/>
    </row>
    <row r="2841">
      <c r="A2841" s="3" t="inlineStr">
        <is>
          <t>F03308</t>
        </is>
      </c>
      <c r="B2841" s="4" t="inlineStr">
        <is>
          <t>F03308</t>
        </is>
      </c>
      <c r="C2841" s="4" t="inlineStr"/>
      <c r="D2841" s="4" t="inlineStr">
        <is>
          <t>6009705657094</t>
        </is>
      </c>
      <c r="E2841" s="3" t="inlineStr">
        <is>
          <t>HOSE PIPE CONNECTOR 3/4INCH H/DUTY</t>
        </is>
      </c>
      <c r="F2841" s="4" t="inlineStr"/>
      <c r="G2841" s="4" t="inlineStr"/>
      <c r="H2841" s="4" t="inlineStr"/>
      <c r="I2841" s="5" t="n">
        <v>12.95</v>
      </c>
      <c r="J2841" s="6" t="n">
        <v>15</v>
      </c>
      <c r="K2841" s="7">
        <f>IF(I2841="","",I2841*(1+J2841/100))</f>
        <v/>
      </c>
      <c r="L2841" s="12" t="inlineStr"/>
      <c r="M2841" s="8">
        <f>IF(OR(L2841="",K2841="",L2841=0),"",
  (L2841-K2841)/L2841*100)</f>
        <v/>
      </c>
      <c r="N2841" s="14" t="n">
        <v>27</v>
      </c>
      <c r="O2841" s="4" t="inlineStr"/>
      <c r="P2841" s="4" t="inlineStr"/>
      <c r="Q2841" s="4" t="inlineStr"/>
      <c r="R2841" s="4" t="inlineStr">
        <is>
          <t>2026-03-12</t>
        </is>
      </c>
      <c r="S2841" s="4" t="inlineStr"/>
    </row>
    <row r="2842">
      <c r="A2842" s="10" t="inlineStr">
        <is>
          <t>F03309</t>
        </is>
      </c>
      <c r="B2842" s="10" t="inlineStr">
        <is>
          <t>F03309</t>
        </is>
      </c>
      <c r="C2842" s="10" t="inlineStr"/>
      <c r="D2842" s="10" t="inlineStr">
        <is>
          <t>6009705657100</t>
        </is>
      </c>
      <c r="E2842" s="10" t="inlineStr">
        <is>
          <t>HOSE EXPANDABLE 50FT ,5-15M SPRAY GUN</t>
        </is>
      </c>
      <c r="F2842" s="10" t="inlineStr"/>
      <c r="G2842" s="10" t="inlineStr"/>
      <c r="H2842" s="10" t="inlineStr"/>
      <c r="I2842" s="11" t="n">
        <v>2</v>
      </c>
      <c r="J2842" s="6" t="n">
        <v>15</v>
      </c>
      <c r="K2842" s="7">
        <f>IF(I2842="","",I2842*(1+J2842/100))</f>
        <v/>
      </c>
      <c r="L2842" s="12" t="inlineStr"/>
      <c r="M2842" s="8">
        <f>IF(OR(L2842="",K2842="",L2842=0),"",
  (L2842-K2842)/L2842*100)</f>
        <v/>
      </c>
      <c r="N2842" s="9" t="inlineStr"/>
      <c r="O2842" s="10" t="inlineStr"/>
      <c r="P2842" s="10" t="inlineStr"/>
      <c r="Q2842" s="10" t="inlineStr"/>
      <c r="R2842" s="10" t="inlineStr">
        <is>
          <t>2026-03-12</t>
        </is>
      </c>
      <c r="S2842" s="10" t="inlineStr"/>
    </row>
    <row r="2843">
      <c r="A2843" s="3" t="inlineStr">
        <is>
          <t>F03310</t>
        </is>
      </c>
      <c r="B2843" s="4" t="inlineStr">
        <is>
          <t>F03310</t>
        </is>
      </c>
      <c r="C2843" s="4" t="inlineStr"/>
      <c r="D2843" s="4" t="inlineStr">
        <is>
          <t>6009705657117</t>
        </is>
      </c>
      <c r="E2843" s="3" t="inlineStr">
        <is>
          <t>HOSE PIPE  EXPANDABLE 30M-SPRAY7 FUNCTON</t>
        </is>
      </c>
      <c r="F2843" s="4" t="inlineStr"/>
      <c r="G2843" s="4" t="inlineStr"/>
      <c r="H2843" s="4" t="inlineStr"/>
      <c r="I2843" s="5" t="n">
        <v>389</v>
      </c>
      <c r="J2843" s="6" t="n">
        <v>15</v>
      </c>
      <c r="K2843" s="7">
        <f>IF(I2843="","",I2843*(1+J2843/100))</f>
        <v/>
      </c>
      <c r="L2843" s="12" t="inlineStr"/>
      <c r="M2843" s="8">
        <f>IF(OR(L2843="",K2843="",L2843=0),"",
  (L2843-K2843)/L2843*100)</f>
        <v/>
      </c>
      <c r="N2843" s="14" t="n">
        <v>183</v>
      </c>
      <c r="O2843" s="4" t="inlineStr"/>
      <c r="P2843" s="4" t="inlineStr"/>
      <c r="Q2843" s="4" t="inlineStr"/>
      <c r="R2843" s="4" t="inlineStr">
        <is>
          <t>2026-03-12</t>
        </is>
      </c>
      <c r="S2843" s="4" t="inlineStr"/>
    </row>
    <row r="2844">
      <c r="A2844" s="10" t="inlineStr">
        <is>
          <t>F03311</t>
        </is>
      </c>
      <c r="B2844" s="10" t="inlineStr">
        <is>
          <t>F03311</t>
        </is>
      </c>
      <c r="C2844" s="10" t="inlineStr"/>
      <c r="D2844" s="10" t="inlineStr">
        <is>
          <t>6009705657124</t>
        </is>
      </c>
      <c r="E2844" s="10" t="inlineStr">
        <is>
          <t>HOSE COIL EVA 15M</t>
        </is>
      </c>
      <c r="F2844" s="10" t="inlineStr"/>
      <c r="G2844" s="10" t="inlineStr"/>
      <c r="H2844" s="10" t="inlineStr"/>
      <c r="I2844" s="11" t="n">
        <v>2</v>
      </c>
      <c r="J2844" s="6" t="n">
        <v>15</v>
      </c>
      <c r="K2844" s="7">
        <f>IF(I2844="","",I2844*(1+J2844/100))</f>
        <v/>
      </c>
      <c r="L2844" s="12" t="inlineStr"/>
      <c r="M2844" s="8">
        <f>IF(OR(L2844="",K2844="",L2844=0),"",
  (L2844-K2844)/L2844*100)</f>
        <v/>
      </c>
      <c r="N2844" s="9" t="inlineStr"/>
      <c r="O2844" s="10" t="inlineStr"/>
      <c r="P2844" s="10" t="inlineStr"/>
      <c r="Q2844" s="10" t="inlineStr"/>
      <c r="R2844" s="10" t="inlineStr">
        <is>
          <t>2026-03-12</t>
        </is>
      </c>
      <c r="S2844" s="10" t="inlineStr"/>
    </row>
    <row r="2845">
      <c r="A2845" s="3" t="inlineStr">
        <is>
          <t>F03312</t>
        </is>
      </c>
      <c r="B2845" s="4" t="inlineStr">
        <is>
          <t>F03312</t>
        </is>
      </c>
      <c r="C2845" s="4" t="inlineStr"/>
      <c r="D2845" s="4" t="inlineStr">
        <is>
          <t>6009705657131</t>
        </is>
      </c>
      <c r="E2845" s="3" t="inlineStr">
        <is>
          <t>HOSE REEL BOX 45M YD3701</t>
        </is>
      </c>
      <c r="F2845" s="4" t="inlineStr"/>
      <c r="G2845" s="4" t="inlineStr"/>
      <c r="H2845" s="4" t="inlineStr"/>
      <c r="I2845" s="5" t="n">
        <v>2</v>
      </c>
      <c r="J2845" s="6" t="n">
        <v>15</v>
      </c>
      <c r="K2845" s="7">
        <f>IF(I2845="","",I2845*(1+J2845/100))</f>
        <v/>
      </c>
      <c r="L2845" s="12" t="inlineStr"/>
      <c r="M2845" s="8">
        <f>IF(OR(L2845="",K2845="",L2845=0),"",
  (L2845-K2845)/L2845*100)</f>
        <v/>
      </c>
      <c r="N2845" s="9" t="inlineStr"/>
      <c r="O2845" s="4" t="inlineStr"/>
      <c r="P2845" s="4" t="inlineStr"/>
      <c r="Q2845" s="4" t="inlineStr"/>
      <c r="R2845" s="4" t="inlineStr">
        <is>
          <t>2026-03-12</t>
        </is>
      </c>
      <c r="S2845" s="4" t="inlineStr"/>
    </row>
    <row r="2846">
      <c r="A2846" s="10" t="inlineStr">
        <is>
          <t>F03313</t>
        </is>
      </c>
      <c r="B2846" s="10" t="inlineStr">
        <is>
          <t>F03313</t>
        </is>
      </c>
      <c r="C2846" s="10" t="inlineStr"/>
      <c r="D2846" s="10" t="inlineStr">
        <is>
          <t>6009705657148</t>
        </is>
      </c>
      <c r="E2846" s="10" t="inlineStr">
        <is>
          <t>HOSE REEL 45M - YD3801</t>
        </is>
      </c>
      <c r="F2846" s="10" t="inlineStr"/>
      <c r="G2846" s="10" t="inlineStr"/>
      <c r="H2846" s="10" t="inlineStr"/>
      <c r="I2846" s="11" t="n">
        <v>2</v>
      </c>
      <c r="J2846" s="6" t="n">
        <v>15</v>
      </c>
      <c r="K2846" s="7">
        <f>IF(I2846="","",I2846*(1+J2846/100))</f>
        <v/>
      </c>
      <c r="L2846" s="12" t="inlineStr"/>
      <c r="M2846" s="8">
        <f>IF(OR(L2846="",K2846="",L2846=0),"",
  (L2846-K2846)/L2846*100)</f>
        <v/>
      </c>
      <c r="N2846" s="9" t="inlineStr"/>
      <c r="O2846" s="10" t="inlineStr"/>
      <c r="P2846" s="10" t="inlineStr"/>
      <c r="Q2846" s="10" t="inlineStr"/>
      <c r="R2846" s="10" t="inlineStr">
        <is>
          <t>2026-03-12</t>
        </is>
      </c>
      <c r="S2846" s="10" t="inlineStr"/>
    </row>
    <row r="2847">
      <c r="A2847" s="3" t="inlineStr">
        <is>
          <t>F03315</t>
        </is>
      </c>
      <c r="B2847" s="4" t="inlineStr">
        <is>
          <t>F03315</t>
        </is>
      </c>
      <c r="C2847" s="4" t="inlineStr"/>
      <c r="D2847" s="4" t="inlineStr">
        <is>
          <t>6009705657216</t>
        </is>
      </c>
      <c r="E2847" s="3" t="inlineStr">
        <is>
          <t>PU WALL PANEL RAIN DESIGN LIGHT BROWN</t>
        </is>
      </c>
      <c r="F2847" s="4" t="inlineStr"/>
      <c r="G2847" s="4" t="inlineStr"/>
      <c r="H2847" s="4" t="inlineStr"/>
      <c r="I2847" s="5" t="n">
        <v>5980</v>
      </c>
      <c r="J2847" s="6" t="n">
        <v>15</v>
      </c>
      <c r="K2847" s="7">
        <f>IF(I2847="","",I2847*(1+J2847/100))</f>
        <v/>
      </c>
      <c r="L2847" s="12" t="inlineStr"/>
      <c r="M2847" s="8">
        <f>IF(OR(L2847="",K2847="",L2847=0),"",
  (L2847-K2847)/L2847*100)</f>
        <v/>
      </c>
      <c r="N2847" s="9" t="inlineStr"/>
      <c r="O2847" s="4" t="inlineStr"/>
      <c r="P2847" s="4" t="inlineStr"/>
      <c r="Q2847" s="4" t="inlineStr"/>
      <c r="R2847" s="4" t="inlineStr">
        <is>
          <t>2026-03-12</t>
        </is>
      </c>
      <c r="S2847" s="4" t="inlineStr"/>
    </row>
    <row r="2848">
      <c r="A2848" s="10" t="inlineStr">
        <is>
          <t>F03316</t>
        </is>
      </c>
      <c r="B2848" s="10" t="inlineStr">
        <is>
          <t>F03316</t>
        </is>
      </c>
      <c r="C2848" s="10" t="inlineStr"/>
      <c r="D2848" s="10" t="inlineStr">
        <is>
          <t>6009705657209</t>
        </is>
      </c>
      <c r="E2848" s="10" t="inlineStr">
        <is>
          <t>PU WALL PANEL RAIN DESIGN DARK BROWN</t>
        </is>
      </c>
      <c r="F2848" s="10" t="inlineStr"/>
      <c r="G2848" s="10" t="inlineStr"/>
      <c r="H2848" s="10" t="inlineStr"/>
      <c r="I2848" s="11" t="n">
        <v>5980</v>
      </c>
      <c r="J2848" s="6" t="n">
        <v>15</v>
      </c>
      <c r="K2848" s="7">
        <f>IF(I2848="","",I2848*(1+J2848/100))</f>
        <v/>
      </c>
      <c r="L2848" s="12" t="inlineStr"/>
      <c r="M2848" s="8">
        <f>IF(OR(L2848="",K2848="",L2848=0),"",
  (L2848-K2848)/L2848*100)</f>
        <v/>
      </c>
      <c r="N2848" s="9" t="inlineStr"/>
      <c r="O2848" s="10" t="inlineStr"/>
      <c r="P2848" s="10" t="inlineStr"/>
      <c r="Q2848" s="10" t="inlineStr"/>
      <c r="R2848" s="10" t="inlineStr">
        <is>
          <t>2026-03-12</t>
        </is>
      </c>
      <c r="S2848" s="10" t="inlineStr"/>
    </row>
    <row r="2849">
      <c r="A2849" s="3" t="inlineStr">
        <is>
          <t>F03317</t>
        </is>
      </c>
      <c r="B2849" s="4" t="inlineStr">
        <is>
          <t>F03317</t>
        </is>
      </c>
      <c r="C2849" s="4" t="inlineStr"/>
      <c r="D2849" s="4" t="inlineStr">
        <is>
          <t>6009705657193</t>
        </is>
      </c>
      <c r="E2849" s="3" t="inlineStr">
        <is>
          <t>PU WALL PANEL LIGHT BROWN SQR</t>
        </is>
      </c>
      <c r="F2849" s="4" t="inlineStr"/>
      <c r="G2849" s="4" t="inlineStr"/>
      <c r="H2849" s="4" t="inlineStr"/>
      <c r="I2849" s="5" t="n">
        <v>5382</v>
      </c>
      <c r="J2849" s="6" t="n">
        <v>15</v>
      </c>
      <c r="K2849" s="7">
        <f>IF(I2849="","",I2849*(1+J2849/100))</f>
        <v/>
      </c>
      <c r="L2849" s="12" t="inlineStr"/>
      <c r="M2849" s="8">
        <f>IF(OR(L2849="",K2849="",L2849=0),"",
  (L2849-K2849)/L2849*100)</f>
        <v/>
      </c>
      <c r="N2849" s="9" t="inlineStr"/>
      <c r="O2849" s="4" t="inlineStr"/>
      <c r="P2849" s="4" t="inlineStr"/>
      <c r="Q2849" s="4" t="inlineStr"/>
      <c r="R2849" s="4" t="inlineStr">
        <is>
          <t>2026-03-12</t>
        </is>
      </c>
      <c r="S2849" s="4" t="inlineStr"/>
    </row>
    <row r="2850">
      <c r="A2850" s="10" t="inlineStr">
        <is>
          <t>F03318</t>
        </is>
      </c>
      <c r="B2850" s="10" t="inlineStr">
        <is>
          <t>F03318</t>
        </is>
      </c>
      <c r="C2850" s="10" t="inlineStr"/>
      <c r="D2850" s="10" t="inlineStr">
        <is>
          <t>6009705657186</t>
        </is>
      </c>
      <c r="E2850" s="10" t="inlineStr">
        <is>
          <t>PU WALL PANEL DARK BROWN SQR</t>
        </is>
      </c>
      <c r="F2850" s="10" t="inlineStr"/>
      <c r="G2850" s="10" t="inlineStr"/>
      <c r="H2850" s="10" t="inlineStr"/>
      <c r="I2850" s="11" t="n">
        <v>5382</v>
      </c>
      <c r="J2850" s="6" t="n">
        <v>15</v>
      </c>
      <c r="K2850" s="7">
        <f>IF(I2850="","",I2850*(1+J2850/100))</f>
        <v/>
      </c>
      <c r="L2850" s="12" t="inlineStr"/>
      <c r="M2850" s="8">
        <f>IF(OR(L2850="",K2850="",L2850=0),"",
  (L2850-K2850)/L2850*100)</f>
        <v/>
      </c>
      <c r="N2850" s="9" t="inlineStr"/>
      <c r="O2850" s="10" t="inlineStr"/>
      <c r="P2850" s="10" t="inlineStr"/>
      <c r="Q2850" s="10" t="inlineStr"/>
      <c r="R2850" s="10" t="inlineStr">
        <is>
          <t>2026-03-12</t>
        </is>
      </c>
      <c r="S2850" s="10" t="inlineStr"/>
    </row>
    <row r="2851">
      <c r="A2851" s="3" t="inlineStr">
        <is>
          <t>F03319</t>
        </is>
      </c>
      <c r="B2851" s="4" t="inlineStr">
        <is>
          <t>F03319</t>
        </is>
      </c>
      <c r="C2851" s="4" t="inlineStr"/>
      <c r="D2851" s="4" t="inlineStr">
        <is>
          <t>6921817816599</t>
        </is>
      </c>
      <c r="E2851" s="3" t="inlineStr">
        <is>
          <t>TUMBLER WHISKEY NEW</t>
        </is>
      </c>
      <c r="F2851" s="4" t="inlineStr"/>
      <c r="G2851" s="4" t="inlineStr"/>
      <c r="H2851" s="4" t="inlineStr"/>
      <c r="I2851" s="5" t="n">
        <v>4.19</v>
      </c>
      <c r="J2851" s="6" t="n">
        <v>15</v>
      </c>
      <c r="K2851" s="7">
        <f>IF(I2851="","",I2851*(1+J2851/100))</f>
        <v/>
      </c>
      <c r="L2851" s="12" t="inlineStr"/>
      <c r="M2851" s="8">
        <f>IF(OR(L2851="",K2851="",L2851=0),"",
  (L2851-K2851)/L2851*100)</f>
        <v/>
      </c>
      <c r="N2851" s="14" t="n">
        <v>17785</v>
      </c>
      <c r="O2851" s="4" t="inlineStr"/>
      <c r="P2851" s="4" t="inlineStr"/>
      <c r="Q2851" s="4" t="inlineStr"/>
      <c r="R2851" s="4" t="inlineStr">
        <is>
          <t>2026-03-12</t>
        </is>
      </c>
      <c r="S2851" s="4" t="inlineStr"/>
    </row>
    <row r="2852">
      <c r="A2852" s="10" t="inlineStr">
        <is>
          <t>F03320</t>
        </is>
      </c>
      <c r="B2852" s="10" t="inlineStr">
        <is>
          <t>F03320</t>
        </is>
      </c>
      <c r="C2852" s="10" t="inlineStr"/>
      <c r="D2852" s="10" t="inlineStr"/>
      <c r="E2852" s="10" t="inlineStr">
        <is>
          <t>LM006D -PVC WALL &amp; CEILING LAMINATION PA</t>
        </is>
      </c>
      <c r="F2852" s="10" t="inlineStr"/>
      <c r="G2852" s="10" t="inlineStr"/>
      <c r="H2852" s="10" t="inlineStr"/>
      <c r="I2852" s="11" t="n">
        <v>699</v>
      </c>
      <c r="J2852" s="6" t="n">
        <v>15</v>
      </c>
      <c r="K2852" s="7">
        <f>IF(I2852="","",I2852*(1+J2852/100))</f>
        <v/>
      </c>
      <c r="L2852" s="12" t="inlineStr"/>
      <c r="M2852" s="8">
        <f>IF(OR(L2852="",K2852="",L2852=0),"",
  (L2852-K2852)/L2852*100)</f>
        <v/>
      </c>
      <c r="N2852" s="13" t="n">
        <v>2</v>
      </c>
      <c r="O2852" s="10" t="inlineStr"/>
      <c r="P2852" s="10" t="inlineStr"/>
      <c r="Q2852" s="10" t="inlineStr"/>
      <c r="R2852" s="10" t="inlineStr">
        <is>
          <t>2026-03-12</t>
        </is>
      </c>
      <c r="S2852" s="10" t="inlineStr"/>
    </row>
    <row r="2853">
      <c r="A2853" s="3" t="inlineStr">
        <is>
          <t>F03321</t>
        </is>
      </c>
      <c r="B2853" s="4" t="inlineStr">
        <is>
          <t>F03321</t>
        </is>
      </c>
      <c r="C2853" s="4" t="inlineStr"/>
      <c r="D2853" s="4" t="inlineStr"/>
      <c r="E2853" s="3" t="inlineStr">
        <is>
          <t>LM-192- PVC WALL &amp; CEILING  LOOSE</t>
        </is>
      </c>
      <c r="F2853" s="4" t="inlineStr"/>
      <c r="G2853" s="4" t="inlineStr"/>
      <c r="H2853" s="4" t="inlineStr"/>
      <c r="I2853" s="5" t="n">
        <v>79</v>
      </c>
      <c r="J2853" s="6" t="n">
        <v>15</v>
      </c>
      <c r="K2853" s="7">
        <f>IF(I2853="","",I2853*(1+J2853/100))</f>
        <v/>
      </c>
      <c r="L2853" s="12" t="inlineStr"/>
      <c r="M2853" s="8">
        <f>IF(OR(L2853="",K2853="",L2853=0),"",
  (L2853-K2853)/L2853*100)</f>
        <v/>
      </c>
      <c r="N2853" s="9" t="inlineStr"/>
      <c r="O2853" s="4" t="inlineStr"/>
      <c r="P2853" s="4" t="inlineStr"/>
      <c r="Q2853" s="4" t="inlineStr"/>
      <c r="R2853" s="4" t="inlineStr">
        <is>
          <t>2026-03-12</t>
        </is>
      </c>
      <c r="S2853" s="4" t="inlineStr"/>
    </row>
    <row r="2854">
      <c r="A2854" s="10" t="inlineStr">
        <is>
          <t>F03322</t>
        </is>
      </c>
      <c r="B2854" s="10" t="inlineStr">
        <is>
          <t>F03322</t>
        </is>
      </c>
      <c r="C2854" s="10" t="inlineStr"/>
      <c r="D2854" s="10" t="inlineStr"/>
      <c r="E2854" s="10" t="inlineStr">
        <is>
          <t>LM088- PVC WALL &amp; CEILING  LOOSE</t>
        </is>
      </c>
      <c r="F2854" s="10" t="inlineStr"/>
      <c r="G2854" s="10" t="inlineStr"/>
      <c r="H2854" s="10" t="inlineStr"/>
      <c r="I2854" s="11" t="n">
        <v>79</v>
      </c>
      <c r="J2854" s="6" t="n">
        <v>15</v>
      </c>
      <c r="K2854" s="7">
        <f>IF(I2854="","",I2854*(1+J2854/100))</f>
        <v/>
      </c>
      <c r="L2854" s="12" t="inlineStr"/>
      <c r="M2854" s="8">
        <f>IF(OR(L2854="",K2854="",L2854=0),"",
  (L2854-K2854)/L2854*100)</f>
        <v/>
      </c>
      <c r="N2854" s="9" t="inlineStr"/>
      <c r="O2854" s="10" t="inlineStr"/>
      <c r="P2854" s="10" t="inlineStr"/>
      <c r="Q2854" s="10" t="inlineStr"/>
      <c r="R2854" s="10" t="inlineStr">
        <is>
          <t>2026-03-12</t>
        </is>
      </c>
      <c r="S2854" s="10" t="inlineStr"/>
    </row>
    <row r="2855">
      <c r="A2855" s="3" t="inlineStr">
        <is>
          <t>F03323</t>
        </is>
      </c>
      <c r="B2855" s="4" t="inlineStr">
        <is>
          <t>F03323</t>
        </is>
      </c>
      <c r="C2855" s="4" t="inlineStr"/>
      <c r="D2855" s="4" t="inlineStr">
        <is>
          <t>6009705657230</t>
        </is>
      </c>
      <c r="E2855" s="3" t="inlineStr">
        <is>
          <t>UV SHEET GOLDEN OASIS  1220X2440X2.5MM</t>
        </is>
      </c>
      <c r="F2855" s="4" t="inlineStr"/>
      <c r="G2855" s="4" t="inlineStr"/>
      <c r="H2855" s="4" t="inlineStr"/>
      <c r="I2855" s="5" t="n">
        <v>319</v>
      </c>
      <c r="J2855" s="6" t="n">
        <v>15</v>
      </c>
      <c r="K2855" s="7">
        <f>IF(I2855="","",I2855*(1+J2855/100))</f>
        <v/>
      </c>
      <c r="L2855" s="12" t="inlineStr"/>
      <c r="M2855" s="8">
        <f>IF(OR(L2855="",K2855="",L2855=0),"",
  (L2855-K2855)/L2855*100)</f>
        <v/>
      </c>
      <c r="N2855" s="14" t="n">
        <v>80</v>
      </c>
      <c r="O2855" s="4" t="inlineStr"/>
      <c r="P2855" s="4" t="inlineStr"/>
      <c r="Q2855" s="4" t="inlineStr"/>
      <c r="R2855" s="4" t="inlineStr">
        <is>
          <t>2026-03-12</t>
        </is>
      </c>
      <c r="S2855" s="4" t="inlineStr"/>
    </row>
    <row r="2856">
      <c r="A2856" s="10" t="inlineStr">
        <is>
          <t>F03324</t>
        </is>
      </c>
      <c r="B2856" s="10" t="inlineStr">
        <is>
          <t>F03324</t>
        </is>
      </c>
      <c r="C2856" s="10" t="inlineStr"/>
      <c r="D2856" s="10" t="inlineStr">
        <is>
          <t>6009705657247</t>
        </is>
      </c>
      <c r="E2856" s="10" t="inlineStr">
        <is>
          <t>UV SHEET AZURO GOLD  1220*2440.2.5MM</t>
        </is>
      </c>
      <c r="F2856" s="10" t="inlineStr"/>
      <c r="G2856" s="10" t="inlineStr"/>
      <c r="H2856" s="10" t="inlineStr"/>
      <c r="I2856" s="11" t="n">
        <v>319</v>
      </c>
      <c r="J2856" s="6" t="n">
        <v>15</v>
      </c>
      <c r="K2856" s="7">
        <f>IF(I2856="","",I2856*(1+J2856/100))</f>
        <v/>
      </c>
      <c r="L2856" s="12" t="inlineStr"/>
      <c r="M2856" s="8">
        <f>IF(OR(L2856="",K2856="",L2856=0),"",
  (L2856-K2856)/L2856*100)</f>
        <v/>
      </c>
      <c r="N2856" s="13" t="n">
        <v>236</v>
      </c>
      <c r="O2856" s="10" t="inlineStr"/>
      <c r="P2856" s="10" t="inlineStr"/>
      <c r="Q2856" s="10" t="inlineStr"/>
      <c r="R2856" s="10" t="inlineStr">
        <is>
          <t>2026-03-12</t>
        </is>
      </c>
      <c r="S2856" s="10" t="inlineStr"/>
    </row>
    <row r="2857">
      <c r="A2857" s="3" t="inlineStr">
        <is>
          <t>F03325</t>
        </is>
      </c>
      <c r="B2857" s="4" t="inlineStr">
        <is>
          <t>F03325</t>
        </is>
      </c>
      <c r="C2857" s="4" t="inlineStr"/>
      <c r="D2857" s="4" t="inlineStr">
        <is>
          <t>6009705657254</t>
        </is>
      </c>
      <c r="E2857" s="3" t="inlineStr">
        <is>
          <t>UV SHEET MOZZERO GOLD  1220*2440.2.5MM</t>
        </is>
      </c>
      <c r="F2857" s="4" t="inlineStr"/>
      <c r="G2857" s="4" t="inlineStr"/>
      <c r="H2857" s="4" t="inlineStr"/>
      <c r="I2857" s="5" t="n">
        <v>349</v>
      </c>
      <c r="J2857" s="6" t="n">
        <v>15</v>
      </c>
      <c r="K2857" s="7">
        <f>IF(I2857="","",I2857*(1+J2857/100))</f>
        <v/>
      </c>
      <c r="L2857" s="12" t="inlineStr"/>
      <c r="M2857" s="8">
        <f>IF(OR(L2857="",K2857="",L2857=0),"",
  (L2857-K2857)/L2857*100)</f>
        <v/>
      </c>
      <c r="N2857" s="14" t="n">
        <v>77</v>
      </c>
      <c r="O2857" s="4" t="inlineStr"/>
      <c r="P2857" s="4" t="inlineStr"/>
      <c r="Q2857" s="4" t="inlineStr"/>
      <c r="R2857" s="4" t="inlineStr">
        <is>
          <t>2026-03-12</t>
        </is>
      </c>
      <c r="S2857" s="4" t="inlineStr"/>
    </row>
    <row r="2858">
      <c r="A2858" s="10" t="inlineStr">
        <is>
          <t>F03326</t>
        </is>
      </c>
      <c r="B2858" s="10" t="inlineStr">
        <is>
          <t>F03326</t>
        </is>
      </c>
      <c r="C2858" s="10" t="inlineStr"/>
      <c r="D2858" s="10" t="inlineStr">
        <is>
          <t>6009705657261</t>
        </is>
      </c>
      <c r="E2858" s="10" t="inlineStr">
        <is>
          <t>UV SHEET LONGINES GOLD 1220*2440.2.5MM</t>
        </is>
      </c>
      <c r="F2858" s="10" t="inlineStr"/>
      <c r="G2858" s="10" t="inlineStr"/>
      <c r="H2858" s="10" t="inlineStr"/>
      <c r="I2858" s="11" t="n">
        <v>319</v>
      </c>
      <c r="J2858" s="6" t="n">
        <v>15</v>
      </c>
      <c r="K2858" s="7">
        <f>IF(I2858="","",I2858*(1+J2858/100))</f>
        <v/>
      </c>
      <c r="L2858" s="12" t="inlineStr"/>
      <c r="M2858" s="8">
        <f>IF(OR(L2858="",K2858="",L2858=0),"",
  (L2858-K2858)/L2858*100)</f>
        <v/>
      </c>
      <c r="N2858" s="13" t="n">
        <v>123</v>
      </c>
      <c r="O2858" s="10" t="inlineStr"/>
      <c r="P2858" s="10" t="inlineStr"/>
      <c r="Q2858" s="10" t="inlineStr"/>
      <c r="R2858" s="10" t="inlineStr">
        <is>
          <t>2026-03-12</t>
        </is>
      </c>
      <c r="S2858" s="10" t="inlineStr"/>
    </row>
    <row r="2859">
      <c r="A2859" s="3" t="inlineStr">
        <is>
          <t>F03327</t>
        </is>
      </c>
      <c r="B2859" s="4" t="inlineStr">
        <is>
          <t>F03327</t>
        </is>
      </c>
      <c r="C2859" s="4" t="inlineStr"/>
      <c r="D2859" s="4" t="inlineStr">
        <is>
          <t>6009705657278</t>
        </is>
      </c>
      <c r="E2859" s="3" t="inlineStr">
        <is>
          <t>UV SHEET SKY GOLD 1220*2440.2.5MM</t>
        </is>
      </c>
      <c r="F2859" s="4" t="inlineStr"/>
      <c r="G2859" s="4" t="inlineStr"/>
      <c r="H2859" s="4" t="inlineStr"/>
      <c r="I2859" s="5" t="n">
        <v>349</v>
      </c>
      <c r="J2859" s="6" t="n">
        <v>15</v>
      </c>
      <c r="K2859" s="7">
        <f>IF(I2859="","",I2859*(1+J2859/100))</f>
        <v/>
      </c>
      <c r="L2859" s="12" t="inlineStr"/>
      <c r="M2859" s="8">
        <f>IF(OR(L2859="",K2859="",L2859=0),"",
  (L2859-K2859)/L2859*100)</f>
        <v/>
      </c>
      <c r="N2859" s="14" t="n">
        <v>30</v>
      </c>
      <c r="O2859" s="4" t="inlineStr"/>
      <c r="P2859" s="4" t="inlineStr"/>
      <c r="Q2859" s="4" t="inlineStr"/>
      <c r="R2859" s="4" t="inlineStr">
        <is>
          <t>2026-03-12</t>
        </is>
      </c>
      <c r="S2859" s="4" t="inlineStr"/>
    </row>
    <row r="2860">
      <c r="A2860" s="10" t="inlineStr">
        <is>
          <t>F03328</t>
        </is>
      </c>
      <c r="B2860" s="10" t="inlineStr">
        <is>
          <t>F03328</t>
        </is>
      </c>
      <c r="C2860" s="10" t="inlineStr"/>
      <c r="D2860" s="10" t="inlineStr">
        <is>
          <t>6009705657285</t>
        </is>
      </c>
      <c r="E2860" s="10" t="inlineStr">
        <is>
          <t>UV SHEET FANTASY NATURAL 1220*2440.2.5MM</t>
        </is>
      </c>
      <c r="F2860" s="10" t="inlineStr"/>
      <c r="G2860" s="10" t="inlineStr"/>
      <c r="H2860" s="10" t="inlineStr"/>
      <c r="I2860" s="11" t="n">
        <v>319</v>
      </c>
      <c r="J2860" s="6" t="n">
        <v>15</v>
      </c>
      <c r="K2860" s="7">
        <f>IF(I2860="","",I2860*(1+J2860/100))</f>
        <v/>
      </c>
      <c r="L2860" s="12" t="inlineStr"/>
      <c r="M2860" s="8">
        <f>IF(OR(L2860="",K2860="",L2860=0),"",
  (L2860-K2860)/L2860*100)</f>
        <v/>
      </c>
      <c r="N2860" s="13" t="n">
        <v>103</v>
      </c>
      <c r="O2860" s="10" t="inlineStr"/>
      <c r="P2860" s="10" t="inlineStr"/>
      <c r="Q2860" s="10" t="inlineStr"/>
      <c r="R2860" s="10" t="inlineStr">
        <is>
          <t>2026-03-12</t>
        </is>
      </c>
      <c r="S2860" s="10" t="inlineStr"/>
    </row>
    <row r="2861">
      <c r="A2861" s="3" t="inlineStr">
        <is>
          <t>F03329</t>
        </is>
      </c>
      <c r="B2861" s="4" t="inlineStr">
        <is>
          <t>F03329</t>
        </is>
      </c>
      <c r="C2861" s="4" t="inlineStr"/>
      <c r="D2861" s="4" t="inlineStr">
        <is>
          <t>6009705657292</t>
        </is>
      </c>
      <c r="E2861" s="3" t="inlineStr">
        <is>
          <t>UV SHEET GOLD RUSH  1220*2440.2.5MM</t>
        </is>
      </c>
      <c r="F2861" s="4" t="inlineStr"/>
      <c r="G2861" s="4" t="inlineStr"/>
      <c r="H2861" s="4" t="inlineStr"/>
      <c r="I2861" s="5" t="n">
        <v>319</v>
      </c>
      <c r="J2861" s="6" t="n">
        <v>15</v>
      </c>
      <c r="K2861" s="7">
        <f>IF(I2861="","",I2861*(1+J2861/100))</f>
        <v/>
      </c>
      <c r="L2861" s="12" t="inlineStr"/>
      <c r="M2861" s="8">
        <f>IF(OR(L2861="",K2861="",L2861=0),"",
  (L2861-K2861)/L2861*100)</f>
        <v/>
      </c>
      <c r="N2861" s="14" t="n">
        <v>81</v>
      </c>
      <c r="O2861" s="4" t="inlineStr"/>
      <c r="P2861" s="4" t="inlineStr"/>
      <c r="Q2861" s="4" t="inlineStr"/>
      <c r="R2861" s="4" t="inlineStr">
        <is>
          <t>2026-03-12</t>
        </is>
      </c>
      <c r="S2861" s="4" t="inlineStr"/>
    </row>
    <row r="2862">
      <c r="A2862" s="10" t="inlineStr">
        <is>
          <t>F03330</t>
        </is>
      </c>
      <c r="B2862" s="10" t="inlineStr">
        <is>
          <t>F03330</t>
        </is>
      </c>
      <c r="C2862" s="10" t="inlineStr"/>
      <c r="D2862" s="10" t="inlineStr">
        <is>
          <t>6009705657308</t>
        </is>
      </c>
      <c r="E2862" s="10" t="inlineStr">
        <is>
          <t>UV SHEET GLAMOUR GOLD  1220*2440.2.5MM</t>
        </is>
      </c>
      <c r="F2862" s="10" t="inlineStr"/>
      <c r="G2862" s="10" t="inlineStr"/>
      <c r="H2862" s="10" t="inlineStr"/>
      <c r="I2862" s="11" t="n">
        <v>319</v>
      </c>
      <c r="J2862" s="6" t="n">
        <v>15</v>
      </c>
      <c r="K2862" s="7">
        <f>IF(I2862="","",I2862*(1+J2862/100))</f>
        <v/>
      </c>
      <c r="L2862" s="12" t="inlineStr"/>
      <c r="M2862" s="8">
        <f>IF(OR(L2862="",K2862="",L2862=0),"",
  (L2862-K2862)/L2862*100)</f>
        <v/>
      </c>
      <c r="N2862" s="13" t="n">
        <v>106</v>
      </c>
      <c r="O2862" s="10" t="inlineStr"/>
      <c r="P2862" s="10" t="inlineStr"/>
      <c r="Q2862" s="10" t="inlineStr"/>
      <c r="R2862" s="10" t="inlineStr">
        <is>
          <t>2026-03-12</t>
        </is>
      </c>
      <c r="S2862" s="10" t="inlineStr"/>
    </row>
    <row r="2863">
      <c r="A2863" s="3" t="inlineStr">
        <is>
          <t>F03331</t>
        </is>
      </c>
      <c r="B2863" s="4" t="inlineStr">
        <is>
          <t>F03331</t>
        </is>
      </c>
      <c r="C2863" s="4" t="inlineStr"/>
      <c r="D2863" s="4" t="inlineStr">
        <is>
          <t>6009705657315</t>
        </is>
      </c>
      <c r="E2863" s="3" t="inlineStr">
        <is>
          <t>UV SHEET FANTASY GOLD 1220*2440.2.5MM</t>
        </is>
      </c>
      <c r="F2863" s="4" t="inlineStr"/>
      <c r="G2863" s="4" t="inlineStr"/>
      <c r="H2863" s="4" t="inlineStr"/>
      <c r="I2863" s="5" t="n">
        <v>319</v>
      </c>
      <c r="J2863" s="6" t="n">
        <v>15</v>
      </c>
      <c r="K2863" s="7">
        <f>IF(I2863="","",I2863*(1+J2863/100))</f>
        <v/>
      </c>
      <c r="L2863" s="12" t="inlineStr"/>
      <c r="M2863" s="8">
        <f>IF(OR(L2863="",K2863="",L2863=0),"",
  (L2863-K2863)/L2863*100)</f>
        <v/>
      </c>
      <c r="N2863" s="14" t="n">
        <v>211</v>
      </c>
      <c r="O2863" s="4" t="inlineStr"/>
      <c r="P2863" s="4" t="inlineStr"/>
      <c r="Q2863" s="4" t="inlineStr"/>
      <c r="R2863" s="4" t="inlineStr">
        <is>
          <t>2026-03-12</t>
        </is>
      </c>
      <c r="S2863" s="4" t="inlineStr"/>
    </row>
    <row r="2864">
      <c r="A2864" s="10" t="inlineStr">
        <is>
          <t>F03332</t>
        </is>
      </c>
      <c r="B2864" s="10" t="inlineStr">
        <is>
          <t>F03332</t>
        </is>
      </c>
      <c r="C2864" s="10" t="inlineStr"/>
      <c r="D2864" s="10" t="inlineStr">
        <is>
          <t>6009705657322</t>
        </is>
      </c>
      <c r="E2864" s="10" t="inlineStr">
        <is>
          <t>UV SHEET OASIS GOLD 1220*2440.2.5MM</t>
        </is>
      </c>
      <c r="F2864" s="10" t="inlineStr"/>
      <c r="G2864" s="10" t="inlineStr"/>
      <c r="H2864" s="10" t="inlineStr"/>
      <c r="I2864" s="11" t="n">
        <v>349</v>
      </c>
      <c r="J2864" s="6" t="n">
        <v>15</v>
      </c>
      <c r="K2864" s="7">
        <f>IF(I2864="","",I2864*(1+J2864/100))</f>
        <v/>
      </c>
      <c r="L2864" s="12" t="inlineStr"/>
      <c r="M2864" s="8">
        <f>IF(OR(L2864="",K2864="",L2864=0),"",
  (L2864-K2864)/L2864*100)</f>
        <v/>
      </c>
      <c r="N2864" s="9" t="inlineStr"/>
      <c r="O2864" s="10" t="inlineStr"/>
      <c r="P2864" s="10" t="inlineStr"/>
      <c r="Q2864" s="10" t="inlineStr"/>
      <c r="R2864" s="10" t="inlineStr">
        <is>
          <t>2026-03-12</t>
        </is>
      </c>
      <c r="S2864" s="10" t="inlineStr"/>
    </row>
    <row r="2865">
      <c r="A2865" s="3" t="inlineStr">
        <is>
          <t>F03333</t>
        </is>
      </c>
      <c r="B2865" s="4" t="inlineStr">
        <is>
          <t>F03333</t>
        </is>
      </c>
      <c r="C2865" s="4" t="inlineStr"/>
      <c r="D2865" s="4" t="inlineStr">
        <is>
          <t>6009705657339</t>
        </is>
      </c>
      <c r="E2865" s="3" t="inlineStr">
        <is>
          <t>UV SHEET CREMA GOLD 1220*2440.2.5MM</t>
        </is>
      </c>
      <c r="F2865" s="4" t="inlineStr"/>
      <c r="G2865" s="4" t="inlineStr"/>
      <c r="H2865" s="4" t="inlineStr"/>
      <c r="I2865" s="5" t="n">
        <v>319</v>
      </c>
      <c r="J2865" s="6" t="n">
        <v>15</v>
      </c>
      <c r="K2865" s="7">
        <f>IF(I2865="","",I2865*(1+J2865/100))</f>
        <v/>
      </c>
      <c r="L2865" s="12" t="inlineStr"/>
      <c r="M2865" s="8">
        <f>IF(OR(L2865="",K2865="",L2865=0),"",
  (L2865-K2865)/L2865*100)</f>
        <v/>
      </c>
      <c r="N2865" s="14" t="n">
        <v>97</v>
      </c>
      <c r="O2865" s="4" t="inlineStr"/>
      <c r="P2865" s="4" t="inlineStr"/>
      <c r="Q2865" s="4" t="inlineStr"/>
      <c r="R2865" s="4" t="inlineStr">
        <is>
          <t>2026-03-12</t>
        </is>
      </c>
      <c r="S2865" s="4" t="inlineStr"/>
    </row>
    <row r="2866">
      <c r="A2866" s="10" t="inlineStr">
        <is>
          <t>F03334</t>
        </is>
      </c>
      <c r="B2866" s="10" t="inlineStr">
        <is>
          <t>F03334</t>
        </is>
      </c>
      <c r="C2866" s="10" t="inlineStr"/>
      <c r="D2866" s="10" t="inlineStr">
        <is>
          <t>6009705657346</t>
        </is>
      </c>
      <c r="E2866" s="10" t="inlineStr">
        <is>
          <t>UV SHEET AURIC GOLD 1220*2440.2.5MM</t>
        </is>
      </c>
      <c r="F2866" s="10" t="inlineStr"/>
      <c r="G2866" s="10" t="inlineStr"/>
      <c r="H2866" s="10" t="inlineStr"/>
      <c r="I2866" s="11" t="n">
        <v>349</v>
      </c>
      <c r="J2866" s="6" t="n">
        <v>15</v>
      </c>
      <c r="K2866" s="7">
        <f>IF(I2866="","",I2866*(1+J2866/100))</f>
        <v/>
      </c>
      <c r="L2866" s="12" t="inlineStr"/>
      <c r="M2866" s="8">
        <f>IF(OR(L2866="",K2866="",L2866=0),"",
  (L2866-K2866)/L2866*100)</f>
        <v/>
      </c>
      <c r="N2866" s="13" t="n">
        <v>181</v>
      </c>
      <c r="O2866" s="10" t="inlineStr"/>
      <c r="P2866" s="10" t="inlineStr"/>
      <c r="Q2866" s="10" t="inlineStr"/>
      <c r="R2866" s="10" t="inlineStr">
        <is>
          <t>2026-03-12</t>
        </is>
      </c>
      <c r="S2866" s="10" t="inlineStr"/>
    </row>
    <row r="2867">
      <c r="A2867" s="3" t="inlineStr">
        <is>
          <t>F03335</t>
        </is>
      </c>
      <c r="B2867" s="4" t="inlineStr">
        <is>
          <t>F03335</t>
        </is>
      </c>
      <c r="C2867" s="4" t="inlineStr"/>
      <c r="D2867" s="4" t="inlineStr">
        <is>
          <t>6009705657353</t>
        </is>
      </c>
      <c r="E2867" s="3" t="inlineStr">
        <is>
          <t>UV SHEET ONYX JADE 1220*2440.2.5MM</t>
        </is>
      </c>
      <c r="F2867" s="4" t="inlineStr"/>
      <c r="G2867" s="4" t="inlineStr"/>
      <c r="H2867" s="4" t="inlineStr"/>
      <c r="I2867" s="5" t="n">
        <v>349</v>
      </c>
      <c r="J2867" s="6" t="n">
        <v>15</v>
      </c>
      <c r="K2867" s="7">
        <f>IF(I2867="","",I2867*(1+J2867/100))</f>
        <v/>
      </c>
      <c r="L2867" s="12" t="inlineStr"/>
      <c r="M2867" s="8">
        <f>IF(OR(L2867="",K2867="",L2867=0),"",
  (L2867-K2867)/L2867*100)</f>
        <v/>
      </c>
      <c r="N2867" s="9" t="inlineStr"/>
      <c r="O2867" s="4" t="inlineStr"/>
      <c r="P2867" s="4" t="inlineStr"/>
      <c r="Q2867" s="4" t="inlineStr"/>
      <c r="R2867" s="4" t="inlineStr">
        <is>
          <t>2026-03-12</t>
        </is>
      </c>
      <c r="S2867" s="4" t="inlineStr"/>
    </row>
    <row r="2868">
      <c r="A2868" s="10" t="inlineStr">
        <is>
          <t>F03336</t>
        </is>
      </c>
      <c r="B2868" s="10" t="inlineStr">
        <is>
          <t>F03336</t>
        </is>
      </c>
      <c r="C2868" s="10" t="inlineStr"/>
      <c r="D2868" s="10" t="inlineStr">
        <is>
          <t>6009705657360</t>
        </is>
      </c>
      <c r="E2868" s="10" t="inlineStr">
        <is>
          <t>UV SHEET ABSOLUTE BLACK 1220*2440.2.5MM</t>
        </is>
      </c>
      <c r="F2868" s="10" t="inlineStr"/>
      <c r="G2868" s="10" t="inlineStr"/>
      <c r="H2868" s="10" t="inlineStr"/>
      <c r="I2868" s="11" t="n">
        <v>319</v>
      </c>
      <c r="J2868" s="6" t="n">
        <v>15</v>
      </c>
      <c r="K2868" s="7">
        <f>IF(I2868="","",I2868*(1+J2868/100))</f>
        <v/>
      </c>
      <c r="L2868" s="12" t="inlineStr"/>
      <c r="M2868" s="8">
        <f>IF(OR(L2868="",K2868="",L2868=0),"",
  (L2868-K2868)/L2868*100)</f>
        <v/>
      </c>
      <c r="N2868" s="13" t="n">
        <v>161</v>
      </c>
      <c r="O2868" s="10" t="inlineStr"/>
      <c r="P2868" s="10" t="inlineStr"/>
      <c r="Q2868" s="10" t="inlineStr"/>
      <c r="R2868" s="10" t="inlineStr">
        <is>
          <t>2026-03-12</t>
        </is>
      </c>
      <c r="S2868" s="10" t="inlineStr"/>
    </row>
    <row r="2869">
      <c r="A2869" s="3" t="inlineStr">
        <is>
          <t>F03337A</t>
        </is>
      </c>
      <c r="B2869" s="4" t="inlineStr">
        <is>
          <t>F03337A</t>
        </is>
      </c>
      <c r="C2869" s="4" t="inlineStr"/>
      <c r="D2869" s="4" t="inlineStr">
        <is>
          <t>6009705657377</t>
        </is>
      </c>
      <c r="E2869" s="3" t="inlineStr">
        <is>
          <t>UV SHEET ARMANI GREY 1220*2440.2.5MM</t>
        </is>
      </c>
      <c r="F2869" s="4" t="inlineStr"/>
      <c r="G2869" s="4" t="inlineStr"/>
      <c r="H2869" s="4" t="inlineStr"/>
      <c r="I2869" s="5" t="n">
        <v>349</v>
      </c>
      <c r="J2869" s="6" t="n">
        <v>15</v>
      </c>
      <c r="K2869" s="7">
        <f>IF(I2869="","",I2869*(1+J2869/100))</f>
        <v/>
      </c>
      <c r="L2869" s="12" t="inlineStr"/>
      <c r="M2869" s="8">
        <f>IF(OR(L2869="",K2869="",L2869=0),"",
  (L2869-K2869)/L2869*100)</f>
        <v/>
      </c>
      <c r="N2869" s="14" t="n">
        <v>2</v>
      </c>
      <c r="O2869" s="4" t="inlineStr"/>
      <c r="P2869" s="4" t="inlineStr"/>
      <c r="Q2869" s="4" t="inlineStr"/>
      <c r="R2869" s="4" t="inlineStr">
        <is>
          <t>2026-03-12</t>
        </is>
      </c>
      <c r="S2869" s="4" t="inlineStr"/>
    </row>
    <row r="2870">
      <c r="A2870" s="10" t="inlineStr">
        <is>
          <t>F03337B</t>
        </is>
      </c>
      <c r="B2870" s="10" t="inlineStr">
        <is>
          <t>F03337B</t>
        </is>
      </c>
      <c r="C2870" s="10" t="inlineStr"/>
      <c r="D2870" s="10" t="inlineStr">
        <is>
          <t>6009705657384</t>
        </is>
      </c>
      <c r="E2870" s="10" t="inlineStr">
        <is>
          <t>UV SHEET ARMANI GREY  1220*2440.2.5MM</t>
        </is>
      </c>
      <c r="F2870" s="10" t="inlineStr"/>
      <c r="G2870" s="10" t="inlineStr"/>
      <c r="H2870" s="10" t="inlineStr"/>
      <c r="I2870" s="11" t="n">
        <v>349</v>
      </c>
      <c r="J2870" s="6" t="n">
        <v>15</v>
      </c>
      <c r="K2870" s="7">
        <f>IF(I2870="","",I2870*(1+J2870/100))</f>
        <v/>
      </c>
      <c r="L2870" s="12" t="inlineStr"/>
      <c r="M2870" s="8">
        <f>IF(OR(L2870="",K2870="",L2870=0),"",
  (L2870-K2870)/L2870*100)</f>
        <v/>
      </c>
      <c r="N2870" s="13" t="n">
        <v>105</v>
      </c>
      <c r="O2870" s="10" t="inlineStr"/>
      <c r="P2870" s="10" t="inlineStr"/>
      <c r="Q2870" s="10" t="inlineStr"/>
      <c r="R2870" s="10" t="inlineStr">
        <is>
          <t>2026-03-12</t>
        </is>
      </c>
      <c r="S2870" s="10" t="inlineStr"/>
    </row>
    <row r="2871">
      <c r="A2871" s="3" t="inlineStr">
        <is>
          <t>F03338A</t>
        </is>
      </c>
      <c r="B2871" s="4" t="inlineStr">
        <is>
          <t>F03338A</t>
        </is>
      </c>
      <c r="C2871" s="4" t="inlineStr"/>
      <c r="D2871" s="4" t="inlineStr">
        <is>
          <t>6009705657391</t>
        </is>
      </c>
      <c r="E2871" s="3" t="inlineStr">
        <is>
          <t>UV SHEET GALAXY INK  1220*2440.2.5MM</t>
        </is>
      </c>
      <c r="F2871" s="4" t="inlineStr"/>
      <c r="G2871" s="4" t="inlineStr"/>
      <c r="H2871" s="4" t="inlineStr"/>
      <c r="I2871" s="5" t="n">
        <v>349</v>
      </c>
      <c r="J2871" s="6" t="n">
        <v>15</v>
      </c>
      <c r="K2871" s="7">
        <f>IF(I2871="","",I2871*(1+J2871/100))</f>
        <v/>
      </c>
      <c r="L2871" s="12" t="inlineStr"/>
      <c r="M2871" s="8">
        <f>IF(OR(L2871="",K2871="",L2871=0),"",
  (L2871-K2871)/L2871*100)</f>
        <v/>
      </c>
      <c r="N2871" s="14" t="n">
        <v>77</v>
      </c>
      <c r="O2871" s="4" t="inlineStr"/>
      <c r="P2871" s="4" t="inlineStr"/>
      <c r="Q2871" s="4" t="inlineStr"/>
      <c r="R2871" s="4" t="inlineStr">
        <is>
          <t>2026-03-12</t>
        </is>
      </c>
      <c r="S2871" s="4" t="inlineStr"/>
    </row>
    <row r="2872">
      <c r="A2872" s="10" t="inlineStr">
        <is>
          <t>F03338B</t>
        </is>
      </c>
      <c r="B2872" s="10" t="inlineStr">
        <is>
          <t>F03338B</t>
        </is>
      </c>
      <c r="C2872" s="10" t="inlineStr"/>
      <c r="D2872" s="10" t="inlineStr">
        <is>
          <t>6009705657407</t>
        </is>
      </c>
      <c r="E2872" s="10" t="inlineStr">
        <is>
          <t>UV SHEET GALAXY INK  1220*2440.2.5MM</t>
        </is>
      </c>
      <c r="F2872" s="10" t="inlineStr"/>
      <c r="G2872" s="10" t="inlineStr"/>
      <c r="H2872" s="10" t="inlineStr"/>
      <c r="I2872" s="11" t="n">
        <v>349</v>
      </c>
      <c r="J2872" s="6" t="n">
        <v>15</v>
      </c>
      <c r="K2872" s="7">
        <f>IF(I2872="","",I2872*(1+J2872/100))</f>
        <v/>
      </c>
      <c r="L2872" s="12" t="inlineStr"/>
      <c r="M2872" s="8">
        <f>IF(OR(L2872="",K2872="",L2872=0),"",
  (L2872-K2872)/L2872*100)</f>
        <v/>
      </c>
      <c r="N2872" s="13" t="n">
        <v>56</v>
      </c>
      <c r="O2872" s="10" t="inlineStr"/>
      <c r="P2872" s="10" t="inlineStr"/>
      <c r="Q2872" s="10" t="inlineStr"/>
      <c r="R2872" s="10" t="inlineStr">
        <is>
          <t>2026-03-12</t>
        </is>
      </c>
      <c r="S2872" s="10" t="inlineStr"/>
    </row>
    <row r="2873">
      <c r="A2873" s="3" t="inlineStr">
        <is>
          <t>F03339A</t>
        </is>
      </c>
      <c r="B2873" s="4" t="inlineStr">
        <is>
          <t>F03339A</t>
        </is>
      </c>
      <c r="C2873" s="4" t="inlineStr"/>
      <c r="D2873" s="4" t="inlineStr">
        <is>
          <t>6009705657414</t>
        </is>
      </c>
      <c r="E2873" s="3" t="inlineStr">
        <is>
          <t>UV SHEET PANDA GREY 1220*2440.2.5MM</t>
        </is>
      </c>
      <c r="F2873" s="4" t="inlineStr"/>
      <c r="G2873" s="4" t="inlineStr"/>
      <c r="H2873" s="4" t="inlineStr"/>
      <c r="I2873" s="5" t="n">
        <v>349</v>
      </c>
      <c r="J2873" s="6" t="n">
        <v>15</v>
      </c>
      <c r="K2873" s="7">
        <f>IF(I2873="","",I2873*(1+J2873/100))</f>
        <v/>
      </c>
      <c r="L2873" s="12" t="inlineStr"/>
      <c r="M2873" s="8">
        <f>IF(OR(L2873="",K2873="",L2873=0),"",
  (L2873-K2873)/L2873*100)</f>
        <v/>
      </c>
      <c r="N2873" s="14" t="n">
        <v>107</v>
      </c>
      <c r="O2873" s="4" t="inlineStr"/>
      <c r="P2873" s="4" t="inlineStr"/>
      <c r="Q2873" s="4" t="inlineStr"/>
      <c r="R2873" s="4" t="inlineStr">
        <is>
          <t>2026-03-12</t>
        </is>
      </c>
      <c r="S2873" s="4" t="inlineStr"/>
    </row>
    <row r="2874">
      <c r="A2874" s="10" t="inlineStr">
        <is>
          <t>F03339B</t>
        </is>
      </c>
      <c r="B2874" s="10" t="inlineStr">
        <is>
          <t>F03339B</t>
        </is>
      </c>
      <c r="C2874" s="10" t="inlineStr"/>
      <c r="D2874" s="10" t="inlineStr">
        <is>
          <t>6009705657421</t>
        </is>
      </c>
      <c r="E2874" s="10" t="inlineStr">
        <is>
          <t>UV SHEET PANDA GREY 1220*2440.2.5MM</t>
        </is>
      </c>
      <c r="F2874" s="10" t="inlineStr"/>
      <c r="G2874" s="10" t="inlineStr"/>
      <c r="H2874" s="10" t="inlineStr"/>
      <c r="I2874" s="11" t="n">
        <v>349</v>
      </c>
      <c r="J2874" s="6" t="n">
        <v>15</v>
      </c>
      <c r="K2874" s="7">
        <f>IF(I2874="","",I2874*(1+J2874/100))</f>
        <v/>
      </c>
      <c r="L2874" s="12" t="inlineStr"/>
      <c r="M2874" s="8">
        <f>IF(OR(L2874="",K2874="",L2874=0),"",
  (L2874-K2874)/L2874*100)</f>
        <v/>
      </c>
      <c r="N2874" s="13" t="n">
        <v>200</v>
      </c>
      <c r="O2874" s="10" t="inlineStr"/>
      <c r="P2874" s="10" t="inlineStr"/>
      <c r="Q2874" s="10" t="inlineStr"/>
      <c r="R2874" s="10" t="inlineStr">
        <is>
          <t>2026-03-12</t>
        </is>
      </c>
      <c r="S2874" s="10" t="inlineStr"/>
    </row>
    <row r="2875">
      <c r="A2875" s="3" t="inlineStr">
        <is>
          <t>F03340</t>
        </is>
      </c>
      <c r="B2875" s="4" t="inlineStr">
        <is>
          <t>F03340</t>
        </is>
      </c>
      <c r="C2875" s="4" t="inlineStr">
        <is>
          <t>24665</t>
        </is>
      </c>
      <c r="D2875" s="4" t="inlineStr"/>
      <c r="E2875" s="3" t="inlineStr">
        <is>
          <t>PADDEL  RACKET 100% CARBON</t>
        </is>
      </c>
      <c r="F2875" s="4" t="inlineStr"/>
      <c r="G2875" s="4" t="inlineStr"/>
      <c r="H2875" s="4" t="inlineStr"/>
      <c r="I2875" s="5" t="n">
        <v>650</v>
      </c>
      <c r="J2875" s="6" t="n">
        <v>15</v>
      </c>
      <c r="K2875" s="7">
        <f>IF(I2875="","",I2875*(1+J2875/100))</f>
        <v/>
      </c>
      <c r="L2875" s="5" t="n">
        <v>999</v>
      </c>
      <c r="M2875" s="8">
        <f>IF(OR(L2875="",K2875="",L2875=0),"",
  (L2875-K2875)/L2875*100)</f>
        <v/>
      </c>
      <c r="N2875" s="9" t="inlineStr"/>
      <c r="O2875" s="4" t="inlineStr"/>
      <c r="P2875" s="4" t="inlineStr"/>
      <c r="Q2875" s="4" t="inlineStr"/>
      <c r="R2875" s="4" t="inlineStr">
        <is>
          <t>2026-03-12</t>
        </is>
      </c>
      <c r="S2875" s="4" t="inlineStr"/>
    </row>
    <row r="2876">
      <c r="A2876" s="10" t="inlineStr">
        <is>
          <t>F03341</t>
        </is>
      </c>
      <c r="B2876" s="10" t="inlineStr">
        <is>
          <t>F03341</t>
        </is>
      </c>
      <c r="C2876" s="10" t="inlineStr">
        <is>
          <t>24666</t>
        </is>
      </c>
      <c r="D2876" s="10" t="inlineStr"/>
      <c r="E2876" s="10" t="inlineStr">
        <is>
          <t>PADDEL RACKET 12K</t>
        </is>
      </c>
      <c r="F2876" s="10" t="inlineStr"/>
      <c r="G2876" s="10" t="inlineStr"/>
      <c r="H2876" s="10" t="inlineStr"/>
      <c r="I2876" s="11" t="n">
        <v>990</v>
      </c>
      <c r="J2876" s="6" t="n">
        <v>15</v>
      </c>
      <c r="K2876" s="7">
        <f>IF(I2876="","",I2876*(1+J2876/100))</f>
        <v/>
      </c>
      <c r="L2876" s="11" t="n">
        <v>1499</v>
      </c>
      <c r="M2876" s="8">
        <f>IF(OR(L2876="",K2876="",L2876=0),"",
  (L2876-K2876)/L2876*100)</f>
        <v/>
      </c>
      <c r="N2876" s="9" t="inlineStr"/>
      <c r="O2876" s="10" t="inlineStr"/>
      <c r="P2876" s="10" t="inlineStr"/>
      <c r="Q2876" s="10" t="inlineStr"/>
      <c r="R2876" s="10" t="inlineStr">
        <is>
          <t>2026-03-12</t>
        </is>
      </c>
      <c r="S2876" s="10" t="inlineStr"/>
    </row>
    <row r="2877">
      <c r="A2877" s="3" t="inlineStr">
        <is>
          <t>F03342</t>
        </is>
      </c>
      <c r="B2877" s="4" t="inlineStr">
        <is>
          <t>F03342</t>
        </is>
      </c>
      <c r="C2877" s="4" t="inlineStr">
        <is>
          <t>24667</t>
        </is>
      </c>
      <c r="D2877" s="4" t="inlineStr">
        <is>
          <t>6009705658149</t>
        </is>
      </c>
      <c r="E2877" s="3" t="inlineStr">
        <is>
          <t>PADDEL  RACKET 18K</t>
        </is>
      </c>
      <c r="F2877" s="4" t="inlineStr"/>
      <c r="G2877" s="4" t="inlineStr"/>
      <c r="H2877" s="4" t="inlineStr"/>
      <c r="I2877" s="5" t="n">
        <v>1250</v>
      </c>
      <c r="J2877" s="6" t="n">
        <v>15</v>
      </c>
      <c r="K2877" s="7">
        <f>IF(I2877="","",I2877*(1+J2877/100))</f>
        <v/>
      </c>
      <c r="L2877" s="5" t="n">
        <v>1699</v>
      </c>
      <c r="M2877" s="8">
        <f>IF(OR(L2877="",K2877="",L2877=0),"",
  (L2877-K2877)/L2877*100)</f>
        <v/>
      </c>
      <c r="N2877" s="14" t="n">
        <v>30</v>
      </c>
      <c r="O2877" s="4" t="inlineStr"/>
      <c r="P2877" s="4" t="inlineStr"/>
      <c r="Q2877" s="4" t="inlineStr"/>
      <c r="R2877" s="4" t="inlineStr">
        <is>
          <t>2026-03-12</t>
        </is>
      </c>
      <c r="S2877" s="4" t="inlineStr"/>
    </row>
    <row r="2878">
      <c r="A2878" s="10" t="inlineStr">
        <is>
          <t>F03344</t>
        </is>
      </c>
      <c r="B2878" s="10" t="inlineStr">
        <is>
          <t>F03344</t>
        </is>
      </c>
      <c r="C2878" s="10" t="inlineStr">
        <is>
          <t>24663</t>
        </is>
      </c>
      <c r="D2878" s="10" t="inlineStr"/>
      <c r="E2878" s="10" t="inlineStr">
        <is>
          <t>KNEE GUARD</t>
        </is>
      </c>
      <c r="F2878" s="10" t="inlineStr"/>
      <c r="G2878" s="10" t="inlineStr"/>
      <c r="H2878" s="10" t="inlineStr"/>
      <c r="I2878" s="11" t="n">
        <v>29.95</v>
      </c>
      <c r="J2878" s="6" t="n">
        <v>15</v>
      </c>
      <c r="K2878" s="7">
        <f>IF(I2878="","",I2878*(1+J2878/100))</f>
        <v/>
      </c>
      <c r="L2878" s="11" t="n">
        <v>49.99</v>
      </c>
      <c r="M2878" s="8">
        <f>IF(OR(L2878="",K2878="",L2878=0),"",
  (L2878-K2878)/L2878*100)</f>
        <v/>
      </c>
      <c r="N2878" s="13" t="n">
        <v>75</v>
      </c>
      <c r="O2878" s="10" t="inlineStr"/>
      <c r="P2878" s="10" t="inlineStr"/>
      <c r="Q2878" s="10" t="inlineStr"/>
      <c r="R2878" s="10" t="inlineStr">
        <is>
          <t>2026-03-12</t>
        </is>
      </c>
      <c r="S2878" s="10" t="inlineStr"/>
    </row>
    <row r="2879">
      <c r="A2879" s="3" t="inlineStr">
        <is>
          <t>F03345</t>
        </is>
      </c>
      <c r="B2879" s="4" t="inlineStr">
        <is>
          <t>F03345</t>
        </is>
      </c>
      <c r="C2879" s="4" t="inlineStr"/>
      <c r="D2879" s="4" t="inlineStr"/>
      <c r="E2879" s="3" t="inlineStr">
        <is>
          <t>PAINT TRAY INSERTS</t>
        </is>
      </c>
      <c r="F2879" s="4" t="inlineStr"/>
      <c r="G2879" s="4" t="inlineStr"/>
      <c r="H2879" s="4" t="inlineStr"/>
      <c r="I2879" s="5" t="n">
        <v>1</v>
      </c>
      <c r="J2879" s="6" t="n">
        <v>15</v>
      </c>
      <c r="K2879" s="7">
        <f>IF(I2879="","",I2879*(1+J2879/100))</f>
        <v/>
      </c>
      <c r="L2879" s="12" t="inlineStr"/>
      <c r="M2879" s="8">
        <f>IF(OR(L2879="",K2879="",L2879=0),"",
  (L2879-K2879)/L2879*100)</f>
        <v/>
      </c>
      <c r="N2879" s="9" t="inlineStr"/>
      <c r="O2879" s="4" t="inlineStr"/>
      <c r="P2879" s="4" t="inlineStr"/>
      <c r="Q2879" s="4" t="inlineStr"/>
      <c r="R2879" s="4" t="inlineStr">
        <is>
          <t>2026-03-12</t>
        </is>
      </c>
      <c r="S2879" s="4" t="inlineStr"/>
    </row>
    <row r="2880">
      <c r="A2880" s="10" t="inlineStr">
        <is>
          <t>F03346</t>
        </is>
      </c>
      <c r="B2880" s="10" t="inlineStr">
        <is>
          <t>F03346</t>
        </is>
      </c>
      <c r="C2880" s="10" t="inlineStr"/>
      <c r="D2880" s="10" t="inlineStr"/>
      <c r="E2880" s="10" t="inlineStr">
        <is>
          <t>STICKER ALCO 12X19MM</t>
        </is>
      </c>
      <c r="F2880" s="10" t="inlineStr"/>
      <c r="G2880" s="10" t="inlineStr"/>
      <c r="H2880" s="10" t="inlineStr"/>
      <c r="I2880" s="11" t="n">
        <v>1</v>
      </c>
      <c r="J2880" s="6" t="n">
        <v>15</v>
      </c>
      <c r="K2880" s="7">
        <f>IF(I2880="","",I2880*(1+J2880/100))</f>
        <v/>
      </c>
      <c r="L2880" s="12" t="inlineStr"/>
      <c r="M2880" s="8">
        <f>IF(OR(L2880="",K2880="",L2880=0),"",
  (L2880-K2880)/L2880*100)</f>
        <v/>
      </c>
      <c r="N2880" s="13" t="n">
        <v>3</v>
      </c>
      <c r="O2880" s="10" t="inlineStr"/>
      <c r="P2880" s="10" t="inlineStr"/>
      <c r="Q2880" s="10" t="inlineStr"/>
      <c r="R2880" s="10" t="inlineStr">
        <is>
          <t>2026-03-12</t>
        </is>
      </c>
      <c r="S2880" s="10" t="inlineStr"/>
    </row>
    <row r="2881">
      <c r="A2881" s="3" t="inlineStr">
        <is>
          <t>F03347</t>
        </is>
      </c>
      <c r="B2881" s="4" t="inlineStr">
        <is>
          <t>F03347</t>
        </is>
      </c>
      <c r="C2881" s="4" t="inlineStr"/>
      <c r="D2881" s="4" t="inlineStr"/>
      <c r="E2881" s="3" t="inlineStr">
        <is>
          <t>STICKER ALCO 21X40MM</t>
        </is>
      </c>
      <c r="F2881" s="4" t="inlineStr"/>
      <c r="G2881" s="4" t="inlineStr"/>
      <c r="H2881" s="4" t="inlineStr"/>
      <c r="I2881" s="5" t="n">
        <v>1</v>
      </c>
      <c r="J2881" s="6" t="n">
        <v>15</v>
      </c>
      <c r="K2881" s="7">
        <f>IF(I2881="","",I2881*(1+J2881/100))</f>
        <v/>
      </c>
      <c r="L2881" s="12" t="inlineStr"/>
      <c r="M2881" s="8">
        <f>IF(OR(L2881="",K2881="",L2881=0),"",
  (L2881-K2881)/L2881*100)</f>
        <v/>
      </c>
      <c r="N2881" s="9" t="inlineStr"/>
      <c r="O2881" s="4" t="inlineStr"/>
      <c r="P2881" s="4" t="inlineStr"/>
      <c r="Q2881" s="4" t="inlineStr"/>
      <c r="R2881" s="4" t="inlineStr">
        <is>
          <t>2026-03-12</t>
        </is>
      </c>
      <c r="S2881" s="4" t="inlineStr"/>
    </row>
    <row r="2882">
      <c r="A2882" s="10" t="inlineStr">
        <is>
          <t>F03348</t>
        </is>
      </c>
      <c r="B2882" s="10" t="inlineStr">
        <is>
          <t>F03348</t>
        </is>
      </c>
      <c r="C2882" s="10" t="inlineStr"/>
      <c r="D2882" s="10" t="inlineStr"/>
      <c r="E2882" s="10" t="inlineStr">
        <is>
          <t>STICKER ALCO 26X60MM</t>
        </is>
      </c>
      <c r="F2882" s="10" t="inlineStr"/>
      <c r="G2882" s="10" t="inlineStr"/>
      <c r="H2882" s="10" t="inlineStr"/>
      <c r="I2882" s="11" t="n">
        <v>1</v>
      </c>
      <c r="J2882" s="6" t="n">
        <v>15</v>
      </c>
      <c r="K2882" s="7">
        <f>IF(I2882="","",I2882*(1+J2882/100))</f>
        <v/>
      </c>
      <c r="L2882" s="12" t="inlineStr"/>
      <c r="M2882" s="8">
        <f>IF(OR(L2882="",K2882="",L2882=0),"",
  (L2882-K2882)/L2882*100)</f>
        <v/>
      </c>
      <c r="N2882" s="9" t="inlineStr"/>
      <c r="O2882" s="10" t="inlineStr"/>
      <c r="P2882" s="10" t="inlineStr"/>
      <c r="Q2882" s="10" t="inlineStr"/>
      <c r="R2882" s="10" t="inlineStr">
        <is>
          <t>2026-03-12</t>
        </is>
      </c>
      <c r="S2882" s="10" t="inlineStr"/>
    </row>
    <row r="2883">
      <c r="A2883" s="3" t="inlineStr">
        <is>
          <t>F03349</t>
        </is>
      </c>
      <c r="B2883" s="4" t="inlineStr">
        <is>
          <t>F03349</t>
        </is>
      </c>
      <c r="C2883" s="4" t="inlineStr"/>
      <c r="D2883" s="4" t="inlineStr"/>
      <c r="E2883" s="3" t="inlineStr">
        <is>
          <t>STICKER ALCO 25X88MM</t>
        </is>
      </c>
      <c r="F2883" s="4" t="inlineStr"/>
      <c r="G2883" s="4" t="inlineStr"/>
      <c r="H2883" s="4" t="inlineStr"/>
      <c r="I2883" s="5" t="n">
        <v>1</v>
      </c>
      <c r="J2883" s="6" t="n">
        <v>15</v>
      </c>
      <c r="K2883" s="7">
        <f>IF(I2883="","",I2883*(1+J2883/100))</f>
        <v/>
      </c>
      <c r="L2883" s="12" t="inlineStr"/>
      <c r="M2883" s="8">
        <f>IF(OR(L2883="",K2883="",L2883=0),"",
  (L2883-K2883)/L2883*100)</f>
        <v/>
      </c>
      <c r="N2883" s="9" t="inlineStr"/>
      <c r="O2883" s="4" t="inlineStr"/>
      <c r="P2883" s="4" t="inlineStr"/>
      <c r="Q2883" s="4" t="inlineStr"/>
      <c r="R2883" s="4" t="inlineStr">
        <is>
          <t>2026-03-12</t>
        </is>
      </c>
      <c r="S2883" s="4" t="inlineStr"/>
    </row>
    <row r="2884">
      <c r="A2884" s="10" t="inlineStr">
        <is>
          <t>F03350</t>
        </is>
      </c>
      <c r="B2884" s="10" t="inlineStr">
        <is>
          <t>F03350</t>
        </is>
      </c>
      <c r="C2884" s="10" t="inlineStr"/>
      <c r="D2884" s="10" t="inlineStr"/>
      <c r="E2884" s="10" t="inlineStr">
        <is>
          <t>PLASTIC HANGING CARD</t>
        </is>
      </c>
      <c r="F2884" s="10" t="inlineStr"/>
      <c r="G2884" s="10" t="inlineStr"/>
      <c r="H2884" s="10" t="inlineStr"/>
      <c r="I2884" s="11" t="n">
        <v>1</v>
      </c>
      <c r="J2884" s="6" t="n">
        <v>15</v>
      </c>
      <c r="K2884" s="7">
        <f>IF(I2884="","",I2884*(1+J2884/100))</f>
        <v/>
      </c>
      <c r="L2884" s="12" t="inlineStr"/>
      <c r="M2884" s="8">
        <f>IF(OR(L2884="",K2884="",L2884=0),"",
  (L2884-K2884)/L2884*100)</f>
        <v/>
      </c>
      <c r="N2884" s="9" t="inlineStr"/>
      <c r="O2884" s="10" t="inlineStr"/>
      <c r="P2884" s="10" t="inlineStr"/>
      <c r="Q2884" s="10" t="inlineStr"/>
      <c r="R2884" s="10" t="inlineStr">
        <is>
          <t>2026-03-12</t>
        </is>
      </c>
      <c r="S2884" s="10" t="inlineStr"/>
    </row>
    <row r="2885">
      <c r="A2885" s="3" t="inlineStr">
        <is>
          <t>F03351</t>
        </is>
      </c>
      <c r="B2885" s="4" t="inlineStr">
        <is>
          <t>F03351</t>
        </is>
      </c>
      <c r="C2885" s="4" t="inlineStr"/>
      <c r="D2885" s="4" t="inlineStr"/>
      <c r="E2885" s="3" t="inlineStr">
        <is>
          <t>WPC DIVIDER ACCESSORIES 4'S</t>
        </is>
      </c>
      <c r="F2885" s="4" t="inlineStr"/>
      <c r="G2885" s="4" t="inlineStr"/>
      <c r="H2885" s="4" t="inlineStr"/>
      <c r="I2885" s="5" t="n">
        <v>86.95</v>
      </c>
      <c r="J2885" s="6" t="n">
        <v>15</v>
      </c>
      <c r="K2885" s="7">
        <f>IF(I2885="","",I2885*(1+J2885/100))</f>
        <v/>
      </c>
      <c r="L2885" s="12" t="inlineStr"/>
      <c r="M2885" s="8">
        <f>IF(OR(L2885="",K2885="",L2885=0),"",
  (L2885-K2885)/L2885*100)</f>
        <v/>
      </c>
      <c r="N2885" s="14" t="n">
        <v>905</v>
      </c>
      <c r="O2885" s="4" t="inlineStr"/>
      <c r="P2885" s="4" t="inlineStr"/>
      <c r="Q2885" s="4" t="inlineStr"/>
      <c r="R2885" s="4" t="inlineStr">
        <is>
          <t>2026-03-12</t>
        </is>
      </c>
      <c r="S2885" s="4" t="inlineStr"/>
    </row>
    <row r="2886">
      <c r="A2886" s="10" t="inlineStr">
        <is>
          <t>F03352</t>
        </is>
      </c>
      <c r="B2886" s="10" t="inlineStr">
        <is>
          <t>F03352</t>
        </is>
      </c>
      <c r="C2886" s="10" t="inlineStr"/>
      <c r="D2886" s="10" t="inlineStr">
        <is>
          <t>6009705657438</t>
        </is>
      </c>
      <c r="E2886" s="10" t="inlineStr">
        <is>
          <t>TUMBLER MILKSHAKE 355ML</t>
        </is>
      </c>
      <c r="F2886" s="10" t="inlineStr"/>
      <c r="G2886" s="10" t="inlineStr"/>
      <c r="H2886" s="10" t="inlineStr"/>
      <c r="I2886" s="11" t="n">
        <v>5</v>
      </c>
      <c r="J2886" s="6" t="n">
        <v>15</v>
      </c>
      <c r="K2886" s="7">
        <f>IF(I2886="","",I2886*(1+J2886/100))</f>
        <v/>
      </c>
      <c r="L2886" s="12" t="inlineStr"/>
      <c r="M2886" s="8">
        <f>IF(OR(L2886="",K2886="",L2886=0),"",
  (L2886-K2886)/L2886*100)</f>
        <v/>
      </c>
      <c r="N2886" s="9" t="inlineStr"/>
      <c r="O2886" s="10" t="inlineStr"/>
      <c r="P2886" s="10" t="inlineStr"/>
      <c r="Q2886" s="10" t="inlineStr"/>
      <c r="R2886" s="10" t="inlineStr">
        <is>
          <t>2026-03-12</t>
        </is>
      </c>
      <c r="S2886" s="10" t="inlineStr"/>
    </row>
    <row r="2887">
      <c r="A2887" s="3" t="inlineStr">
        <is>
          <t>F03353</t>
        </is>
      </c>
      <c r="B2887" s="4" t="inlineStr">
        <is>
          <t>F03353</t>
        </is>
      </c>
      <c r="C2887" s="4" t="inlineStr"/>
      <c r="D2887" s="4" t="inlineStr"/>
      <c r="E2887" s="3" t="inlineStr">
        <is>
          <t>CONTAINER OTIMA LOCK BOX</t>
        </is>
      </c>
      <c r="F2887" s="4" t="inlineStr"/>
      <c r="G2887" s="4" t="inlineStr"/>
      <c r="H2887" s="4" t="inlineStr"/>
      <c r="I2887" s="5" t="n">
        <v>11.5</v>
      </c>
      <c r="J2887" s="6" t="n">
        <v>15</v>
      </c>
      <c r="K2887" s="7">
        <f>IF(I2887="","",I2887*(1+J2887/100))</f>
        <v/>
      </c>
      <c r="L2887" s="12" t="inlineStr"/>
      <c r="M2887" s="8">
        <f>IF(OR(L2887="",K2887="",L2887=0),"",
  (L2887-K2887)/L2887*100)</f>
        <v/>
      </c>
      <c r="N2887" s="14" t="n">
        <v>172</v>
      </c>
      <c r="O2887" s="4" t="inlineStr"/>
      <c r="P2887" s="4" t="inlineStr"/>
      <c r="Q2887" s="4" t="inlineStr"/>
      <c r="R2887" s="4" t="inlineStr">
        <is>
          <t>2026-03-12</t>
        </is>
      </c>
      <c r="S2887" s="4" t="inlineStr"/>
    </row>
    <row r="2888">
      <c r="A2888" s="10" t="inlineStr">
        <is>
          <t>F03354</t>
        </is>
      </c>
      <c r="B2888" s="10" t="inlineStr">
        <is>
          <t>F03354</t>
        </is>
      </c>
      <c r="C2888" s="10" t="inlineStr"/>
      <c r="D2888" s="10" t="inlineStr">
        <is>
          <t>6009705657445</t>
        </is>
      </c>
      <c r="E2888" s="10" t="inlineStr">
        <is>
          <t>WPC 3D SINGLE ENDING FLUTE NERO</t>
        </is>
      </c>
      <c r="F2888" s="10" t="inlineStr"/>
      <c r="G2888" s="10" t="inlineStr"/>
      <c r="H2888" s="10" t="inlineStr"/>
      <c r="I2888" s="11" t="n">
        <v>59.95</v>
      </c>
      <c r="J2888" s="6" t="n">
        <v>15</v>
      </c>
      <c r="K2888" s="7">
        <f>IF(I2888="","",I2888*(1+J2888/100))</f>
        <v/>
      </c>
      <c r="L2888" s="12" t="inlineStr"/>
      <c r="M2888" s="8">
        <f>IF(OR(L2888="",K2888="",L2888=0),"",
  (L2888-K2888)/L2888*100)</f>
        <v/>
      </c>
      <c r="N2888" s="13" t="n">
        <v>898</v>
      </c>
      <c r="O2888" s="10" t="inlineStr"/>
      <c r="P2888" s="10" t="inlineStr"/>
      <c r="Q2888" s="10" t="inlineStr"/>
      <c r="R2888" s="10" t="inlineStr">
        <is>
          <t>2026-03-12</t>
        </is>
      </c>
      <c r="S2888" s="10" t="inlineStr"/>
    </row>
    <row r="2889">
      <c r="A2889" s="3" t="inlineStr">
        <is>
          <t>F03355</t>
        </is>
      </c>
      <c r="B2889" s="4" t="inlineStr">
        <is>
          <t>F03355</t>
        </is>
      </c>
      <c r="C2889" s="4" t="inlineStr"/>
      <c r="D2889" s="4" t="inlineStr">
        <is>
          <t>6009705657452</t>
        </is>
      </c>
      <c r="E2889" s="3" t="inlineStr">
        <is>
          <t>WPC 3D SINGLE ENDING FLUTE WENGE</t>
        </is>
      </c>
      <c r="F2889" s="4" t="inlineStr"/>
      <c r="G2889" s="4" t="inlineStr"/>
      <c r="H2889" s="4" t="inlineStr"/>
      <c r="I2889" s="5" t="n">
        <v>59.95</v>
      </c>
      <c r="J2889" s="6" t="n">
        <v>15</v>
      </c>
      <c r="K2889" s="7">
        <f>IF(I2889="","",I2889*(1+J2889/100))</f>
        <v/>
      </c>
      <c r="L2889" s="12" t="inlineStr"/>
      <c r="M2889" s="8">
        <f>IF(OR(L2889="",K2889="",L2889=0),"",
  (L2889-K2889)/L2889*100)</f>
        <v/>
      </c>
      <c r="N2889" s="14" t="n">
        <v>747</v>
      </c>
      <c r="O2889" s="4" t="inlineStr"/>
      <c r="P2889" s="4" t="inlineStr"/>
      <c r="Q2889" s="4" t="inlineStr"/>
      <c r="R2889" s="4" t="inlineStr">
        <is>
          <t>2026-03-12</t>
        </is>
      </c>
      <c r="S2889" s="4" t="inlineStr"/>
    </row>
    <row r="2890">
      <c r="A2890" s="10" t="inlineStr">
        <is>
          <t>F03356</t>
        </is>
      </c>
      <c r="B2890" s="10" t="inlineStr">
        <is>
          <t>F03356</t>
        </is>
      </c>
      <c r="C2890" s="10" t="inlineStr"/>
      <c r="D2890" s="10" t="inlineStr">
        <is>
          <t>6009705657469</t>
        </is>
      </c>
      <c r="E2890" s="10" t="inlineStr">
        <is>
          <t>WPC 3D SINGLE ENDING FLUTE TEAK</t>
        </is>
      </c>
      <c r="F2890" s="10" t="inlineStr"/>
      <c r="G2890" s="10" t="inlineStr"/>
      <c r="H2890" s="10" t="inlineStr"/>
      <c r="I2890" s="11" t="n">
        <v>59.95</v>
      </c>
      <c r="J2890" s="6" t="n">
        <v>15</v>
      </c>
      <c r="K2890" s="7">
        <f>IF(I2890="","",I2890*(1+J2890/100))</f>
        <v/>
      </c>
      <c r="L2890" s="12" t="inlineStr"/>
      <c r="M2890" s="8">
        <f>IF(OR(L2890="",K2890="",L2890=0),"",
  (L2890-K2890)/L2890*100)</f>
        <v/>
      </c>
      <c r="N2890" s="13" t="n">
        <v>806</v>
      </c>
      <c r="O2890" s="10" t="inlineStr"/>
      <c r="P2890" s="10" t="inlineStr"/>
      <c r="Q2890" s="10" t="inlineStr"/>
      <c r="R2890" s="10" t="inlineStr">
        <is>
          <t>2026-03-12</t>
        </is>
      </c>
      <c r="S2890" s="10" t="inlineStr"/>
    </row>
    <row r="2891">
      <c r="A2891" s="3" t="inlineStr">
        <is>
          <t>F03357</t>
        </is>
      </c>
      <c r="B2891" s="4" t="inlineStr">
        <is>
          <t>F03357</t>
        </is>
      </c>
      <c r="C2891" s="4" t="inlineStr"/>
      <c r="D2891" s="4" t="inlineStr">
        <is>
          <t>6009705657476</t>
        </is>
      </c>
      <c r="E2891" s="3" t="inlineStr">
        <is>
          <t>WPC 3D SINGLE ENDING FLUTE GREY</t>
        </is>
      </c>
      <c r="F2891" s="4" t="inlineStr"/>
      <c r="G2891" s="4" t="inlineStr"/>
      <c r="H2891" s="4" t="inlineStr"/>
      <c r="I2891" s="5" t="n">
        <v>59.95</v>
      </c>
      <c r="J2891" s="6" t="n">
        <v>15</v>
      </c>
      <c r="K2891" s="7">
        <f>IF(I2891="","",I2891*(1+J2891/100))</f>
        <v/>
      </c>
      <c r="L2891" s="12" t="inlineStr"/>
      <c r="M2891" s="8">
        <f>IF(OR(L2891="",K2891="",L2891=0),"",
  (L2891-K2891)/L2891*100)</f>
        <v/>
      </c>
      <c r="N2891" s="14" t="n">
        <v>875</v>
      </c>
      <c r="O2891" s="4" t="inlineStr"/>
      <c r="P2891" s="4" t="inlineStr"/>
      <c r="Q2891" s="4" t="inlineStr"/>
      <c r="R2891" s="4" t="inlineStr">
        <is>
          <t>2026-03-12</t>
        </is>
      </c>
      <c r="S2891" s="4" t="inlineStr"/>
    </row>
    <row r="2892">
      <c r="A2892" s="10" t="inlineStr">
        <is>
          <t>F03358</t>
        </is>
      </c>
      <c r="B2892" s="10" t="inlineStr">
        <is>
          <t>F03358</t>
        </is>
      </c>
      <c r="C2892" s="10" t="inlineStr"/>
      <c r="D2892" s="10" t="inlineStr">
        <is>
          <t>6009705657483</t>
        </is>
      </c>
      <c r="E2892" s="10" t="inlineStr">
        <is>
          <t>WPC 3D SINGLE ENDING FLUTE MARBLE</t>
        </is>
      </c>
      <c r="F2892" s="10" t="inlineStr"/>
      <c r="G2892" s="10" t="inlineStr"/>
      <c r="H2892" s="10" t="inlineStr"/>
      <c r="I2892" s="11" t="n">
        <v>59.95</v>
      </c>
      <c r="J2892" s="6" t="n">
        <v>15</v>
      </c>
      <c r="K2892" s="7">
        <f>IF(I2892="","",I2892*(1+J2892/100))</f>
        <v/>
      </c>
      <c r="L2892" s="12" t="inlineStr"/>
      <c r="M2892" s="8">
        <f>IF(OR(L2892="",K2892="",L2892=0),"",
  (L2892-K2892)/L2892*100)</f>
        <v/>
      </c>
      <c r="N2892" s="13" t="n">
        <v>497</v>
      </c>
      <c r="O2892" s="10" t="inlineStr"/>
      <c r="P2892" s="10" t="inlineStr"/>
      <c r="Q2892" s="10" t="inlineStr"/>
      <c r="R2892" s="10" t="inlineStr">
        <is>
          <t>2026-03-12</t>
        </is>
      </c>
      <c r="S2892" s="10" t="inlineStr"/>
    </row>
    <row r="2893">
      <c r="A2893" s="3" t="inlineStr">
        <is>
          <t>F03359</t>
        </is>
      </c>
      <c r="B2893" s="4" t="inlineStr">
        <is>
          <t>F03359</t>
        </is>
      </c>
      <c r="C2893" s="4" t="inlineStr"/>
      <c r="D2893" s="4" t="inlineStr">
        <is>
          <t>6009705657490</t>
        </is>
      </c>
      <c r="E2893" s="3" t="inlineStr">
        <is>
          <t>WPC 3D SINGLE ENDING FLUTE RUSTIC</t>
        </is>
      </c>
      <c r="F2893" s="4" t="inlineStr"/>
      <c r="G2893" s="4" t="inlineStr"/>
      <c r="H2893" s="4" t="inlineStr"/>
      <c r="I2893" s="5" t="n">
        <v>59.95</v>
      </c>
      <c r="J2893" s="6" t="n">
        <v>15</v>
      </c>
      <c r="K2893" s="7">
        <f>IF(I2893="","",I2893*(1+J2893/100))</f>
        <v/>
      </c>
      <c r="L2893" s="12" t="inlineStr"/>
      <c r="M2893" s="8">
        <f>IF(OR(L2893="",K2893="",L2893=0),"",
  (L2893-K2893)/L2893*100)</f>
        <v/>
      </c>
      <c r="N2893" s="14" t="n">
        <v>539</v>
      </c>
      <c r="O2893" s="4" t="inlineStr"/>
      <c r="P2893" s="4" t="inlineStr"/>
      <c r="Q2893" s="4" t="inlineStr"/>
      <c r="R2893" s="4" t="inlineStr">
        <is>
          <t>2026-03-12</t>
        </is>
      </c>
      <c r="S2893" s="4" t="inlineStr"/>
    </row>
    <row r="2894">
      <c r="A2894" s="10" t="inlineStr">
        <is>
          <t>F03360</t>
        </is>
      </c>
      <c r="B2894" s="10" t="inlineStr">
        <is>
          <t>F03360</t>
        </is>
      </c>
      <c r="C2894" s="10" t="inlineStr"/>
      <c r="D2894" s="10" t="inlineStr">
        <is>
          <t>6009705657506</t>
        </is>
      </c>
      <c r="E2894" s="10" t="inlineStr">
        <is>
          <t>WPC 3D SINGLE ENDING FLUTE MAHOGANY</t>
        </is>
      </c>
      <c r="F2894" s="10" t="inlineStr"/>
      <c r="G2894" s="10" t="inlineStr"/>
      <c r="H2894" s="10" t="inlineStr"/>
      <c r="I2894" s="11" t="n">
        <v>59.95</v>
      </c>
      <c r="J2894" s="6" t="n">
        <v>15</v>
      </c>
      <c r="K2894" s="7">
        <f>IF(I2894="","",I2894*(1+J2894/100))</f>
        <v/>
      </c>
      <c r="L2894" s="12" t="inlineStr"/>
      <c r="M2894" s="8">
        <f>IF(OR(L2894="",K2894="",L2894=0),"",
  (L2894-K2894)/L2894*100)</f>
        <v/>
      </c>
      <c r="N2894" s="13" t="n">
        <v>1</v>
      </c>
      <c r="O2894" s="10" t="inlineStr"/>
      <c r="P2894" s="10" t="inlineStr"/>
      <c r="Q2894" s="10" t="inlineStr"/>
      <c r="R2894" s="10" t="inlineStr">
        <is>
          <t>2026-03-12</t>
        </is>
      </c>
      <c r="S2894" s="10" t="inlineStr"/>
    </row>
    <row r="2895">
      <c r="A2895" s="3" t="inlineStr">
        <is>
          <t>F03361</t>
        </is>
      </c>
      <c r="B2895" s="4" t="inlineStr">
        <is>
          <t>F03361</t>
        </is>
      </c>
      <c r="C2895" s="4" t="inlineStr"/>
      <c r="D2895" s="4" t="inlineStr">
        <is>
          <t>6009705657513</t>
        </is>
      </c>
      <c r="E2895" s="3" t="inlineStr">
        <is>
          <t>WPC 3D SINGLE ENDING FLUTE WOOD</t>
        </is>
      </c>
      <c r="F2895" s="4" t="inlineStr"/>
      <c r="G2895" s="4" t="inlineStr"/>
      <c r="H2895" s="4" t="inlineStr"/>
      <c r="I2895" s="5" t="n">
        <v>59.95</v>
      </c>
      <c r="J2895" s="6" t="n">
        <v>15</v>
      </c>
      <c r="K2895" s="7">
        <f>IF(I2895="","",I2895*(1+J2895/100))</f>
        <v/>
      </c>
      <c r="L2895" s="12" t="inlineStr"/>
      <c r="M2895" s="8">
        <f>IF(OR(L2895="",K2895="",L2895=0),"",
  (L2895-K2895)/L2895*100)</f>
        <v/>
      </c>
      <c r="N2895" s="14" t="n">
        <v>711</v>
      </c>
      <c r="O2895" s="4" t="inlineStr"/>
      <c r="P2895" s="4" t="inlineStr"/>
      <c r="Q2895" s="4" t="inlineStr"/>
      <c r="R2895" s="4" t="inlineStr">
        <is>
          <t>2026-03-12</t>
        </is>
      </c>
      <c r="S2895" s="4" t="inlineStr"/>
    </row>
    <row r="2896">
      <c r="A2896" s="10" t="inlineStr">
        <is>
          <t>F03362</t>
        </is>
      </c>
      <c r="B2896" s="10" t="inlineStr">
        <is>
          <t>F03362</t>
        </is>
      </c>
      <c r="C2896" s="10" t="inlineStr"/>
      <c r="D2896" s="10" t="inlineStr">
        <is>
          <t>6009705657520</t>
        </is>
      </c>
      <c r="E2896" s="10" t="inlineStr">
        <is>
          <t>WPC 3D SINGLE ENDING FLUTE MATTALIC GREY</t>
        </is>
      </c>
      <c r="F2896" s="10" t="inlineStr"/>
      <c r="G2896" s="10" t="inlineStr"/>
      <c r="H2896" s="10" t="inlineStr"/>
      <c r="I2896" s="11" t="n">
        <v>59.95</v>
      </c>
      <c r="J2896" s="6" t="n">
        <v>15</v>
      </c>
      <c r="K2896" s="7">
        <f>IF(I2896="","",I2896*(1+J2896/100))</f>
        <v/>
      </c>
      <c r="L2896" s="12" t="inlineStr"/>
      <c r="M2896" s="8">
        <f>IF(OR(L2896="",K2896="",L2896=0),"",
  (L2896-K2896)/L2896*100)</f>
        <v/>
      </c>
      <c r="N2896" s="13" t="n">
        <v>1</v>
      </c>
      <c r="O2896" s="10" t="inlineStr"/>
      <c r="P2896" s="10" t="inlineStr"/>
      <c r="Q2896" s="10" t="inlineStr"/>
      <c r="R2896" s="10" t="inlineStr">
        <is>
          <t>2026-03-12</t>
        </is>
      </c>
      <c r="S2896" s="10" t="inlineStr"/>
    </row>
    <row r="2897">
      <c r="A2897" s="3" t="inlineStr">
        <is>
          <t>F03363</t>
        </is>
      </c>
      <c r="B2897" s="4" t="inlineStr">
        <is>
          <t>F03363</t>
        </is>
      </c>
      <c r="C2897" s="4" t="inlineStr"/>
      <c r="D2897" s="4" t="inlineStr">
        <is>
          <t>6009705657537</t>
        </is>
      </c>
      <c r="E2897" s="3" t="inlineStr">
        <is>
          <t>WPC 3D SINGLE ENDING FLUTEROSE GOLD</t>
        </is>
      </c>
      <c r="F2897" s="4" t="inlineStr"/>
      <c r="G2897" s="4" t="inlineStr"/>
      <c r="H2897" s="4" t="inlineStr"/>
      <c r="I2897" s="5" t="n">
        <v>59.95</v>
      </c>
      <c r="J2897" s="6" t="n">
        <v>15</v>
      </c>
      <c r="K2897" s="7">
        <f>IF(I2897="","",I2897*(1+J2897/100))</f>
        <v/>
      </c>
      <c r="L2897" s="12" t="inlineStr"/>
      <c r="M2897" s="8">
        <f>IF(OR(L2897="",K2897="",L2897=0),"",
  (L2897-K2897)/L2897*100)</f>
        <v/>
      </c>
      <c r="N2897" s="14" t="n">
        <v>2</v>
      </c>
      <c r="O2897" s="4" t="inlineStr"/>
      <c r="P2897" s="4" t="inlineStr"/>
      <c r="Q2897" s="4" t="inlineStr"/>
      <c r="R2897" s="4" t="inlineStr">
        <is>
          <t>2026-03-12</t>
        </is>
      </c>
      <c r="S2897" s="4" t="inlineStr"/>
    </row>
    <row r="2898">
      <c r="A2898" s="10" t="inlineStr">
        <is>
          <t>F03364</t>
        </is>
      </c>
      <c r="B2898" s="10" t="inlineStr">
        <is>
          <t>F03364</t>
        </is>
      </c>
      <c r="C2898" s="10" t="inlineStr"/>
      <c r="D2898" s="10" t="inlineStr">
        <is>
          <t>6009705657544</t>
        </is>
      </c>
      <c r="E2898" s="10" t="inlineStr">
        <is>
          <t>WPC 3D SINGLE ENDING FLUTE SILVER</t>
        </is>
      </c>
      <c r="F2898" s="10" t="inlineStr"/>
      <c r="G2898" s="10" t="inlineStr"/>
      <c r="H2898" s="10" t="inlineStr"/>
      <c r="I2898" s="11" t="n">
        <v>59.95</v>
      </c>
      <c r="J2898" s="6" t="n">
        <v>15</v>
      </c>
      <c r="K2898" s="7">
        <f>IF(I2898="","",I2898*(1+J2898/100))</f>
        <v/>
      </c>
      <c r="L2898" s="12" t="inlineStr"/>
      <c r="M2898" s="8">
        <f>IF(OR(L2898="",K2898="",L2898=0),"",
  (L2898-K2898)/L2898*100)</f>
        <v/>
      </c>
      <c r="N2898" s="9" t="inlineStr"/>
      <c r="O2898" s="10" t="inlineStr"/>
      <c r="P2898" s="10" t="inlineStr"/>
      <c r="Q2898" s="10" t="inlineStr"/>
      <c r="R2898" s="10" t="inlineStr">
        <is>
          <t>2026-03-12</t>
        </is>
      </c>
      <c r="S2898" s="10" t="inlineStr"/>
    </row>
    <row r="2899">
      <c r="A2899" s="3" t="inlineStr">
        <is>
          <t>F03365</t>
        </is>
      </c>
      <c r="B2899" s="4" t="inlineStr">
        <is>
          <t>F03365</t>
        </is>
      </c>
      <c r="C2899" s="4" t="inlineStr"/>
      <c r="D2899" s="4" t="inlineStr">
        <is>
          <t>6009705657551</t>
        </is>
      </c>
      <c r="E2899" s="3" t="inlineStr">
        <is>
          <t>WPC 3D SINGLE ENDING FLUTGOLD CHAMPAGNE</t>
        </is>
      </c>
      <c r="F2899" s="4" t="inlineStr"/>
      <c r="G2899" s="4" t="inlineStr"/>
      <c r="H2899" s="4" t="inlineStr"/>
      <c r="I2899" s="5" t="n">
        <v>59.95</v>
      </c>
      <c r="J2899" s="6" t="n">
        <v>15</v>
      </c>
      <c r="K2899" s="7">
        <f>IF(I2899="","",I2899*(1+J2899/100))</f>
        <v/>
      </c>
      <c r="L2899" s="12" t="inlineStr"/>
      <c r="M2899" s="8">
        <f>IF(OR(L2899="",K2899="",L2899=0),"",
  (L2899-K2899)/L2899*100)</f>
        <v/>
      </c>
      <c r="N2899" s="9" t="inlineStr"/>
      <c r="O2899" s="4" t="inlineStr"/>
      <c r="P2899" s="4" t="inlineStr"/>
      <c r="Q2899" s="4" t="inlineStr"/>
      <c r="R2899" s="4" t="inlineStr">
        <is>
          <t>2026-03-12</t>
        </is>
      </c>
      <c r="S2899" s="4" t="inlineStr"/>
    </row>
    <row r="2900">
      <c r="A2900" s="10" t="inlineStr">
        <is>
          <t>F03366</t>
        </is>
      </c>
      <c r="B2900" s="10" t="inlineStr">
        <is>
          <t>F03366</t>
        </is>
      </c>
      <c r="C2900" s="10" t="inlineStr"/>
      <c r="D2900" s="10" t="inlineStr">
        <is>
          <t>6009705657568</t>
        </is>
      </c>
      <c r="E2900" s="10" t="inlineStr">
        <is>
          <t>WPC 3D SINGLE ENDING FLUTE WHITE MATT</t>
        </is>
      </c>
      <c r="F2900" s="10" t="inlineStr"/>
      <c r="G2900" s="10" t="inlineStr"/>
      <c r="H2900" s="10" t="inlineStr"/>
      <c r="I2900" s="11" t="n">
        <v>59.95</v>
      </c>
      <c r="J2900" s="6" t="n">
        <v>15</v>
      </c>
      <c r="K2900" s="7">
        <f>IF(I2900="","",I2900*(1+J2900/100))</f>
        <v/>
      </c>
      <c r="L2900" s="12" t="inlineStr"/>
      <c r="M2900" s="8">
        <f>IF(OR(L2900="",K2900="",L2900=0),"",
  (L2900-K2900)/L2900*100)</f>
        <v/>
      </c>
      <c r="N2900" s="9" t="inlineStr"/>
      <c r="O2900" s="10" t="inlineStr"/>
      <c r="P2900" s="10" t="inlineStr"/>
      <c r="Q2900" s="10" t="inlineStr"/>
      <c r="R2900" s="10" t="inlineStr">
        <is>
          <t>2026-03-12</t>
        </is>
      </c>
      <c r="S2900" s="10" t="inlineStr"/>
    </row>
    <row r="2901">
      <c r="A2901" s="3" t="inlineStr">
        <is>
          <t>F03367</t>
        </is>
      </c>
      <c r="B2901" s="4" t="inlineStr">
        <is>
          <t>F03367</t>
        </is>
      </c>
      <c r="C2901" s="4" t="inlineStr"/>
      <c r="D2901" s="4" t="inlineStr">
        <is>
          <t>6009705657575</t>
        </is>
      </c>
      <c r="E2901" s="3" t="inlineStr">
        <is>
          <t>STRIP FOR BARCELONA METALLIC GREY</t>
        </is>
      </c>
      <c r="F2901" s="4" t="inlineStr"/>
      <c r="G2901" s="4" t="inlineStr"/>
      <c r="H2901" s="4" t="inlineStr"/>
      <c r="I2901" s="5" t="n">
        <v>44.95</v>
      </c>
      <c r="J2901" s="6" t="n">
        <v>15</v>
      </c>
      <c r="K2901" s="7">
        <f>IF(I2901="","",I2901*(1+J2901/100))</f>
        <v/>
      </c>
      <c r="L2901" s="12" t="inlineStr"/>
      <c r="M2901" s="8">
        <f>IF(OR(L2901="",K2901="",L2901=0),"",
  (L2901-K2901)/L2901*100)</f>
        <v/>
      </c>
      <c r="N2901" s="14" t="n">
        <v>93</v>
      </c>
      <c r="O2901" s="4" t="inlineStr"/>
      <c r="P2901" s="4" t="inlineStr"/>
      <c r="Q2901" s="4" t="inlineStr"/>
      <c r="R2901" s="4" t="inlineStr">
        <is>
          <t>2026-03-12</t>
        </is>
      </c>
      <c r="S2901" s="4" t="inlineStr"/>
    </row>
    <row r="2902">
      <c r="A2902" s="10" t="inlineStr">
        <is>
          <t>F03368</t>
        </is>
      </c>
      <c r="B2902" s="10" t="inlineStr">
        <is>
          <t>F03368</t>
        </is>
      </c>
      <c r="C2902" s="10" t="inlineStr"/>
      <c r="D2902" s="10" t="inlineStr">
        <is>
          <t>6009705657582</t>
        </is>
      </c>
      <c r="E2902" s="10" t="inlineStr">
        <is>
          <t>STRIP FOR BARCELONA RUSTIC</t>
        </is>
      </c>
      <c r="F2902" s="10" t="inlineStr"/>
      <c r="G2902" s="10" t="inlineStr"/>
      <c r="H2902" s="10" t="inlineStr"/>
      <c r="I2902" s="11" t="n">
        <v>39.95</v>
      </c>
      <c r="J2902" s="6" t="n">
        <v>15</v>
      </c>
      <c r="K2902" s="7">
        <f>IF(I2902="","",I2902*(1+J2902/100))</f>
        <v/>
      </c>
      <c r="L2902" s="12" t="inlineStr"/>
      <c r="M2902" s="8">
        <f>IF(OR(L2902="",K2902="",L2902=0),"",
  (L2902-K2902)/L2902*100)</f>
        <v/>
      </c>
      <c r="N2902" s="13" t="n">
        <v>26</v>
      </c>
      <c r="O2902" s="10" t="inlineStr"/>
      <c r="P2902" s="10" t="inlineStr"/>
      <c r="Q2902" s="10" t="inlineStr"/>
      <c r="R2902" s="10" t="inlineStr">
        <is>
          <t>2026-03-12</t>
        </is>
      </c>
      <c r="S2902" s="10" t="inlineStr"/>
    </row>
    <row r="2903">
      <c r="A2903" s="3" t="inlineStr">
        <is>
          <t>F03369</t>
        </is>
      </c>
      <c r="B2903" s="4" t="inlineStr">
        <is>
          <t>F03369</t>
        </is>
      </c>
      <c r="C2903" s="4" t="inlineStr"/>
      <c r="D2903" s="4" t="inlineStr"/>
      <c r="E2903" s="3" t="inlineStr">
        <is>
          <t>PAINT TRAY BROWN</t>
        </is>
      </c>
      <c r="F2903" s="4" t="inlineStr"/>
      <c r="G2903" s="4" t="inlineStr"/>
      <c r="H2903" s="4" t="inlineStr"/>
      <c r="I2903" s="5" t="n">
        <v>20</v>
      </c>
      <c r="J2903" s="6" t="n">
        <v>15</v>
      </c>
      <c r="K2903" s="7">
        <f>IF(I2903="","",I2903*(1+J2903/100))</f>
        <v/>
      </c>
      <c r="L2903" s="12" t="inlineStr"/>
      <c r="M2903" s="8">
        <f>IF(OR(L2903="",K2903="",L2903=0),"",
  (L2903-K2903)/L2903*100)</f>
        <v/>
      </c>
      <c r="N2903" s="14" t="n">
        <v>2808</v>
      </c>
      <c r="O2903" s="4" t="inlineStr"/>
      <c r="P2903" s="4" t="inlineStr"/>
      <c r="Q2903" s="4" t="inlineStr"/>
      <c r="R2903" s="4" t="inlineStr">
        <is>
          <t>2026-03-12</t>
        </is>
      </c>
      <c r="S2903" s="4" t="inlineStr"/>
    </row>
    <row r="2904">
      <c r="A2904" s="10" t="inlineStr">
        <is>
          <t>F03370</t>
        </is>
      </c>
      <c r="B2904" s="10" t="inlineStr">
        <is>
          <t>F03370</t>
        </is>
      </c>
      <c r="C2904" s="10" t="inlineStr"/>
      <c r="D2904" s="10" t="inlineStr"/>
      <c r="E2904" s="10" t="inlineStr">
        <is>
          <t>CHEFING DISH</t>
        </is>
      </c>
      <c r="F2904" s="10" t="inlineStr"/>
      <c r="G2904" s="10" t="inlineStr"/>
      <c r="H2904" s="10" t="inlineStr"/>
      <c r="I2904" s="11" t="n">
        <v>1000</v>
      </c>
      <c r="J2904" s="6" t="n">
        <v>15</v>
      </c>
      <c r="K2904" s="7">
        <f>IF(I2904="","",I2904*(1+J2904/100))</f>
        <v/>
      </c>
      <c r="L2904" s="12" t="inlineStr"/>
      <c r="M2904" s="8">
        <f>IF(OR(L2904="",K2904="",L2904=0),"",
  (L2904-K2904)/L2904*100)</f>
        <v/>
      </c>
      <c r="N2904" s="9" t="inlineStr"/>
      <c r="O2904" s="10" t="inlineStr"/>
      <c r="P2904" s="10" t="inlineStr"/>
      <c r="Q2904" s="10" t="inlineStr"/>
      <c r="R2904" s="10" t="inlineStr">
        <is>
          <t>2026-03-12</t>
        </is>
      </c>
      <c r="S2904" s="10" t="inlineStr"/>
    </row>
    <row r="2905">
      <c r="A2905" s="3" t="inlineStr">
        <is>
          <t>F03371</t>
        </is>
      </c>
      <c r="B2905" s="4" t="inlineStr">
        <is>
          <t>F03371</t>
        </is>
      </c>
      <c r="C2905" s="4" t="inlineStr"/>
      <c r="D2905" s="4" t="inlineStr"/>
      <c r="E2905" s="3" t="inlineStr">
        <is>
          <t>CHEFING DISH</t>
        </is>
      </c>
      <c r="F2905" s="4" t="inlineStr"/>
      <c r="G2905" s="4" t="inlineStr"/>
      <c r="H2905" s="4" t="inlineStr"/>
      <c r="I2905" s="5" t="n">
        <v>1200</v>
      </c>
      <c r="J2905" s="6" t="n">
        <v>15</v>
      </c>
      <c r="K2905" s="7">
        <f>IF(I2905="","",I2905*(1+J2905/100))</f>
        <v/>
      </c>
      <c r="L2905" s="12" t="inlineStr"/>
      <c r="M2905" s="8">
        <f>IF(OR(L2905="",K2905="",L2905=0),"",
  (L2905-K2905)/L2905*100)</f>
        <v/>
      </c>
      <c r="N2905" s="9" t="inlineStr"/>
      <c r="O2905" s="4" t="inlineStr"/>
      <c r="P2905" s="4" t="inlineStr"/>
      <c r="Q2905" s="4" t="inlineStr"/>
      <c r="R2905" s="4" t="inlineStr">
        <is>
          <t>2026-03-12</t>
        </is>
      </c>
      <c r="S2905" s="4" t="inlineStr"/>
    </row>
    <row r="2906">
      <c r="A2906" s="10" t="inlineStr">
        <is>
          <t>F03372</t>
        </is>
      </c>
      <c r="B2906" s="10" t="inlineStr">
        <is>
          <t>F03372</t>
        </is>
      </c>
      <c r="C2906" s="10" t="inlineStr"/>
      <c r="D2906" s="10" t="inlineStr"/>
      <c r="E2906" s="10" t="inlineStr">
        <is>
          <t>CHEFING DISH</t>
        </is>
      </c>
      <c r="F2906" s="10" t="inlineStr"/>
      <c r="G2906" s="10" t="inlineStr"/>
      <c r="H2906" s="10" t="inlineStr"/>
      <c r="I2906" s="11" t="n">
        <v>1500</v>
      </c>
      <c r="J2906" s="6" t="n">
        <v>15</v>
      </c>
      <c r="K2906" s="7">
        <f>IF(I2906="","",I2906*(1+J2906/100))</f>
        <v/>
      </c>
      <c r="L2906" s="12" t="inlineStr"/>
      <c r="M2906" s="8">
        <f>IF(OR(L2906="",K2906="",L2906=0),"",
  (L2906-K2906)/L2906*100)</f>
        <v/>
      </c>
      <c r="N2906" s="9" t="inlineStr"/>
      <c r="O2906" s="10" t="inlineStr"/>
      <c r="P2906" s="10" t="inlineStr"/>
      <c r="Q2906" s="10" t="inlineStr"/>
      <c r="R2906" s="10" t="inlineStr">
        <is>
          <t>2026-03-12</t>
        </is>
      </c>
      <c r="S2906" s="10" t="inlineStr"/>
    </row>
    <row r="2907">
      <c r="A2907" s="3" t="inlineStr">
        <is>
          <t>F03373</t>
        </is>
      </c>
      <c r="B2907" s="4" t="inlineStr">
        <is>
          <t>F03373</t>
        </is>
      </c>
      <c r="C2907" s="4" t="inlineStr"/>
      <c r="D2907" s="4" t="inlineStr"/>
      <c r="E2907" s="3" t="inlineStr">
        <is>
          <t>CHEFING DISH</t>
        </is>
      </c>
      <c r="F2907" s="4" t="inlineStr"/>
      <c r="G2907" s="4" t="inlineStr"/>
      <c r="H2907" s="4" t="inlineStr"/>
      <c r="I2907" s="5" t="n">
        <v>1000</v>
      </c>
      <c r="J2907" s="6" t="n">
        <v>15</v>
      </c>
      <c r="K2907" s="7">
        <f>IF(I2907="","",I2907*(1+J2907/100))</f>
        <v/>
      </c>
      <c r="L2907" s="12" t="inlineStr"/>
      <c r="M2907" s="8">
        <f>IF(OR(L2907="",K2907="",L2907=0),"",
  (L2907-K2907)/L2907*100)</f>
        <v/>
      </c>
      <c r="N2907" s="9" t="inlineStr"/>
      <c r="O2907" s="4" t="inlineStr"/>
      <c r="P2907" s="4" t="inlineStr"/>
      <c r="Q2907" s="4" t="inlineStr"/>
      <c r="R2907" s="4" t="inlineStr">
        <is>
          <t>2026-03-12</t>
        </is>
      </c>
      <c r="S2907" s="4" t="inlineStr"/>
    </row>
    <row r="2908">
      <c r="A2908" s="10" t="inlineStr">
        <is>
          <t>F03374</t>
        </is>
      </c>
      <c r="B2908" s="10" t="inlineStr">
        <is>
          <t>F03374</t>
        </is>
      </c>
      <c r="C2908" s="10" t="inlineStr"/>
      <c r="D2908" s="10" t="inlineStr"/>
      <c r="E2908" s="10" t="inlineStr">
        <is>
          <t>CHEFING DISH</t>
        </is>
      </c>
      <c r="F2908" s="10" t="inlineStr"/>
      <c r="G2908" s="10" t="inlineStr"/>
      <c r="H2908" s="10" t="inlineStr"/>
      <c r="I2908" s="11" t="n">
        <v>1500</v>
      </c>
      <c r="J2908" s="6" t="n">
        <v>15</v>
      </c>
      <c r="K2908" s="7">
        <f>IF(I2908="","",I2908*(1+J2908/100))</f>
        <v/>
      </c>
      <c r="L2908" s="12" t="inlineStr"/>
      <c r="M2908" s="8">
        <f>IF(OR(L2908="",K2908="",L2908=0),"",
  (L2908-K2908)/L2908*100)</f>
        <v/>
      </c>
      <c r="N2908" s="9" t="inlineStr"/>
      <c r="O2908" s="10" t="inlineStr"/>
      <c r="P2908" s="10" t="inlineStr"/>
      <c r="Q2908" s="10" t="inlineStr"/>
      <c r="R2908" s="10" t="inlineStr">
        <is>
          <t>2026-03-12</t>
        </is>
      </c>
      <c r="S2908" s="10" t="inlineStr"/>
    </row>
    <row r="2909">
      <c r="A2909" s="3" t="inlineStr">
        <is>
          <t>F03375</t>
        </is>
      </c>
      <c r="B2909" s="4" t="inlineStr">
        <is>
          <t>F03375</t>
        </is>
      </c>
      <c r="C2909" s="4" t="inlineStr"/>
      <c r="D2909" s="4" t="inlineStr"/>
      <c r="E2909" s="3" t="inlineStr">
        <is>
          <t>CHEFING DISH</t>
        </is>
      </c>
      <c r="F2909" s="4" t="inlineStr"/>
      <c r="G2909" s="4" t="inlineStr"/>
      <c r="H2909" s="4" t="inlineStr"/>
      <c r="I2909" s="5" t="n">
        <v>1000</v>
      </c>
      <c r="J2909" s="6" t="n">
        <v>15</v>
      </c>
      <c r="K2909" s="7">
        <f>IF(I2909="","",I2909*(1+J2909/100))</f>
        <v/>
      </c>
      <c r="L2909" s="12" t="inlineStr"/>
      <c r="M2909" s="8">
        <f>IF(OR(L2909="",K2909="",L2909=0),"",
  (L2909-K2909)/L2909*100)</f>
        <v/>
      </c>
      <c r="N2909" s="9" t="inlineStr"/>
      <c r="O2909" s="4" t="inlineStr"/>
      <c r="P2909" s="4" t="inlineStr"/>
      <c r="Q2909" s="4" t="inlineStr"/>
      <c r="R2909" s="4" t="inlineStr">
        <is>
          <t>2026-03-12</t>
        </is>
      </c>
      <c r="S2909" s="4" t="inlineStr"/>
    </row>
    <row r="2910">
      <c r="A2910" s="10" t="inlineStr">
        <is>
          <t>F03376</t>
        </is>
      </c>
      <c r="B2910" s="10" t="inlineStr">
        <is>
          <t>F03376</t>
        </is>
      </c>
      <c r="C2910" s="10" t="inlineStr"/>
      <c r="D2910" s="10" t="inlineStr"/>
      <c r="E2910" s="10" t="inlineStr">
        <is>
          <t>CHEFING DISH</t>
        </is>
      </c>
      <c r="F2910" s="10" t="inlineStr"/>
      <c r="G2910" s="10" t="inlineStr"/>
      <c r="H2910" s="10" t="inlineStr"/>
      <c r="I2910" s="11" t="n">
        <v>1000</v>
      </c>
      <c r="J2910" s="6" t="n">
        <v>15</v>
      </c>
      <c r="K2910" s="7">
        <f>IF(I2910="","",I2910*(1+J2910/100))</f>
        <v/>
      </c>
      <c r="L2910" s="12" t="inlineStr"/>
      <c r="M2910" s="8">
        <f>IF(OR(L2910="",K2910="",L2910=0),"",
  (L2910-K2910)/L2910*100)</f>
        <v/>
      </c>
      <c r="N2910" s="9" t="inlineStr"/>
      <c r="O2910" s="10" t="inlineStr"/>
      <c r="P2910" s="10" t="inlineStr"/>
      <c r="Q2910" s="10" t="inlineStr"/>
      <c r="R2910" s="10" t="inlineStr">
        <is>
          <t>2026-03-12</t>
        </is>
      </c>
      <c r="S2910" s="10" t="inlineStr"/>
    </row>
    <row r="2911">
      <c r="A2911" s="3" t="inlineStr">
        <is>
          <t>F03377</t>
        </is>
      </c>
      <c r="B2911" s="4" t="inlineStr">
        <is>
          <t>F03377</t>
        </is>
      </c>
      <c r="C2911" s="4" t="inlineStr"/>
      <c r="D2911" s="4" t="inlineStr">
        <is>
          <t>6009705657605</t>
        </is>
      </c>
      <c r="E2911" s="3" t="inlineStr">
        <is>
          <t>HOT WATER BOTTE 1LTR WITH COVER</t>
        </is>
      </c>
      <c r="F2911" s="4" t="inlineStr"/>
      <c r="G2911" s="4" t="inlineStr"/>
      <c r="H2911" s="4" t="inlineStr"/>
      <c r="I2911" s="5" t="n">
        <v>19.95</v>
      </c>
      <c r="J2911" s="6" t="n">
        <v>15</v>
      </c>
      <c r="K2911" s="7">
        <f>IF(I2911="","",I2911*(1+J2911/100))</f>
        <v/>
      </c>
      <c r="L2911" s="12" t="inlineStr"/>
      <c r="M2911" s="8">
        <f>IF(OR(L2911="",K2911="",L2911=0),"",
  (L2911-K2911)/L2911*100)</f>
        <v/>
      </c>
      <c r="N2911" s="14" t="n">
        <v>4153</v>
      </c>
      <c r="O2911" s="4" t="inlineStr"/>
      <c r="P2911" s="4" t="inlineStr"/>
      <c r="Q2911" s="4" t="inlineStr"/>
      <c r="R2911" s="4" t="inlineStr">
        <is>
          <t>2026-03-12</t>
        </is>
      </c>
      <c r="S2911" s="4" t="inlineStr"/>
    </row>
    <row r="2912">
      <c r="A2912" s="10" t="inlineStr">
        <is>
          <t>F03378</t>
        </is>
      </c>
      <c r="B2912" s="10" t="inlineStr">
        <is>
          <t>F03378</t>
        </is>
      </c>
      <c r="C2912" s="10" t="inlineStr"/>
      <c r="D2912" s="10" t="inlineStr"/>
      <c r="E2912" s="10" t="inlineStr">
        <is>
          <t>WALL PANEL BARCELONA SILVER  LOOSE PANEL</t>
        </is>
      </c>
      <c r="F2912" s="10" t="inlineStr"/>
      <c r="G2912" s="10" t="inlineStr"/>
      <c r="H2912" s="10" t="inlineStr"/>
      <c r="I2912" s="11" t="n">
        <v>159</v>
      </c>
      <c r="J2912" s="6" t="n">
        <v>15</v>
      </c>
      <c r="K2912" s="7">
        <f>IF(I2912="","",I2912*(1+J2912/100))</f>
        <v/>
      </c>
      <c r="L2912" s="12" t="inlineStr"/>
      <c r="M2912" s="8">
        <f>IF(OR(L2912="",K2912="",L2912=0),"",
  (L2912-K2912)/L2912*100)</f>
        <v/>
      </c>
      <c r="N2912" s="9" t="inlineStr"/>
      <c r="O2912" s="10" t="inlineStr"/>
      <c r="P2912" s="10" t="inlineStr"/>
      <c r="Q2912" s="10" t="inlineStr"/>
      <c r="R2912" s="10" t="inlineStr">
        <is>
          <t>2026-03-12</t>
        </is>
      </c>
      <c r="S2912" s="10" t="inlineStr"/>
    </row>
    <row r="2913">
      <c r="A2913" s="3" t="inlineStr">
        <is>
          <t>F03379</t>
        </is>
      </c>
      <c r="B2913" s="4" t="inlineStr">
        <is>
          <t>F03379</t>
        </is>
      </c>
      <c r="C2913" s="4" t="inlineStr"/>
      <c r="D2913" s="4" t="inlineStr"/>
      <c r="E2913" s="3" t="inlineStr">
        <is>
          <t>WALL PANEL BARCELONA GOLD CHAMPAG LOOSE</t>
        </is>
      </c>
      <c r="F2913" s="4" t="inlineStr"/>
      <c r="G2913" s="4" t="inlineStr"/>
      <c r="H2913" s="4" t="inlineStr"/>
      <c r="I2913" s="5" t="n">
        <v>159</v>
      </c>
      <c r="J2913" s="6" t="n">
        <v>15</v>
      </c>
      <c r="K2913" s="7">
        <f>IF(I2913="","",I2913*(1+J2913/100))</f>
        <v/>
      </c>
      <c r="L2913" s="12" t="inlineStr"/>
      <c r="M2913" s="8">
        <f>IF(OR(L2913="",K2913="",L2913=0),"",
  (L2913-K2913)/L2913*100)</f>
        <v/>
      </c>
      <c r="N2913" s="9" t="inlineStr"/>
      <c r="O2913" s="4" t="inlineStr"/>
      <c r="P2913" s="4" t="inlineStr"/>
      <c r="Q2913" s="4" t="inlineStr"/>
      <c r="R2913" s="4" t="inlineStr">
        <is>
          <t>2026-03-12</t>
        </is>
      </c>
      <c r="S2913" s="4" t="inlineStr"/>
    </row>
    <row r="2914">
      <c r="A2914" s="10" t="inlineStr">
        <is>
          <t>F03380</t>
        </is>
      </c>
      <c r="B2914" s="10" t="inlineStr">
        <is>
          <t>F03380</t>
        </is>
      </c>
      <c r="C2914" s="10" t="inlineStr"/>
      <c r="D2914" s="10" t="inlineStr"/>
      <c r="E2914" s="10" t="inlineStr">
        <is>
          <t>WALL PANEL BARCELONA ROSE GOLD LOOSE</t>
        </is>
      </c>
      <c r="F2914" s="10" t="inlineStr"/>
      <c r="G2914" s="10" t="inlineStr"/>
      <c r="H2914" s="10" t="inlineStr"/>
      <c r="I2914" s="11" t="n">
        <v>159</v>
      </c>
      <c r="J2914" s="6" t="n">
        <v>15</v>
      </c>
      <c r="K2914" s="7">
        <f>IF(I2914="","",I2914*(1+J2914/100))</f>
        <v/>
      </c>
      <c r="L2914" s="12" t="inlineStr"/>
      <c r="M2914" s="8">
        <f>IF(OR(L2914="",K2914="",L2914=0),"",
  (L2914-K2914)/L2914*100)</f>
        <v/>
      </c>
      <c r="N2914" s="9" t="inlineStr"/>
      <c r="O2914" s="10" t="inlineStr"/>
      <c r="P2914" s="10" t="inlineStr"/>
      <c r="Q2914" s="10" t="inlineStr"/>
      <c r="R2914" s="10" t="inlineStr">
        <is>
          <t>2026-03-12</t>
        </is>
      </c>
      <c r="S2914" s="10" t="inlineStr"/>
    </row>
    <row r="2915">
      <c r="A2915" s="3" t="inlineStr">
        <is>
          <t>F03381</t>
        </is>
      </c>
      <c r="B2915" s="4" t="inlineStr">
        <is>
          <t>F03381</t>
        </is>
      </c>
      <c r="C2915" s="4" t="inlineStr"/>
      <c r="D2915" s="4" t="inlineStr"/>
      <c r="E2915" s="3" t="inlineStr">
        <is>
          <t>LOCKER SINGLE 1.8X410X520MM</t>
        </is>
      </c>
      <c r="F2915" s="4" t="inlineStr"/>
      <c r="G2915" s="4" t="inlineStr"/>
      <c r="H2915" s="4" t="inlineStr"/>
      <c r="I2915" s="5" t="n">
        <v>2000</v>
      </c>
      <c r="J2915" s="6" t="n">
        <v>15</v>
      </c>
      <c r="K2915" s="7">
        <f>IF(I2915="","",I2915*(1+J2915/100))</f>
        <v/>
      </c>
      <c r="L2915" s="12" t="inlineStr"/>
      <c r="M2915" s="8">
        <f>IF(OR(L2915="",K2915="",L2915=0),"",
  (L2915-K2915)/L2915*100)</f>
        <v/>
      </c>
      <c r="N2915" s="9" t="inlineStr"/>
      <c r="O2915" s="4" t="inlineStr"/>
      <c r="P2915" s="4" t="inlineStr"/>
      <c r="Q2915" s="4" t="inlineStr"/>
      <c r="R2915" s="4" t="inlineStr">
        <is>
          <t>2026-03-12</t>
        </is>
      </c>
      <c r="S2915" s="4" t="inlineStr"/>
    </row>
    <row r="2916">
      <c r="A2916" s="10" t="inlineStr">
        <is>
          <t>F03382</t>
        </is>
      </c>
      <c r="B2916" s="10" t="inlineStr">
        <is>
          <t>F03382</t>
        </is>
      </c>
      <c r="C2916" s="10" t="inlineStr"/>
      <c r="D2916" s="10" t="inlineStr"/>
      <c r="E2916" s="10" t="inlineStr">
        <is>
          <t>WPC OUTDOOR WALL PANEL  BLACK LOOSE</t>
        </is>
      </c>
      <c r="F2916" s="10" t="inlineStr"/>
      <c r="G2916" s="10" t="inlineStr"/>
      <c r="H2916" s="10" t="inlineStr"/>
      <c r="I2916" s="11" t="n">
        <v>299</v>
      </c>
      <c r="J2916" s="6" t="n">
        <v>15</v>
      </c>
      <c r="K2916" s="7">
        <f>IF(I2916="","",I2916*(1+J2916/100))</f>
        <v/>
      </c>
      <c r="L2916" s="12" t="inlineStr"/>
      <c r="M2916" s="8">
        <f>IF(OR(L2916="",K2916="",L2916=0),"",
  (L2916-K2916)/L2916*100)</f>
        <v/>
      </c>
      <c r="N2916" s="9" t="inlineStr"/>
      <c r="O2916" s="10" t="inlineStr"/>
      <c r="P2916" s="10" t="inlineStr"/>
      <c r="Q2916" s="10" t="inlineStr"/>
      <c r="R2916" s="10" t="inlineStr">
        <is>
          <t>2026-03-12</t>
        </is>
      </c>
      <c r="S2916" s="10" t="inlineStr"/>
    </row>
    <row r="2917">
      <c r="A2917" s="3" t="inlineStr">
        <is>
          <t>F03383</t>
        </is>
      </c>
      <c r="B2917" s="4" t="inlineStr">
        <is>
          <t>F03383</t>
        </is>
      </c>
      <c r="C2917" s="4" t="inlineStr"/>
      <c r="D2917" s="4" t="inlineStr"/>
      <c r="E2917" s="3" t="inlineStr">
        <is>
          <t>VINYL XTRA TUFF 0.8MMX 30M X1,83M</t>
        </is>
      </c>
      <c r="F2917" s="4" t="inlineStr"/>
      <c r="G2917" s="4" t="inlineStr"/>
      <c r="H2917" s="4" t="inlineStr"/>
      <c r="I2917" s="5" t="n">
        <v>1329</v>
      </c>
      <c r="J2917" s="6" t="n">
        <v>15</v>
      </c>
      <c r="K2917" s="7">
        <f>IF(I2917="","",I2917*(1+J2917/100))</f>
        <v/>
      </c>
      <c r="L2917" s="12" t="inlineStr"/>
      <c r="M2917" s="8">
        <f>IF(OR(L2917="",K2917="",L2917=0),"",
  (L2917-K2917)/L2917*100)</f>
        <v/>
      </c>
      <c r="N2917" s="14" t="n">
        <v>145</v>
      </c>
      <c r="O2917" s="4" t="inlineStr"/>
      <c r="P2917" s="4" t="inlineStr"/>
      <c r="Q2917" s="4" t="inlineStr"/>
      <c r="R2917" s="4" t="inlineStr">
        <is>
          <t>2026-03-12</t>
        </is>
      </c>
      <c r="S2917" s="4" t="inlineStr"/>
    </row>
    <row r="2918">
      <c r="A2918" s="10" t="inlineStr">
        <is>
          <t>F03384</t>
        </is>
      </c>
      <c r="B2918" s="10" t="inlineStr">
        <is>
          <t>F03384</t>
        </is>
      </c>
      <c r="C2918" s="10" t="inlineStr"/>
      <c r="D2918" s="10" t="inlineStr"/>
      <c r="E2918" s="10" t="inlineStr">
        <is>
          <t>VINYL XTRA TUFF 0.8MMX 5MTR X1,83M</t>
        </is>
      </c>
      <c r="F2918" s="10" t="inlineStr"/>
      <c r="G2918" s="10" t="inlineStr"/>
      <c r="H2918" s="10" t="inlineStr"/>
      <c r="I2918" s="11" t="n">
        <v>239</v>
      </c>
      <c r="J2918" s="6" t="n">
        <v>15</v>
      </c>
      <c r="K2918" s="7">
        <f>IF(I2918="","",I2918*(1+J2918/100))</f>
        <v/>
      </c>
      <c r="L2918" s="12" t="inlineStr"/>
      <c r="M2918" s="8">
        <f>IF(OR(L2918="",K2918="",L2918=0),"",
  (L2918-K2918)/L2918*100)</f>
        <v/>
      </c>
      <c r="N2918" s="9" t="inlineStr"/>
      <c r="O2918" s="10" t="inlineStr"/>
      <c r="P2918" s="10" t="inlineStr"/>
      <c r="Q2918" s="10" t="inlineStr"/>
      <c r="R2918" s="10" t="inlineStr">
        <is>
          <t>2026-03-12</t>
        </is>
      </c>
      <c r="S2918" s="10" t="inlineStr"/>
    </row>
    <row r="2919">
      <c r="A2919" s="3" t="inlineStr">
        <is>
          <t>F03385</t>
        </is>
      </c>
      <c r="B2919" s="4" t="inlineStr">
        <is>
          <t>F03385</t>
        </is>
      </c>
      <c r="C2919" s="4" t="inlineStr"/>
      <c r="D2919" s="4" t="inlineStr"/>
      <c r="E2919" s="3" t="inlineStr">
        <is>
          <t>UV PANEL ANGEL WHITE 1220*2400*2.5MM</t>
        </is>
      </c>
      <c r="F2919" s="4" t="inlineStr"/>
      <c r="G2919" s="4" t="inlineStr"/>
      <c r="H2919" s="4" t="inlineStr"/>
      <c r="I2919" s="5" t="n">
        <v>319.99</v>
      </c>
      <c r="J2919" s="6" t="n">
        <v>15</v>
      </c>
      <c r="K2919" s="7">
        <f>IF(I2919="","",I2919*(1+J2919/100))</f>
        <v/>
      </c>
      <c r="L2919" s="12" t="inlineStr"/>
      <c r="M2919" s="8">
        <f>IF(OR(L2919="",K2919="",L2919=0),"",
  (L2919-K2919)/L2919*100)</f>
        <v/>
      </c>
      <c r="N2919" s="9" t="inlineStr"/>
      <c r="O2919" s="4" t="inlineStr"/>
      <c r="P2919" s="4" t="inlineStr"/>
      <c r="Q2919" s="4" t="inlineStr"/>
      <c r="R2919" s="4" t="inlineStr">
        <is>
          <t>2026-03-12</t>
        </is>
      </c>
      <c r="S2919" s="4" t="inlineStr"/>
    </row>
    <row r="2920">
      <c r="A2920" s="10" t="inlineStr">
        <is>
          <t>F03386</t>
        </is>
      </c>
      <c r="B2920" s="10" t="inlineStr">
        <is>
          <t>F03386</t>
        </is>
      </c>
      <c r="C2920" s="10" t="inlineStr"/>
      <c r="D2920" s="10" t="inlineStr"/>
      <c r="E2920" s="10" t="inlineStr">
        <is>
          <t>SHRINK MACHINE</t>
        </is>
      </c>
      <c r="F2920" s="10" t="inlineStr"/>
      <c r="G2920" s="10" t="inlineStr"/>
      <c r="H2920" s="10" t="inlineStr"/>
      <c r="I2920" s="11" t="n">
        <v>5150</v>
      </c>
      <c r="J2920" s="6" t="n">
        <v>15</v>
      </c>
      <c r="K2920" s="7">
        <f>IF(I2920="","",I2920*(1+J2920/100))</f>
        <v/>
      </c>
      <c r="L2920" s="12" t="inlineStr"/>
      <c r="M2920" s="8">
        <f>IF(OR(L2920="",K2920="",L2920=0),"",
  (L2920-K2920)/L2920*100)</f>
        <v/>
      </c>
      <c r="N2920" s="9" t="inlineStr"/>
      <c r="O2920" s="10" t="inlineStr"/>
      <c r="P2920" s="10" t="inlineStr"/>
      <c r="Q2920" s="10" t="inlineStr"/>
      <c r="R2920" s="10" t="inlineStr">
        <is>
          <t>2026-03-12</t>
        </is>
      </c>
      <c r="S2920" s="10" t="inlineStr"/>
    </row>
    <row r="2921">
      <c r="A2921" s="3" t="inlineStr">
        <is>
          <t>F03387</t>
        </is>
      </c>
      <c r="B2921" s="4" t="inlineStr">
        <is>
          <t>F03387</t>
        </is>
      </c>
      <c r="C2921" s="4" t="inlineStr"/>
      <c r="D2921" s="4" t="inlineStr"/>
      <c r="E2921" s="3" t="inlineStr">
        <is>
          <t>BRAAI STAND PORTABLE</t>
        </is>
      </c>
      <c r="F2921" s="4" t="inlineStr"/>
      <c r="G2921" s="4" t="inlineStr"/>
      <c r="H2921" s="4" t="inlineStr"/>
      <c r="I2921" s="5" t="n">
        <v>159.95</v>
      </c>
      <c r="J2921" s="6" t="n">
        <v>15</v>
      </c>
      <c r="K2921" s="7">
        <f>IF(I2921="","",I2921*(1+J2921/100))</f>
        <v/>
      </c>
      <c r="L2921" s="12" t="inlineStr"/>
      <c r="M2921" s="8">
        <f>IF(OR(L2921="",K2921="",L2921=0),"",
  (L2921-K2921)/L2921*100)</f>
        <v/>
      </c>
      <c r="N2921" s="14" t="n">
        <v>74</v>
      </c>
      <c r="O2921" s="4" t="inlineStr"/>
      <c r="P2921" s="4" t="inlineStr"/>
      <c r="Q2921" s="4" t="inlineStr"/>
      <c r="R2921" s="4" t="inlineStr">
        <is>
          <t>2026-03-12</t>
        </is>
      </c>
      <c r="S2921" s="4" t="inlineStr"/>
    </row>
    <row r="2922">
      <c r="A2922" s="10" t="inlineStr">
        <is>
          <t>F03388</t>
        </is>
      </c>
      <c r="B2922" s="10" t="inlineStr">
        <is>
          <t>F03388</t>
        </is>
      </c>
      <c r="C2922" s="10" t="inlineStr"/>
      <c r="D2922" s="10" t="inlineStr"/>
      <c r="E2922" s="10" t="inlineStr">
        <is>
          <t>WPC OUTDOOR WALL PANEL GREY LOOSE</t>
        </is>
      </c>
      <c r="F2922" s="10" t="inlineStr"/>
      <c r="G2922" s="10" t="inlineStr"/>
      <c r="H2922" s="10" t="inlineStr"/>
      <c r="I2922" s="11" t="n">
        <v>289</v>
      </c>
      <c r="J2922" s="6" t="n">
        <v>15</v>
      </c>
      <c r="K2922" s="7">
        <f>IF(I2922="","",I2922*(1+J2922/100))</f>
        <v/>
      </c>
      <c r="L2922" s="12" t="inlineStr"/>
      <c r="M2922" s="8">
        <f>IF(OR(L2922="",K2922="",L2922=0),"",
  (L2922-K2922)/L2922*100)</f>
        <v/>
      </c>
      <c r="N2922" s="9" t="inlineStr"/>
      <c r="O2922" s="10" t="inlineStr"/>
      <c r="P2922" s="10" t="inlineStr"/>
      <c r="Q2922" s="10" t="inlineStr"/>
      <c r="R2922" s="10" t="inlineStr">
        <is>
          <t>2026-03-12</t>
        </is>
      </c>
      <c r="S2922" s="10" t="inlineStr"/>
    </row>
    <row r="2923">
      <c r="A2923" s="3" t="inlineStr">
        <is>
          <t>F03389</t>
        </is>
      </c>
      <c r="B2923" s="4" t="inlineStr">
        <is>
          <t>F03389</t>
        </is>
      </c>
      <c r="C2923" s="4" t="inlineStr"/>
      <c r="D2923" s="4" t="inlineStr">
        <is>
          <t>6009714541216</t>
        </is>
      </c>
      <c r="E2923" s="3" t="inlineStr">
        <is>
          <t>CONATINER SQUARE 600ML LOCK LID</t>
        </is>
      </c>
      <c r="F2923" s="4" t="inlineStr"/>
      <c r="G2923" s="4" t="inlineStr"/>
      <c r="H2923" s="4" t="inlineStr"/>
      <c r="I2923" s="5" t="n">
        <v>12.3</v>
      </c>
      <c r="J2923" s="6" t="n">
        <v>15</v>
      </c>
      <c r="K2923" s="7">
        <f>IF(I2923="","",I2923*(1+J2923/100))</f>
        <v/>
      </c>
      <c r="L2923" s="12" t="inlineStr"/>
      <c r="M2923" s="8">
        <f>IF(OR(L2923="",K2923="",L2923=0),"",
  (L2923-K2923)/L2923*100)</f>
        <v/>
      </c>
      <c r="N2923" s="14" t="n">
        <v>88</v>
      </c>
      <c r="O2923" s="4" t="inlineStr"/>
      <c r="P2923" s="4" t="inlineStr"/>
      <c r="Q2923" s="4" t="inlineStr"/>
      <c r="R2923" s="4" t="inlineStr">
        <is>
          <t>2026-03-12</t>
        </is>
      </c>
      <c r="S2923" s="4" t="inlineStr"/>
    </row>
    <row r="2924">
      <c r="A2924" s="10" t="inlineStr">
        <is>
          <t>F03390</t>
        </is>
      </c>
      <c r="B2924" s="10" t="inlineStr">
        <is>
          <t>F03390</t>
        </is>
      </c>
      <c r="C2924" s="10" t="inlineStr"/>
      <c r="D2924" s="10" t="inlineStr">
        <is>
          <t>6009714541209</t>
        </is>
      </c>
      <c r="E2924" s="10" t="inlineStr">
        <is>
          <t>CONTAINER OVAL 4PC RAINBOW</t>
        </is>
      </c>
      <c r="F2924" s="10" t="inlineStr"/>
      <c r="G2924" s="10" t="inlineStr"/>
      <c r="H2924" s="10" t="inlineStr"/>
      <c r="I2924" s="11" t="n">
        <v>18.5</v>
      </c>
      <c r="J2924" s="6" t="n">
        <v>15</v>
      </c>
      <c r="K2924" s="7">
        <f>IF(I2924="","",I2924*(1+J2924/100))</f>
        <v/>
      </c>
      <c r="L2924" s="12" t="inlineStr"/>
      <c r="M2924" s="8">
        <f>IF(OR(L2924="",K2924="",L2924=0),"",
  (L2924-K2924)/L2924*100)</f>
        <v/>
      </c>
      <c r="N2924" s="13" t="n">
        <v>63</v>
      </c>
      <c r="O2924" s="10" t="inlineStr"/>
      <c r="P2924" s="10" t="inlineStr"/>
      <c r="Q2924" s="10" t="inlineStr"/>
      <c r="R2924" s="10" t="inlineStr">
        <is>
          <t>2026-03-12</t>
        </is>
      </c>
      <c r="S2924" s="10" t="inlineStr"/>
    </row>
    <row r="2925">
      <c r="A2925" s="3" t="inlineStr">
        <is>
          <t>F03391</t>
        </is>
      </c>
      <c r="B2925" s="4" t="inlineStr">
        <is>
          <t>F03391</t>
        </is>
      </c>
      <c r="C2925" s="4" t="inlineStr"/>
      <c r="D2925" s="4" t="inlineStr">
        <is>
          <t>6009714541193</t>
        </is>
      </c>
      <c r="E2925" s="3" t="inlineStr">
        <is>
          <t>LUNCH BOX 5PC SET ASST COLOR</t>
        </is>
      </c>
      <c r="F2925" s="4" t="inlineStr"/>
      <c r="G2925" s="4" t="inlineStr"/>
      <c r="H2925" s="4" t="inlineStr"/>
      <c r="I2925" s="5" t="n">
        <v>39.95</v>
      </c>
      <c r="J2925" s="6" t="n">
        <v>15</v>
      </c>
      <c r="K2925" s="7">
        <f>IF(I2925="","",I2925*(1+J2925/100))</f>
        <v/>
      </c>
      <c r="L2925" s="12" t="inlineStr"/>
      <c r="M2925" s="8">
        <f>IF(OR(L2925="",K2925="",L2925=0),"",
  (L2925-K2925)/L2925*100)</f>
        <v/>
      </c>
      <c r="N2925" s="14" t="n">
        <v>86</v>
      </c>
      <c r="O2925" s="4" t="inlineStr"/>
      <c r="P2925" s="4" t="inlineStr"/>
      <c r="Q2925" s="4" t="inlineStr"/>
      <c r="R2925" s="4" t="inlineStr">
        <is>
          <t>2026-03-12</t>
        </is>
      </c>
      <c r="S2925" s="4" t="inlineStr"/>
    </row>
    <row r="2926">
      <c r="A2926" s="10" t="inlineStr">
        <is>
          <t>F03392</t>
        </is>
      </c>
      <c r="B2926" s="10" t="inlineStr">
        <is>
          <t>F03392</t>
        </is>
      </c>
      <c r="C2926" s="10" t="inlineStr"/>
      <c r="D2926" s="10" t="inlineStr">
        <is>
          <t>6009714541162</t>
        </is>
      </c>
      <c r="E2926" s="10" t="inlineStr">
        <is>
          <t>CONTAINER OVAL 7PC SET CLEAR</t>
        </is>
      </c>
      <c r="F2926" s="10" t="inlineStr"/>
      <c r="G2926" s="10" t="inlineStr"/>
      <c r="H2926" s="10" t="inlineStr"/>
      <c r="I2926" s="11" t="n">
        <v>62.95</v>
      </c>
      <c r="J2926" s="6" t="n">
        <v>15</v>
      </c>
      <c r="K2926" s="7">
        <f>IF(I2926="","",I2926*(1+J2926/100))</f>
        <v/>
      </c>
      <c r="L2926" s="12" t="inlineStr"/>
      <c r="M2926" s="8">
        <f>IF(OR(L2926="",K2926="",L2926=0),"",
  (L2926-K2926)/L2926*100)</f>
        <v/>
      </c>
      <c r="N2926" s="13" t="n">
        <v>179</v>
      </c>
      <c r="O2926" s="10" t="inlineStr"/>
      <c r="P2926" s="10" t="inlineStr"/>
      <c r="Q2926" s="10" t="inlineStr"/>
      <c r="R2926" s="10" t="inlineStr">
        <is>
          <t>2026-03-12</t>
        </is>
      </c>
      <c r="S2926" s="10" t="inlineStr"/>
    </row>
    <row r="2927">
      <c r="A2927" s="3" t="inlineStr">
        <is>
          <t>F03393</t>
        </is>
      </c>
      <c r="B2927" s="4" t="inlineStr">
        <is>
          <t>F03393</t>
        </is>
      </c>
      <c r="C2927" s="4" t="inlineStr"/>
      <c r="D2927" s="4" t="inlineStr">
        <is>
          <t>6009714541179</t>
        </is>
      </c>
      <c r="E2927" s="3" t="inlineStr">
        <is>
          <t>WATER BOTTLE 700ML SPRING</t>
        </is>
      </c>
      <c r="F2927" s="4" t="inlineStr"/>
      <c r="G2927" s="4" t="inlineStr"/>
      <c r="H2927" s="4" t="inlineStr"/>
      <c r="I2927" s="5" t="n">
        <v>17.5</v>
      </c>
      <c r="J2927" s="6" t="n">
        <v>15</v>
      </c>
      <c r="K2927" s="7">
        <f>IF(I2927="","",I2927*(1+J2927/100))</f>
        <v/>
      </c>
      <c r="L2927" s="12" t="inlineStr"/>
      <c r="M2927" s="8">
        <f>IF(OR(L2927="",K2927="",L2927=0),"",
  (L2927-K2927)/L2927*100)</f>
        <v/>
      </c>
      <c r="N2927" s="14" t="n">
        <v>37</v>
      </c>
      <c r="O2927" s="4" t="inlineStr"/>
      <c r="P2927" s="4" t="inlineStr"/>
      <c r="Q2927" s="4" t="inlineStr"/>
      <c r="R2927" s="4" t="inlineStr">
        <is>
          <t>2026-03-12</t>
        </is>
      </c>
      <c r="S2927" s="4" t="inlineStr"/>
    </row>
    <row r="2928">
      <c r="A2928" s="10" t="inlineStr">
        <is>
          <t>F03394</t>
        </is>
      </c>
      <c r="B2928" s="10" t="inlineStr">
        <is>
          <t>F03394</t>
        </is>
      </c>
      <c r="C2928" s="10" t="inlineStr"/>
      <c r="D2928" s="10" t="inlineStr">
        <is>
          <t>6009714541827</t>
        </is>
      </c>
      <c r="E2928" s="10" t="inlineStr">
        <is>
          <t>WATER BOTTLE 1000ML SOLID COLRS</t>
        </is>
      </c>
      <c r="F2928" s="10" t="inlineStr"/>
      <c r="G2928" s="10" t="inlineStr"/>
      <c r="H2928" s="10" t="inlineStr"/>
      <c r="I2928" s="11" t="n">
        <v>17.5</v>
      </c>
      <c r="J2928" s="6" t="n">
        <v>15</v>
      </c>
      <c r="K2928" s="7">
        <f>IF(I2928="","",I2928*(1+J2928/100))</f>
        <v/>
      </c>
      <c r="L2928" s="12" t="inlineStr"/>
      <c r="M2928" s="8">
        <f>IF(OR(L2928="",K2928="",L2928=0),"",
  (L2928-K2928)/L2928*100)</f>
        <v/>
      </c>
      <c r="N2928" s="13" t="n">
        <v>399</v>
      </c>
      <c r="O2928" s="10" t="inlineStr"/>
      <c r="P2928" s="10" t="inlineStr"/>
      <c r="Q2928" s="10" t="inlineStr"/>
      <c r="R2928" s="10" t="inlineStr">
        <is>
          <t>2026-03-12</t>
        </is>
      </c>
      <c r="S2928" s="10" t="inlineStr"/>
    </row>
    <row r="2929">
      <c r="A2929" s="3" t="inlineStr">
        <is>
          <t>F03395</t>
        </is>
      </c>
      <c r="B2929" s="4" t="inlineStr">
        <is>
          <t>F03395</t>
        </is>
      </c>
      <c r="C2929" s="4" t="inlineStr"/>
      <c r="D2929" s="4" t="inlineStr">
        <is>
          <t>6009714541223</t>
        </is>
      </c>
      <c r="E2929" s="3" t="inlineStr">
        <is>
          <t>WATER BOTTLE 1000ML JAMBU</t>
        </is>
      </c>
      <c r="F2929" s="4" t="inlineStr"/>
      <c r="G2929" s="4" t="inlineStr"/>
      <c r="H2929" s="4" t="inlineStr"/>
      <c r="I2929" s="5" t="n">
        <v>12.5</v>
      </c>
      <c r="J2929" s="6" t="n">
        <v>15</v>
      </c>
      <c r="K2929" s="7">
        <f>IF(I2929="","",I2929*(1+J2929/100))</f>
        <v/>
      </c>
      <c r="L2929" s="12" t="inlineStr"/>
      <c r="M2929" s="8">
        <f>IF(OR(L2929="",K2929="",L2929=0),"",
  (L2929-K2929)/L2929*100)</f>
        <v/>
      </c>
      <c r="N2929" s="14" t="n">
        <v>223</v>
      </c>
      <c r="O2929" s="4" t="inlineStr"/>
      <c r="P2929" s="4" t="inlineStr"/>
      <c r="Q2929" s="4" t="inlineStr"/>
      <c r="R2929" s="4" t="inlineStr">
        <is>
          <t>2026-03-12</t>
        </is>
      </c>
      <c r="S2929" s="4" t="inlineStr"/>
    </row>
    <row r="2930">
      <c r="A2930" s="10" t="inlineStr">
        <is>
          <t>F03396</t>
        </is>
      </c>
      <c r="B2930" s="10" t="inlineStr">
        <is>
          <t>F03396</t>
        </is>
      </c>
      <c r="C2930" s="10" t="inlineStr"/>
      <c r="D2930" s="10" t="inlineStr">
        <is>
          <t>6009714541186</t>
        </is>
      </c>
      <c r="E2930" s="10" t="inlineStr">
        <is>
          <t>FREEZER BOTTLE 1.5LT ASST COLOR</t>
        </is>
      </c>
      <c r="F2930" s="10" t="inlineStr"/>
      <c r="G2930" s="10" t="inlineStr"/>
      <c r="H2930" s="10" t="inlineStr"/>
      <c r="I2930" s="11" t="n">
        <v>29.95</v>
      </c>
      <c r="J2930" s="6" t="n">
        <v>15</v>
      </c>
      <c r="K2930" s="7">
        <f>IF(I2930="","",I2930*(1+J2930/100))</f>
        <v/>
      </c>
      <c r="L2930" s="12" t="inlineStr"/>
      <c r="M2930" s="8">
        <f>IF(OR(L2930="",K2930="",L2930=0),"",
  (L2930-K2930)/L2930*100)</f>
        <v/>
      </c>
      <c r="N2930" s="13" t="n">
        <v>1</v>
      </c>
      <c r="O2930" s="10" t="inlineStr"/>
      <c r="P2930" s="10" t="inlineStr"/>
      <c r="Q2930" s="10" t="inlineStr"/>
      <c r="R2930" s="10" t="inlineStr">
        <is>
          <t>2026-03-12</t>
        </is>
      </c>
      <c r="S2930" s="10" t="inlineStr"/>
    </row>
    <row r="2931">
      <c r="A2931" s="3" t="inlineStr">
        <is>
          <t>F03397</t>
        </is>
      </c>
      <c r="B2931" s="4" t="inlineStr">
        <is>
          <t>F03397</t>
        </is>
      </c>
      <c r="C2931" s="4" t="inlineStr"/>
      <c r="D2931" s="4" t="inlineStr">
        <is>
          <t>6009704432562</t>
        </is>
      </c>
      <c r="E2931" s="3" t="inlineStr">
        <is>
          <t>GLASS  CANISTER T/C/S  COLOR</t>
        </is>
      </c>
      <c r="F2931" s="4" t="inlineStr"/>
      <c r="G2931" s="4" t="inlineStr"/>
      <c r="H2931" s="4" t="inlineStr"/>
      <c r="I2931" s="5" t="n">
        <v>38.5</v>
      </c>
      <c r="J2931" s="6" t="n">
        <v>15</v>
      </c>
      <c r="K2931" s="7">
        <f>IF(I2931="","",I2931*(1+J2931/100))</f>
        <v/>
      </c>
      <c r="L2931" s="12" t="inlineStr"/>
      <c r="M2931" s="8">
        <f>IF(OR(L2931="",K2931="",L2931=0),"",
  (L2931-K2931)/L2931*100)</f>
        <v/>
      </c>
      <c r="N2931" s="14" t="n">
        <v>32</v>
      </c>
      <c r="O2931" s="4" t="inlineStr"/>
      <c r="P2931" s="4" t="inlineStr"/>
      <c r="Q2931" s="4" t="inlineStr"/>
      <c r="R2931" s="4" t="inlineStr">
        <is>
          <t>2026-03-12</t>
        </is>
      </c>
      <c r="S2931" s="4" t="inlineStr"/>
    </row>
    <row r="2932">
      <c r="A2932" s="10" t="inlineStr">
        <is>
          <t>F03398</t>
        </is>
      </c>
      <c r="B2932" s="10" t="inlineStr">
        <is>
          <t>F03398</t>
        </is>
      </c>
      <c r="C2932" s="10" t="inlineStr"/>
      <c r="D2932" s="10" t="inlineStr">
        <is>
          <t>6009714541759</t>
        </is>
      </c>
      <c r="E2932" s="10" t="inlineStr">
        <is>
          <t>GLASS STORAGE JAR 3PC</t>
        </is>
      </c>
      <c r="F2932" s="10" t="inlineStr"/>
      <c r="G2932" s="10" t="inlineStr"/>
      <c r="H2932" s="10" t="inlineStr"/>
      <c r="I2932" s="11" t="n">
        <v>35.95</v>
      </c>
      <c r="J2932" s="6" t="n">
        <v>15</v>
      </c>
      <c r="K2932" s="7">
        <f>IF(I2932="","",I2932*(1+J2932/100))</f>
        <v/>
      </c>
      <c r="L2932" s="12" t="inlineStr"/>
      <c r="M2932" s="8">
        <f>IF(OR(L2932="",K2932="",L2932=0),"",
  (L2932-K2932)/L2932*100)</f>
        <v/>
      </c>
      <c r="N2932" s="13" t="n">
        <v>6</v>
      </c>
      <c r="O2932" s="10" t="inlineStr"/>
      <c r="P2932" s="10" t="inlineStr"/>
      <c r="Q2932" s="10" t="inlineStr"/>
      <c r="R2932" s="10" t="inlineStr">
        <is>
          <t>2026-03-12</t>
        </is>
      </c>
      <c r="S2932" s="10" t="inlineStr"/>
    </row>
    <row r="2933">
      <c r="A2933" s="3" t="inlineStr">
        <is>
          <t>F03399</t>
        </is>
      </c>
      <c r="B2933" s="4" t="inlineStr">
        <is>
          <t>F03399</t>
        </is>
      </c>
      <c r="C2933" s="4" t="inlineStr"/>
      <c r="D2933" s="4" t="inlineStr"/>
      <c r="E2933" s="3" t="inlineStr">
        <is>
          <t>CARD BOARD PRINTS</t>
        </is>
      </c>
      <c r="F2933" s="4" t="inlineStr"/>
      <c r="G2933" s="4" t="inlineStr"/>
      <c r="H2933" s="4" t="inlineStr"/>
      <c r="I2933" s="5" t="n">
        <v>15</v>
      </c>
      <c r="J2933" s="6" t="n">
        <v>15</v>
      </c>
      <c r="K2933" s="7">
        <f>IF(I2933="","",I2933*(1+J2933/100))</f>
        <v/>
      </c>
      <c r="L2933" s="12" t="inlineStr"/>
      <c r="M2933" s="8">
        <f>IF(OR(L2933="",K2933="",L2933=0),"",
  (L2933-K2933)/L2933*100)</f>
        <v/>
      </c>
      <c r="N2933" s="9" t="inlineStr"/>
      <c r="O2933" s="4" t="inlineStr"/>
      <c r="P2933" s="4" t="inlineStr"/>
      <c r="Q2933" s="4" t="inlineStr"/>
      <c r="R2933" s="4" t="inlineStr">
        <is>
          <t>2026-03-12</t>
        </is>
      </c>
      <c r="S2933" s="4" t="inlineStr"/>
    </row>
    <row r="2934">
      <c r="A2934" s="10" t="inlineStr">
        <is>
          <t>F03400</t>
        </is>
      </c>
      <c r="B2934" s="10" t="inlineStr">
        <is>
          <t>F03400</t>
        </is>
      </c>
      <c r="C2934" s="10" t="inlineStr"/>
      <c r="D2934" s="10" t="inlineStr">
        <is>
          <t>6009705657612</t>
        </is>
      </c>
      <c r="E2934" s="10" t="inlineStr">
        <is>
          <t>BOWL 7'' DECAL ASSORTED</t>
        </is>
      </c>
      <c r="F2934" s="10" t="inlineStr"/>
      <c r="G2934" s="10" t="inlineStr"/>
      <c r="H2934" s="10" t="inlineStr"/>
      <c r="I2934" s="11" t="n">
        <v>9.5</v>
      </c>
      <c r="J2934" s="6" t="n">
        <v>15</v>
      </c>
      <c r="K2934" s="7">
        <f>IF(I2934="","",I2934*(1+J2934/100))</f>
        <v/>
      </c>
      <c r="L2934" s="12" t="inlineStr"/>
      <c r="M2934" s="8">
        <f>IF(OR(L2934="",K2934="",L2934=0),"",
  (L2934-K2934)/L2934*100)</f>
        <v/>
      </c>
      <c r="N2934" s="13" t="n">
        <v>9418</v>
      </c>
      <c r="O2934" s="10" t="inlineStr"/>
      <c r="P2934" s="10" t="inlineStr"/>
      <c r="Q2934" s="10" t="inlineStr"/>
      <c r="R2934" s="10" t="inlineStr">
        <is>
          <t>2026-03-12</t>
        </is>
      </c>
      <c r="S2934" s="10" t="inlineStr"/>
    </row>
    <row r="2935">
      <c r="A2935" s="3" t="inlineStr">
        <is>
          <t>F03401</t>
        </is>
      </c>
      <c r="B2935" s="4" t="inlineStr">
        <is>
          <t>F03401</t>
        </is>
      </c>
      <c r="C2935" s="4" t="inlineStr"/>
      <c r="D2935" s="4" t="inlineStr"/>
      <c r="E2935" s="3" t="inlineStr">
        <is>
          <t>DIVIDER WPC BLACK 2.9MX10CMX5CM LOOSE</t>
        </is>
      </c>
      <c r="F2935" s="4" t="inlineStr"/>
      <c r="G2935" s="4" t="inlineStr"/>
      <c r="H2935" s="4" t="inlineStr"/>
      <c r="I2935" s="5" t="n">
        <v>169</v>
      </c>
      <c r="J2935" s="6" t="n">
        <v>15</v>
      </c>
      <c r="K2935" s="7">
        <f>IF(I2935="","",I2935*(1+J2935/100))</f>
        <v/>
      </c>
      <c r="L2935" s="12" t="inlineStr"/>
      <c r="M2935" s="8">
        <f>IF(OR(L2935="",K2935="",L2935=0),"",
  (L2935-K2935)/L2935*100)</f>
        <v/>
      </c>
      <c r="N2935" s="9" t="inlineStr"/>
      <c r="O2935" s="4" t="inlineStr"/>
      <c r="P2935" s="4" t="inlineStr"/>
      <c r="Q2935" s="4" t="inlineStr"/>
      <c r="R2935" s="4" t="inlineStr">
        <is>
          <t>2026-03-12</t>
        </is>
      </c>
      <c r="S2935" s="4" t="inlineStr"/>
    </row>
    <row r="2936">
      <c r="A2936" s="10" t="inlineStr">
        <is>
          <t>F03402</t>
        </is>
      </c>
      <c r="B2936" s="10" t="inlineStr">
        <is>
          <t>F03402</t>
        </is>
      </c>
      <c r="C2936" s="10" t="inlineStr"/>
      <c r="D2936" s="10" t="inlineStr"/>
      <c r="E2936" s="10" t="inlineStr">
        <is>
          <t>DIVIDER WPC DARK GREY 2.9MX10CMX5CM LOOS</t>
        </is>
      </c>
      <c r="F2936" s="10" t="inlineStr"/>
      <c r="G2936" s="10" t="inlineStr"/>
      <c r="H2936" s="10" t="inlineStr"/>
      <c r="I2936" s="11" t="n">
        <v>169</v>
      </c>
      <c r="J2936" s="6" t="n">
        <v>15</v>
      </c>
      <c r="K2936" s="7">
        <f>IF(I2936="","",I2936*(1+J2936/100))</f>
        <v/>
      </c>
      <c r="L2936" s="12" t="inlineStr"/>
      <c r="M2936" s="8">
        <f>IF(OR(L2936="",K2936="",L2936=0),"",
  (L2936-K2936)/L2936*100)</f>
        <v/>
      </c>
      <c r="N2936" s="9" t="inlineStr"/>
      <c r="O2936" s="10" t="inlineStr"/>
      <c r="P2936" s="10" t="inlineStr"/>
      <c r="Q2936" s="10" t="inlineStr"/>
      <c r="R2936" s="10" t="inlineStr">
        <is>
          <t>2026-03-12</t>
        </is>
      </c>
      <c r="S2936" s="10" t="inlineStr"/>
    </row>
    <row r="2937">
      <c r="A2937" s="3" t="inlineStr">
        <is>
          <t>F03403</t>
        </is>
      </c>
      <c r="B2937" s="4" t="inlineStr">
        <is>
          <t>F03403</t>
        </is>
      </c>
      <c r="C2937" s="4" t="inlineStr"/>
      <c r="D2937" s="4" t="inlineStr"/>
      <c r="E2937" s="3" t="inlineStr">
        <is>
          <t>DIVIDER WPC GREY 2.9MX10CMX5CM LOOSE</t>
        </is>
      </c>
      <c r="F2937" s="4" t="inlineStr"/>
      <c r="G2937" s="4" t="inlineStr"/>
      <c r="H2937" s="4" t="inlineStr"/>
      <c r="I2937" s="5" t="n">
        <v>169</v>
      </c>
      <c r="J2937" s="6" t="n">
        <v>15</v>
      </c>
      <c r="K2937" s="7">
        <f>IF(I2937="","",I2937*(1+J2937/100))</f>
        <v/>
      </c>
      <c r="L2937" s="12" t="inlineStr"/>
      <c r="M2937" s="8">
        <f>IF(OR(L2937="",K2937="",L2937=0),"",
  (L2937-K2937)/L2937*100)</f>
        <v/>
      </c>
      <c r="N2937" s="9" t="inlineStr"/>
      <c r="O2937" s="4" t="inlineStr"/>
      <c r="P2937" s="4" t="inlineStr"/>
      <c r="Q2937" s="4" t="inlineStr"/>
      <c r="R2937" s="4" t="inlineStr">
        <is>
          <t>2026-03-12</t>
        </is>
      </c>
      <c r="S2937" s="4" t="inlineStr"/>
    </row>
    <row r="2938">
      <c r="A2938" s="10" t="inlineStr">
        <is>
          <t>F03404</t>
        </is>
      </c>
      <c r="B2938" s="10" t="inlineStr">
        <is>
          <t>F03404</t>
        </is>
      </c>
      <c r="C2938" s="10" t="inlineStr"/>
      <c r="D2938" s="10" t="inlineStr"/>
      <c r="E2938" s="10" t="inlineStr">
        <is>
          <t>BASIN 130LTR WITH LINES ASST COLORS</t>
        </is>
      </c>
      <c r="F2938" s="10" t="inlineStr"/>
      <c r="G2938" s="10" t="inlineStr"/>
      <c r="H2938" s="10" t="inlineStr"/>
      <c r="I2938" s="11" t="n">
        <v>78.95</v>
      </c>
      <c r="J2938" s="6" t="n">
        <v>15</v>
      </c>
      <c r="K2938" s="7">
        <f>IF(I2938="","",I2938*(1+J2938/100))</f>
        <v/>
      </c>
      <c r="L2938" s="12" t="inlineStr"/>
      <c r="M2938" s="8">
        <f>IF(OR(L2938="",K2938="",L2938=0),"",
  (L2938-K2938)/L2938*100)</f>
        <v/>
      </c>
      <c r="N2938" s="9" t="inlineStr"/>
      <c r="O2938" s="10" t="inlineStr"/>
      <c r="P2938" s="10" t="inlineStr"/>
      <c r="Q2938" s="10" t="inlineStr"/>
      <c r="R2938" s="10" t="inlineStr">
        <is>
          <t>2026-03-12</t>
        </is>
      </c>
      <c r="S2938" s="10" t="inlineStr"/>
    </row>
    <row r="2939">
      <c r="A2939" s="3" t="inlineStr">
        <is>
          <t>F03405</t>
        </is>
      </c>
      <c r="B2939" s="4" t="inlineStr">
        <is>
          <t>F03405</t>
        </is>
      </c>
      <c r="C2939" s="4" t="inlineStr"/>
      <c r="D2939" s="4" t="inlineStr"/>
      <c r="E2939" s="3" t="inlineStr">
        <is>
          <t>BASIN 90LTR WITH HANDLESASS COLORS</t>
        </is>
      </c>
      <c r="F2939" s="4" t="inlineStr"/>
      <c r="G2939" s="4" t="inlineStr"/>
      <c r="H2939" s="4" t="inlineStr"/>
      <c r="I2939" s="5" t="n">
        <v>43.95</v>
      </c>
      <c r="J2939" s="6" t="n">
        <v>15</v>
      </c>
      <c r="K2939" s="7">
        <f>IF(I2939="","",I2939*(1+J2939/100))</f>
        <v/>
      </c>
      <c r="L2939" s="12" t="inlineStr"/>
      <c r="M2939" s="8">
        <f>IF(OR(L2939="",K2939="",L2939=0),"",
  (L2939-K2939)/L2939*100)</f>
        <v/>
      </c>
      <c r="N2939" s="14" t="n">
        <v>112</v>
      </c>
      <c r="O2939" s="4" t="inlineStr"/>
      <c r="P2939" s="4" t="inlineStr"/>
      <c r="Q2939" s="4" t="inlineStr"/>
      <c r="R2939" s="4" t="inlineStr">
        <is>
          <t>2026-03-12</t>
        </is>
      </c>
      <c r="S2939" s="4" t="inlineStr"/>
    </row>
    <row r="2940">
      <c r="A2940" s="10" t="inlineStr">
        <is>
          <t>F03406</t>
        </is>
      </c>
      <c r="B2940" s="10" t="inlineStr">
        <is>
          <t>F03406</t>
        </is>
      </c>
      <c r="C2940" s="10" t="inlineStr"/>
      <c r="D2940" s="10" t="inlineStr"/>
      <c r="E2940" s="10" t="inlineStr">
        <is>
          <t>BSIN 90LTR WITH LINES ASST COLORS</t>
        </is>
      </c>
      <c r="F2940" s="10" t="inlineStr"/>
      <c r="G2940" s="10" t="inlineStr"/>
      <c r="H2940" s="10" t="inlineStr"/>
      <c r="I2940" s="11" t="n">
        <v>35.95</v>
      </c>
      <c r="J2940" s="6" t="n">
        <v>15</v>
      </c>
      <c r="K2940" s="7">
        <f>IF(I2940="","",I2940*(1+J2940/100))</f>
        <v/>
      </c>
      <c r="L2940" s="12" t="inlineStr"/>
      <c r="M2940" s="8">
        <f>IF(OR(L2940="",K2940="",L2940=0),"",
  (L2940-K2940)/L2940*100)</f>
        <v/>
      </c>
      <c r="N2940" s="13" t="n">
        <v>115</v>
      </c>
      <c r="O2940" s="10" t="inlineStr"/>
      <c r="P2940" s="10" t="inlineStr"/>
      <c r="Q2940" s="10" t="inlineStr"/>
      <c r="R2940" s="10" t="inlineStr">
        <is>
          <t>2026-03-12</t>
        </is>
      </c>
      <c r="S2940" s="10" t="inlineStr"/>
    </row>
    <row r="2941">
      <c r="A2941" s="3" t="inlineStr">
        <is>
          <t>F03407</t>
        </is>
      </c>
      <c r="B2941" s="4" t="inlineStr">
        <is>
          <t>F03407</t>
        </is>
      </c>
      <c r="C2941" s="4" t="inlineStr"/>
      <c r="D2941" s="4" t="inlineStr"/>
      <c r="E2941" s="3" t="inlineStr">
        <is>
          <t>BASIN 60LTR WITH HANDLE ASST COLORS</t>
        </is>
      </c>
      <c r="F2941" s="4" t="inlineStr"/>
      <c r="G2941" s="4" t="inlineStr"/>
      <c r="H2941" s="4" t="inlineStr"/>
      <c r="I2941" s="5" t="n">
        <v>25.3</v>
      </c>
      <c r="J2941" s="6" t="n">
        <v>15</v>
      </c>
      <c r="K2941" s="7">
        <f>IF(I2941="","",I2941*(1+J2941/100))</f>
        <v/>
      </c>
      <c r="L2941" s="12" t="inlineStr"/>
      <c r="M2941" s="8">
        <f>IF(OR(L2941="",K2941="",L2941=0),"",
  (L2941-K2941)/L2941*100)</f>
        <v/>
      </c>
      <c r="N2941" s="14" t="n">
        <v>142</v>
      </c>
      <c r="O2941" s="4" t="inlineStr"/>
      <c r="P2941" s="4" t="inlineStr"/>
      <c r="Q2941" s="4" t="inlineStr"/>
      <c r="R2941" s="4" t="inlineStr">
        <is>
          <t>2026-03-12</t>
        </is>
      </c>
      <c r="S2941" s="4" t="inlineStr"/>
    </row>
    <row r="2942">
      <c r="A2942" s="10" t="inlineStr">
        <is>
          <t>F03408</t>
        </is>
      </c>
      <c r="B2942" s="10" t="inlineStr">
        <is>
          <t>F03408</t>
        </is>
      </c>
      <c r="C2942" s="10" t="inlineStr"/>
      <c r="D2942" s="10" t="inlineStr">
        <is>
          <t>6009714541919</t>
        </is>
      </c>
      <c r="E2942" s="10" t="inlineStr">
        <is>
          <t>CONT, CEREAL CONTAINER 3PC</t>
        </is>
      </c>
      <c r="F2942" s="10" t="inlineStr"/>
      <c r="G2942" s="10" t="inlineStr"/>
      <c r="H2942" s="10" t="inlineStr"/>
      <c r="I2942" s="11" t="n">
        <v>69.95</v>
      </c>
      <c r="J2942" s="6" t="n">
        <v>15</v>
      </c>
      <c r="K2942" s="7">
        <f>IF(I2942="","",I2942*(1+J2942/100))</f>
        <v/>
      </c>
      <c r="L2942" s="12" t="inlineStr"/>
      <c r="M2942" s="8">
        <f>IF(OR(L2942="",K2942="",L2942=0),"",
  (L2942-K2942)/L2942*100)</f>
        <v/>
      </c>
      <c r="N2942" s="13" t="n">
        <v>48</v>
      </c>
      <c r="O2942" s="10" t="inlineStr"/>
      <c r="P2942" s="10" t="inlineStr"/>
      <c r="Q2942" s="10" t="inlineStr"/>
      <c r="R2942" s="10" t="inlineStr">
        <is>
          <t>2026-03-12</t>
        </is>
      </c>
      <c r="S2942" s="10" t="inlineStr"/>
    </row>
    <row r="2943">
      <c r="A2943" s="3" t="inlineStr">
        <is>
          <t>F03409</t>
        </is>
      </c>
      <c r="B2943" s="4" t="inlineStr">
        <is>
          <t>F03409</t>
        </is>
      </c>
      <c r="C2943" s="4" t="inlineStr"/>
      <c r="D2943" s="4" t="inlineStr">
        <is>
          <t>6009714541926</t>
        </is>
      </c>
      <c r="E2943" s="3" t="inlineStr">
        <is>
          <t>LUNCH BOX SET 4PCS CLIP LOCK</t>
        </is>
      </c>
      <c r="F2943" s="4" t="inlineStr"/>
      <c r="G2943" s="4" t="inlineStr"/>
      <c r="H2943" s="4" t="inlineStr"/>
      <c r="I2943" s="5" t="n">
        <v>57.95</v>
      </c>
      <c r="J2943" s="6" t="n">
        <v>15</v>
      </c>
      <c r="K2943" s="7">
        <f>IF(I2943="","",I2943*(1+J2943/100))</f>
        <v/>
      </c>
      <c r="L2943" s="12" t="inlineStr"/>
      <c r="M2943" s="8">
        <f>IF(OR(L2943="",K2943="",L2943=0),"",
  (L2943-K2943)/L2943*100)</f>
        <v/>
      </c>
      <c r="N2943" s="14" t="n">
        <v>273</v>
      </c>
      <c r="O2943" s="4" t="inlineStr"/>
      <c r="P2943" s="4" t="inlineStr"/>
      <c r="Q2943" s="4" t="inlineStr"/>
      <c r="R2943" s="4" t="inlineStr">
        <is>
          <t>2026-03-12</t>
        </is>
      </c>
      <c r="S2943" s="4" t="inlineStr"/>
    </row>
    <row r="2944">
      <c r="A2944" s="10" t="inlineStr">
        <is>
          <t>F03410</t>
        </is>
      </c>
      <c r="B2944" s="10" t="inlineStr">
        <is>
          <t>F03410</t>
        </is>
      </c>
      <c r="C2944" s="10" t="inlineStr"/>
      <c r="D2944" s="10" t="inlineStr">
        <is>
          <t>6009714541902</t>
        </is>
      </c>
      <c r="E2944" s="10" t="inlineStr">
        <is>
          <t>LUNCH BOX SET 4PC RECTANGULAR</t>
        </is>
      </c>
      <c r="F2944" s="10" t="inlineStr"/>
      <c r="G2944" s="10" t="inlineStr"/>
      <c r="H2944" s="10" t="inlineStr"/>
      <c r="I2944" s="11" t="n">
        <v>22.5</v>
      </c>
      <c r="J2944" s="6" t="n">
        <v>15</v>
      </c>
      <c r="K2944" s="7">
        <f>IF(I2944="","",I2944*(1+J2944/100))</f>
        <v/>
      </c>
      <c r="L2944" s="12" t="inlineStr"/>
      <c r="M2944" s="8">
        <f>IF(OR(L2944="",K2944="",L2944=0),"",
  (L2944-K2944)/L2944*100)</f>
        <v/>
      </c>
      <c r="N2944" s="13" t="n">
        <v>209</v>
      </c>
      <c r="O2944" s="10" t="inlineStr"/>
      <c r="P2944" s="10" t="inlineStr"/>
      <c r="Q2944" s="10" t="inlineStr"/>
      <c r="R2944" s="10" t="inlineStr">
        <is>
          <t>2026-03-12</t>
        </is>
      </c>
      <c r="S2944" s="10" t="inlineStr"/>
    </row>
    <row r="2945">
      <c r="A2945" s="3" t="inlineStr">
        <is>
          <t>F03411</t>
        </is>
      </c>
      <c r="B2945" s="4" t="inlineStr">
        <is>
          <t>F03411</t>
        </is>
      </c>
      <c r="C2945" s="4" t="inlineStr"/>
      <c r="D2945" s="4" t="inlineStr">
        <is>
          <t>6009714541933</t>
        </is>
      </c>
      <c r="E2945" s="3" t="inlineStr">
        <is>
          <t>LUNCH BOX SET RECT 1.3L</t>
        </is>
      </c>
      <c r="F2945" s="4" t="inlineStr"/>
      <c r="G2945" s="4" t="inlineStr"/>
      <c r="H2945" s="4" t="inlineStr"/>
      <c r="I2945" s="5" t="n">
        <v>9.5</v>
      </c>
      <c r="J2945" s="6" t="n">
        <v>15</v>
      </c>
      <c r="K2945" s="7">
        <f>IF(I2945="","",I2945*(1+J2945/100))</f>
        <v/>
      </c>
      <c r="L2945" s="12" t="inlineStr"/>
      <c r="M2945" s="8">
        <f>IF(OR(L2945="",K2945="",L2945=0),"",
  (L2945-K2945)/L2945*100)</f>
        <v/>
      </c>
      <c r="N2945" s="14" t="n">
        <v>100</v>
      </c>
      <c r="O2945" s="4" t="inlineStr"/>
      <c r="P2945" s="4" t="inlineStr"/>
      <c r="Q2945" s="4" t="inlineStr"/>
      <c r="R2945" s="4" t="inlineStr">
        <is>
          <t>2026-03-12</t>
        </is>
      </c>
      <c r="S2945" s="4" t="inlineStr"/>
    </row>
    <row r="2946">
      <c r="A2946" s="10" t="inlineStr">
        <is>
          <t>F03412</t>
        </is>
      </c>
      <c r="B2946" s="10" t="inlineStr">
        <is>
          <t>F03412</t>
        </is>
      </c>
      <c r="C2946" s="10" t="inlineStr"/>
      <c r="D2946" s="10" t="inlineStr">
        <is>
          <t>6009714541872</t>
        </is>
      </c>
      <c r="E2946" s="10" t="inlineStr">
        <is>
          <t>LUNCH BOX 1.3L SQUARE</t>
        </is>
      </c>
      <c r="F2946" s="10" t="inlineStr"/>
      <c r="G2946" s="10" t="inlineStr"/>
      <c r="H2946" s="10" t="inlineStr"/>
      <c r="I2946" s="11" t="n">
        <v>9.5</v>
      </c>
      <c r="J2946" s="6" t="n">
        <v>15</v>
      </c>
      <c r="K2946" s="7">
        <f>IF(I2946="","",I2946*(1+J2946/100))</f>
        <v/>
      </c>
      <c r="L2946" s="12" t="inlineStr"/>
      <c r="M2946" s="8">
        <f>IF(OR(L2946="",K2946="",L2946=0),"",
  (L2946-K2946)/L2946*100)</f>
        <v/>
      </c>
      <c r="N2946" s="13" t="n">
        <v>422</v>
      </c>
      <c r="O2946" s="10" t="inlineStr"/>
      <c r="P2946" s="10" t="inlineStr"/>
      <c r="Q2946" s="10" t="inlineStr"/>
      <c r="R2946" s="10" t="inlineStr">
        <is>
          <t>2026-03-12</t>
        </is>
      </c>
      <c r="S2946" s="10" t="inlineStr"/>
    </row>
    <row r="2947">
      <c r="A2947" s="3" t="inlineStr">
        <is>
          <t>F03413</t>
        </is>
      </c>
      <c r="B2947" s="4" t="inlineStr">
        <is>
          <t>F03413</t>
        </is>
      </c>
      <c r="C2947" s="4" t="inlineStr">
        <is>
          <t>31662</t>
        </is>
      </c>
      <c r="D2947" s="4" t="inlineStr">
        <is>
          <t>6009714541865</t>
        </is>
      </c>
      <c r="E2947" s="3" t="inlineStr">
        <is>
          <t>CONT, CONTAINER SET 6PC RECT</t>
        </is>
      </c>
      <c r="F2947" s="4" t="inlineStr"/>
      <c r="G2947" s="4" t="inlineStr"/>
      <c r="H2947" s="4" t="inlineStr"/>
      <c r="I2947" s="5" t="n">
        <v>50.95</v>
      </c>
      <c r="J2947" s="6" t="n">
        <v>15</v>
      </c>
      <c r="K2947" s="7">
        <f>IF(I2947="","",I2947*(1+J2947/100))</f>
        <v/>
      </c>
      <c r="L2947" s="5" t="n">
        <v>300</v>
      </c>
      <c r="M2947" s="8">
        <f>IF(OR(L2947="",K2947="",L2947=0),"",
  (L2947-K2947)/L2947*100)</f>
        <v/>
      </c>
      <c r="N2947" s="14" t="n">
        <v>159</v>
      </c>
      <c r="O2947" s="4" t="inlineStr"/>
      <c r="P2947" s="4" t="inlineStr"/>
      <c r="Q2947" s="4" t="inlineStr"/>
      <c r="R2947" s="4" t="inlineStr">
        <is>
          <t>2026-03-12</t>
        </is>
      </c>
      <c r="S2947" s="4" t="inlineStr"/>
    </row>
    <row r="2948">
      <c r="A2948" s="10" t="inlineStr">
        <is>
          <t>F03414</t>
        </is>
      </c>
      <c r="B2948" s="10" t="inlineStr">
        <is>
          <t>F03414</t>
        </is>
      </c>
      <c r="C2948" s="10" t="inlineStr"/>
      <c r="D2948" s="10" t="inlineStr">
        <is>
          <t>6009705653550</t>
        </is>
      </c>
      <c r="E2948" s="10" t="inlineStr">
        <is>
          <t>LIGHT, DAY/NIGHT SENSOR 15A TYSON</t>
        </is>
      </c>
      <c r="F2948" s="10" t="inlineStr"/>
      <c r="G2948" s="10" t="inlineStr"/>
      <c r="H2948" s="10" t="inlineStr"/>
      <c r="I2948" s="11" t="n">
        <v>68.95</v>
      </c>
      <c r="J2948" s="6" t="n">
        <v>15</v>
      </c>
      <c r="K2948" s="7">
        <f>IF(I2948="","",I2948*(1+J2948/100))</f>
        <v/>
      </c>
      <c r="L2948" s="12" t="inlineStr"/>
      <c r="M2948" s="8">
        <f>IF(OR(L2948="",K2948="",L2948=0),"",
  (L2948-K2948)/L2948*100)</f>
        <v/>
      </c>
      <c r="N2948" s="13" t="n">
        <v>119</v>
      </c>
      <c r="O2948" s="10" t="inlineStr"/>
      <c r="P2948" s="10" t="inlineStr"/>
      <c r="Q2948" s="10" t="inlineStr"/>
      <c r="R2948" s="10" t="inlineStr">
        <is>
          <t>2026-03-12</t>
        </is>
      </c>
      <c r="S2948" s="10" t="inlineStr"/>
    </row>
    <row r="2949">
      <c r="A2949" s="3" t="inlineStr">
        <is>
          <t>F03415</t>
        </is>
      </c>
      <c r="B2949" s="4" t="inlineStr">
        <is>
          <t>F03415</t>
        </is>
      </c>
      <c r="C2949" s="4" t="inlineStr"/>
      <c r="D2949" s="4" t="inlineStr">
        <is>
          <t>6009705653567</t>
        </is>
      </c>
      <c r="E2949" s="3" t="inlineStr">
        <is>
          <t>LIGHT, DAY/NIGHT SENSOR 25A TYSON</t>
        </is>
      </c>
      <c r="F2949" s="4" t="inlineStr"/>
      <c r="G2949" s="4" t="inlineStr"/>
      <c r="H2949" s="4" t="inlineStr"/>
      <c r="I2949" s="5" t="n">
        <v>83.95</v>
      </c>
      <c r="J2949" s="6" t="n">
        <v>15</v>
      </c>
      <c r="K2949" s="7">
        <f>IF(I2949="","",I2949*(1+J2949/100))</f>
        <v/>
      </c>
      <c r="L2949" s="12" t="inlineStr"/>
      <c r="M2949" s="8">
        <f>IF(OR(L2949="",K2949="",L2949=0),"",
  (L2949-K2949)/L2949*100)</f>
        <v/>
      </c>
      <c r="N2949" s="14" t="n">
        <v>122</v>
      </c>
      <c r="O2949" s="4" t="inlineStr"/>
      <c r="P2949" s="4" t="inlineStr"/>
      <c r="Q2949" s="4" t="inlineStr"/>
      <c r="R2949" s="4" t="inlineStr">
        <is>
          <t>2026-03-12</t>
        </is>
      </c>
      <c r="S2949" s="4" t="inlineStr"/>
    </row>
    <row r="2950">
      <c r="A2950" s="10" t="inlineStr">
        <is>
          <t>F03416</t>
        </is>
      </c>
      <c r="B2950" s="10" t="inlineStr">
        <is>
          <t>F03416</t>
        </is>
      </c>
      <c r="C2950" s="10" t="inlineStr"/>
      <c r="D2950" s="10" t="inlineStr">
        <is>
          <t>6009705653543</t>
        </is>
      </c>
      <c r="E2950" s="10" t="inlineStr">
        <is>
          <t>LIGHT, DAY/NIGHT SENSOR 10A TYSON</t>
        </is>
      </c>
      <c r="F2950" s="10" t="inlineStr"/>
      <c r="G2950" s="10" t="inlineStr"/>
      <c r="H2950" s="10" t="inlineStr"/>
      <c r="I2950" s="11" t="n">
        <v>38.95</v>
      </c>
      <c r="J2950" s="6" t="n">
        <v>15</v>
      </c>
      <c r="K2950" s="7">
        <f>IF(I2950="","",I2950*(1+J2950/100))</f>
        <v/>
      </c>
      <c r="L2950" s="12" t="inlineStr"/>
      <c r="M2950" s="8">
        <f>IF(OR(L2950="",K2950="",L2950=0),"",
  (L2950-K2950)/L2950*100)</f>
        <v/>
      </c>
      <c r="N2950" s="13" t="n">
        <v>73</v>
      </c>
      <c r="O2950" s="10" t="inlineStr"/>
      <c r="P2950" s="10" t="inlineStr"/>
      <c r="Q2950" s="10" t="inlineStr"/>
      <c r="R2950" s="10" t="inlineStr">
        <is>
          <t>2026-03-12</t>
        </is>
      </c>
      <c r="S2950" s="10" t="inlineStr"/>
    </row>
    <row r="2951">
      <c r="A2951" s="3" t="inlineStr">
        <is>
          <t>F03417</t>
        </is>
      </c>
      <c r="B2951" s="4" t="inlineStr">
        <is>
          <t>F03417</t>
        </is>
      </c>
      <c r="C2951" s="4" t="inlineStr"/>
      <c r="D2951" s="4" t="inlineStr">
        <is>
          <t>6009705653734</t>
        </is>
      </c>
      <c r="E2951" s="3" t="inlineStr">
        <is>
          <t>LIGHT CEILING LIGHT RETRO CL025 480MM</t>
        </is>
      </c>
      <c r="F2951" s="4" t="inlineStr"/>
      <c r="G2951" s="4" t="inlineStr"/>
      <c r="H2951" s="4" t="inlineStr"/>
      <c r="I2951" s="5" t="n">
        <v>215</v>
      </c>
      <c r="J2951" s="6" t="n">
        <v>15</v>
      </c>
      <c r="K2951" s="7">
        <f>IF(I2951="","",I2951*(1+J2951/100))</f>
        <v/>
      </c>
      <c r="L2951" s="12" t="inlineStr"/>
      <c r="M2951" s="8">
        <f>IF(OR(L2951="",K2951="",L2951=0),"",
  (L2951-K2951)/L2951*100)</f>
        <v/>
      </c>
      <c r="N2951" s="14" t="n">
        <v>79</v>
      </c>
      <c r="O2951" s="4" t="inlineStr"/>
      <c r="P2951" s="4" t="inlineStr"/>
      <c r="Q2951" s="4" t="inlineStr"/>
      <c r="R2951" s="4" t="inlineStr">
        <is>
          <t>2026-03-12</t>
        </is>
      </c>
      <c r="S2951" s="4" t="inlineStr"/>
    </row>
    <row r="2952">
      <c r="A2952" s="10" t="inlineStr">
        <is>
          <t>F03418</t>
        </is>
      </c>
      <c r="B2952" s="10" t="inlineStr">
        <is>
          <t>F03418</t>
        </is>
      </c>
      <c r="C2952" s="10" t="inlineStr"/>
      <c r="D2952" s="10" t="inlineStr">
        <is>
          <t>6009705653741</t>
        </is>
      </c>
      <c r="E2952" s="10" t="inlineStr">
        <is>
          <t>LIGHT CEILING LIGHT RETRO CL026 460MM</t>
        </is>
      </c>
      <c r="F2952" s="10" t="inlineStr"/>
      <c r="G2952" s="10" t="inlineStr"/>
      <c r="H2952" s="10" t="inlineStr"/>
      <c r="I2952" s="11" t="n">
        <v>215</v>
      </c>
      <c r="J2952" s="6" t="n">
        <v>15</v>
      </c>
      <c r="K2952" s="7">
        <f>IF(I2952="","",I2952*(1+J2952/100))</f>
        <v/>
      </c>
      <c r="L2952" s="12" t="inlineStr"/>
      <c r="M2952" s="8">
        <f>IF(OR(L2952="",K2952="",L2952=0),"",
  (L2952-K2952)/L2952*100)</f>
        <v/>
      </c>
      <c r="N2952" s="13" t="n">
        <v>16</v>
      </c>
      <c r="O2952" s="10" t="inlineStr"/>
      <c r="P2952" s="10" t="inlineStr"/>
      <c r="Q2952" s="10" t="inlineStr"/>
      <c r="R2952" s="10" t="inlineStr">
        <is>
          <t>2026-03-12</t>
        </is>
      </c>
      <c r="S2952" s="10" t="inlineStr"/>
    </row>
    <row r="2953">
      <c r="A2953" s="3" t="inlineStr">
        <is>
          <t>F03419</t>
        </is>
      </c>
      <c r="B2953" s="4" t="inlineStr">
        <is>
          <t>F03419</t>
        </is>
      </c>
      <c r="C2953" s="4" t="inlineStr"/>
      <c r="D2953" s="4" t="inlineStr">
        <is>
          <t>6009705653727</t>
        </is>
      </c>
      <c r="E2953" s="3" t="inlineStr">
        <is>
          <t>LIGHT CEILING LIGHT URBAN CL023 400MM</t>
        </is>
      </c>
      <c r="F2953" s="4" t="inlineStr"/>
      <c r="G2953" s="4" t="inlineStr"/>
      <c r="H2953" s="4" t="inlineStr"/>
      <c r="I2953" s="5" t="n">
        <v>235</v>
      </c>
      <c r="J2953" s="6" t="n">
        <v>15</v>
      </c>
      <c r="K2953" s="7">
        <f>IF(I2953="","",I2953*(1+J2953/100))</f>
        <v/>
      </c>
      <c r="L2953" s="12" t="inlineStr"/>
      <c r="M2953" s="8">
        <f>IF(OR(L2953="",K2953="",L2953=0),"",
  (L2953-K2953)/L2953*100)</f>
        <v/>
      </c>
      <c r="N2953" s="14" t="n">
        <v>55</v>
      </c>
      <c r="O2953" s="4" t="inlineStr"/>
      <c r="P2953" s="4" t="inlineStr"/>
      <c r="Q2953" s="4" t="inlineStr"/>
      <c r="R2953" s="4" t="inlineStr">
        <is>
          <t>2026-03-12</t>
        </is>
      </c>
      <c r="S2953" s="4" t="inlineStr"/>
    </row>
    <row r="2954">
      <c r="A2954" s="10" t="inlineStr">
        <is>
          <t>F03420</t>
        </is>
      </c>
      <c r="B2954" s="10" t="inlineStr">
        <is>
          <t>F03420</t>
        </is>
      </c>
      <c r="C2954" s="10" t="inlineStr"/>
      <c r="D2954" s="10" t="inlineStr">
        <is>
          <t>6009705653710</t>
        </is>
      </c>
      <c r="E2954" s="10" t="inlineStr">
        <is>
          <t>LIGHT CEILING LIGHT URBAN CL024 400MM</t>
        </is>
      </c>
      <c r="F2954" s="10" t="inlineStr"/>
      <c r="G2954" s="10" t="inlineStr"/>
      <c r="H2954" s="10" t="inlineStr"/>
      <c r="I2954" s="11" t="n">
        <v>235</v>
      </c>
      <c r="J2954" s="6" t="n">
        <v>15</v>
      </c>
      <c r="K2954" s="7">
        <f>IF(I2954="","",I2954*(1+J2954/100))</f>
        <v/>
      </c>
      <c r="L2954" s="12" t="inlineStr"/>
      <c r="M2954" s="8">
        <f>IF(OR(L2954="",K2954="",L2954=0),"",
  (L2954-K2954)/L2954*100)</f>
        <v/>
      </c>
      <c r="N2954" s="13" t="n">
        <v>8</v>
      </c>
      <c r="O2954" s="10" t="inlineStr"/>
      <c r="P2954" s="10" t="inlineStr"/>
      <c r="Q2954" s="10" t="inlineStr"/>
      <c r="R2954" s="10" t="inlineStr">
        <is>
          <t>2026-03-12</t>
        </is>
      </c>
      <c r="S2954" s="10" t="inlineStr"/>
    </row>
    <row r="2955">
      <c r="A2955" s="3" t="inlineStr">
        <is>
          <t>F03421</t>
        </is>
      </c>
      <c r="B2955" s="4" t="inlineStr">
        <is>
          <t>F03421</t>
        </is>
      </c>
      <c r="C2955" s="4" t="inlineStr"/>
      <c r="D2955" s="4" t="inlineStr">
        <is>
          <t>6009705653604</t>
        </is>
      </c>
      <c r="E2955" s="3" t="inlineStr">
        <is>
          <t>LIGHT CEILING LIGHT RUSTIC CL007</t>
        </is>
      </c>
      <c r="F2955" s="4" t="inlineStr"/>
      <c r="G2955" s="4" t="inlineStr"/>
      <c r="H2955" s="4" t="inlineStr"/>
      <c r="I2955" s="5" t="n">
        <v>135.95</v>
      </c>
      <c r="J2955" s="6" t="n">
        <v>15</v>
      </c>
      <c r="K2955" s="7">
        <f>IF(I2955="","",I2955*(1+J2955/100))</f>
        <v/>
      </c>
      <c r="L2955" s="12" t="inlineStr"/>
      <c r="M2955" s="8">
        <f>IF(OR(L2955="",K2955="",L2955=0),"",
  (L2955-K2955)/L2955*100)</f>
        <v/>
      </c>
      <c r="N2955" s="14" t="n">
        <v>8</v>
      </c>
      <c r="O2955" s="4" t="inlineStr"/>
      <c r="P2955" s="4" t="inlineStr"/>
      <c r="Q2955" s="4" t="inlineStr"/>
      <c r="R2955" s="4" t="inlineStr">
        <is>
          <t>2026-03-12</t>
        </is>
      </c>
      <c r="S2955" s="4" t="inlineStr"/>
    </row>
    <row r="2956">
      <c r="A2956" s="10" t="inlineStr">
        <is>
          <t>F03422</t>
        </is>
      </c>
      <c r="B2956" s="10" t="inlineStr">
        <is>
          <t>F03422</t>
        </is>
      </c>
      <c r="C2956" s="10" t="inlineStr"/>
      <c r="D2956" s="10" t="inlineStr">
        <is>
          <t>6009705653611</t>
        </is>
      </c>
      <c r="E2956" s="10" t="inlineStr">
        <is>
          <t>LIGHT CEILING LIGHT RUSTIC CL009</t>
        </is>
      </c>
      <c r="F2956" s="10" t="inlineStr"/>
      <c r="G2956" s="10" t="inlineStr"/>
      <c r="H2956" s="10" t="inlineStr"/>
      <c r="I2956" s="11" t="n">
        <v>135.95</v>
      </c>
      <c r="J2956" s="6" t="n">
        <v>15</v>
      </c>
      <c r="K2956" s="7">
        <f>IF(I2956="","",I2956*(1+J2956/100))</f>
        <v/>
      </c>
      <c r="L2956" s="12" t="inlineStr"/>
      <c r="M2956" s="8">
        <f>IF(OR(L2956="",K2956="",L2956=0),"",
  (L2956-K2956)/L2956*100)</f>
        <v/>
      </c>
      <c r="N2956" s="13" t="n">
        <v>32</v>
      </c>
      <c r="O2956" s="10" t="inlineStr"/>
      <c r="P2956" s="10" t="inlineStr"/>
      <c r="Q2956" s="10" t="inlineStr"/>
      <c r="R2956" s="10" t="inlineStr">
        <is>
          <t>2026-03-12</t>
        </is>
      </c>
      <c r="S2956" s="10" t="inlineStr"/>
    </row>
    <row r="2957">
      <c r="A2957" s="3" t="inlineStr">
        <is>
          <t>F03423</t>
        </is>
      </c>
      <c r="B2957" s="4" t="inlineStr">
        <is>
          <t>F03423</t>
        </is>
      </c>
      <c r="C2957" s="4" t="inlineStr"/>
      <c r="D2957" s="4" t="inlineStr">
        <is>
          <t>6009705653598</t>
        </is>
      </c>
      <c r="E2957" s="3" t="inlineStr">
        <is>
          <t>LIGHT CEILING LIGHT RUSTIC  CL011</t>
        </is>
      </c>
      <c r="F2957" s="4" t="inlineStr"/>
      <c r="G2957" s="4" t="inlineStr"/>
      <c r="H2957" s="4" t="inlineStr"/>
      <c r="I2957" s="5" t="n">
        <v>135.95</v>
      </c>
      <c r="J2957" s="6" t="n">
        <v>15</v>
      </c>
      <c r="K2957" s="7">
        <f>IF(I2957="","",I2957*(1+J2957/100))</f>
        <v/>
      </c>
      <c r="L2957" s="12" t="inlineStr"/>
      <c r="M2957" s="8">
        <f>IF(OR(L2957="",K2957="",L2957=0),"",
  (L2957-K2957)/L2957*100)</f>
        <v/>
      </c>
      <c r="N2957" s="14" t="n">
        <v>72</v>
      </c>
      <c r="O2957" s="4" t="inlineStr"/>
      <c r="P2957" s="4" t="inlineStr"/>
      <c r="Q2957" s="4" t="inlineStr"/>
      <c r="R2957" s="4" t="inlineStr">
        <is>
          <t>2026-03-12</t>
        </is>
      </c>
      <c r="S2957" s="4" t="inlineStr"/>
    </row>
    <row r="2958">
      <c r="A2958" s="10" t="inlineStr">
        <is>
          <t>F03424</t>
        </is>
      </c>
      <c r="B2958" s="10" t="inlineStr">
        <is>
          <t>F03424</t>
        </is>
      </c>
      <c r="C2958" s="10" t="inlineStr"/>
      <c r="D2958" s="10" t="inlineStr">
        <is>
          <t>6009705653642</t>
        </is>
      </c>
      <c r="E2958" s="10" t="inlineStr">
        <is>
          <t>LIGHT CEILING LIGHT RUSTIC CL013</t>
        </is>
      </c>
      <c r="F2958" s="10" t="inlineStr"/>
      <c r="G2958" s="10" t="inlineStr"/>
      <c r="H2958" s="10" t="inlineStr"/>
      <c r="I2958" s="11" t="n">
        <v>135.95</v>
      </c>
      <c r="J2958" s="6" t="n">
        <v>15</v>
      </c>
      <c r="K2958" s="7">
        <f>IF(I2958="","",I2958*(1+J2958/100))</f>
        <v/>
      </c>
      <c r="L2958" s="12" t="inlineStr"/>
      <c r="M2958" s="8">
        <f>IF(OR(L2958="",K2958="",L2958=0),"",
  (L2958-K2958)/L2958*100)</f>
        <v/>
      </c>
      <c r="N2958" s="13" t="n">
        <v>39</v>
      </c>
      <c r="O2958" s="10" t="inlineStr"/>
      <c r="P2958" s="10" t="inlineStr"/>
      <c r="Q2958" s="10" t="inlineStr"/>
      <c r="R2958" s="10" t="inlineStr">
        <is>
          <t>2026-03-12</t>
        </is>
      </c>
      <c r="S2958" s="10" t="inlineStr"/>
    </row>
    <row r="2959">
      <c r="A2959" s="3" t="inlineStr">
        <is>
          <t>F03425</t>
        </is>
      </c>
      <c r="B2959" s="4" t="inlineStr">
        <is>
          <t>F03425</t>
        </is>
      </c>
      <c r="C2959" s="4" t="inlineStr"/>
      <c r="D2959" s="4" t="inlineStr">
        <is>
          <t>6009705653628</t>
        </is>
      </c>
      <c r="E2959" s="3" t="inlineStr">
        <is>
          <t>LIGHT CEILING LIGHT RUSTIC CL015</t>
        </is>
      </c>
      <c r="F2959" s="4" t="inlineStr"/>
      <c r="G2959" s="4" t="inlineStr"/>
      <c r="H2959" s="4" t="inlineStr"/>
      <c r="I2959" s="5" t="n">
        <v>135.95</v>
      </c>
      <c r="J2959" s="6" t="n">
        <v>15</v>
      </c>
      <c r="K2959" s="7">
        <f>IF(I2959="","",I2959*(1+J2959/100))</f>
        <v/>
      </c>
      <c r="L2959" s="12" t="inlineStr"/>
      <c r="M2959" s="8">
        <f>IF(OR(L2959="",K2959="",L2959=0),"",
  (L2959-K2959)/L2959*100)</f>
        <v/>
      </c>
      <c r="N2959" s="14" t="n">
        <v>20</v>
      </c>
      <c r="O2959" s="4" t="inlineStr"/>
      <c r="P2959" s="4" t="inlineStr"/>
      <c r="Q2959" s="4" t="inlineStr"/>
      <c r="R2959" s="4" t="inlineStr">
        <is>
          <t>2026-03-12</t>
        </is>
      </c>
      <c r="S2959" s="4" t="inlineStr"/>
    </row>
    <row r="2960">
      <c r="A2960" s="10" t="inlineStr">
        <is>
          <t>F03426</t>
        </is>
      </c>
      <c r="B2960" s="10" t="inlineStr">
        <is>
          <t>F03426</t>
        </is>
      </c>
      <c r="C2960" s="10" t="inlineStr"/>
      <c r="D2960" s="10" t="inlineStr">
        <is>
          <t>6009705653635</t>
        </is>
      </c>
      <c r="E2960" s="10" t="inlineStr">
        <is>
          <t>LIGHT CEILING LIGHT RUSTIC CL017</t>
        </is>
      </c>
      <c r="F2960" s="10" t="inlineStr"/>
      <c r="G2960" s="10" t="inlineStr"/>
      <c r="H2960" s="10" t="inlineStr"/>
      <c r="I2960" s="11" t="n">
        <v>135.95</v>
      </c>
      <c r="J2960" s="6" t="n">
        <v>15</v>
      </c>
      <c r="K2960" s="7">
        <f>IF(I2960="","",I2960*(1+J2960/100))</f>
        <v/>
      </c>
      <c r="L2960" s="12" t="inlineStr"/>
      <c r="M2960" s="8">
        <f>IF(OR(L2960="",K2960="",L2960=0),"",
  (L2960-K2960)/L2960*100)</f>
        <v/>
      </c>
      <c r="N2960" s="13" t="n">
        <v>15</v>
      </c>
      <c r="O2960" s="10" t="inlineStr"/>
      <c r="P2960" s="10" t="inlineStr"/>
      <c r="Q2960" s="10" t="inlineStr"/>
      <c r="R2960" s="10" t="inlineStr">
        <is>
          <t>2026-03-12</t>
        </is>
      </c>
      <c r="S2960" s="10" t="inlineStr"/>
    </row>
    <row r="2961">
      <c r="A2961" s="3" t="inlineStr">
        <is>
          <t>F03427</t>
        </is>
      </c>
      <c r="B2961" s="4" t="inlineStr">
        <is>
          <t>F03427</t>
        </is>
      </c>
      <c r="C2961" s="4" t="inlineStr"/>
      <c r="D2961" s="4" t="inlineStr">
        <is>
          <t>6009705653581</t>
        </is>
      </c>
      <c r="E2961" s="3" t="inlineStr">
        <is>
          <t>LIGHT CEILING LIGHT RUSTIC CL021</t>
        </is>
      </c>
      <c r="F2961" s="4" t="inlineStr"/>
      <c r="G2961" s="4" t="inlineStr"/>
      <c r="H2961" s="4" t="inlineStr"/>
      <c r="I2961" s="5" t="n">
        <v>135.95</v>
      </c>
      <c r="J2961" s="6" t="n">
        <v>15</v>
      </c>
      <c r="K2961" s="7">
        <f>IF(I2961="","",I2961*(1+J2961/100))</f>
        <v/>
      </c>
      <c r="L2961" s="12" t="inlineStr"/>
      <c r="M2961" s="8">
        <f>IF(OR(L2961="",K2961="",L2961=0),"",
  (L2961-K2961)/L2961*100)</f>
        <v/>
      </c>
      <c r="N2961" s="9" t="inlineStr"/>
      <c r="O2961" s="4" t="inlineStr"/>
      <c r="P2961" s="4" t="inlineStr"/>
      <c r="Q2961" s="4" t="inlineStr"/>
      <c r="R2961" s="4" t="inlineStr">
        <is>
          <t>2026-03-12</t>
        </is>
      </c>
      <c r="S2961" s="4" t="inlineStr"/>
    </row>
    <row r="2962">
      <c r="A2962" s="10" t="inlineStr">
        <is>
          <t>F03428</t>
        </is>
      </c>
      <c r="B2962" s="10" t="inlineStr">
        <is>
          <t>F03428</t>
        </is>
      </c>
      <c r="C2962" s="10" t="inlineStr"/>
      <c r="D2962" s="10" t="inlineStr">
        <is>
          <t>6009705653574</t>
        </is>
      </c>
      <c r="E2962" s="10" t="inlineStr">
        <is>
          <t>LIGHT CEILING LIGHT RUSTIC CL022</t>
        </is>
      </c>
      <c r="F2962" s="10" t="inlineStr"/>
      <c r="G2962" s="10" t="inlineStr"/>
      <c r="H2962" s="10" t="inlineStr"/>
      <c r="I2962" s="11" t="n">
        <v>135.95</v>
      </c>
      <c r="J2962" s="6" t="n">
        <v>15</v>
      </c>
      <c r="K2962" s="7">
        <f>IF(I2962="","",I2962*(1+J2962/100))</f>
        <v/>
      </c>
      <c r="L2962" s="12" t="inlineStr"/>
      <c r="M2962" s="8">
        <f>IF(OR(L2962="",K2962="",L2962=0),"",
  (L2962-K2962)/L2962*100)</f>
        <v/>
      </c>
      <c r="N2962" s="13" t="n">
        <v>38</v>
      </c>
      <c r="O2962" s="10" t="inlineStr"/>
      <c r="P2962" s="10" t="inlineStr"/>
      <c r="Q2962" s="10" t="inlineStr"/>
      <c r="R2962" s="10" t="inlineStr">
        <is>
          <t>2026-03-12</t>
        </is>
      </c>
      <c r="S2962" s="10" t="inlineStr"/>
    </row>
    <row r="2963">
      <c r="A2963" s="3" t="inlineStr">
        <is>
          <t>F03430</t>
        </is>
      </c>
      <c r="B2963" s="4" t="inlineStr">
        <is>
          <t>F03430</t>
        </is>
      </c>
      <c r="C2963" s="4" t="inlineStr"/>
      <c r="D2963" s="4" t="inlineStr">
        <is>
          <t>6009705653666</t>
        </is>
      </c>
      <c r="E2963" s="3" t="inlineStr">
        <is>
          <t>LIGHT LED OUTDOOR WALL LIGHT CL002</t>
        </is>
      </c>
      <c r="F2963" s="4" t="inlineStr"/>
      <c r="G2963" s="4" t="inlineStr"/>
      <c r="H2963" s="4" t="inlineStr"/>
      <c r="I2963" s="5" t="n">
        <v>95.95</v>
      </c>
      <c r="J2963" s="6" t="n">
        <v>15</v>
      </c>
      <c r="K2963" s="7">
        <f>IF(I2963="","",I2963*(1+J2963/100))</f>
        <v/>
      </c>
      <c r="L2963" s="12" t="inlineStr"/>
      <c r="M2963" s="8">
        <f>IF(OR(L2963="",K2963="",L2963=0),"",
  (L2963-K2963)/L2963*100)</f>
        <v/>
      </c>
      <c r="N2963" s="14" t="n">
        <v>267</v>
      </c>
      <c r="O2963" s="4" t="inlineStr"/>
      <c r="P2963" s="4" t="inlineStr"/>
      <c r="Q2963" s="4" t="inlineStr"/>
      <c r="R2963" s="4" t="inlineStr">
        <is>
          <t>2026-03-12</t>
        </is>
      </c>
      <c r="S2963" s="4" t="inlineStr"/>
    </row>
    <row r="2964">
      <c r="A2964" s="10" t="inlineStr">
        <is>
          <t>F03431</t>
        </is>
      </c>
      <c r="B2964" s="10" t="inlineStr">
        <is>
          <t>F03431</t>
        </is>
      </c>
      <c r="C2964" s="10" t="inlineStr"/>
      <c r="D2964" s="10" t="inlineStr">
        <is>
          <t>6009705653673</t>
        </is>
      </c>
      <c r="E2964" s="10" t="inlineStr">
        <is>
          <t>LIGHT LED OUTDOOR WALL LIGHT CL005</t>
        </is>
      </c>
      <c r="F2964" s="10" t="inlineStr"/>
      <c r="G2964" s="10" t="inlineStr"/>
      <c r="H2964" s="10" t="inlineStr"/>
      <c r="I2964" s="11" t="n">
        <v>134.5</v>
      </c>
      <c r="J2964" s="6" t="n">
        <v>15</v>
      </c>
      <c r="K2964" s="7">
        <f>IF(I2964="","",I2964*(1+J2964/100))</f>
        <v/>
      </c>
      <c r="L2964" s="12" t="inlineStr"/>
      <c r="M2964" s="8">
        <f>IF(OR(L2964="",K2964="",L2964=0),"",
  (L2964-K2964)/L2964*100)</f>
        <v/>
      </c>
      <c r="N2964" s="13" t="n">
        <v>67</v>
      </c>
      <c r="O2964" s="10" t="inlineStr"/>
      <c r="P2964" s="10" t="inlineStr"/>
      <c r="Q2964" s="10" t="inlineStr"/>
      <c r="R2964" s="10" t="inlineStr">
        <is>
          <t>2026-03-12</t>
        </is>
      </c>
      <c r="S2964" s="10" t="inlineStr"/>
    </row>
    <row r="2965">
      <c r="A2965" s="3" t="inlineStr">
        <is>
          <t>F03432</t>
        </is>
      </c>
      <c r="B2965" s="4" t="inlineStr">
        <is>
          <t>F03432</t>
        </is>
      </c>
      <c r="C2965" s="4" t="inlineStr"/>
      <c r="D2965" s="4" t="inlineStr">
        <is>
          <t>6009705653703</t>
        </is>
      </c>
      <c r="E2965" s="3" t="inlineStr">
        <is>
          <t>LIGHT LED OUTDOOR WALL LIGHT CL006</t>
        </is>
      </c>
      <c r="F2965" s="4" t="inlineStr"/>
      <c r="G2965" s="4" t="inlineStr"/>
      <c r="H2965" s="4" t="inlineStr"/>
      <c r="I2965" s="5" t="n">
        <v>118</v>
      </c>
      <c r="J2965" s="6" t="n">
        <v>15</v>
      </c>
      <c r="K2965" s="7">
        <f>IF(I2965="","",I2965*(1+J2965/100))</f>
        <v/>
      </c>
      <c r="L2965" s="12" t="inlineStr"/>
      <c r="M2965" s="8">
        <f>IF(OR(L2965="",K2965="",L2965=0),"",
  (L2965-K2965)/L2965*100)</f>
        <v/>
      </c>
      <c r="N2965" s="14" t="n">
        <v>32</v>
      </c>
      <c r="O2965" s="4" t="inlineStr"/>
      <c r="P2965" s="4" t="inlineStr"/>
      <c r="Q2965" s="4" t="inlineStr"/>
      <c r="R2965" s="4" t="inlineStr">
        <is>
          <t>2026-03-12</t>
        </is>
      </c>
      <c r="S2965" s="4" t="inlineStr"/>
    </row>
    <row r="2966">
      <c r="A2966" s="10" t="inlineStr">
        <is>
          <t>F03433</t>
        </is>
      </c>
      <c r="B2966" s="10" t="inlineStr">
        <is>
          <t>F03433</t>
        </is>
      </c>
      <c r="C2966" s="10" t="inlineStr"/>
      <c r="D2966" s="10" t="inlineStr">
        <is>
          <t>6009705653680</t>
        </is>
      </c>
      <c r="E2966" s="10" t="inlineStr">
        <is>
          <t>LIGHT LED OUTDOOR WALL LIGHT CL003</t>
        </is>
      </c>
      <c r="F2966" s="10" t="inlineStr"/>
      <c r="G2966" s="10" t="inlineStr"/>
      <c r="H2966" s="10" t="inlineStr"/>
      <c r="I2966" s="11" t="n">
        <v>55.95</v>
      </c>
      <c r="J2966" s="6" t="n">
        <v>15</v>
      </c>
      <c r="K2966" s="7">
        <f>IF(I2966="","",I2966*(1+J2966/100))</f>
        <v/>
      </c>
      <c r="L2966" s="12" t="inlineStr"/>
      <c r="M2966" s="8">
        <f>IF(OR(L2966="",K2966="",L2966=0),"",
  (L2966-K2966)/L2966*100)</f>
        <v/>
      </c>
      <c r="N2966" s="13" t="n">
        <v>177</v>
      </c>
      <c r="O2966" s="10" t="inlineStr"/>
      <c r="P2966" s="10" t="inlineStr"/>
      <c r="Q2966" s="10" t="inlineStr"/>
      <c r="R2966" s="10" t="inlineStr">
        <is>
          <t>2026-03-12</t>
        </is>
      </c>
      <c r="S2966" s="10" t="inlineStr"/>
    </row>
    <row r="2967">
      <c r="A2967" s="3" t="inlineStr">
        <is>
          <t>F03434</t>
        </is>
      </c>
      <c r="B2967" s="4" t="inlineStr">
        <is>
          <t>F03434</t>
        </is>
      </c>
      <c r="C2967" s="4" t="inlineStr"/>
      <c r="D2967" s="4" t="inlineStr">
        <is>
          <t>6009705653697</t>
        </is>
      </c>
      <c r="E2967" s="3" t="inlineStr">
        <is>
          <t>LIGHT LED OUTDOOR WALL LIGHT CL004</t>
        </is>
      </c>
      <c r="F2967" s="4" t="inlineStr"/>
      <c r="G2967" s="4" t="inlineStr"/>
      <c r="H2967" s="4" t="inlineStr"/>
      <c r="I2967" s="5" t="n">
        <v>68.95</v>
      </c>
      <c r="J2967" s="6" t="n">
        <v>15</v>
      </c>
      <c r="K2967" s="7">
        <f>IF(I2967="","",I2967*(1+J2967/100))</f>
        <v/>
      </c>
      <c r="L2967" s="12" t="inlineStr"/>
      <c r="M2967" s="8">
        <f>IF(OR(L2967="",K2967="",L2967=0),"",
  (L2967-K2967)/L2967*100)</f>
        <v/>
      </c>
      <c r="N2967" s="14" t="n">
        <v>167</v>
      </c>
      <c r="O2967" s="4" t="inlineStr"/>
      <c r="P2967" s="4" t="inlineStr"/>
      <c r="Q2967" s="4" t="inlineStr"/>
      <c r="R2967" s="4" t="inlineStr">
        <is>
          <t>2026-03-12</t>
        </is>
      </c>
      <c r="S2967" s="4" t="inlineStr"/>
    </row>
    <row r="2968">
      <c r="A2968" s="10" t="inlineStr">
        <is>
          <t>F03435</t>
        </is>
      </c>
      <c r="B2968" s="10" t="inlineStr">
        <is>
          <t>F03435</t>
        </is>
      </c>
      <c r="C2968" s="10" t="inlineStr"/>
      <c r="D2968" s="10" t="inlineStr">
        <is>
          <t>6009705653659</t>
        </is>
      </c>
      <c r="E2968" s="10" t="inlineStr">
        <is>
          <t>LIGHT LED OUTDOOR WALL LIGHT CL001</t>
        </is>
      </c>
      <c r="F2968" s="10" t="inlineStr"/>
      <c r="G2968" s="10" t="inlineStr"/>
      <c r="H2968" s="10" t="inlineStr"/>
      <c r="I2968" s="11" t="n">
        <v>95.95</v>
      </c>
      <c r="J2968" s="6" t="n">
        <v>15</v>
      </c>
      <c r="K2968" s="7">
        <f>IF(I2968="","",I2968*(1+J2968/100))</f>
        <v/>
      </c>
      <c r="L2968" s="12" t="inlineStr"/>
      <c r="M2968" s="8">
        <f>IF(OR(L2968="",K2968="",L2968=0),"",
  (L2968-K2968)/L2968*100)</f>
        <v/>
      </c>
      <c r="N2968" s="13" t="n">
        <v>274</v>
      </c>
      <c r="O2968" s="10" t="inlineStr"/>
      <c r="P2968" s="10" t="inlineStr"/>
      <c r="Q2968" s="10" t="inlineStr"/>
      <c r="R2968" s="10" t="inlineStr">
        <is>
          <t>2026-03-12</t>
        </is>
      </c>
      <c r="S2968" s="10" t="inlineStr"/>
    </row>
    <row r="2969">
      <c r="A2969" s="3" t="inlineStr">
        <is>
          <t>F03436</t>
        </is>
      </c>
      <c r="B2969" s="4" t="inlineStr">
        <is>
          <t>F03436</t>
        </is>
      </c>
      <c r="C2969" s="4" t="inlineStr"/>
      <c r="D2969" s="4" t="inlineStr"/>
      <c r="E2969" s="3" t="inlineStr">
        <is>
          <t>PU STONE GOLDEN MA 1200*600*30MM LOOSE</t>
        </is>
      </c>
      <c r="F2969" s="4" t="inlineStr"/>
      <c r="G2969" s="4" t="inlineStr"/>
      <c r="H2969" s="4" t="inlineStr"/>
      <c r="I2969" s="5" t="n">
        <v>269</v>
      </c>
      <c r="J2969" s="6" t="n">
        <v>15</v>
      </c>
      <c r="K2969" s="7">
        <f>IF(I2969="","",I2969*(1+J2969/100))</f>
        <v/>
      </c>
      <c r="L2969" s="12" t="inlineStr"/>
      <c r="M2969" s="8">
        <f>IF(OR(L2969="",K2969="",L2969=0),"",
  (L2969-K2969)/L2969*100)</f>
        <v/>
      </c>
      <c r="N2969" s="9" t="inlineStr"/>
      <c r="O2969" s="4" t="inlineStr"/>
      <c r="P2969" s="4" t="inlineStr"/>
      <c r="Q2969" s="4" t="inlineStr"/>
      <c r="R2969" s="4" t="inlineStr">
        <is>
          <t>2026-03-12</t>
        </is>
      </c>
      <c r="S2969" s="4" t="inlineStr"/>
    </row>
    <row r="2970">
      <c r="A2970" s="10" t="inlineStr">
        <is>
          <t>F03437</t>
        </is>
      </c>
      <c r="B2970" s="10" t="inlineStr">
        <is>
          <t>F03437</t>
        </is>
      </c>
      <c r="C2970" s="10" t="inlineStr"/>
      <c r="D2970" s="10" t="inlineStr"/>
      <c r="E2970" s="10" t="inlineStr">
        <is>
          <t>ADAPTOR 24VOLT  30W FOR LED LIGHT</t>
        </is>
      </c>
      <c r="F2970" s="10" t="inlineStr"/>
      <c r="G2970" s="10" t="inlineStr"/>
      <c r="H2970" s="10" t="inlineStr"/>
      <c r="I2970" s="11" t="n">
        <v>182</v>
      </c>
      <c r="J2970" s="6" t="n">
        <v>15</v>
      </c>
      <c r="K2970" s="7">
        <f>IF(I2970="","",I2970*(1+J2970/100))</f>
        <v/>
      </c>
      <c r="L2970" s="12" t="inlineStr"/>
      <c r="M2970" s="8">
        <f>IF(OR(L2970="",K2970="",L2970=0),"",
  (L2970-K2970)/L2970*100)</f>
        <v/>
      </c>
      <c r="N2970" s="9" t="inlineStr"/>
      <c r="O2970" s="10" t="inlineStr"/>
      <c r="P2970" s="10" t="inlineStr"/>
      <c r="Q2970" s="10" t="inlineStr"/>
      <c r="R2970" s="10" t="inlineStr">
        <is>
          <t>2026-03-12</t>
        </is>
      </c>
      <c r="S2970" s="10" t="inlineStr"/>
    </row>
    <row r="2971">
      <c r="A2971" s="3" t="inlineStr">
        <is>
          <t>F03438</t>
        </is>
      </c>
      <c r="B2971" s="4" t="inlineStr">
        <is>
          <t>F03438</t>
        </is>
      </c>
      <c r="C2971" s="4" t="inlineStr"/>
      <c r="D2971" s="4" t="inlineStr"/>
      <c r="E2971" s="3" t="inlineStr">
        <is>
          <t>ADAPTOR 24VOLT  150W FOR LED LIGHT</t>
        </is>
      </c>
      <c r="F2971" s="4" t="inlineStr"/>
      <c r="G2971" s="4" t="inlineStr"/>
      <c r="H2971" s="4" t="inlineStr"/>
      <c r="I2971" s="5" t="n">
        <v>385</v>
      </c>
      <c r="J2971" s="6" t="n">
        <v>15</v>
      </c>
      <c r="K2971" s="7">
        <f>IF(I2971="","",I2971*(1+J2971/100))</f>
        <v/>
      </c>
      <c r="L2971" s="12" t="inlineStr"/>
      <c r="M2971" s="8">
        <f>IF(OR(L2971="",K2971="",L2971=0),"",
  (L2971-K2971)/L2971*100)</f>
        <v/>
      </c>
      <c r="N2971" s="9" t="inlineStr"/>
      <c r="O2971" s="4" t="inlineStr"/>
      <c r="P2971" s="4" t="inlineStr"/>
      <c r="Q2971" s="4" t="inlineStr"/>
      <c r="R2971" s="4" t="inlineStr">
        <is>
          <t>2026-03-12</t>
        </is>
      </c>
      <c r="S2971" s="4" t="inlineStr"/>
    </row>
    <row r="2972">
      <c r="A2972" s="10" t="inlineStr">
        <is>
          <t>F03439</t>
        </is>
      </c>
      <c r="B2972" s="10" t="inlineStr">
        <is>
          <t>F03439</t>
        </is>
      </c>
      <c r="C2972" s="10" t="inlineStr"/>
      <c r="D2972" s="10" t="inlineStr"/>
      <c r="E2972" s="10" t="inlineStr">
        <is>
          <t>DIVIDER WPC DARK GREY LOOSE2.9MX10CMX5CM</t>
        </is>
      </c>
      <c r="F2972" s="10" t="inlineStr"/>
      <c r="G2972" s="10" t="inlineStr"/>
      <c r="H2972" s="10" t="inlineStr"/>
      <c r="I2972" s="11" t="n">
        <v>149</v>
      </c>
      <c r="J2972" s="6" t="n">
        <v>15</v>
      </c>
      <c r="K2972" s="7">
        <f>IF(I2972="","",I2972*(1+J2972/100))</f>
        <v/>
      </c>
      <c r="L2972" s="12" t="inlineStr"/>
      <c r="M2972" s="8">
        <f>IF(OR(L2972="",K2972="",L2972=0),"",
  (L2972-K2972)/L2972*100)</f>
        <v/>
      </c>
      <c r="N2972" s="9" t="inlineStr"/>
      <c r="O2972" s="10" t="inlineStr"/>
      <c r="P2972" s="10" t="inlineStr"/>
      <c r="Q2972" s="10" t="inlineStr"/>
      <c r="R2972" s="10" t="inlineStr">
        <is>
          <t>2026-03-12</t>
        </is>
      </c>
      <c r="S2972" s="10" t="inlineStr"/>
    </row>
    <row r="2973">
      <c r="A2973" s="3" t="inlineStr">
        <is>
          <t>F03440</t>
        </is>
      </c>
      <c r="B2973" s="4" t="inlineStr">
        <is>
          <t>F03440</t>
        </is>
      </c>
      <c r="C2973" s="4" t="inlineStr"/>
      <c r="D2973" s="4" t="inlineStr">
        <is>
          <t>6009705653796</t>
        </is>
      </c>
      <c r="E2973" s="3" t="inlineStr">
        <is>
          <t>BOLT CUTTER YELLOW 750MM 30''</t>
        </is>
      </c>
      <c r="F2973" s="4" t="inlineStr"/>
      <c r="G2973" s="4" t="inlineStr"/>
      <c r="H2973" s="4" t="inlineStr"/>
      <c r="I2973" s="5" t="n">
        <v>259</v>
      </c>
      <c r="J2973" s="6" t="n">
        <v>15</v>
      </c>
      <c r="K2973" s="7">
        <f>IF(I2973="","",I2973*(1+J2973/100))</f>
        <v/>
      </c>
      <c r="L2973" s="12" t="inlineStr"/>
      <c r="M2973" s="8">
        <f>IF(OR(L2973="",K2973="",L2973=0),"",
  (L2973-K2973)/L2973*100)</f>
        <v/>
      </c>
      <c r="N2973" s="14" t="n">
        <v>52</v>
      </c>
      <c r="O2973" s="4" t="inlineStr"/>
      <c r="P2973" s="4" t="inlineStr"/>
      <c r="Q2973" s="4" t="inlineStr"/>
      <c r="R2973" s="4" t="inlineStr">
        <is>
          <t>2026-03-12</t>
        </is>
      </c>
      <c r="S2973" s="4" t="inlineStr"/>
    </row>
    <row r="2974">
      <c r="A2974" s="10" t="inlineStr">
        <is>
          <t>F03441</t>
        </is>
      </c>
      <c r="B2974" s="10" t="inlineStr">
        <is>
          <t>F03441</t>
        </is>
      </c>
      <c r="C2974" s="10" t="inlineStr"/>
      <c r="D2974" s="10" t="inlineStr">
        <is>
          <t>6009705653802</t>
        </is>
      </c>
      <c r="E2974" s="10" t="inlineStr">
        <is>
          <t>BOLT CUTTER YELLOW 900MM 36''</t>
        </is>
      </c>
      <c r="F2974" s="10" t="inlineStr"/>
      <c r="G2974" s="10" t="inlineStr"/>
      <c r="H2974" s="10" t="inlineStr"/>
      <c r="I2974" s="11" t="n">
        <v>309</v>
      </c>
      <c r="J2974" s="6" t="n">
        <v>15</v>
      </c>
      <c r="K2974" s="7">
        <f>IF(I2974="","",I2974*(1+J2974/100))</f>
        <v/>
      </c>
      <c r="L2974" s="12" t="inlineStr"/>
      <c r="M2974" s="8">
        <f>IF(OR(L2974="",K2974="",L2974=0),"",
  (L2974-K2974)/L2974*100)</f>
        <v/>
      </c>
      <c r="N2974" s="13" t="n">
        <v>63</v>
      </c>
      <c r="O2974" s="10" t="inlineStr"/>
      <c r="P2974" s="10" t="inlineStr"/>
      <c r="Q2974" s="10" t="inlineStr"/>
      <c r="R2974" s="10" t="inlineStr">
        <is>
          <t>2026-03-12</t>
        </is>
      </c>
      <c r="S2974" s="10" t="inlineStr"/>
    </row>
    <row r="2975">
      <c r="A2975" s="3" t="inlineStr">
        <is>
          <t>F03442</t>
        </is>
      </c>
      <c r="B2975" s="4" t="inlineStr">
        <is>
          <t>F03442</t>
        </is>
      </c>
      <c r="C2975" s="4" t="inlineStr"/>
      <c r="D2975" s="4" t="inlineStr">
        <is>
          <t>6009705653819</t>
        </is>
      </c>
      <c r="E2975" s="3" t="inlineStr">
        <is>
          <t>SCREWDRIVER SET 3'' , ELECTRICIAN 2PC</t>
        </is>
      </c>
      <c r="F2975" s="4" t="inlineStr"/>
      <c r="G2975" s="4" t="inlineStr"/>
      <c r="H2975" s="4" t="inlineStr"/>
      <c r="I2975" s="5" t="n">
        <v>28.95</v>
      </c>
      <c r="J2975" s="6" t="n">
        <v>15</v>
      </c>
      <c r="K2975" s="7">
        <f>IF(I2975="","",I2975*(1+J2975/100))</f>
        <v/>
      </c>
      <c r="L2975" s="12" t="inlineStr"/>
      <c r="M2975" s="8">
        <f>IF(OR(L2975="",K2975="",L2975=0),"",
  (L2975-K2975)/L2975*100)</f>
        <v/>
      </c>
      <c r="N2975" s="14" t="n">
        <v>216</v>
      </c>
      <c r="O2975" s="4" t="inlineStr"/>
      <c r="P2975" s="4" t="inlineStr"/>
      <c r="Q2975" s="4" t="inlineStr"/>
      <c r="R2975" s="4" t="inlineStr">
        <is>
          <t>2026-03-12</t>
        </is>
      </c>
      <c r="S2975" s="4" t="inlineStr"/>
    </row>
    <row r="2976">
      <c r="A2976" s="10" t="inlineStr">
        <is>
          <t>F03443</t>
        </is>
      </c>
      <c r="B2976" s="10" t="inlineStr">
        <is>
          <t>F03443</t>
        </is>
      </c>
      <c r="C2976" s="10" t="inlineStr"/>
      <c r="D2976" s="10" t="inlineStr">
        <is>
          <t>6009705653826</t>
        </is>
      </c>
      <c r="E2976" s="10" t="inlineStr">
        <is>
          <t>SCREWDRIVER SET 4'' , ELECTRICIAN 2PC</t>
        </is>
      </c>
      <c r="F2976" s="10" t="inlineStr"/>
      <c r="G2976" s="10" t="inlineStr"/>
      <c r="H2976" s="10" t="inlineStr"/>
      <c r="I2976" s="11" t="n">
        <v>34.95</v>
      </c>
      <c r="J2976" s="6" t="n">
        <v>15</v>
      </c>
      <c r="K2976" s="7">
        <f>IF(I2976="","",I2976*(1+J2976/100))</f>
        <v/>
      </c>
      <c r="L2976" s="12" t="inlineStr"/>
      <c r="M2976" s="8">
        <f>IF(OR(L2976="",K2976="",L2976=0),"",
  (L2976-K2976)/L2976*100)</f>
        <v/>
      </c>
      <c r="N2976" s="13" t="n">
        <v>290</v>
      </c>
      <c r="O2976" s="10" t="inlineStr"/>
      <c r="P2976" s="10" t="inlineStr"/>
      <c r="Q2976" s="10" t="inlineStr"/>
      <c r="R2976" s="10" t="inlineStr">
        <is>
          <t>2026-03-12</t>
        </is>
      </c>
      <c r="S2976" s="10" t="inlineStr"/>
    </row>
    <row r="2977">
      <c r="A2977" s="3" t="inlineStr">
        <is>
          <t>F03444</t>
        </is>
      </c>
      <c r="B2977" s="4" t="inlineStr">
        <is>
          <t>F03444</t>
        </is>
      </c>
      <c r="C2977" s="4" t="inlineStr"/>
      <c r="D2977" s="4" t="inlineStr">
        <is>
          <t>6009705653833</t>
        </is>
      </c>
      <c r="E2977" s="3" t="inlineStr">
        <is>
          <t>SCREWDRIVER SET 5'' , ELECTRICIAN 2PC</t>
        </is>
      </c>
      <c r="F2977" s="4" t="inlineStr"/>
      <c r="G2977" s="4" t="inlineStr"/>
      <c r="H2977" s="4" t="inlineStr"/>
      <c r="I2977" s="5" t="n">
        <v>39.95</v>
      </c>
      <c r="J2977" s="6" t="n">
        <v>15</v>
      </c>
      <c r="K2977" s="7">
        <f>IF(I2977="","",I2977*(1+J2977/100))</f>
        <v/>
      </c>
      <c r="L2977" s="12" t="inlineStr"/>
      <c r="M2977" s="8">
        <f>IF(OR(L2977="",K2977="",L2977=0),"",
  (L2977-K2977)/L2977*100)</f>
        <v/>
      </c>
      <c r="N2977" s="14" t="n">
        <v>182</v>
      </c>
      <c r="O2977" s="4" t="inlineStr"/>
      <c r="P2977" s="4" t="inlineStr"/>
      <c r="Q2977" s="4" t="inlineStr"/>
      <c r="R2977" s="4" t="inlineStr">
        <is>
          <t>2026-03-12</t>
        </is>
      </c>
      <c r="S2977" s="4" t="inlineStr"/>
    </row>
    <row r="2978">
      <c r="A2978" s="10" t="inlineStr">
        <is>
          <t>F03445</t>
        </is>
      </c>
      <c r="B2978" s="10" t="inlineStr">
        <is>
          <t>F03445</t>
        </is>
      </c>
      <c r="C2978" s="10" t="inlineStr"/>
      <c r="D2978" s="10" t="inlineStr">
        <is>
          <t>6009705653840</t>
        </is>
      </c>
      <c r="E2978" s="10" t="inlineStr">
        <is>
          <t>PLUG 2PIN 40W</t>
        </is>
      </c>
      <c r="F2978" s="10" t="inlineStr"/>
      <c r="G2978" s="10" t="inlineStr"/>
      <c r="H2978" s="10" t="inlineStr"/>
      <c r="I2978" s="11" t="n">
        <v>20</v>
      </c>
      <c r="J2978" s="6" t="n">
        <v>15</v>
      </c>
      <c r="K2978" s="7">
        <f>IF(I2978="","",I2978*(1+J2978/100))</f>
        <v/>
      </c>
      <c r="L2978" s="12" t="inlineStr"/>
      <c r="M2978" s="8">
        <f>IF(OR(L2978="",K2978="",L2978=0),"",
  (L2978-K2978)/L2978*100)</f>
        <v/>
      </c>
      <c r="N2978" s="9" t="inlineStr"/>
      <c r="O2978" s="10" t="inlineStr"/>
      <c r="P2978" s="10" t="inlineStr"/>
      <c r="Q2978" s="10" t="inlineStr"/>
      <c r="R2978" s="10" t="inlineStr">
        <is>
          <t>2026-03-12</t>
        </is>
      </c>
      <c r="S2978" s="10" t="inlineStr"/>
    </row>
    <row r="2979">
      <c r="A2979" s="3" t="inlineStr">
        <is>
          <t>F03446</t>
        </is>
      </c>
      <c r="B2979" s="4" t="inlineStr">
        <is>
          <t>F03446</t>
        </is>
      </c>
      <c r="C2979" s="4" t="inlineStr"/>
      <c r="D2979" s="4" t="inlineStr">
        <is>
          <t>6009705653857</t>
        </is>
      </c>
      <c r="E2979" s="3" t="inlineStr">
        <is>
          <t>PLUG 2PIN 60W</t>
        </is>
      </c>
      <c r="F2979" s="4" t="inlineStr"/>
      <c r="G2979" s="4" t="inlineStr"/>
      <c r="H2979" s="4" t="inlineStr"/>
      <c r="I2979" s="5" t="n">
        <v>20</v>
      </c>
      <c r="J2979" s="6" t="n">
        <v>15</v>
      </c>
      <c r="K2979" s="7">
        <f>IF(I2979="","",I2979*(1+J2979/100))</f>
        <v/>
      </c>
      <c r="L2979" s="12" t="inlineStr"/>
      <c r="M2979" s="8">
        <f>IF(OR(L2979="",K2979="",L2979=0),"",
  (L2979-K2979)/L2979*100)</f>
        <v/>
      </c>
      <c r="N2979" s="9" t="inlineStr"/>
      <c r="O2979" s="4" t="inlineStr"/>
      <c r="P2979" s="4" t="inlineStr"/>
      <c r="Q2979" s="4" t="inlineStr"/>
      <c r="R2979" s="4" t="inlineStr">
        <is>
          <t>2026-03-12</t>
        </is>
      </c>
      <c r="S2979" s="4" t="inlineStr"/>
    </row>
    <row r="2980">
      <c r="A2980" s="10" t="inlineStr">
        <is>
          <t>F03447</t>
        </is>
      </c>
      <c r="B2980" s="10" t="inlineStr">
        <is>
          <t>F03447</t>
        </is>
      </c>
      <c r="C2980" s="10" t="inlineStr"/>
      <c r="D2980" s="10" t="inlineStr">
        <is>
          <t>6009705653864</t>
        </is>
      </c>
      <c r="E2980" s="10" t="inlineStr">
        <is>
          <t>SPOTLIGHT 24V 0.5W</t>
        </is>
      </c>
      <c r="F2980" s="10" t="inlineStr"/>
      <c r="G2980" s="10" t="inlineStr"/>
      <c r="H2980" s="10" t="inlineStr"/>
      <c r="I2980" s="11" t="n">
        <v>34.95</v>
      </c>
      <c r="J2980" s="6" t="n">
        <v>15</v>
      </c>
      <c r="K2980" s="7">
        <f>IF(I2980="","",I2980*(1+J2980/100))</f>
        <v/>
      </c>
      <c r="L2980" s="12" t="inlineStr"/>
      <c r="M2980" s="8">
        <f>IF(OR(L2980="",K2980="",L2980=0),"",
  (L2980-K2980)/L2980*100)</f>
        <v/>
      </c>
      <c r="N2980" s="13" t="n">
        <v>2330</v>
      </c>
      <c r="O2980" s="10" t="inlineStr"/>
      <c r="P2980" s="10" t="inlineStr"/>
      <c r="Q2980" s="10" t="inlineStr"/>
      <c r="R2980" s="10" t="inlineStr">
        <is>
          <t>2026-03-12</t>
        </is>
      </c>
      <c r="S2980" s="10" t="inlineStr"/>
    </row>
    <row r="2981">
      <c r="A2981" s="3" t="inlineStr">
        <is>
          <t>F03448</t>
        </is>
      </c>
      <c r="B2981" s="4" t="inlineStr">
        <is>
          <t>F03448</t>
        </is>
      </c>
      <c r="C2981" s="4" t="inlineStr"/>
      <c r="D2981" s="4" t="inlineStr">
        <is>
          <t>6009705653871</t>
        </is>
      </c>
      <c r="E2981" s="3" t="inlineStr">
        <is>
          <t>ADAPTOR FOR LIGHTS 24V 100W</t>
        </is>
      </c>
      <c r="F2981" s="4" t="inlineStr"/>
      <c r="G2981" s="4" t="inlineStr"/>
      <c r="H2981" s="4" t="inlineStr"/>
      <c r="I2981" s="5" t="n">
        <v>20</v>
      </c>
      <c r="J2981" s="6" t="n">
        <v>15</v>
      </c>
      <c r="K2981" s="7">
        <f>IF(I2981="","",I2981*(1+J2981/100))</f>
        <v/>
      </c>
      <c r="L2981" s="12" t="inlineStr"/>
      <c r="M2981" s="8">
        <f>IF(OR(L2981="",K2981="",L2981=0),"",
  (L2981-K2981)/L2981*100)</f>
        <v/>
      </c>
      <c r="N2981" s="9" t="inlineStr"/>
      <c r="O2981" s="4" t="inlineStr"/>
      <c r="P2981" s="4" t="inlineStr"/>
      <c r="Q2981" s="4" t="inlineStr"/>
      <c r="R2981" s="4" t="inlineStr">
        <is>
          <t>2026-03-12</t>
        </is>
      </c>
      <c r="S2981" s="4" t="inlineStr"/>
    </row>
    <row r="2982">
      <c r="A2982" s="10" t="inlineStr">
        <is>
          <t>F03449</t>
        </is>
      </c>
      <c r="B2982" s="10" t="inlineStr">
        <is>
          <t>F03449</t>
        </is>
      </c>
      <c r="C2982" s="10" t="inlineStr"/>
      <c r="D2982" s="10" t="inlineStr">
        <is>
          <t>6009705653888</t>
        </is>
      </c>
      <c r="E2982" s="10" t="inlineStr">
        <is>
          <t>SHEAR HEDGE SHEAR EXTENDABLE</t>
        </is>
      </c>
      <c r="F2982" s="10" t="inlineStr"/>
      <c r="G2982" s="10" t="inlineStr"/>
      <c r="H2982" s="10" t="inlineStr"/>
      <c r="I2982" s="11" t="n">
        <v>87.5</v>
      </c>
      <c r="J2982" s="6" t="n">
        <v>15</v>
      </c>
      <c r="K2982" s="7">
        <f>IF(I2982="","",I2982*(1+J2982/100))</f>
        <v/>
      </c>
      <c r="L2982" s="12" t="inlineStr"/>
      <c r="M2982" s="8">
        <f>IF(OR(L2982="",K2982="",L2982=0),"",
  (L2982-K2982)/L2982*100)</f>
        <v/>
      </c>
      <c r="N2982" s="13" t="n">
        <v>96</v>
      </c>
      <c r="O2982" s="10" t="inlineStr"/>
      <c r="P2982" s="10" t="inlineStr"/>
      <c r="Q2982" s="10" t="inlineStr"/>
      <c r="R2982" s="10" t="inlineStr">
        <is>
          <t>2026-03-12</t>
        </is>
      </c>
      <c r="S2982" s="10" t="inlineStr"/>
    </row>
    <row r="2983">
      <c r="A2983" s="3" t="inlineStr">
        <is>
          <t>F03450</t>
        </is>
      </c>
      <c r="B2983" s="4" t="inlineStr">
        <is>
          <t>F03450</t>
        </is>
      </c>
      <c r="C2983" s="4" t="inlineStr"/>
      <c r="D2983" s="4" t="inlineStr">
        <is>
          <t>6009705653895</t>
        </is>
      </c>
      <c r="E2983" s="3" t="inlineStr">
        <is>
          <t>HACKSAW FULL METAL</t>
        </is>
      </c>
      <c r="F2983" s="4" t="inlineStr"/>
      <c r="G2983" s="4" t="inlineStr"/>
      <c r="H2983" s="4" t="inlineStr"/>
      <c r="I2983" s="5" t="n">
        <v>37.95</v>
      </c>
      <c r="J2983" s="6" t="n">
        <v>15</v>
      </c>
      <c r="K2983" s="7">
        <f>IF(I2983="","",I2983*(1+J2983/100))</f>
        <v/>
      </c>
      <c r="L2983" s="12" t="inlineStr"/>
      <c r="M2983" s="8">
        <f>IF(OR(L2983="",K2983="",L2983=0),"",
  (L2983-K2983)/L2983*100)</f>
        <v/>
      </c>
      <c r="N2983" s="14" t="n">
        <v>411</v>
      </c>
      <c r="O2983" s="4" t="inlineStr"/>
      <c r="P2983" s="4" t="inlineStr"/>
      <c r="Q2983" s="4" t="inlineStr"/>
      <c r="R2983" s="4" t="inlineStr">
        <is>
          <t>2026-03-12</t>
        </is>
      </c>
      <c r="S2983" s="4" t="inlineStr"/>
    </row>
    <row r="2984">
      <c r="A2984" s="10" t="inlineStr">
        <is>
          <t>F03451</t>
        </is>
      </c>
      <c r="B2984" s="10" t="inlineStr">
        <is>
          <t>F03451</t>
        </is>
      </c>
      <c r="C2984" s="10" t="inlineStr"/>
      <c r="D2984" s="10" t="inlineStr">
        <is>
          <t>6009705653901</t>
        </is>
      </c>
      <c r="E2984" s="10" t="inlineStr">
        <is>
          <t>UTILITY KNIFE ABS</t>
        </is>
      </c>
      <c r="F2984" s="10" t="inlineStr"/>
      <c r="G2984" s="10" t="inlineStr"/>
      <c r="H2984" s="10" t="inlineStr"/>
      <c r="I2984" s="11" t="n">
        <v>21.95</v>
      </c>
      <c r="J2984" s="6" t="n">
        <v>15</v>
      </c>
      <c r="K2984" s="7">
        <f>IF(I2984="","",I2984*(1+J2984/100))</f>
        <v/>
      </c>
      <c r="L2984" s="12" t="inlineStr"/>
      <c r="M2984" s="8">
        <f>IF(OR(L2984="",K2984="",L2984=0),"",
  (L2984-K2984)/L2984*100)</f>
        <v/>
      </c>
      <c r="N2984" s="13" t="n">
        <v>5</v>
      </c>
      <c r="O2984" s="10" t="inlineStr"/>
      <c r="P2984" s="10" t="inlineStr"/>
      <c r="Q2984" s="10" t="inlineStr"/>
      <c r="R2984" s="10" t="inlineStr">
        <is>
          <t>2026-03-12</t>
        </is>
      </c>
      <c r="S2984" s="10" t="inlineStr"/>
    </row>
    <row r="2985">
      <c r="A2985" s="3" t="inlineStr">
        <is>
          <t>F03452</t>
        </is>
      </c>
      <c r="B2985" s="4" t="inlineStr">
        <is>
          <t>F03452</t>
        </is>
      </c>
      <c r="C2985" s="4" t="inlineStr"/>
      <c r="D2985" s="4" t="inlineStr">
        <is>
          <t>6009705653918</t>
        </is>
      </c>
      <c r="E2985" s="3" t="inlineStr">
        <is>
          <t>LEVEL ALUMINIUM MAGNET PRO 400MM</t>
        </is>
      </c>
      <c r="F2985" s="4" t="inlineStr"/>
      <c r="G2985" s="4" t="inlineStr"/>
      <c r="H2985" s="4" t="inlineStr"/>
      <c r="I2985" s="5" t="n">
        <v>54.95</v>
      </c>
      <c r="J2985" s="6" t="n">
        <v>15</v>
      </c>
      <c r="K2985" s="7">
        <f>IF(I2985="","",I2985*(1+J2985/100))</f>
        <v/>
      </c>
      <c r="L2985" s="12" t="inlineStr"/>
      <c r="M2985" s="8">
        <f>IF(OR(L2985="",K2985="",L2985=0),"",
  (L2985-K2985)/L2985*100)</f>
        <v/>
      </c>
      <c r="N2985" s="14" t="n">
        <v>155</v>
      </c>
      <c r="O2985" s="4" t="inlineStr"/>
      <c r="P2985" s="4" t="inlineStr"/>
      <c r="Q2985" s="4" t="inlineStr"/>
      <c r="R2985" s="4" t="inlineStr">
        <is>
          <t>2026-03-12</t>
        </is>
      </c>
      <c r="S2985" s="4" t="inlineStr"/>
    </row>
    <row r="2986">
      <c r="A2986" s="10" t="inlineStr">
        <is>
          <t>F03453</t>
        </is>
      </c>
      <c r="B2986" s="10" t="inlineStr">
        <is>
          <t>F03453</t>
        </is>
      </c>
      <c r="C2986" s="10" t="inlineStr"/>
      <c r="D2986" s="10" t="inlineStr"/>
      <c r="E2986" s="10" t="inlineStr">
        <is>
          <t>LEVEL ALUMINIUM MAGNET PRO 600MM</t>
        </is>
      </c>
      <c r="F2986" s="10" t="inlineStr"/>
      <c r="G2986" s="10" t="inlineStr"/>
      <c r="H2986" s="10" t="inlineStr"/>
      <c r="I2986" s="11" t="n">
        <v>64.95</v>
      </c>
      <c r="J2986" s="6" t="n">
        <v>15</v>
      </c>
      <c r="K2986" s="7">
        <f>IF(I2986="","",I2986*(1+J2986/100))</f>
        <v/>
      </c>
      <c r="L2986" s="12" t="inlineStr"/>
      <c r="M2986" s="8">
        <f>IF(OR(L2986="",K2986="",L2986=0),"",
  (L2986-K2986)/L2986*100)</f>
        <v/>
      </c>
      <c r="N2986" s="13" t="n">
        <v>138</v>
      </c>
      <c r="O2986" s="10" t="inlineStr"/>
      <c r="P2986" s="10" t="inlineStr"/>
      <c r="Q2986" s="10" t="inlineStr"/>
      <c r="R2986" s="10" t="inlineStr">
        <is>
          <t>2026-03-12</t>
        </is>
      </c>
      <c r="S2986" s="10" t="inlineStr"/>
    </row>
    <row r="2987">
      <c r="A2987" s="3" t="inlineStr">
        <is>
          <t>F03454</t>
        </is>
      </c>
      <c r="B2987" s="4" t="inlineStr">
        <is>
          <t>F03454</t>
        </is>
      </c>
      <c r="C2987" s="4" t="inlineStr"/>
      <c r="D2987" s="4" t="inlineStr">
        <is>
          <t>6009705653932</t>
        </is>
      </c>
      <c r="E2987" s="3" t="inlineStr">
        <is>
          <t>LEVEL ALUMINIUM MAGNET PRO 800MM</t>
        </is>
      </c>
      <c r="F2987" s="4" t="inlineStr"/>
      <c r="G2987" s="4" t="inlineStr"/>
      <c r="H2987" s="4" t="inlineStr"/>
      <c r="I2987" s="5" t="n">
        <v>79.95</v>
      </c>
      <c r="J2987" s="6" t="n">
        <v>15</v>
      </c>
      <c r="K2987" s="7">
        <f>IF(I2987="","",I2987*(1+J2987/100))</f>
        <v/>
      </c>
      <c r="L2987" s="12" t="inlineStr"/>
      <c r="M2987" s="8">
        <f>IF(OR(L2987="",K2987="",L2987=0),"",
  (L2987-K2987)/L2987*100)</f>
        <v/>
      </c>
      <c r="N2987" s="14" t="n">
        <v>145</v>
      </c>
      <c r="O2987" s="4" t="inlineStr"/>
      <c r="P2987" s="4" t="inlineStr"/>
      <c r="Q2987" s="4" t="inlineStr"/>
      <c r="R2987" s="4" t="inlineStr">
        <is>
          <t>2026-03-12</t>
        </is>
      </c>
      <c r="S2987" s="4" t="inlineStr"/>
    </row>
    <row r="2988">
      <c r="A2988" s="10" t="inlineStr">
        <is>
          <t>F03455</t>
        </is>
      </c>
      <c r="B2988" s="10" t="inlineStr">
        <is>
          <t>F03455</t>
        </is>
      </c>
      <c r="C2988" s="10" t="inlineStr"/>
      <c r="D2988" s="10" t="inlineStr">
        <is>
          <t>6009705653949</t>
        </is>
      </c>
      <c r="E2988" s="10" t="inlineStr">
        <is>
          <t>LEVEL ALUMINIUM MAGNET PRO 1000MM</t>
        </is>
      </c>
      <c r="F2988" s="10" t="inlineStr"/>
      <c r="G2988" s="10" t="inlineStr"/>
      <c r="H2988" s="10" t="inlineStr"/>
      <c r="I2988" s="11" t="n">
        <v>89.95</v>
      </c>
      <c r="J2988" s="6" t="n">
        <v>15</v>
      </c>
      <c r="K2988" s="7">
        <f>IF(I2988="","",I2988*(1+J2988/100))</f>
        <v/>
      </c>
      <c r="L2988" s="12" t="inlineStr"/>
      <c r="M2988" s="8">
        <f>IF(OR(L2988="",K2988="",L2988=0),"",
  (L2988-K2988)/L2988*100)</f>
        <v/>
      </c>
      <c r="N2988" s="13" t="n">
        <v>136</v>
      </c>
      <c r="O2988" s="10" t="inlineStr"/>
      <c r="P2988" s="10" t="inlineStr"/>
      <c r="Q2988" s="10" t="inlineStr"/>
      <c r="R2988" s="10" t="inlineStr">
        <is>
          <t>2026-03-12</t>
        </is>
      </c>
      <c r="S2988" s="10" t="inlineStr"/>
    </row>
    <row r="2989">
      <c r="A2989" s="3" t="inlineStr">
        <is>
          <t>F03456</t>
        </is>
      </c>
      <c r="B2989" s="4" t="inlineStr">
        <is>
          <t>F03456</t>
        </is>
      </c>
      <c r="C2989" s="4" t="inlineStr"/>
      <c r="D2989" s="4" t="inlineStr">
        <is>
          <t>6009705653956</t>
        </is>
      </c>
      <c r="E2989" s="3" t="inlineStr">
        <is>
          <t>ALLEN KEY SET 8 PCS FOLDABLE</t>
        </is>
      </c>
      <c r="F2989" s="4" t="inlineStr"/>
      <c r="G2989" s="4" t="inlineStr"/>
      <c r="H2989" s="4" t="inlineStr"/>
      <c r="I2989" s="5" t="n">
        <v>29.95</v>
      </c>
      <c r="J2989" s="6" t="n">
        <v>15</v>
      </c>
      <c r="K2989" s="7">
        <f>IF(I2989="","",I2989*(1+J2989/100))</f>
        <v/>
      </c>
      <c r="L2989" s="12" t="inlineStr"/>
      <c r="M2989" s="8">
        <f>IF(OR(L2989="",K2989="",L2989=0),"",
  (L2989-K2989)/L2989*100)</f>
        <v/>
      </c>
      <c r="N2989" s="14" t="n">
        <v>207</v>
      </c>
      <c r="O2989" s="4" t="inlineStr"/>
      <c r="P2989" s="4" t="inlineStr"/>
      <c r="Q2989" s="4" t="inlineStr"/>
      <c r="R2989" s="4" t="inlineStr">
        <is>
          <t>2026-03-12</t>
        </is>
      </c>
      <c r="S2989" s="4" t="inlineStr"/>
    </row>
    <row r="2990">
      <c r="A2990" s="10" t="inlineStr">
        <is>
          <t>F03457</t>
        </is>
      </c>
      <c r="B2990" s="10" t="inlineStr">
        <is>
          <t>F03457</t>
        </is>
      </c>
      <c r="C2990" s="10" t="inlineStr"/>
      <c r="D2990" s="10" t="inlineStr">
        <is>
          <t>6009705653963</t>
        </is>
      </c>
      <c r="E2990" s="10" t="inlineStr">
        <is>
          <t>AXE, HATCHET AXE FIBRE GLASS HANDLE</t>
        </is>
      </c>
      <c r="F2990" s="10" t="inlineStr"/>
      <c r="G2990" s="10" t="inlineStr"/>
      <c r="H2990" s="10" t="inlineStr"/>
      <c r="I2990" s="11" t="n">
        <v>59.95</v>
      </c>
      <c r="J2990" s="6" t="n">
        <v>15</v>
      </c>
      <c r="K2990" s="7">
        <f>IF(I2990="","",I2990*(1+J2990/100))</f>
        <v/>
      </c>
      <c r="L2990" s="12" t="inlineStr"/>
      <c r="M2990" s="8">
        <f>IF(OR(L2990="",K2990="",L2990=0),"",
  (L2990-K2990)/L2990*100)</f>
        <v/>
      </c>
      <c r="N2990" s="13" t="n">
        <v>146</v>
      </c>
      <c r="O2990" s="10" t="inlineStr"/>
      <c r="P2990" s="10" t="inlineStr"/>
      <c r="Q2990" s="10" t="inlineStr"/>
      <c r="R2990" s="10" t="inlineStr">
        <is>
          <t>2026-03-12</t>
        </is>
      </c>
      <c r="S2990" s="10" t="inlineStr"/>
    </row>
    <row r="2991">
      <c r="A2991" s="3" t="inlineStr">
        <is>
          <t>F03458</t>
        </is>
      </c>
      <c r="B2991" s="4" t="inlineStr">
        <is>
          <t>F03458</t>
        </is>
      </c>
      <c r="C2991" s="4" t="inlineStr"/>
      <c r="D2991" s="4" t="inlineStr">
        <is>
          <t>6009705653970</t>
        </is>
      </c>
      <c r="E2991" s="3" t="inlineStr">
        <is>
          <t>SHEAR PRUNING 8'' WITH CARD</t>
        </is>
      </c>
      <c r="F2991" s="4" t="inlineStr"/>
      <c r="G2991" s="4" t="inlineStr"/>
      <c r="H2991" s="4" t="inlineStr"/>
      <c r="I2991" s="5" t="n">
        <v>49.95</v>
      </c>
      <c r="J2991" s="6" t="n">
        <v>15</v>
      </c>
      <c r="K2991" s="7">
        <f>IF(I2991="","",I2991*(1+J2991/100))</f>
        <v/>
      </c>
      <c r="L2991" s="12" t="inlineStr"/>
      <c r="M2991" s="8">
        <f>IF(OR(L2991="",K2991="",L2991=0),"",
  (L2991-K2991)/L2991*100)</f>
        <v/>
      </c>
      <c r="N2991" s="14" t="n">
        <v>83</v>
      </c>
      <c r="O2991" s="4" t="inlineStr"/>
      <c r="P2991" s="4" t="inlineStr"/>
      <c r="Q2991" s="4" t="inlineStr"/>
      <c r="R2991" s="4" t="inlineStr">
        <is>
          <t>2026-03-12</t>
        </is>
      </c>
      <c r="S2991" s="4" t="inlineStr"/>
    </row>
    <row r="2992">
      <c r="A2992" s="10" t="inlineStr">
        <is>
          <t>F03459</t>
        </is>
      </c>
      <c r="B2992" s="10" t="inlineStr">
        <is>
          <t>F03459</t>
        </is>
      </c>
      <c r="C2992" s="10" t="inlineStr"/>
      <c r="D2992" s="10" t="inlineStr">
        <is>
          <t>6009705653987</t>
        </is>
      </c>
      <c r="E2992" s="10" t="inlineStr">
        <is>
          <t>ADAPTOR 24V 150W</t>
        </is>
      </c>
      <c r="F2992" s="10" t="inlineStr"/>
      <c r="G2992" s="10" t="inlineStr"/>
      <c r="H2992" s="10" t="inlineStr"/>
      <c r="I2992" s="11" t="n">
        <v>20</v>
      </c>
      <c r="J2992" s="6" t="n">
        <v>15</v>
      </c>
      <c r="K2992" s="7">
        <f>IF(I2992="","",I2992*(1+J2992/100))</f>
        <v/>
      </c>
      <c r="L2992" s="12" t="inlineStr"/>
      <c r="M2992" s="8">
        <f>IF(OR(L2992="",K2992="",L2992=0),"",
  (L2992-K2992)/L2992*100)</f>
        <v/>
      </c>
      <c r="N2992" s="9" t="inlineStr"/>
      <c r="O2992" s="10" t="inlineStr"/>
      <c r="P2992" s="10" t="inlineStr"/>
      <c r="Q2992" s="10" t="inlineStr"/>
      <c r="R2992" s="10" t="inlineStr">
        <is>
          <t>2026-03-12</t>
        </is>
      </c>
      <c r="S2992" s="10" t="inlineStr"/>
    </row>
    <row r="2993">
      <c r="A2993" s="3" t="inlineStr">
        <is>
          <t>F03460</t>
        </is>
      </c>
      <c r="B2993" s="4" t="inlineStr">
        <is>
          <t>F03460</t>
        </is>
      </c>
      <c r="C2993" s="4" t="inlineStr"/>
      <c r="D2993" s="4" t="inlineStr">
        <is>
          <t>6009705653994</t>
        </is>
      </c>
      <c r="E2993" s="3" t="inlineStr">
        <is>
          <t>ADAPTOR 24V 200W</t>
        </is>
      </c>
      <c r="F2993" s="4" t="inlineStr"/>
      <c r="G2993" s="4" t="inlineStr"/>
      <c r="H2993" s="4" t="inlineStr"/>
      <c r="I2993" s="5" t="n">
        <v>20</v>
      </c>
      <c r="J2993" s="6" t="n">
        <v>15</v>
      </c>
      <c r="K2993" s="7">
        <f>IF(I2993="","",I2993*(1+J2993/100))</f>
        <v/>
      </c>
      <c r="L2993" s="12" t="inlineStr"/>
      <c r="M2993" s="8">
        <f>IF(OR(L2993="",K2993="",L2993=0),"",
  (L2993-K2993)/L2993*100)</f>
        <v/>
      </c>
      <c r="N2993" s="9" t="inlineStr"/>
      <c r="O2993" s="4" t="inlineStr"/>
      <c r="P2993" s="4" t="inlineStr"/>
      <c r="Q2993" s="4" t="inlineStr"/>
      <c r="R2993" s="4" t="inlineStr">
        <is>
          <t>2026-03-12</t>
        </is>
      </c>
      <c r="S2993" s="4" t="inlineStr"/>
    </row>
    <row r="2994">
      <c r="A2994" s="10" t="inlineStr">
        <is>
          <t>F03461</t>
        </is>
      </c>
      <c r="B2994" s="10" t="inlineStr">
        <is>
          <t>F03461</t>
        </is>
      </c>
      <c r="C2994" s="10" t="inlineStr"/>
      <c r="D2994" s="10" t="inlineStr">
        <is>
          <t>6009705654007</t>
        </is>
      </c>
      <c r="E2994" s="10" t="inlineStr">
        <is>
          <t>PAINT BRUSH SET 5PC DBL BLISTER 19-75MM</t>
        </is>
      </c>
      <c r="F2994" s="10" t="inlineStr"/>
      <c r="G2994" s="10" t="inlineStr"/>
      <c r="H2994" s="10" t="inlineStr"/>
      <c r="I2994" s="11" t="n">
        <v>32.95</v>
      </c>
      <c r="J2994" s="6" t="n">
        <v>15</v>
      </c>
      <c r="K2994" s="7">
        <f>IF(I2994="","",I2994*(1+J2994/100))</f>
        <v/>
      </c>
      <c r="L2994" s="12" t="inlineStr"/>
      <c r="M2994" s="8">
        <f>IF(OR(L2994="",K2994="",L2994=0),"",
  (L2994-K2994)/L2994*100)</f>
        <v/>
      </c>
      <c r="N2994" s="13" t="n">
        <v>1212</v>
      </c>
      <c r="O2994" s="10" t="inlineStr"/>
      <c r="P2994" s="10" t="inlineStr"/>
      <c r="Q2994" s="10" t="inlineStr"/>
      <c r="R2994" s="10" t="inlineStr">
        <is>
          <t>2026-03-12</t>
        </is>
      </c>
      <c r="S2994" s="10" t="inlineStr"/>
    </row>
    <row r="2995">
      <c r="A2995" s="3" t="inlineStr">
        <is>
          <t>F03462</t>
        </is>
      </c>
      <c r="B2995" s="4" t="inlineStr">
        <is>
          <t>F03462</t>
        </is>
      </c>
      <c r="C2995" s="4" t="inlineStr"/>
      <c r="D2995" s="4" t="inlineStr"/>
      <c r="E2995" s="3" t="inlineStr">
        <is>
          <t>INDOOR BIKE</t>
        </is>
      </c>
      <c r="F2995" s="4" t="inlineStr"/>
      <c r="G2995" s="4" t="inlineStr"/>
      <c r="H2995" s="4" t="inlineStr"/>
      <c r="I2995" s="5" t="n">
        <v>20</v>
      </c>
      <c r="J2995" s="6" t="n">
        <v>15</v>
      </c>
      <c r="K2995" s="7">
        <f>IF(I2995="","",I2995*(1+J2995/100))</f>
        <v/>
      </c>
      <c r="L2995" s="12" t="inlineStr"/>
      <c r="M2995" s="8">
        <f>IF(OR(L2995="",K2995="",L2995=0),"",
  (L2995-K2995)/L2995*100)</f>
        <v/>
      </c>
      <c r="N2995" s="14" t="n">
        <v>1</v>
      </c>
      <c r="O2995" s="4" t="inlineStr"/>
      <c r="P2995" s="4" t="inlineStr"/>
      <c r="Q2995" s="4" t="inlineStr"/>
      <c r="R2995" s="4" t="inlineStr">
        <is>
          <t>2026-03-12</t>
        </is>
      </c>
      <c r="S2995" s="4" t="inlineStr"/>
    </row>
    <row r="2996">
      <c r="A2996" s="10" t="inlineStr">
        <is>
          <t>F03463</t>
        </is>
      </c>
      <c r="B2996" s="10" t="inlineStr">
        <is>
          <t>F03463</t>
        </is>
      </c>
      <c r="C2996" s="10" t="inlineStr"/>
      <c r="D2996" s="10" t="inlineStr"/>
      <c r="E2996" s="10" t="inlineStr">
        <is>
          <t>MASSAGE CHAIR</t>
        </is>
      </c>
      <c r="F2996" s="10" t="inlineStr"/>
      <c r="G2996" s="10" t="inlineStr"/>
      <c r="H2996" s="10" t="inlineStr"/>
      <c r="I2996" s="11" t="n">
        <v>20</v>
      </c>
      <c r="J2996" s="6" t="n">
        <v>15</v>
      </c>
      <c r="K2996" s="7">
        <f>IF(I2996="","",I2996*(1+J2996/100))</f>
        <v/>
      </c>
      <c r="L2996" s="12" t="inlineStr"/>
      <c r="M2996" s="8">
        <f>IF(OR(L2996="",K2996="",L2996=0),"",
  (L2996-K2996)/L2996*100)</f>
        <v/>
      </c>
      <c r="N2996" s="13" t="n">
        <v>1</v>
      </c>
      <c r="O2996" s="10" t="inlineStr"/>
      <c r="P2996" s="10" t="inlineStr"/>
      <c r="Q2996" s="10" t="inlineStr"/>
      <c r="R2996" s="10" t="inlineStr">
        <is>
          <t>2026-03-12</t>
        </is>
      </c>
      <c r="S2996" s="10" t="inlineStr"/>
    </row>
    <row r="2997">
      <c r="A2997" s="3" t="inlineStr">
        <is>
          <t>F03464</t>
        </is>
      </c>
      <c r="B2997" s="4" t="inlineStr">
        <is>
          <t>F03464</t>
        </is>
      </c>
      <c r="C2997" s="4" t="inlineStr"/>
      <c r="D2997" s="4" t="inlineStr"/>
      <c r="E2997" s="3" t="inlineStr">
        <is>
          <t>DUMBELL</t>
        </is>
      </c>
      <c r="F2997" s="4" t="inlineStr"/>
      <c r="G2997" s="4" t="inlineStr"/>
      <c r="H2997" s="4" t="inlineStr"/>
      <c r="I2997" s="5" t="n">
        <v>20</v>
      </c>
      <c r="J2997" s="6" t="n">
        <v>15</v>
      </c>
      <c r="K2997" s="7">
        <f>IF(I2997="","",I2997*(1+J2997/100))</f>
        <v/>
      </c>
      <c r="L2997" s="12" t="inlineStr"/>
      <c r="M2997" s="8">
        <f>IF(OR(L2997="",K2997="",L2997=0),"",
  (L2997-K2997)/L2997*100)</f>
        <v/>
      </c>
      <c r="N2997" s="14" t="n">
        <v>1</v>
      </c>
      <c r="O2997" s="4" t="inlineStr"/>
      <c r="P2997" s="4" t="inlineStr"/>
      <c r="Q2997" s="4" t="inlineStr"/>
      <c r="R2997" s="4" t="inlineStr">
        <is>
          <t>2026-03-12</t>
        </is>
      </c>
      <c r="S2997" s="4" t="inlineStr"/>
    </row>
    <row r="2998">
      <c r="A2998" s="10" t="inlineStr">
        <is>
          <t>F03465</t>
        </is>
      </c>
      <c r="B2998" s="10" t="inlineStr">
        <is>
          <t>F03465</t>
        </is>
      </c>
      <c r="C2998" s="10" t="inlineStr"/>
      <c r="D2998" s="10" t="inlineStr"/>
      <c r="E2998" s="10" t="inlineStr">
        <is>
          <t>FOOT MASSAGE</t>
        </is>
      </c>
      <c r="F2998" s="10" t="inlineStr"/>
      <c r="G2998" s="10" t="inlineStr"/>
      <c r="H2998" s="10" t="inlineStr"/>
      <c r="I2998" s="11" t="n">
        <v>20</v>
      </c>
      <c r="J2998" s="6" t="n">
        <v>15</v>
      </c>
      <c r="K2998" s="7">
        <f>IF(I2998="","",I2998*(1+J2998/100))</f>
        <v/>
      </c>
      <c r="L2998" s="12" t="inlineStr"/>
      <c r="M2998" s="8">
        <f>IF(OR(L2998="",K2998="",L2998=0),"",
  (L2998-K2998)/L2998*100)</f>
        <v/>
      </c>
      <c r="N2998" s="13" t="n">
        <v>1</v>
      </c>
      <c r="O2998" s="10" t="inlineStr"/>
      <c r="P2998" s="10" t="inlineStr"/>
      <c r="Q2998" s="10" t="inlineStr"/>
      <c r="R2998" s="10" t="inlineStr">
        <is>
          <t>2026-03-12</t>
        </is>
      </c>
      <c r="S2998" s="10" t="inlineStr"/>
    </row>
    <row r="2999">
      <c r="A2999" s="3" t="inlineStr">
        <is>
          <t>F03466</t>
        </is>
      </c>
      <c r="B2999" s="4" t="inlineStr">
        <is>
          <t>F03466</t>
        </is>
      </c>
      <c r="C2999" s="4" t="inlineStr"/>
      <c r="D2999" s="4" t="inlineStr">
        <is>
          <t>6009705654052</t>
        </is>
      </c>
      <c r="E2999" s="3" t="inlineStr">
        <is>
          <t>PAINT BRUSH SET 3PC DBL BLISTER 25,38,50</t>
        </is>
      </c>
      <c r="F2999" s="4" t="inlineStr"/>
      <c r="G2999" s="4" t="inlineStr"/>
      <c r="H2999" s="4" t="inlineStr"/>
      <c r="I2999" s="5" t="n">
        <v>22.95</v>
      </c>
      <c r="J2999" s="6" t="n">
        <v>15</v>
      </c>
      <c r="K2999" s="7">
        <f>IF(I2999="","",I2999*(1+J2999/100))</f>
        <v/>
      </c>
      <c r="L2999" s="12" t="inlineStr"/>
      <c r="M2999" s="8">
        <f>IF(OR(L2999="",K2999="",L2999=0),"",
  (L2999-K2999)/L2999*100)</f>
        <v/>
      </c>
      <c r="N2999" s="14" t="n">
        <v>4712</v>
      </c>
      <c r="O2999" s="4" t="inlineStr"/>
      <c r="P2999" s="4" t="inlineStr"/>
      <c r="Q2999" s="4" t="inlineStr"/>
      <c r="R2999" s="4" t="inlineStr">
        <is>
          <t>2026-03-12</t>
        </is>
      </c>
      <c r="S2999" s="4" t="inlineStr"/>
    </row>
    <row r="3000">
      <c r="A3000" s="10" t="inlineStr">
        <is>
          <t>F03467</t>
        </is>
      </c>
      <c r="B3000" s="10" t="inlineStr">
        <is>
          <t>F03467</t>
        </is>
      </c>
      <c r="C3000" s="10" t="inlineStr"/>
      <c r="D3000" s="10" t="inlineStr"/>
      <c r="E3000" s="10" t="inlineStr">
        <is>
          <t>MASSAGE CHAIR BLACK</t>
        </is>
      </c>
      <c r="F3000" s="10" t="inlineStr"/>
      <c r="G3000" s="10" t="inlineStr"/>
      <c r="H3000" s="10" t="inlineStr"/>
      <c r="I3000" s="11" t="n">
        <v>20</v>
      </c>
      <c r="J3000" s="6" t="n">
        <v>15</v>
      </c>
      <c r="K3000" s="7">
        <f>IF(I3000="","",I3000*(1+J3000/100))</f>
        <v/>
      </c>
      <c r="L3000" s="12" t="inlineStr"/>
      <c r="M3000" s="8">
        <f>IF(OR(L3000="",K3000="",L3000=0),"",
  (L3000-K3000)/L3000*100)</f>
        <v/>
      </c>
      <c r="N3000" s="13" t="n">
        <v>1</v>
      </c>
      <c r="O3000" s="10" t="inlineStr"/>
      <c r="P3000" s="10" t="inlineStr"/>
      <c r="Q3000" s="10" t="inlineStr"/>
      <c r="R3000" s="10" t="inlineStr">
        <is>
          <t>2026-03-12</t>
        </is>
      </c>
      <c r="S3000" s="10" t="inlineStr"/>
    </row>
    <row r="3001">
      <c r="A3001" s="3" t="inlineStr">
        <is>
          <t>F03468</t>
        </is>
      </c>
      <c r="B3001" s="4" t="inlineStr">
        <is>
          <t>F03468</t>
        </is>
      </c>
      <c r="C3001" s="4" t="inlineStr"/>
      <c r="D3001" s="4" t="inlineStr">
        <is>
          <t>6009705654076</t>
        </is>
      </c>
      <c r="E3001" s="3" t="inlineStr">
        <is>
          <t>PAINT BRUSH SET 3PC 50MM</t>
        </is>
      </c>
      <c r="F3001" s="4" t="inlineStr"/>
      <c r="G3001" s="4" t="inlineStr"/>
      <c r="H3001" s="4" t="inlineStr"/>
      <c r="I3001" s="5" t="n">
        <v>20</v>
      </c>
      <c r="J3001" s="6" t="n">
        <v>15</v>
      </c>
      <c r="K3001" s="7">
        <f>IF(I3001="","",I3001*(1+J3001/100))</f>
        <v/>
      </c>
      <c r="L3001" s="12" t="inlineStr"/>
      <c r="M3001" s="8">
        <f>IF(OR(L3001="",K3001="",L3001=0),"",
  (L3001-K3001)/L3001*100)</f>
        <v/>
      </c>
      <c r="N3001" s="9" t="inlineStr"/>
      <c r="O3001" s="4" t="inlineStr"/>
      <c r="P3001" s="4" t="inlineStr"/>
      <c r="Q3001" s="4" t="inlineStr"/>
      <c r="R3001" s="4" t="inlineStr">
        <is>
          <t>2026-03-12</t>
        </is>
      </c>
      <c r="S3001" s="4" t="inlineStr"/>
    </row>
    <row r="3002">
      <c r="A3002" s="10" t="inlineStr">
        <is>
          <t>F03469</t>
        </is>
      </c>
      <c r="B3002" s="10" t="inlineStr">
        <is>
          <t>F03469</t>
        </is>
      </c>
      <c r="C3002" s="10" t="inlineStr"/>
      <c r="D3002" s="10" t="inlineStr">
        <is>
          <t>6009705654083</t>
        </is>
      </c>
      <c r="E3002" s="10" t="inlineStr">
        <is>
          <t>RIVET GUN PRO HAND RIVET</t>
        </is>
      </c>
      <c r="F3002" s="10" t="inlineStr"/>
      <c r="G3002" s="10" t="inlineStr"/>
      <c r="H3002" s="10" t="inlineStr"/>
      <c r="I3002" s="11" t="n">
        <v>84.95</v>
      </c>
      <c r="J3002" s="6" t="n">
        <v>15</v>
      </c>
      <c r="K3002" s="7">
        <f>IF(I3002="","",I3002*(1+J3002/100))</f>
        <v/>
      </c>
      <c r="L3002" s="12" t="inlineStr"/>
      <c r="M3002" s="8">
        <f>IF(OR(L3002="",K3002="",L3002=0),"",
  (L3002-K3002)/L3002*100)</f>
        <v/>
      </c>
      <c r="N3002" s="13" t="n">
        <v>499</v>
      </c>
      <c r="O3002" s="10" t="inlineStr"/>
      <c r="P3002" s="10" t="inlineStr"/>
      <c r="Q3002" s="10" t="inlineStr"/>
      <c r="R3002" s="10" t="inlineStr">
        <is>
          <t>2026-03-12</t>
        </is>
      </c>
      <c r="S3002" s="10" t="inlineStr"/>
    </row>
    <row r="3003">
      <c r="A3003" s="3" t="inlineStr">
        <is>
          <t>F03470</t>
        </is>
      </c>
      <c r="B3003" s="4" t="inlineStr">
        <is>
          <t>F03470</t>
        </is>
      </c>
      <c r="C3003" s="4" t="inlineStr"/>
      <c r="D3003" s="4" t="inlineStr">
        <is>
          <t>6009705654090</t>
        </is>
      </c>
      <c r="E3003" s="3" t="inlineStr">
        <is>
          <t>PEEL N STICK 50X50 LIGHTGRAIN WOOD</t>
        </is>
      </c>
      <c r="F3003" s="4" t="inlineStr"/>
      <c r="G3003" s="4" t="inlineStr"/>
      <c r="H3003" s="4" t="inlineStr"/>
      <c r="I3003" s="5" t="n">
        <v>20</v>
      </c>
      <c r="J3003" s="6" t="n">
        <v>15</v>
      </c>
      <c r="K3003" s="7">
        <f>IF(I3003="","",I3003*(1+J3003/100))</f>
        <v/>
      </c>
      <c r="L3003" s="12" t="inlineStr"/>
      <c r="M3003" s="8">
        <f>IF(OR(L3003="",K3003="",L3003=0),"",
  (L3003-K3003)/L3003*100)</f>
        <v/>
      </c>
      <c r="N3003" s="9" t="inlineStr"/>
      <c r="O3003" s="4" t="inlineStr"/>
      <c r="P3003" s="4" t="inlineStr"/>
      <c r="Q3003" s="4" t="inlineStr"/>
      <c r="R3003" s="4" t="inlineStr">
        <is>
          <t>2026-03-12</t>
        </is>
      </c>
      <c r="S3003" s="4" t="inlineStr"/>
    </row>
    <row r="3004">
      <c r="A3004" s="10" t="inlineStr">
        <is>
          <t>F03471</t>
        </is>
      </c>
      <c r="B3004" s="10" t="inlineStr">
        <is>
          <t>F03471</t>
        </is>
      </c>
      <c r="C3004" s="10" t="inlineStr"/>
      <c r="D3004" s="10" t="inlineStr">
        <is>
          <t>6009705654106</t>
        </is>
      </c>
      <c r="E3004" s="10" t="inlineStr">
        <is>
          <t>PEEL N STICK 50X50 BLACK WOOD</t>
        </is>
      </c>
      <c r="F3004" s="10" t="inlineStr"/>
      <c r="G3004" s="10" t="inlineStr"/>
      <c r="H3004" s="10" t="inlineStr"/>
      <c r="I3004" s="11" t="n">
        <v>20</v>
      </c>
      <c r="J3004" s="6" t="n">
        <v>15</v>
      </c>
      <c r="K3004" s="7">
        <f>IF(I3004="","",I3004*(1+J3004/100))</f>
        <v/>
      </c>
      <c r="L3004" s="12" t="inlineStr"/>
      <c r="M3004" s="8">
        <f>IF(OR(L3004="",K3004="",L3004=0),"",
  (L3004-K3004)/L3004*100)</f>
        <v/>
      </c>
      <c r="N3004" s="9" t="inlineStr"/>
      <c r="O3004" s="10" t="inlineStr"/>
      <c r="P3004" s="10" t="inlineStr"/>
      <c r="Q3004" s="10" t="inlineStr"/>
      <c r="R3004" s="10" t="inlineStr">
        <is>
          <t>2026-03-12</t>
        </is>
      </c>
      <c r="S3004" s="10" t="inlineStr"/>
    </row>
    <row r="3005">
      <c r="A3005" s="3" t="inlineStr">
        <is>
          <t>F03472</t>
        </is>
      </c>
      <c r="B3005" s="4" t="inlineStr">
        <is>
          <t>F03472</t>
        </is>
      </c>
      <c r="C3005" s="4" t="inlineStr"/>
      <c r="D3005" s="4" t="inlineStr">
        <is>
          <t>6009705654113</t>
        </is>
      </c>
      <c r="E3005" s="3" t="inlineStr">
        <is>
          <t>PEEL N STICK 50X50 CHAMPAGNE GOLD</t>
        </is>
      </c>
      <c r="F3005" s="4" t="inlineStr"/>
      <c r="G3005" s="4" t="inlineStr"/>
      <c r="H3005" s="4" t="inlineStr"/>
      <c r="I3005" s="5" t="n">
        <v>20</v>
      </c>
      <c r="J3005" s="6" t="n">
        <v>15</v>
      </c>
      <c r="K3005" s="7">
        <f>IF(I3005="","",I3005*(1+J3005/100))</f>
        <v/>
      </c>
      <c r="L3005" s="12" t="inlineStr"/>
      <c r="M3005" s="8">
        <f>IF(OR(L3005="",K3005="",L3005=0),"",
  (L3005-K3005)/L3005*100)</f>
        <v/>
      </c>
      <c r="N3005" s="9" t="inlineStr"/>
      <c r="O3005" s="4" t="inlineStr"/>
      <c r="P3005" s="4" t="inlineStr"/>
      <c r="Q3005" s="4" t="inlineStr"/>
      <c r="R3005" s="4" t="inlineStr">
        <is>
          <t>2026-03-12</t>
        </is>
      </c>
      <c r="S3005" s="4" t="inlineStr"/>
    </row>
    <row r="3006">
      <c r="A3006" s="10" t="inlineStr">
        <is>
          <t>F03473</t>
        </is>
      </c>
      <c r="B3006" s="10" t="inlineStr">
        <is>
          <t>F03473</t>
        </is>
      </c>
      <c r="C3006" s="10" t="inlineStr"/>
      <c r="D3006" s="10" t="inlineStr">
        <is>
          <t>6009705654120</t>
        </is>
      </c>
      <c r="E3006" s="10" t="inlineStr">
        <is>
          <t>PEEL N STICK 50X50 BLACK</t>
        </is>
      </c>
      <c r="F3006" s="10" t="inlineStr"/>
      <c r="G3006" s="10" t="inlineStr"/>
      <c r="H3006" s="10" t="inlineStr"/>
      <c r="I3006" s="11" t="n">
        <v>20</v>
      </c>
      <c r="J3006" s="6" t="n">
        <v>15</v>
      </c>
      <c r="K3006" s="7">
        <f>IF(I3006="","",I3006*(1+J3006/100))</f>
        <v/>
      </c>
      <c r="L3006" s="12" t="inlineStr"/>
      <c r="M3006" s="8">
        <f>IF(OR(L3006="",K3006="",L3006=0),"",
  (L3006-K3006)/L3006*100)</f>
        <v/>
      </c>
      <c r="N3006" s="9" t="inlineStr"/>
      <c r="O3006" s="10" t="inlineStr"/>
      <c r="P3006" s="10" t="inlineStr"/>
      <c r="Q3006" s="10" t="inlineStr"/>
      <c r="R3006" s="10" t="inlineStr">
        <is>
          <t>2026-03-12</t>
        </is>
      </c>
      <c r="S3006" s="10" t="inlineStr"/>
    </row>
    <row r="3007">
      <c r="A3007" s="3" t="inlineStr">
        <is>
          <t>F03474</t>
        </is>
      </c>
      <c r="B3007" s="4" t="inlineStr">
        <is>
          <t>F03474</t>
        </is>
      </c>
      <c r="C3007" s="4" t="inlineStr"/>
      <c r="D3007" s="4" t="inlineStr">
        <is>
          <t>6009705654137</t>
        </is>
      </c>
      <c r="E3007" s="3" t="inlineStr">
        <is>
          <t>PEEL N STICK 50X50 WHITE WOOD</t>
        </is>
      </c>
      <c r="F3007" s="4" t="inlineStr"/>
      <c r="G3007" s="4" t="inlineStr"/>
      <c r="H3007" s="4" t="inlineStr"/>
      <c r="I3007" s="5" t="n">
        <v>20</v>
      </c>
      <c r="J3007" s="6" t="n">
        <v>15</v>
      </c>
      <c r="K3007" s="7">
        <f>IF(I3007="","",I3007*(1+J3007/100))</f>
        <v/>
      </c>
      <c r="L3007" s="12" t="inlineStr"/>
      <c r="M3007" s="8">
        <f>IF(OR(L3007="",K3007="",L3007=0),"",
  (L3007-K3007)/L3007*100)</f>
        <v/>
      </c>
      <c r="N3007" s="9" t="inlineStr"/>
      <c r="O3007" s="4" t="inlineStr"/>
      <c r="P3007" s="4" t="inlineStr"/>
      <c r="Q3007" s="4" t="inlineStr"/>
      <c r="R3007" s="4" t="inlineStr">
        <is>
          <t>2026-03-12</t>
        </is>
      </c>
      <c r="S3007" s="4" t="inlineStr"/>
    </row>
    <row r="3008">
      <c r="A3008" s="10" t="inlineStr">
        <is>
          <t>F03475</t>
        </is>
      </c>
      <c r="B3008" s="10" t="inlineStr">
        <is>
          <t>F03475</t>
        </is>
      </c>
      <c r="C3008" s="10" t="inlineStr"/>
      <c r="D3008" s="10" t="inlineStr">
        <is>
          <t>6009705654144</t>
        </is>
      </c>
      <c r="E3008" s="10" t="inlineStr">
        <is>
          <t>PEEL N STICK 50X50 LIGHTGRAIN WOOD</t>
        </is>
      </c>
      <c r="F3008" s="10" t="inlineStr"/>
      <c r="G3008" s="10" t="inlineStr"/>
      <c r="H3008" s="10" t="inlineStr"/>
      <c r="I3008" s="11" t="n">
        <v>20</v>
      </c>
      <c r="J3008" s="6" t="n">
        <v>15</v>
      </c>
      <c r="K3008" s="7">
        <f>IF(I3008="","",I3008*(1+J3008/100))</f>
        <v/>
      </c>
      <c r="L3008" s="12" t="inlineStr"/>
      <c r="M3008" s="8">
        <f>IF(OR(L3008="",K3008="",L3008=0),"",
  (L3008-K3008)/L3008*100)</f>
        <v/>
      </c>
      <c r="N3008" s="9" t="inlineStr"/>
      <c r="O3008" s="10" t="inlineStr"/>
      <c r="P3008" s="10" t="inlineStr"/>
      <c r="Q3008" s="10" t="inlineStr"/>
      <c r="R3008" s="10" t="inlineStr">
        <is>
          <t>2026-03-12</t>
        </is>
      </c>
      <c r="S3008" s="10" t="inlineStr"/>
    </row>
    <row r="3009">
      <c r="A3009" s="3" t="inlineStr">
        <is>
          <t>F03476</t>
        </is>
      </c>
      <c r="B3009" s="4" t="inlineStr">
        <is>
          <t>F03476</t>
        </is>
      </c>
      <c r="C3009" s="4" t="inlineStr"/>
      <c r="D3009" s="4" t="inlineStr">
        <is>
          <t>6009705654151</t>
        </is>
      </c>
      <c r="E3009" s="3" t="inlineStr">
        <is>
          <t>PEEL N STICK 50X50 BLACK WOOD</t>
        </is>
      </c>
      <c r="F3009" s="4" t="inlineStr"/>
      <c r="G3009" s="4" t="inlineStr"/>
      <c r="H3009" s="4" t="inlineStr"/>
      <c r="I3009" s="5" t="n">
        <v>20</v>
      </c>
      <c r="J3009" s="6" t="n">
        <v>15</v>
      </c>
      <c r="K3009" s="7">
        <f>IF(I3009="","",I3009*(1+J3009/100))</f>
        <v/>
      </c>
      <c r="L3009" s="12" t="inlineStr"/>
      <c r="M3009" s="8">
        <f>IF(OR(L3009="",K3009="",L3009=0),"",
  (L3009-K3009)/L3009*100)</f>
        <v/>
      </c>
      <c r="N3009" s="9" t="inlineStr"/>
      <c r="O3009" s="4" t="inlineStr"/>
      <c r="P3009" s="4" t="inlineStr"/>
      <c r="Q3009" s="4" t="inlineStr"/>
      <c r="R3009" s="4" t="inlineStr">
        <is>
          <t>2026-03-12</t>
        </is>
      </c>
      <c r="S3009" s="4" t="inlineStr"/>
    </row>
    <row r="3010">
      <c r="A3010" s="10" t="inlineStr">
        <is>
          <t>F03477</t>
        </is>
      </c>
      <c r="B3010" s="10" t="inlineStr">
        <is>
          <t>F03477</t>
        </is>
      </c>
      <c r="C3010" s="10" t="inlineStr"/>
      <c r="D3010" s="10" t="inlineStr">
        <is>
          <t>6009705654168</t>
        </is>
      </c>
      <c r="E3010" s="10" t="inlineStr">
        <is>
          <t>PEEL N STICK 50X50 CHAMPANGR GOLD</t>
        </is>
      </c>
      <c r="F3010" s="10" t="inlineStr"/>
      <c r="G3010" s="10" t="inlineStr"/>
      <c r="H3010" s="10" t="inlineStr"/>
      <c r="I3010" s="11" t="n">
        <v>20</v>
      </c>
      <c r="J3010" s="6" t="n">
        <v>15</v>
      </c>
      <c r="K3010" s="7">
        <f>IF(I3010="","",I3010*(1+J3010/100))</f>
        <v/>
      </c>
      <c r="L3010" s="12" t="inlineStr"/>
      <c r="M3010" s="8">
        <f>IF(OR(L3010="",K3010="",L3010=0),"",
  (L3010-K3010)/L3010*100)</f>
        <v/>
      </c>
      <c r="N3010" s="9" t="inlineStr"/>
      <c r="O3010" s="10" t="inlineStr"/>
      <c r="P3010" s="10" t="inlineStr"/>
      <c r="Q3010" s="10" t="inlineStr"/>
      <c r="R3010" s="10" t="inlineStr">
        <is>
          <t>2026-03-12</t>
        </is>
      </c>
      <c r="S3010" s="10" t="inlineStr"/>
    </row>
    <row r="3011">
      <c r="A3011" s="3" t="inlineStr">
        <is>
          <t>F03478</t>
        </is>
      </c>
      <c r="B3011" s="4" t="inlineStr">
        <is>
          <t>F03478</t>
        </is>
      </c>
      <c r="C3011" s="4" t="inlineStr"/>
      <c r="D3011" s="4" t="inlineStr">
        <is>
          <t>6009705654175</t>
        </is>
      </c>
      <c r="E3011" s="3" t="inlineStr">
        <is>
          <t>DRAIN ROD 8X3M</t>
        </is>
      </c>
      <c r="F3011" s="4" t="inlineStr"/>
      <c r="G3011" s="4" t="inlineStr"/>
      <c r="H3011" s="4" t="inlineStr"/>
      <c r="I3011" s="5" t="n">
        <v>49.5</v>
      </c>
      <c r="J3011" s="6" t="n">
        <v>15</v>
      </c>
      <c r="K3011" s="7">
        <f>IF(I3011="","",I3011*(1+J3011/100))</f>
        <v/>
      </c>
      <c r="L3011" s="12" t="inlineStr"/>
      <c r="M3011" s="8">
        <f>IF(OR(L3011="",K3011="",L3011=0),"",
  (L3011-K3011)/L3011*100)</f>
        <v/>
      </c>
      <c r="N3011" s="14" t="n">
        <v>54</v>
      </c>
      <c r="O3011" s="4" t="inlineStr"/>
      <c r="P3011" s="4" t="inlineStr"/>
      <c r="Q3011" s="4" t="inlineStr"/>
      <c r="R3011" s="4" t="inlineStr">
        <is>
          <t>2026-03-12</t>
        </is>
      </c>
      <c r="S3011" s="4" t="inlineStr"/>
    </row>
    <row r="3012">
      <c r="A3012" s="10" t="inlineStr">
        <is>
          <t>F03479</t>
        </is>
      </c>
      <c r="B3012" s="10" t="inlineStr">
        <is>
          <t>F03479</t>
        </is>
      </c>
      <c r="C3012" s="10" t="inlineStr"/>
      <c r="D3012" s="10" t="inlineStr">
        <is>
          <t>6009705654182</t>
        </is>
      </c>
      <c r="E3012" s="10" t="inlineStr">
        <is>
          <t>DRAIN ROD 8X5M</t>
        </is>
      </c>
      <c r="F3012" s="10" t="inlineStr"/>
      <c r="G3012" s="10" t="inlineStr"/>
      <c r="H3012" s="10" t="inlineStr"/>
      <c r="I3012" s="11" t="n">
        <v>69.95</v>
      </c>
      <c r="J3012" s="6" t="n">
        <v>15</v>
      </c>
      <c r="K3012" s="7">
        <f>IF(I3012="","",I3012*(1+J3012/100))</f>
        <v/>
      </c>
      <c r="L3012" s="12" t="inlineStr"/>
      <c r="M3012" s="8">
        <f>IF(OR(L3012="",K3012="",L3012=0),"",
  (L3012-K3012)/L3012*100)</f>
        <v/>
      </c>
      <c r="N3012" s="13" t="n">
        <v>65</v>
      </c>
      <c r="O3012" s="10" t="inlineStr"/>
      <c r="P3012" s="10" t="inlineStr"/>
      <c r="Q3012" s="10" t="inlineStr"/>
      <c r="R3012" s="10" t="inlineStr">
        <is>
          <t>2026-03-12</t>
        </is>
      </c>
      <c r="S3012" s="10" t="inlineStr"/>
    </row>
    <row r="3013">
      <c r="A3013" s="3" t="inlineStr">
        <is>
          <t>F03480</t>
        </is>
      </c>
      <c r="B3013" s="4" t="inlineStr">
        <is>
          <t>F03480</t>
        </is>
      </c>
      <c r="C3013" s="4" t="inlineStr"/>
      <c r="D3013" s="4" t="inlineStr">
        <is>
          <t>6009705654199</t>
        </is>
      </c>
      <c r="E3013" s="3" t="inlineStr">
        <is>
          <t>CALIPER VERNIER DIGITAL</t>
        </is>
      </c>
      <c r="F3013" s="4" t="inlineStr"/>
      <c r="G3013" s="4" t="inlineStr"/>
      <c r="H3013" s="4" t="inlineStr"/>
      <c r="I3013" s="5" t="n">
        <v>97.5</v>
      </c>
      <c r="J3013" s="6" t="n">
        <v>15</v>
      </c>
      <c r="K3013" s="7">
        <f>IF(I3013="","",I3013*(1+J3013/100))</f>
        <v/>
      </c>
      <c r="L3013" s="12" t="inlineStr"/>
      <c r="M3013" s="8">
        <f>IF(OR(L3013="",K3013="",L3013=0),"",
  (L3013-K3013)/L3013*100)</f>
        <v/>
      </c>
      <c r="N3013" s="14" t="n">
        <v>114</v>
      </c>
      <c r="O3013" s="4" t="inlineStr"/>
      <c r="P3013" s="4" t="inlineStr"/>
      <c r="Q3013" s="4" t="inlineStr"/>
      <c r="R3013" s="4" t="inlineStr">
        <is>
          <t>2026-03-12</t>
        </is>
      </c>
      <c r="S3013" s="4" t="inlineStr"/>
    </row>
    <row r="3014">
      <c r="A3014" s="10" t="inlineStr">
        <is>
          <t>F03481</t>
        </is>
      </c>
      <c r="B3014" s="10" t="inlineStr">
        <is>
          <t>F03481</t>
        </is>
      </c>
      <c r="C3014" s="10" t="inlineStr"/>
      <c r="D3014" s="10" t="inlineStr">
        <is>
          <t>6009705654205</t>
        </is>
      </c>
      <c r="E3014" s="10" t="inlineStr">
        <is>
          <t>UTILITY BLADES 20PC</t>
        </is>
      </c>
      <c r="F3014" s="10" t="inlineStr"/>
      <c r="G3014" s="10" t="inlineStr"/>
      <c r="H3014" s="10" t="inlineStr"/>
      <c r="I3014" s="11" t="n">
        <v>20</v>
      </c>
      <c r="J3014" s="6" t="n">
        <v>15</v>
      </c>
      <c r="K3014" s="7">
        <f>IF(I3014="","",I3014*(1+J3014/100))</f>
        <v/>
      </c>
      <c r="L3014" s="12" t="inlineStr"/>
      <c r="M3014" s="8">
        <f>IF(OR(L3014="",K3014="",L3014=0),"",
  (L3014-K3014)/L3014*100)</f>
        <v/>
      </c>
      <c r="N3014" s="9" t="inlineStr"/>
      <c r="O3014" s="10" t="inlineStr"/>
      <c r="P3014" s="10" t="inlineStr"/>
      <c r="Q3014" s="10" t="inlineStr"/>
      <c r="R3014" s="10" t="inlineStr">
        <is>
          <t>2026-03-12</t>
        </is>
      </c>
      <c r="S3014" s="10" t="inlineStr"/>
    </row>
    <row r="3015">
      <c r="A3015" s="3" t="inlineStr">
        <is>
          <t>F03482</t>
        </is>
      </c>
      <c r="B3015" s="4" t="inlineStr">
        <is>
          <t>F03482</t>
        </is>
      </c>
      <c r="C3015" s="4" t="inlineStr"/>
      <c r="D3015" s="4" t="inlineStr">
        <is>
          <t>6009705654212</t>
        </is>
      </c>
      <c r="E3015" s="3" t="inlineStr">
        <is>
          <t>HACKSAW+ MITRE BOX PRO</t>
        </is>
      </c>
      <c r="F3015" s="4" t="inlineStr"/>
      <c r="G3015" s="4" t="inlineStr"/>
      <c r="H3015" s="4" t="inlineStr"/>
      <c r="I3015" s="5" t="n">
        <v>69.90000000000001</v>
      </c>
      <c r="J3015" s="6" t="n">
        <v>15</v>
      </c>
      <c r="K3015" s="7">
        <f>IF(I3015="","",I3015*(1+J3015/100))</f>
        <v/>
      </c>
      <c r="L3015" s="12" t="inlineStr"/>
      <c r="M3015" s="8">
        <f>IF(OR(L3015="",K3015="",L3015=0),"",
  (L3015-K3015)/L3015*100)</f>
        <v/>
      </c>
      <c r="N3015" s="14" t="n">
        <v>20</v>
      </c>
      <c r="O3015" s="4" t="inlineStr"/>
      <c r="P3015" s="4" t="inlineStr"/>
      <c r="Q3015" s="4" t="inlineStr"/>
      <c r="R3015" s="4" t="inlineStr">
        <is>
          <t>2026-03-12</t>
        </is>
      </c>
      <c r="S3015" s="4" t="inlineStr"/>
    </row>
    <row r="3016">
      <c r="A3016" s="10" t="inlineStr">
        <is>
          <t>F03483</t>
        </is>
      </c>
      <c r="B3016" s="10" t="inlineStr">
        <is>
          <t>F03483</t>
        </is>
      </c>
      <c r="C3016" s="10" t="inlineStr"/>
      <c r="D3016" s="10" t="inlineStr">
        <is>
          <t>6009705654229</t>
        </is>
      </c>
      <c r="E3016" s="10" t="inlineStr">
        <is>
          <t>SOCKET SET DIY 40PC SMALL</t>
        </is>
      </c>
      <c r="F3016" s="10" t="inlineStr"/>
      <c r="G3016" s="10" t="inlineStr"/>
      <c r="H3016" s="10" t="inlineStr"/>
      <c r="I3016" s="11" t="n">
        <v>87.95</v>
      </c>
      <c r="J3016" s="6" t="n">
        <v>15</v>
      </c>
      <c r="K3016" s="7">
        <f>IF(I3016="","",I3016*(1+J3016/100))</f>
        <v/>
      </c>
      <c r="L3016" s="12" t="inlineStr"/>
      <c r="M3016" s="8">
        <f>IF(OR(L3016="",K3016="",L3016=0),"",
  (L3016-K3016)/L3016*100)</f>
        <v/>
      </c>
      <c r="N3016" s="13" t="n">
        <v>60</v>
      </c>
      <c r="O3016" s="10" t="inlineStr"/>
      <c r="P3016" s="10" t="inlineStr"/>
      <c r="Q3016" s="10" t="inlineStr"/>
      <c r="R3016" s="10" t="inlineStr">
        <is>
          <t>2026-03-12</t>
        </is>
      </c>
      <c r="S3016" s="10" t="inlineStr"/>
    </row>
    <row r="3017">
      <c r="A3017" s="3" t="inlineStr">
        <is>
          <t>F03484</t>
        </is>
      </c>
      <c r="B3017" s="4" t="inlineStr">
        <is>
          <t>F03484</t>
        </is>
      </c>
      <c r="C3017" s="4" t="inlineStr"/>
      <c r="D3017" s="4" t="inlineStr">
        <is>
          <t>6009705654236</t>
        </is>
      </c>
      <c r="E3017" s="3" t="inlineStr">
        <is>
          <t>SOCKET SET 12PC 8MM-24MM CHROME VANADIUM</t>
        </is>
      </c>
      <c r="F3017" s="4" t="inlineStr"/>
      <c r="G3017" s="4" t="inlineStr"/>
      <c r="H3017" s="4" t="inlineStr"/>
      <c r="I3017" s="5" t="n">
        <v>169.95</v>
      </c>
      <c r="J3017" s="6" t="n">
        <v>15</v>
      </c>
      <c r="K3017" s="7">
        <f>IF(I3017="","",I3017*(1+J3017/100))</f>
        <v/>
      </c>
      <c r="L3017" s="12" t="inlineStr"/>
      <c r="M3017" s="8">
        <f>IF(OR(L3017="",K3017="",L3017=0),"",
  (L3017-K3017)/L3017*100)</f>
        <v/>
      </c>
      <c r="N3017" s="9" t="inlineStr"/>
      <c r="O3017" s="4" t="inlineStr"/>
      <c r="P3017" s="4" t="inlineStr"/>
      <c r="Q3017" s="4" t="inlineStr"/>
      <c r="R3017" s="4" t="inlineStr">
        <is>
          <t>2026-03-12</t>
        </is>
      </c>
      <c r="S3017" s="4" t="inlineStr"/>
    </row>
    <row r="3018">
      <c r="A3018" s="10" t="inlineStr">
        <is>
          <t>F03485</t>
        </is>
      </c>
      <c r="B3018" s="10" t="inlineStr">
        <is>
          <t>F03485</t>
        </is>
      </c>
      <c r="C3018" s="10" t="inlineStr"/>
      <c r="D3018" s="10" t="inlineStr">
        <is>
          <t>6009705654243</t>
        </is>
      </c>
      <c r="E3018" s="10" t="inlineStr">
        <is>
          <t>CUP &amp; SAUCER SET WHITE</t>
        </is>
      </c>
      <c r="F3018" s="10" t="inlineStr"/>
      <c r="G3018" s="10" t="inlineStr"/>
      <c r="H3018" s="10" t="inlineStr"/>
      <c r="I3018" s="11" t="n">
        <v>69.95</v>
      </c>
      <c r="J3018" s="6" t="n">
        <v>15</v>
      </c>
      <c r="K3018" s="7">
        <f>IF(I3018="","",I3018*(1+J3018/100))</f>
        <v/>
      </c>
      <c r="L3018" s="12" t="inlineStr"/>
      <c r="M3018" s="8">
        <f>IF(OR(L3018="",K3018="",L3018=0),"",
  (L3018-K3018)/L3018*100)</f>
        <v/>
      </c>
      <c r="N3018" s="13" t="n">
        <v>310</v>
      </c>
      <c r="O3018" s="10" t="inlineStr"/>
      <c r="P3018" s="10" t="inlineStr"/>
      <c r="Q3018" s="10" t="inlineStr"/>
      <c r="R3018" s="10" t="inlineStr">
        <is>
          <t>2026-03-12</t>
        </is>
      </c>
      <c r="S3018" s="10" t="inlineStr"/>
    </row>
    <row r="3019">
      <c r="A3019" s="3" t="inlineStr">
        <is>
          <t>F03486</t>
        </is>
      </c>
      <c r="B3019" s="4" t="inlineStr">
        <is>
          <t>F03486</t>
        </is>
      </c>
      <c r="C3019" s="4" t="inlineStr"/>
      <c r="D3019" s="4" t="inlineStr">
        <is>
          <t>6009705654250</t>
        </is>
      </c>
      <c r="E3019" s="3" t="inlineStr">
        <is>
          <t>CUP &amp; SAUCER SET GOLD LINE</t>
        </is>
      </c>
      <c r="F3019" s="4" t="inlineStr"/>
      <c r="G3019" s="4" t="inlineStr"/>
      <c r="H3019" s="4" t="inlineStr"/>
      <c r="I3019" s="5" t="n">
        <v>119.95</v>
      </c>
      <c r="J3019" s="6" t="n">
        <v>15</v>
      </c>
      <c r="K3019" s="7">
        <f>IF(I3019="","",I3019*(1+J3019/100))</f>
        <v/>
      </c>
      <c r="L3019" s="12" t="inlineStr"/>
      <c r="M3019" s="8">
        <f>IF(OR(L3019="",K3019="",L3019=0),"",
  (L3019-K3019)/L3019*100)</f>
        <v/>
      </c>
      <c r="N3019" s="14" t="n">
        <v>463</v>
      </c>
      <c r="O3019" s="4" t="inlineStr"/>
      <c r="P3019" s="4" t="inlineStr"/>
      <c r="Q3019" s="4" t="inlineStr"/>
      <c r="R3019" s="4" t="inlineStr">
        <is>
          <t>2026-03-12</t>
        </is>
      </c>
      <c r="S3019" s="4" t="inlineStr"/>
    </row>
    <row r="3020">
      <c r="A3020" s="10" t="inlineStr">
        <is>
          <t>F03487</t>
        </is>
      </c>
      <c r="B3020" s="10" t="inlineStr">
        <is>
          <t>F03487</t>
        </is>
      </c>
      <c r="C3020" s="10" t="inlineStr"/>
      <c r="D3020" s="10" t="inlineStr">
        <is>
          <t>6009705654267</t>
        </is>
      </c>
      <c r="E3020" s="10" t="inlineStr">
        <is>
          <t>WALL PANEL MONTE CARLO CHAMPAGN 13pc</t>
        </is>
      </c>
      <c r="F3020" s="10" t="inlineStr"/>
      <c r="G3020" s="10" t="inlineStr"/>
      <c r="H3020" s="10" t="inlineStr"/>
      <c r="I3020" s="11" t="n">
        <v>1885</v>
      </c>
      <c r="J3020" s="6" t="n">
        <v>15</v>
      </c>
      <c r="K3020" s="7">
        <f>IF(I3020="","",I3020*(1+J3020/100))</f>
        <v/>
      </c>
      <c r="L3020" s="12" t="inlineStr"/>
      <c r="M3020" s="8">
        <f>IF(OR(L3020="",K3020="",L3020=0),"",
  (L3020-K3020)/L3020*100)</f>
        <v/>
      </c>
      <c r="N3020" s="13" t="n">
        <v>25</v>
      </c>
      <c r="O3020" s="10" t="inlineStr"/>
      <c r="P3020" s="10" t="inlineStr"/>
      <c r="Q3020" s="10" t="inlineStr"/>
      <c r="R3020" s="10" t="inlineStr">
        <is>
          <t>2026-03-12</t>
        </is>
      </c>
      <c r="S3020" s="10" t="inlineStr"/>
    </row>
    <row r="3021">
      <c r="A3021" s="3" t="inlineStr">
        <is>
          <t>F03488</t>
        </is>
      </c>
      <c r="B3021" s="4" t="inlineStr">
        <is>
          <t>F03488</t>
        </is>
      </c>
      <c r="C3021" s="4" t="inlineStr"/>
      <c r="D3021" s="4" t="inlineStr">
        <is>
          <t>6009705654274</t>
        </is>
      </c>
      <c r="E3021" s="3" t="inlineStr">
        <is>
          <t>PVC ROLL SELF STICK APOLLO GOLD 1.2X3M</t>
        </is>
      </c>
      <c r="F3021" s="4" t="inlineStr"/>
      <c r="G3021" s="4" t="inlineStr"/>
      <c r="H3021" s="4" t="inlineStr"/>
      <c r="I3021" s="5" t="n">
        <v>185</v>
      </c>
      <c r="J3021" s="6" t="n">
        <v>15</v>
      </c>
      <c r="K3021" s="7">
        <f>IF(I3021="","",I3021*(1+J3021/100))</f>
        <v/>
      </c>
      <c r="L3021" s="12" t="inlineStr"/>
      <c r="M3021" s="8">
        <f>IF(OR(L3021="",K3021="",L3021=0),"",
  (L3021-K3021)/L3021*100)</f>
        <v/>
      </c>
      <c r="N3021" s="14" t="n">
        <v>9</v>
      </c>
      <c r="O3021" s="4" t="inlineStr"/>
      <c r="P3021" s="4" t="inlineStr"/>
      <c r="Q3021" s="4" t="inlineStr"/>
      <c r="R3021" s="4" t="inlineStr">
        <is>
          <t>2026-03-12</t>
        </is>
      </c>
      <c r="S3021" s="4" t="inlineStr"/>
    </row>
    <row r="3022">
      <c r="A3022" s="10" t="inlineStr">
        <is>
          <t>F03489</t>
        </is>
      </c>
      <c r="B3022" s="10" t="inlineStr">
        <is>
          <t>F03489</t>
        </is>
      </c>
      <c r="C3022" s="10" t="inlineStr"/>
      <c r="D3022" s="10" t="inlineStr">
        <is>
          <t>6009705654281</t>
        </is>
      </c>
      <c r="E3022" s="10" t="inlineStr">
        <is>
          <t>PVC ROLL SELF STICK BLK/GOLD/WHT 1.2X3M</t>
        </is>
      </c>
      <c r="F3022" s="10" t="inlineStr"/>
      <c r="G3022" s="10" t="inlineStr"/>
      <c r="H3022" s="10" t="inlineStr"/>
      <c r="I3022" s="11" t="n">
        <v>185</v>
      </c>
      <c r="J3022" s="6" t="n">
        <v>15</v>
      </c>
      <c r="K3022" s="7">
        <f>IF(I3022="","",I3022*(1+J3022/100))</f>
        <v/>
      </c>
      <c r="L3022" s="12" t="inlineStr"/>
      <c r="M3022" s="8">
        <f>IF(OR(L3022="",K3022="",L3022=0),"",
  (L3022-K3022)/L3022*100)</f>
        <v/>
      </c>
      <c r="N3022" s="9" t="inlineStr"/>
      <c r="O3022" s="10" t="inlineStr"/>
      <c r="P3022" s="10" t="inlineStr"/>
      <c r="Q3022" s="10" t="inlineStr"/>
      <c r="R3022" s="10" t="inlineStr">
        <is>
          <t>2026-03-12</t>
        </is>
      </c>
      <c r="S3022" s="10" t="inlineStr"/>
    </row>
    <row r="3023">
      <c r="A3023" s="3" t="inlineStr">
        <is>
          <t>F03490</t>
        </is>
      </c>
      <c r="B3023" s="4" t="inlineStr">
        <is>
          <t>F03490</t>
        </is>
      </c>
      <c r="C3023" s="4" t="inlineStr"/>
      <c r="D3023" s="4" t="inlineStr">
        <is>
          <t>6009705654298</t>
        </is>
      </c>
      <c r="E3023" s="3" t="inlineStr">
        <is>
          <t>PVC ROLL SELF STICK CALCUTTA GOLD</t>
        </is>
      </c>
      <c r="F3023" s="4" t="inlineStr"/>
      <c r="G3023" s="4" t="inlineStr"/>
      <c r="H3023" s="4" t="inlineStr"/>
      <c r="I3023" s="5" t="n">
        <v>185</v>
      </c>
      <c r="J3023" s="6" t="n">
        <v>15</v>
      </c>
      <c r="K3023" s="7">
        <f>IF(I3023="","",I3023*(1+J3023/100))</f>
        <v/>
      </c>
      <c r="L3023" s="12" t="inlineStr"/>
      <c r="M3023" s="8">
        <f>IF(OR(L3023="",K3023="",L3023=0),"",
  (L3023-K3023)/L3023*100)</f>
        <v/>
      </c>
      <c r="N3023" s="9" t="inlineStr"/>
      <c r="O3023" s="4" t="inlineStr"/>
      <c r="P3023" s="4" t="inlineStr"/>
      <c r="Q3023" s="4" t="inlineStr"/>
      <c r="R3023" s="4" t="inlineStr">
        <is>
          <t>2026-03-12</t>
        </is>
      </c>
      <c r="S3023" s="4" t="inlineStr"/>
    </row>
    <row r="3024">
      <c r="A3024" s="10" t="inlineStr">
        <is>
          <t>F03491</t>
        </is>
      </c>
      <c r="B3024" s="10" t="inlineStr">
        <is>
          <t>F03491</t>
        </is>
      </c>
      <c r="C3024" s="10" t="inlineStr"/>
      <c r="D3024" s="10" t="inlineStr">
        <is>
          <t>6009705654304</t>
        </is>
      </c>
      <c r="E3024" s="10" t="inlineStr">
        <is>
          <t>PVC ROLL SELF STICK COSMIC GOLD/B 1.2X3M</t>
        </is>
      </c>
      <c r="F3024" s="10" t="inlineStr"/>
      <c r="G3024" s="10" t="inlineStr"/>
      <c r="H3024" s="10" t="inlineStr"/>
      <c r="I3024" s="11" t="n">
        <v>185</v>
      </c>
      <c r="J3024" s="6" t="n">
        <v>15</v>
      </c>
      <c r="K3024" s="7">
        <f>IF(I3024="","",I3024*(1+J3024/100))</f>
        <v/>
      </c>
      <c r="L3024" s="12" t="inlineStr"/>
      <c r="M3024" s="8">
        <f>IF(OR(L3024="",K3024="",L3024=0),"",
  (L3024-K3024)/L3024*100)</f>
        <v/>
      </c>
      <c r="N3024" s="9" t="inlineStr"/>
      <c r="O3024" s="10" t="inlineStr"/>
      <c r="P3024" s="10" t="inlineStr"/>
      <c r="Q3024" s="10" t="inlineStr"/>
      <c r="R3024" s="10" t="inlineStr">
        <is>
          <t>2026-03-12</t>
        </is>
      </c>
      <c r="S3024" s="10" t="inlineStr"/>
    </row>
    <row r="3025">
      <c r="A3025" s="3" t="inlineStr">
        <is>
          <t>F03492</t>
        </is>
      </c>
      <c r="B3025" s="4" t="inlineStr">
        <is>
          <t>F03492</t>
        </is>
      </c>
      <c r="C3025" s="4" t="inlineStr"/>
      <c r="D3025" s="4" t="inlineStr">
        <is>
          <t>6009705654311</t>
        </is>
      </c>
      <c r="E3025" s="3" t="inlineStr">
        <is>
          <t>PVC ROLL SELF STICK FANTASY BLUE 1.2X3M</t>
        </is>
      </c>
      <c r="F3025" s="4" t="inlineStr"/>
      <c r="G3025" s="4" t="inlineStr"/>
      <c r="H3025" s="4" t="inlineStr"/>
      <c r="I3025" s="5" t="n">
        <v>185</v>
      </c>
      <c r="J3025" s="6" t="n">
        <v>15</v>
      </c>
      <c r="K3025" s="7">
        <f>IF(I3025="","",I3025*(1+J3025/100))</f>
        <v/>
      </c>
      <c r="L3025" s="12" t="inlineStr"/>
      <c r="M3025" s="8">
        <f>IF(OR(L3025="",K3025="",L3025=0),"",
  (L3025-K3025)/L3025*100)</f>
        <v/>
      </c>
      <c r="N3025" s="9" t="inlineStr"/>
      <c r="O3025" s="4" t="inlineStr"/>
      <c r="P3025" s="4" t="inlineStr"/>
      <c r="Q3025" s="4" t="inlineStr"/>
      <c r="R3025" s="4" t="inlineStr">
        <is>
          <t>2026-03-12</t>
        </is>
      </c>
      <c r="S3025" s="4" t="inlineStr"/>
    </row>
    <row r="3026">
      <c r="A3026" s="10" t="inlineStr">
        <is>
          <t>F03493</t>
        </is>
      </c>
      <c r="B3026" s="10" t="inlineStr">
        <is>
          <t>F03493</t>
        </is>
      </c>
      <c r="C3026" s="10" t="inlineStr"/>
      <c r="D3026" s="10" t="inlineStr">
        <is>
          <t>6009705654328</t>
        </is>
      </c>
      <c r="E3026" s="10" t="inlineStr">
        <is>
          <t>PVC ROLL SELF STICK BLACK MARBLE 1.2X3M</t>
        </is>
      </c>
      <c r="F3026" s="10" t="inlineStr"/>
      <c r="G3026" s="10" t="inlineStr"/>
      <c r="H3026" s="10" t="inlineStr"/>
      <c r="I3026" s="11" t="n">
        <v>20</v>
      </c>
      <c r="J3026" s="6" t="n">
        <v>15</v>
      </c>
      <c r="K3026" s="7">
        <f>IF(I3026="","",I3026*(1+J3026/100))</f>
        <v/>
      </c>
      <c r="L3026" s="12" t="inlineStr"/>
      <c r="M3026" s="8">
        <f>IF(OR(L3026="",K3026="",L3026=0),"",
  (L3026-K3026)/L3026*100)</f>
        <v/>
      </c>
      <c r="N3026" s="9" t="inlineStr"/>
      <c r="O3026" s="10" t="inlineStr"/>
      <c r="P3026" s="10" t="inlineStr"/>
      <c r="Q3026" s="10" t="inlineStr"/>
      <c r="R3026" s="10" t="inlineStr">
        <is>
          <t>2026-03-12</t>
        </is>
      </c>
      <c r="S3026" s="10" t="inlineStr"/>
    </row>
    <row r="3027">
      <c r="A3027" s="3" t="inlineStr">
        <is>
          <t>F03494</t>
        </is>
      </c>
      <c r="B3027" s="4" t="inlineStr">
        <is>
          <t>F03494</t>
        </is>
      </c>
      <c r="C3027" s="4" t="inlineStr"/>
      <c r="D3027" s="4" t="inlineStr">
        <is>
          <t>6009705654335</t>
        </is>
      </c>
      <c r="E3027" s="3" t="inlineStr">
        <is>
          <t>PVC ROLL SELF STICK MILAN INK  1.2X3M</t>
        </is>
      </c>
      <c r="F3027" s="4" t="inlineStr"/>
      <c r="G3027" s="4" t="inlineStr"/>
      <c r="H3027" s="4" t="inlineStr"/>
      <c r="I3027" s="5" t="n">
        <v>20</v>
      </c>
      <c r="J3027" s="6" t="n">
        <v>15</v>
      </c>
      <c r="K3027" s="7">
        <f>IF(I3027="","",I3027*(1+J3027/100))</f>
        <v/>
      </c>
      <c r="L3027" s="12" t="inlineStr"/>
      <c r="M3027" s="8">
        <f>IF(OR(L3027="",K3027="",L3027=0),"",
  (L3027-K3027)/L3027*100)</f>
        <v/>
      </c>
      <c r="N3027" s="9" t="inlineStr"/>
      <c r="O3027" s="4" t="inlineStr"/>
      <c r="P3027" s="4" t="inlineStr"/>
      <c r="Q3027" s="4" t="inlineStr"/>
      <c r="R3027" s="4" t="inlineStr">
        <is>
          <t>2026-03-12</t>
        </is>
      </c>
      <c r="S3027" s="4" t="inlineStr"/>
    </row>
    <row r="3028">
      <c r="A3028" s="10" t="inlineStr">
        <is>
          <t>F03495</t>
        </is>
      </c>
      <c r="B3028" s="10" t="inlineStr">
        <is>
          <t>F03495</t>
        </is>
      </c>
      <c r="C3028" s="10" t="inlineStr"/>
      <c r="D3028" s="10" t="inlineStr">
        <is>
          <t>6009705654342</t>
        </is>
      </c>
      <c r="E3028" s="10" t="inlineStr">
        <is>
          <t>GOGGLES CLEAR</t>
        </is>
      </c>
      <c r="F3028" s="10" t="inlineStr"/>
      <c r="G3028" s="10" t="inlineStr"/>
      <c r="H3028" s="10" t="inlineStr"/>
      <c r="I3028" s="11" t="n">
        <v>14.95</v>
      </c>
      <c r="J3028" s="6" t="n">
        <v>15</v>
      </c>
      <c r="K3028" s="7">
        <f>IF(I3028="","",I3028*(1+J3028/100))</f>
        <v/>
      </c>
      <c r="L3028" s="12" t="inlineStr"/>
      <c r="M3028" s="8">
        <f>IF(OR(L3028="",K3028="",L3028=0),"",
  (L3028-K3028)/L3028*100)</f>
        <v/>
      </c>
      <c r="N3028" s="13" t="n">
        <v>168</v>
      </c>
      <c r="O3028" s="10" t="inlineStr"/>
      <c r="P3028" s="10" t="inlineStr"/>
      <c r="Q3028" s="10" t="inlineStr"/>
      <c r="R3028" s="10" t="inlineStr">
        <is>
          <t>2026-03-12</t>
        </is>
      </c>
      <c r="S3028" s="10" t="inlineStr"/>
    </row>
    <row r="3029">
      <c r="A3029" s="3" t="inlineStr">
        <is>
          <t>F03496</t>
        </is>
      </c>
      <c r="B3029" s="4" t="inlineStr">
        <is>
          <t>F03496</t>
        </is>
      </c>
      <c r="C3029" s="4" t="inlineStr"/>
      <c r="D3029" s="4" t="inlineStr">
        <is>
          <t>6009705654359</t>
        </is>
      </c>
      <c r="E3029" s="3" t="inlineStr">
        <is>
          <t>GOGGLES WELDING</t>
        </is>
      </c>
      <c r="F3029" s="4" t="inlineStr"/>
      <c r="G3029" s="4" t="inlineStr"/>
      <c r="H3029" s="4" t="inlineStr"/>
      <c r="I3029" s="5" t="n">
        <v>24.95</v>
      </c>
      <c r="J3029" s="6" t="n">
        <v>15</v>
      </c>
      <c r="K3029" s="7">
        <f>IF(I3029="","",I3029*(1+J3029/100))</f>
        <v/>
      </c>
      <c r="L3029" s="12" t="inlineStr"/>
      <c r="M3029" s="8">
        <f>IF(OR(L3029="",K3029="",L3029=0),"",
  (L3029-K3029)/L3029*100)</f>
        <v/>
      </c>
      <c r="N3029" s="14" t="n">
        <v>289</v>
      </c>
      <c r="O3029" s="4" t="inlineStr"/>
      <c r="P3029" s="4" t="inlineStr"/>
      <c r="Q3029" s="4" t="inlineStr"/>
      <c r="R3029" s="4" t="inlineStr">
        <is>
          <t>2026-03-12</t>
        </is>
      </c>
      <c r="S3029" s="4" t="inlineStr"/>
    </row>
    <row r="3030">
      <c r="A3030" s="10" t="inlineStr">
        <is>
          <t>F03497</t>
        </is>
      </c>
      <c r="B3030" s="10" t="inlineStr">
        <is>
          <t>F03497</t>
        </is>
      </c>
      <c r="C3030" s="10" t="inlineStr"/>
      <c r="D3030" s="10" t="inlineStr">
        <is>
          <t>6009705654366</t>
        </is>
      </c>
      <c r="E3030" s="10" t="inlineStr">
        <is>
          <t>GOGGLES WELDING FULL HELMET KD</t>
        </is>
      </c>
      <c r="F3030" s="10" t="inlineStr"/>
      <c r="G3030" s="10" t="inlineStr"/>
      <c r="H3030" s="10" t="inlineStr"/>
      <c r="I3030" s="11" t="n">
        <v>34.95</v>
      </c>
      <c r="J3030" s="6" t="n">
        <v>15</v>
      </c>
      <c r="K3030" s="7">
        <f>IF(I3030="","",I3030*(1+J3030/100))</f>
        <v/>
      </c>
      <c r="L3030" s="12" t="inlineStr"/>
      <c r="M3030" s="8">
        <f>IF(OR(L3030="",K3030="",L3030=0),"",
  (L3030-K3030)/L3030*100)</f>
        <v/>
      </c>
      <c r="N3030" s="13" t="n">
        <v>16</v>
      </c>
      <c r="O3030" s="10" t="inlineStr"/>
      <c r="P3030" s="10" t="inlineStr"/>
      <c r="Q3030" s="10" t="inlineStr"/>
      <c r="R3030" s="10" t="inlineStr">
        <is>
          <t>2026-03-12</t>
        </is>
      </c>
      <c r="S3030" s="10" t="inlineStr"/>
    </row>
    <row r="3031">
      <c r="A3031" s="3" t="inlineStr">
        <is>
          <t>F03498</t>
        </is>
      </c>
      <c r="B3031" s="4" t="inlineStr">
        <is>
          <t>F03498</t>
        </is>
      </c>
      <c r="C3031" s="4" t="inlineStr"/>
      <c r="D3031" s="4" t="inlineStr">
        <is>
          <t>6009705654373</t>
        </is>
      </c>
      <c r="E3031" s="3" t="inlineStr">
        <is>
          <t>MEASURING TAPE 3M PRO' CARDED</t>
        </is>
      </c>
      <c r="F3031" s="4" t="inlineStr"/>
      <c r="G3031" s="4" t="inlineStr"/>
      <c r="H3031" s="4" t="inlineStr"/>
      <c r="I3031" s="5" t="n">
        <v>16.95</v>
      </c>
      <c r="J3031" s="6" t="n">
        <v>15</v>
      </c>
      <c r="K3031" s="7">
        <f>IF(I3031="","",I3031*(1+J3031/100))</f>
        <v/>
      </c>
      <c r="L3031" s="12" t="inlineStr"/>
      <c r="M3031" s="8">
        <f>IF(OR(L3031="",K3031="",L3031=0),"",
  (L3031-K3031)/L3031*100)</f>
        <v/>
      </c>
      <c r="N3031" s="14" t="n">
        <v>532</v>
      </c>
      <c r="O3031" s="4" t="inlineStr"/>
      <c r="P3031" s="4" t="inlineStr"/>
      <c r="Q3031" s="4" t="inlineStr"/>
      <c r="R3031" s="4" t="inlineStr">
        <is>
          <t>2026-03-12</t>
        </is>
      </c>
      <c r="S3031" s="4" t="inlineStr"/>
    </row>
    <row r="3032">
      <c r="A3032" s="10" t="inlineStr">
        <is>
          <t>F03499</t>
        </is>
      </c>
      <c r="B3032" s="10" t="inlineStr">
        <is>
          <t>F03499</t>
        </is>
      </c>
      <c r="C3032" s="10" t="inlineStr"/>
      <c r="D3032" s="10" t="inlineStr">
        <is>
          <t>6009705654380</t>
        </is>
      </c>
      <c r="E3032" s="10" t="inlineStr">
        <is>
          <t>MEASURING TAPE 5M PRO' CARDED</t>
        </is>
      </c>
      <c r="F3032" s="10" t="inlineStr"/>
      <c r="G3032" s="10" t="inlineStr"/>
      <c r="H3032" s="10" t="inlineStr"/>
      <c r="I3032" s="11" t="n">
        <v>22.95</v>
      </c>
      <c r="J3032" s="6" t="n">
        <v>15</v>
      </c>
      <c r="K3032" s="7">
        <f>IF(I3032="","",I3032*(1+J3032/100))</f>
        <v/>
      </c>
      <c r="L3032" s="12" t="inlineStr"/>
      <c r="M3032" s="8">
        <f>IF(OR(L3032="",K3032="",L3032=0),"",
  (L3032-K3032)/L3032*100)</f>
        <v/>
      </c>
      <c r="N3032" s="13" t="n">
        <v>389</v>
      </c>
      <c r="O3032" s="10" t="inlineStr"/>
      <c r="P3032" s="10" t="inlineStr"/>
      <c r="Q3032" s="10" t="inlineStr"/>
      <c r="R3032" s="10" t="inlineStr">
        <is>
          <t>2026-03-12</t>
        </is>
      </c>
      <c r="S3032" s="10" t="inlineStr"/>
    </row>
    <row r="3033">
      <c r="A3033" s="3" t="inlineStr">
        <is>
          <t>F03500</t>
        </is>
      </c>
      <c r="B3033" s="4" t="inlineStr">
        <is>
          <t>F03500</t>
        </is>
      </c>
      <c r="C3033" s="4" t="inlineStr"/>
      <c r="D3033" s="4" t="inlineStr">
        <is>
          <t>6009705654397</t>
        </is>
      </c>
      <c r="E3033" s="3" t="inlineStr">
        <is>
          <t>MEASURING TAPE 10M PRO' CARDED</t>
        </is>
      </c>
      <c r="F3033" s="4" t="inlineStr"/>
      <c r="G3033" s="4" t="inlineStr"/>
      <c r="H3033" s="4" t="inlineStr"/>
      <c r="I3033" s="5" t="n">
        <v>44.95</v>
      </c>
      <c r="J3033" s="6" t="n">
        <v>15</v>
      </c>
      <c r="K3033" s="7">
        <f>IF(I3033="","",I3033*(1+J3033/100))</f>
        <v/>
      </c>
      <c r="L3033" s="12" t="inlineStr"/>
      <c r="M3033" s="8">
        <f>IF(OR(L3033="",K3033="",L3033=0),"",
  (L3033-K3033)/L3033*100)</f>
        <v/>
      </c>
      <c r="N3033" s="14" t="n">
        <v>16</v>
      </c>
      <c r="O3033" s="4" t="inlineStr"/>
      <c r="P3033" s="4" t="inlineStr"/>
      <c r="Q3033" s="4" t="inlineStr"/>
      <c r="R3033" s="4" t="inlineStr">
        <is>
          <t>2026-03-12</t>
        </is>
      </c>
      <c r="S3033" s="4" t="inlineStr"/>
    </row>
    <row r="3034">
      <c r="A3034" s="10" t="inlineStr">
        <is>
          <t>F03501</t>
        </is>
      </c>
      <c r="B3034" s="10" t="inlineStr">
        <is>
          <t>F03501</t>
        </is>
      </c>
      <c r="C3034" s="10" t="inlineStr"/>
      <c r="D3034" s="10" t="inlineStr">
        <is>
          <t>6009705654403</t>
        </is>
      </c>
      <c r="E3034" s="10" t="inlineStr">
        <is>
          <t>MEASURING TAPE 7.5M PRO' CARDED</t>
        </is>
      </c>
      <c r="F3034" s="10" t="inlineStr"/>
      <c r="G3034" s="10" t="inlineStr"/>
      <c r="H3034" s="10" t="inlineStr"/>
      <c r="I3034" s="11" t="n">
        <v>32.95</v>
      </c>
      <c r="J3034" s="6" t="n">
        <v>15</v>
      </c>
      <c r="K3034" s="7">
        <f>IF(I3034="","",I3034*(1+J3034/100))</f>
        <v/>
      </c>
      <c r="L3034" s="12" t="inlineStr"/>
      <c r="M3034" s="8">
        <f>IF(OR(L3034="",K3034="",L3034=0),"",
  (L3034-K3034)/L3034*100)</f>
        <v/>
      </c>
      <c r="N3034" s="13" t="n">
        <v>77</v>
      </c>
      <c r="O3034" s="10" t="inlineStr"/>
      <c r="P3034" s="10" t="inlineStr"/>
      <c r="Q3034" s="10" t="inlineStr"/>
      <c r="R3034" s="10" t="inlineStr">
        <is>
          <t>2026-03-12</t>
        </is>
      </c>
      <c r="S3034" s="10" t="inlineStr"/>
    </row>
    <row r="3035">
      <c r="A3035" s="3" t="inlineStr">
        <is>
          <t>F03502</t>
        </is>
      </c>
      <c r="B3035" s="4" t="inlineStr">
        <is>
          <t>F03502</t>
        </is>
      </c>
      <c r="C3035" s="4" t="inlineStr"/>
      <c r="D3035" s="4" t="inlineStr"/>
      <c r="E3035" s="3" t="inlineStr">
        <is>
          <t>MEASURING TAPE HANGING CARD</t>
        </is>
      </c>
      <c r="F3035" s="4" t="inlineStr"/>
      <c r="G3035" s="4" t="inlineStr"/>
      <c r="H3035" s="4" t="inlineStr"/>
      <c r="I3035" s="5" t="n">
        <v>20</v>
      </c>
      <c r="J3035" s="6" t="n">
        <v>15</v>
      </c>
      <c r="K3035" s="7">
        <f>IF(I3035="","",I3035*(1+J3035/100))</f>
        <v/>
      </c>
      <c r="L3035" s="12" t="inlineStr"/>
      <c r="M3035" s="8">
        <f>IF(OR(L3035="",K3035="",L3035=0),"",
  (L3035-K3035)/L3035*100)</f>
        <v/>
      </c>
      <c r="N3035" s="14" t="n">
        <v>1000</v>
      </c>
      <c r="O3035" s="4" t="inlineStr"/>
      <c r="P3035" s="4" t="inlineStr"/>
      <c r="Q3035" s="4" t="inlineStr"/>
      <c r="R3035" s="4" t="inlineStr">
        <is>
          <t>2026-03-12</t>
        </is>
      </c>
      <c r="S3035" s="4" t="inlineStr"/>
    </row>
    <row r="3036">
      <c r="A3036" s="10" t="inlineStr">
        <is>
          <t>F03503</t>
        </is>
      </c>
      <c r="B3036" s="10" t="inlineStr">
        <is>
          <t>F03503</t>
        </is>
      </c>
      <c r="C3036" s="10" t="inlineStr"/>
      <c r="D3036" s="10" t="inlineStr">
        <is>
          <t>6009705654427</t>
        </is>
      </c>
      <c r="E3036" s="10" t="inlineStr">
        <is>
          <t>UTILITY KNIFE FOLD UP, BLADES ALUMINUIM</t>
        </is>
      </c>
      <c r="F3036" s="10" t="inlineStr"/>
      <c r="G3036" s="10" t="inlineStr"/>
      <c r="H3036" s="10" t="inlineStr"/>
      <c r="I3036" s="11" t="n">
        <v>28.95</v>
      </c>
      <c r="J3036" s="6" t="n">
        <v>15</v>
      </c>
      <c r="K3036" s="7">
        <f>IF(I3036="","",I3036*(1+J3036/100))</f>
        <v/>
      </c>
      <c r="L3036" s="12" t="inlineStr"/>
      <c r="M3036" s="8">
        <f>IF(OR(L3036="",K3036="",L3036=0),"",
  (L3036-K3036)/L3036*100)</f>
        <v/>
      </c>
      <c r="N3036" s="13" t="n">
        <v>356</v>
      </c>
      <c r="O3036" s="10" t="inlineStr"/>
      <c r="P3036" s="10" t="inlineStr"/>
      <c r="Q3036" s="10" t="inlineStr"/>
      <c r="R3036" s="10" t="inlineStr">
        <is>
          <t>2026-03-12</t>
        </is>
      </c>
      <c r="S3036" s="10" t="inlineStr"/>
    </row>
    <row r="3037">
      <c r="A3037" s="3" t="inlineStr">
        <is>
          <t>F03504</t>
        </is>
      </c>
      <c r="B3037" s="4" t="inlineStr">
        <is>
          <t>F03504</t>
        </is>
      </c>
      <c r="C3037" s="4" t="inlineStr"/>
      <c r="D3037" s="4" t="inlineStr">
        <is>
          <t>6009705654434</t>
        </is>
      </c>
      <c r="E3037" s="3" t="inlineStr">
        <is>
          <t>UTILITY KNIFE SNAP OFF 18MM ALUMINIUM</t>
        </is>
      </c>
      <c r="F3037" s="4" t="inlineStr"/>
      <c r="G3037" s="4" t="inlineStr"/>
      <c r="H3037" s="4" t="inlineStr"/>
      <c r="I3037" s="5" t="n">
        <v>28.95</v>
      </c>
      <c r="J3037" s="6" t="n">
        <v>15</v>
      </c>
      <c r="K3037" s="7">
        <f>IF(I3037="","",I3037*(1+J3037/100))</f>
        <v/>
      </c>
      <c r="L3037" s="12" t="inlineStr"/>
      <c r="M3037" s="8">
        <f>IF(OR(L3037="",K3037="",L3037=0),"",
  (L3037-K3037)/L3037*100)</f>
        <v/>
      </c>
      <c r="N3037" s="14" t="n">
        <v>365</v>
      </c>
      <c r="O3037" s="4" t="inlineStr"/>
      <c r="P3037" s="4" t="inlineStr"/>
      <c r="Q3037" s="4" t="inlineStr"/>
      <c r="R3037" s="4" t="inlineStr">
        <is>
          <t>2026-03-12</t>
        </is>
      </c>
      <c r="S3037" s="4" t="inlineStr"/>
    </row>
    <row r="3038">
      <c r="A3038" s="10" t="inlineStr">
        <is>
          <t>F03505</t>
        </is>
      </c>
      <c r="B3038" s="10" t="inlineStr">
        <is>
          <t>F03505</t>
        </is>
      </c>
      <c r="C3038" s="10" t="inlineStr"/>
      <c r="D3038" s="10" t="inlineStr">
        <is>
          <t>6009705654441</t>
        </is>
      </c>
      <c r="E3038" s="10" t="inlineStr">
        <is>
          <t>SHACKLE , D-SHACKLE M8 STAINLESS STEEL</t>
        </is>
      </c>
      <c r="F3038" s="10" t="inlineStr"/>
      <c r="G3038" s="10" t="inlineStr"/>
      <c r="H3038" s="10" t="inlineStr"/>
      <c r="I3038" s="11" t="n">
        <v>2.99</v>
      </c>
      <c r="J3038" s="6" t="n">
        <v>15</v>
      </c>
      <c r="K3038" s="7">
        <f>IF(I3038="","",I3038*(1+J3038/100))</f>
        <v/>
      </c>
      <c r="L3038" s="12" t="inlineStr"/>
      <c r="M3038" s="8">
        <f>IF(OR(L3038="",K3038="",L3038=0),"",
  (L3038-K3038)/L3038*100)</f>
        <v/>
      </c>
      <c r="N3038" s="13" t="n">
        <v>612</v>
      </c>
      <c r="O3038" s="10" t="inlineStr"/>
      <c r="P3038" s="10" t="inlineStr"/>
      <c r="Q3038" s="10" t="inlineStr"/>
      <c r="R3038" s="10" t="inlineStr">
        <is>
          <t>2026-03-12</t>
        </is>
      </c>
      <c r="S3038" s="10" t="inlineStr"/>
    </row>
    <row r="3039">
      <c r="A3039" s="3" t="inlineStr">
        <is>
          <t>F03506</t>
        </is>
      </c>
      <c r="B3039" s="4" t="inlineStr">
        <is>
          <t>F03506</t>
        </is>
      </c>
      <c r="C3039" s="4" t="inlineStr"/>
      <c r="D3039" s="4" t="inlineStr">
        <is>
          <t>6009705654458</t>
        </is>
      </c>
      <c r="E3039" s="3" t="inlineStr">
        <is>
          <t>SHACKLE , D-SHACKLE M12 STAINLESS STEEL</t>
        </is>
      </c>
      <c r="F3039" s="4" t="inlineStr"/>
      <c r="G3039" s="4" t="inlineStr"/>
      <c r="H3039" s="4" t="inlineStr"/>
      <c r="I3039" s="5" t="n">
        <v>5.99</v>
      </c>
      <c r="J3039" s="6" t="n">
        <v>15</v>
      </c>
      <c r="K3039" s="7">
        <f>IF(I3039="","",I3039*(1+J3039/100))</f>
        <v/>
      </c>
      <c r="L3039" s="12" t="inlineStr"/>
      <c r="M3039" s="8">
        <f>IF(OR(L3039="",K3039="",L3039=0),"",
  (L3039-K3039)/L3039*100)</f>
        <v/>
      </c>
      <c r="N3039" s="14" t="n">
        <v>4</v>
      </c>
      <c r="O3039" s="4" t="inlineStr"/>
      <c r="P3039" s="4" t="inlineStr"/>
      <c r="Q3039" s="4" t="inlineStr"/>
      <c r="R3039" s="4" t="inlineStr">
        <is>
          <t>2026-03-12</t>
        </is>
      </c>
      <c r="S3039" s="4" t="inlineStr"/>
    </row>
    <row r="3040">
      <c r="A3040" s="10" t="inlineStr">
        <is>
          <t>F03507</t>
        </is>
      </c>
      <c r="B3040" s="10" t="inlineStr">
        <is>
          <t>F03507</t>
        </is>
      </c>
      <c r="C3040" s="10" t="inlineStr"/>
      <c r="D3040" s="10" t="inlineStr">
        <is>
          <t>6009705654465</t>
        </is>
      </c>
      <c r="E3040" s="10" t="inlineStr">
        <is>
          <t>SHACKLE , D-SHACKLE M14 STAINLESS STEEL</t>
        </is>
      </c>
      <c r="F3040" s="10" t="inlineStr"/>
      <c r="G3040" s="10" t="inlineStr"/>
      <c r="H3040" s="10" t="inlineStr"/>
      <c r="I3040" s="11" t="n">
        <v>9.99</v>
      </c>
      <c r="J3040" s="6" t="n">
        <v>15</v>
      </c>
      <c r="K3040" s="7">
        <f>IF(I3040="","",I3040*(1+J3040/100))</f>
        <v/>
      </c>
      <c r="L3040" s="12" t="inlineStr"/>
      <c r="M3040" s="8">
        <f>IF(OR(L3040="",K3040="",L3040=0),"",
  (L3040-K3040)/L3040*100)</f>
        <v/>
      </c>
      <c r="N3040" s="13" t="n">
        <v>3</v>
      </c>
      <c r="O3040" s="10" t="inlineStr"/>
      <c r="P3040" s="10" t="inlineStr"/>
      <c r="Q3040" s="10" t="inlineStr"/>
      <c r="R3040" s="10" t="inlineStr">
        <is>
          <t>2026-03-12</t>
        </is>
      </c>
      <c r="S3040" s="10" t="inlineStr"/>
    </row>
    <row r="3041">
      <c r="A3041" s="3" t="inlineStr">
        <is>
          <t>F03508</t>
        </is>
      </c>
      <c r="B3041" s="4" t="inlineStr">
        <is>
          <t>F03508</t>
        </is>
      </c>
      <c r="C3041" s="4" t="inlineStr"/>
      <c r="D3041" s="4" t="inlineStr">
        <is>
          <t>6009705654472</t>
        </is>
      </c>
      <c r="E3041" s="3" t="inlineStr">
        <is>
          <t>SNAP HOOK CARABINER LOCKING CLIP M6</t>
        </is>
      </c>
      <c r="F3041" s="4" t="inlineStr"/>
      <c r="G3041" s="4" t="inlineStr"/>
      <c r="H3041" s="4" t="inlineStr"/>
      <c r="I3041" s="5" t="n">
        <v>3.49</v>
      </c>
      <c r="J3041" s="6" t="n">
        <v>15</v>
      </c>
      <c r="K3041" s="7">
        <f>IF(I3041="","",I3041*(1+J3041/100))</f>
        <v/>
      </c>
      <c r="L3041" s="12" t="inlineStr"/>
      <c r="M3041" s="8">
        <f>IF(OR(L3041="",K3041="",L3041=0),"",
  (L3041-K3041)/L3041*100)</f>
        <v/>
      </c>
      <c r="N3041" s="14" t="n">
        <v>829</v>
      </c>
      <c r="O3041" s="4" t="inlineStr"/>
      <c r="P3041" s="4" t="inlineStr"/>
      <c r="Q3041" s="4" t="inlineStr"/>
      <c r="R3041" s="4" t="inlineStr">
        <is>
          <t>2026-03-12</t>
        </is>
      </c>
      <c r="S3041" s="4" t="inlineStr"/>
    </row>
    <row r="3042">
      <c r="A3042" s="10" t="inlineStr">
        <is>
          <t>F03509</t>
        </is>
      </c>
      <c r="B3042" s="10" t="inlineStr">
        <is>
          <t>F03509</t>
        </is>
      </c>
      <c r="C3042" s="10" t="inlineStr"/>
      <c r="D3042" s="10" t="inlineStr">
        <is>
          <t>6009705654489</t>
        </is>
      </c>
      <c r="E3042" s="10" t="inlineStr">
        <is>
          <t>SNAP HOOK CARABINER LOCKING CLIP M8</t>
        </is>
      </c>
      <c r="F3042" s="10" t="inlineStr"/>
      <c r="G3042" s="10" t="inlineStr"/>
      <c r="H3042" s="10" t="inlineStr"/>
      <c r="I3042" s="11" t="n">
        <v>5.49</v>
      </c>
      <c r="J3042" s="6" t="n">
        <v>15</v>
      </c>
      <c r="K3042" s="7">
        <f>IF(I3042="","",I3042*(1+J3042/100))</f>
        <v/>
      </c>
      <c r="L3042" s="12" t="inlineStr"/>
      <c r="M3042" s="8">
        <f>IF(OR(L3042="",K3042="",L3042=0),"",
  (L3042-K3042)/L3042*100)</f>
        <v/>
      </c>
      <c r="N3042" s="13" t="n">
        <v>487</v>
      </c>
      <c r="O3042" s="10" t="inlineStr"/>
      <c r="P3042" s="10" t="inlineStr"/>
      <c r="Q3042" s="10" t="inlineStr"/>
      <c r="R3042" s="10" t="inlineStr">
        <is>
          <t>2026-03-12</t>
        </is>
      </c>
      <c r="S3042" s="10" t="inlineStr"/>
    </row>
    <row r="3043">
      <c r="A3043" s="3" t="inlineStr">
        <is>
          <t>F03510</t>
        </is>
      </c>
      <c r="B3043" s="4" t="inlineStr">
        <is>
          <t>F03510</t>
        </is>
      </c>
      <c r="C3043" s="4" t="inlineStr"/>
      <c r="D3043" s="4" t="inlineStr">
        <is>
          <t>6009705654496</t>
        </is>
      </c>
      <c r="E3043" s="3" t="inlineStr">
        <is>
          <t>SNAP HOOK CARABINER LOCKING CLIP M10</t>
        </is>
      </c>
      <c r="F3043" s="4" t="inlineStr"/>
      <c r="G3043" s="4" t="inlineStr"/>
      <c r="H3043" s="4" t="inlineStr"/>
      <c r="I3043" s="5" t="n">
        <v>8.99</v>
      </c>
      <c r="J3043" s="6" t="n">
        <v>15</v>
      </c>
      <c r="K3043" s="7">
        <f>IF(I3043="","",I3043*(1+J3043/100))</f>
        <v/>
      </c>
      <c r="L3043" s="12" t="inlineStr"/>
      <c r="M3043" s="8">
        <f>IF(OR(L3043="",K3043="",L3043=0),"",
  (L3043-K3043)/L3043*100)</f>
        <v/>
      </c>
      <c r="N3043" s="14" t="n">
        <v>3</v>
      </c>
      <c r="O3043" s="4" t="inlineStr"/>
      <c r="P3043" s="4" t="inlineStr"/>
      <c r="Q3043" s="4" t="inlineStr"/>
      <c r="R3043" s="4" t="inlineStr">
        <is>
          <t>2026-03-12</t>
        </is>
      </c>
      <c r="S3043" s="4" t="inlineStr"/>
    </row>
    <row r="3044">
      <c r="A3044" s="10" t="inlineStr">
        <is>
          <t>F03511</t>
        </is>
      </c>
      <c r="B3044" s="10" t="inlineStr">
        <is>
          <t>F03511</t>
        </is>
      </c>
      <c r="C3044" s="10" t="inlineStr"/>
      <c r="D3044" s="10" t="inlineStr">
        <is>
          <t>6009705654502</t>
        </is>
      </c>
      <c r="E3044" s="10" t="inlineStr">
        <is>
          <t>AXE FIBERGLASS HANDLE 2LB</t>
        </is>
      </c>
      <c r="F3044" s="10" t="inlineStr"/>
      <c r="G3044" s="10" t="inlineStr"/>
      <c r="H3044" s="10" t="inlineStr"/>
      <c r="I3044" s="11" t="n">
        <v>85.95</v>
      </c>
      <c r="J3044" s="6" t="n">
        <v>15</v>
      </c>
      <c r="K3044" s="7">
        <f>IF(I3044="","",I3044*(1+J3044/100))</f>
        <v/>
      </c>
      <c r="L3044" s="12" t="inlineStr"/>
      <c r="M3044" s="8">
        <f>IF(OR(L3044="",K3044="",L3044=0),"",
  (L3044-K3044)/L3044*100)</f>
        <v/>
      </c>
      <c r="N3044" s="13" t="n">
        <v>376</v>
      </c>
      <c r="O3044" s="10" t="inlineStr"/>
      <c r="P3044" s="10" t="inlineStr"/>
      <c r="Q3044" s="10" t="inlineStr"/>
      <c r="R3044" s="10" t="inlineStr">
        <is>
          <t>2026-03-12</t>
        </is>
      </c>
      <c r="S3044" s="10" t="inlineStr"/>
    </row>
    <row r="3045">
      <c r="A3045" s="3" t="inlineStr">
        <is>
          <t>F03512</t>
        </is>
      </c>
      <c r="B3045" s="4" t="inlineStr">
        <is>
          <t>F03512</t>
        </is>
      </c>
      <c r="C3045" s="4" t="inlineStr"/>
      <c r="D3045" s="4" t="inlineStr">
        <is>
          <t>6009705654519</t>
        </is>
      </c>
      <c r="E3045" s="3" t="inlineStr">
        <is>
          <t>AXE FIBERGLASS HANDLE 4LB</t>
        </is>
      </c>
      <c r="F3045" s="4" t="inlineStr"/>
      <c r="G3045" s="4" t="inlineStr"/>
      <c r="H3045" s="4" t="inlineStr"/>
      <c r="I3045" s="5" t="n">
        <v>189.95</v>
      </c>
      <c r="J3045" s="6" t="n">
        <v>15</v>
      </c>
      <c r="K3045" s="7">
        <f>IF(I3045="","",I3045*(1+J3045/100))</f>
        <v/>
      </c>
      <c r="L3045" s="12" t="inlineStr"/>
      <c r="M3045" s="8">
        <f>IF(OR(L3045="",K3045="",L3045=0),"",
  (L3045-K3045)/L3045*100)</f>
        <v/>
      </c>
      <c r="N3045" s="14" t="n">
        <v>415</v>
      </c>
      <c r="O3045" s="4" t="inlineStr"/>
      <c r="P3045" s="4" t="inlineStr"/>
      <c r="Q3045" s="4" t="inlineStr"/>
      <c r="R3045" s="4" t="inlineStr">
        <is>
          <t>2026-03-12</t>
        </is>
      </c>
      <c r="S3045" s="4" t="inlineStr"/>
    </row>
    <row r="3046">
      <c r="A3046" s="10" t="inlineStr">
        <is>
          <t>F03513</t>
        </is>
      </c>
      <c r="B3046" s="10" t="inlineStr">
        <is>
          <t>F03513</t>
        </is>
      </c>
      <c r="C3046" s="10" t="inlineStr"/>
      <c r="D3046" s="10" t="inlineStr">
        <is>
          <t>6009705654526</t>
        </is>
      </c>
      <c r="E3046" s="10" t="inlineStr">
        <is>
          <t>AXE TOMAHAWK AXE</t>
        </is>
      </c>
      <c r="F3046" s="10" t="inlineStr"/>
      <c r="G3046" s="10" t="inlineStr"/>
      <c r="H3046" s="10" t="inlineStr"/>
      <c r="I3046" s="11" t="n">
        <v>47.95</v>
      </c>
      <c r="J3046" s="6" t="n">
        <v>15</v>
      </c>
      <c r="K3046" s="7">
        <f>IF(I3046="","",I3046*(1+J3046/100))</f>
        <v/>
      </c>
      <c r="L3046" s="12" t="inlineStr"/>
      <c r="M3046" s="8">
        <f>IF(OR(L3046="",K3046="",L3046=0),"",
  (L3046-K3046)/L3046*100)</f>
        <v/>
      </c>
      <c r="N3046" s="13" t="n">
        <v>181</v>
      </c>
      <c r="O3046" s="10" t="inlineStr"/>
      <c r="P3046" s="10" t="inlineStr"/>
      <c r="Q3046" s="10" t="inlineStr"/>
      <c r="R3046" s="10" t="inlineStr">
        <is>
          <t>2026-03-12</t>
        </is>
      </c>
      <c r="S3046" s="10" t="inlineStr"/>
    </row>
    <row r="3047">
      <c r="A3047" s="3" t="inlineStr">
        <is>
          <t>F03514</t>
        </is>
      </c>
      <c r="B3047" s="4" t="inlineStr">
        <is>
          <t>F03514</t>
        </is>
      </c>
      <c r="C3047" s="4" t="inlineStr"/>
      <c r="D3047" s="4" t="inlineStr">
        <is>
          <t>6009705654533</t>
        </is>
      </c>
      <c r="E3047" s="3" t="inlineStr">
        <is>
          <t>SCRAPER, WINDOW SCRAPER DIY</t>
        </is>
      </c>
      <c r="F3047" s="4" t="inlineStr"/>
      <c r="G3047" s="4" t="inlineStr"/>
      <c r="H3047" s="4" t="inlineStr"/>
      <c r="I3047" s="5" t="n">
        <v>12.95</v>
      </c>
      <c r="J3047" s="6" t="n">
        <v>15</v>
      </c>
      <c r="K3047" s="7">
        <f>IF(I3047="","",I3047*(1+J3047/100))</f>
        <v/>
      </c>
      <c r="L3047" s="12" t="inlineStr"/>
      <c r="M3047" s="8">
        <f>IF(OR(L3047="",K3047="",L3047=0),"",
  (L3047-K3047)/L3047*100)</f>
        <v/>
      </c>
      <c r="N3047" s="14" t="n">
        <v>460</v>
      </c>
      <c r="O3047" s="4" t="inlineStr"/>
      <c r="P3047" s="4" t="inlineStr"/>
      <c r="Q3047" s="4" t="inlineStr"/>
      <c r="R3047" s="4" t="inlineStr">
        <is>
          <t>2026-03-12</t>
        </is>
      </c>
      <c r="S3047" s="4" t="inlineStr"/>
    </row>
    <row r="3048">
      <c r="A3048" s="10" t="inlineStr">
        <is>
          <t>F03515</t>
        </is>
      </c>
      <c r="B3048" s="10" t="inlineStr">
        <is>
          <t>F03515</t>
        </is>
      </c>
      <c r="C3048" s="10" t="inlineStr"/>
      <c r="D3048" s="10" t="inlineStr">
        <is>
          <t>6009705654540</t>
        </is>
      </c>
      <c r="E3048" s="10" t="inlineStr">
        <is>
          <t>HINGE, WELD HINGE 63MM</t>
        </is>
      </c>
      <c r="F3048" s="10" t="inlineStr"/>
      <c r="G3048" s="10" t="inlineStr"/>
      <c r="H3048" s="10" t="inlineStr"/>
      <c r="I3048" s="11" t="n">
        <v>20</v>
      </c>
      <c r="J3048" s="6" t="n">
        <v>15</v>
      </c>
      <c r="K3048" s="7">
        <f>IF(I3048="","",I3048*(1+J3048/100))</f>
        <v/>
      </c>
      <c r="L3048" s="12" t="inlineStr"/>
      <c r="M3048" s="8">
        <f>IF(OR(L3048="",K3048="",L3048=0),"",
  (L3048-K3048)/L3048*100)</f>
        <v/>
      </c>
      <c r="N3048" s="9" t="inlineStr"/>
      <c r="O3048" s="10" t="inlineStr"/>
      <c r="P3048" s="10" t="inlineStr"/>
      <c r="Q3048" s="10" t="inlineStr"/>
      <c r="R3048" s="10" t="inlineStr">
        <is>
          <t>2026-03-12</t>
        </is>
      </c>
      <c r="S3048" s="10" t="inlineStr"/>
    </row>
    <row r="3049">
      <c r="A3049" s="3" t="inlineStr">
        <is>
          <t>F03516</t>
        </is>
      </c>
      <c r="B3049" s="4" t="inlineStr">
        <is>
          <t>F03516</t>
        </is>
      </c>
      <c r="C3049" s="4" t="inlineStr"/>
      <c r="D3049" s="4" t="inlineStr">
        <is>
          <t>6009705654557</t>
        </is>
      </c>
      <c r="E3049" s="3" t="inlineStr">
        <is>
          <t>HINGE, BULLET HINGE 70X16</t>
        </is>
      </c>
      <c r="F3049" s="4" t="inlineStr"/>
      <c r="G3049" s="4" t="inlineStr"/>
      <c r="H3049" s="4" t="inlineStr"/>
      <c r="I3049" s="5" t="n">
        <v>20</v>
      </c>
      <c r="J3049" s="6" t="n">
        <v>15</v>
      </c>
      <c r="K3049" s="7">
        <f>IF(I3049="","",I3049*(1+J3049/100))</f>
        <v/>
      </c>
      <c r="L3049" s="12" t="inlineStr"/>
      <c r="M3049" s="8">
        <f>IF(OR(L3049="",K3049="",L3049=0),"",
  (L3049-K3049)/L3049*100)</f>
        <v/>
      </c>
      <c r="N3049" s="9" t="inlineStr"/>
      <c r="O3049" s="4" t="inlineStr"/>
      <c r="P3049" s="4" t="inlineStr"/>
      <c r="Q3049" s="4" t="inlineStr"/>
      <c r="R3049" s="4" t="inlineStr">
        <is>
          <t>2026-03-12</t>
        </is>
      </c>
      <c r="S3049" s="4" t="inlineStr"/>
    </row>
    <row r="3050">
      <c r="A3050" s="10" t="inlineStr">
        <is>
          <t>F03517</t>
        </is>
      </c>
      <c r="B3050" s="10" t="inlineStr">
        <is>
          <t>F03517</t>
        </is>
      </c>
      <c r="C3050" s="10" t="inlineStr"/>
      <c r="D3050" s="10" t="inlineStr">
        <is>
          <t>6009705654564</t>
        </is>
      </c>
      <c r="E3050" s="10" t="inlineStr">
        <is>
          <t>HINGE, BULLET HINGE 100X16</t>
        </is>
      </c>
      <c r="F3050" s="10" t="inlineStr"/>
      <c r="G3050" s="10" t="inlineStr"/>
      <c r="H3050" s="10" t="inlineStr"/>
      <c r="I3050" s="11" t="n">
        <v>20</v>
      </c>
      <c r="J3050" s="6" t="n">
        <v>15</v>
      </c>
      <c r="K3050" s="7">
        <f>IF(I3050="","",I3050*(1+J3050/100))</f>
        <v/>
      </c>
      <c r="L3050" s="12" t="inlineStr"/>
      <c r="M3050" s="8">
        <f>IF(OR(L3050="",K3050="",L3050=0),"",
  (L3050-K3050)/L3050*100)</f>
        <v/>
      </c>
      <c r="N3050" s="9" t="inlineStr"/>
      <c r="O3050" s="10" t="inlineStr"/>
      <c r="P3050" s="10" t="inlineStr"/>
      <c r="Q3050" s="10" t="inlineStr"/>
      <c r="R3050" s="10" t="inlineStr">
        <is>
          <t>2026-03-12</t>
        </is>
      </c>
      <c r="S3050" s="10" t="inlineStr"/>
    </row>
    <row r="3051">
      <c r="A3051" s="3" t="inlineStr">
        <is>
          <t>F03518</t>
        </is>
      </c>
      <c r="B3051" s="4" t="inlineStr">
        <is>
          <t>F03518</t>
        </is>
      </c>
      <c r="C3051" s="4" t="inlineStr"/>
      <c r="D3051" s="4" t="inlineStr">
        <is>
          <t>6009705654571</t>
        </is>
      </c>
      <c r="E3051" s="3" t="inlineStr">
        <is>
          <t>HINGE, BULLET HINGE 100X25</t>
        </is>
      </c>
      <c r="F3051" s="4" t="inlineStr"/>
      <c r="G3051" s="4" t="inlineStr"/>
      <c r="H3051" s="4" t="inlineStr"/>
      <c r="I3051" s="5" t="n">
        <v>20</v>
      </c>
      <c r="J3051" s="6" t="n">
        <v>15</v>
      </c>
      <c r="K3051" s="7">
        <f>IF(I3051="","",I3051*(1+J3051/100))</f>
        <v/>
      </c>
      <c r="L3051" s="12" t="inlineStr"/>
      <c r="M3051" s="8">
        <f>IF(OR(L3051="",K3051="",L3051=0),"",
  (L3051-K3051)/L3051*100)</f>
        <v/>
      </c>
      <c r="N3051" s="9" t="inlineStr"/>
      <c r="O3051" s="4" t="inlineStr"/>
      <c r="P3051" s="4" t="inlineStr"/>
      <c r="Q3051" s="4" t="inlineStr"/>
      <c r="R3051" s="4" t="inlineStr">
        <is>
          <t>2026-03-12</t>
        </is>
      </c>
      <c r="S3051" s="4" t="inlineStr"/>
    </row>
    <row r="3052">
      <c r="A3052" s="10" t="inlineStr">
        <is>
          <t>F03519</t>
        </is>
      </c>
      <c r="B3052" s="10" t="inlineStr">
        <is>
          <t>F03519</t>
        </is>
      </c>
      <c r="C3052" s="10" t="inlineStr"/>
      <c r="D3052" s="10" t="inlineStr">
        <is>
          <t>6009705654588</t>
        </is>
      </c>
      <c r="E3052" s="10" t="inlineStr">
        <is>
          <t>CHAIN  GALANIZED 3MMX30M 5.7KG</t>
        </is>
      </c>
      <c r="F3052" s="10" t="inlineStr"/>
      <c r="G3052" s="10" t="inlineStr"/>
      <c r="H3052" s="10" t="inlineStr"/>
      <c r="I3052" s="11" t="n">
        <v>249</v>
      </c>
      <c r="J3052" s="6" t="n">
        <v>15</v>
      </c>
      <c r="K3052" s="7">
        <f>IF(I3052="","",I3052*(1+J3052/100))</f>
        <v/>
      </c>
      <c r="L3052" s="12" t="inlineStr"/>
      <c r="M3052" s="8">
        <f>IF(OR(L3052="",K3052="",L3052=0),"",
  (L3052-K3052)/L3052*100)</f>
        <v/>
      </c>
      <c r="N3052" s="9" t="inlineStr"/>
      <c r="O3052" s="10" t="inlineStr"/>
      <c r="P3052" s="10" t="inlineStr"/>
      <c r="Q3052" s="10" t="inlineStr"/>
      <c r="R3052" s="10" t="inlineStr">
        <is>
          <t>2026-03-12</t>
        </is>
      </c>
      <c r="S3052" s="10" t="inlineStr"/>
    </row>
    <row r="3053">
      <c r="A3053" s="3" t="inlineStr">
        <is>
          <t>F03520</t>
        </is>
      </c>
      <c r="B3053" s="4" t="inlineStr">
        <is>
          <t>F03520</t>
        </is>
      </c>
      <c r="C3053" s="4" t="inlineStr"/>
      <c r="D3053" s="4" t="inlineStr">
        <is>
          <t>6009705654595</t>
        </is>
      </c>
      <c r="E3053" s="3" t="inlineStr">
        <is>
          <t>CHAIN GALVANIZED 4MMX30M 5.7KG</t>
        </is>
      </c>
      <c r="F3053" s="4" t="inlineStr"/>
      <c r="G3053" s="4" t="inlineStr"/>
      <c r="H3053" s="4" t="inlineStr"/>
      <c r="I3053" s="5" t="n">
        <v>309</v>
      </c>
      <c r="J3053" s="6" t="n">
        <v>15</v>
      </c>
      <c r="K3053" s="7">
        <f>IF(I3053="","",I3053*(1+J3053/100))</f>
        <v/>
      </c>
      <c r="L3053" s="12" t="inlineStr"/>
      <c r="M3053" s="8">
        <f>IF(OR(L3053="",K3053="",L3053=0),"",
  (L3053-K3053)/L3053*100)</f>
        <v/>
      </c>
      <c r="N3053" s="9" t="inlineStr"/>
      <c r="O3053" s="4" t="inlineStr"/>
      <c r="P3053" s="4" t="inlineStr"/>
      <c r="Q3053" s="4" t="inlineStr"/>
      <c r="R3053" s="4" t="inlineStr">
        <is>
          <t>2026-03-12</t>
        </is>
      </c>
      <c r="S3053" s="4" t="inlineStr"/>
    </row>
    <row r="3054">
      <c r="A3054" s="10" t="inlineStr">
        <is>
          <t>F03521</t>
        </is>
      </c>
      <c r="B3054" s="10" t="inlineStr">
        <is>
          <t>F03521</t>
        </is>
      </c>
      <c r="C3054" s="10" t="inlineStr"/>
      <c r="D3054" s="10" t="inlineStr">
        <is>
          <t>6009705654601</t>
        </is>
      </c>
      <c r="E3054" s="10" t="inlineStr">
        <is>
          <t>CHAIN GALVANIZED 5MMX30M 5.3KG</t>
        </is>
      </c>
      <c r="F3054" s="10" t="inlineStr"/>
      <c r="G3054" s="10" t="inlineStr"/>
      <c r="H3054" s="10" t="inlineStr"/>
      <c r="I3054" s="11" t="n">
        <v>479</v>
      </c>
      <c r="J3054" s="6" t="n">
        <v>15</v>
      </c>
      <c r="K3054" s="7">
        <f>IF(I3054="","",I3054*(1+J3054/100))</f>
        <v/>
      </c>
      <c r="L3054" s="12" t="inlineStr"/>
      <c r="M3054" s="8">
        <f>IF(OR(L3054="",K3054="",L3054=0),"",
  (L3054-K3054)/L3054*100)</f>
        <v/>
      </c>
      <c r="N3054" s="13" t="n">
        <v>1</v>
      </c>
      <c r="O3054" s="10" t="inlineStr"/>
      <c r="P3054" s="10" t="inlineStr"/>
      <c r="Q3054" s="10" t="inlineStr"/>
      <c r="R3054" s="10" t="inlineStr">
        <is>
          <t>2026-03-12</t>
        </is>
      </c>
      <c r="S3054" s="10" t="inlineStr"/>
    </row>
    <row r="3055">
      <c r="A3055" s="3" t="inlineStr">
        <is>
          <t>F03522</t>
        </is>
      </c>
      <c r="B3055" s="4" t="inlineStr">
        <is>
          <t>F03522</t>
        </is>
      </c>
      <c r="C3055" s="4" t="inlineStr"/>
      <c r="D3055" s="4" t="inlineStr">
        <is>
          <t>6009705654618</t>
        </is>
      </c>
      <c r="E3055" s="3" t="inlineStr">
        <is>
          <t>CHAIN GALVANIZED 6MMX30M 5.1KG</t>
        </is>
      </c>
      <c r="F3055" s="4" t="inlineStr"/>
      <c r="G3055" s="4" t="inlineStr"/>
      <c r="H3055" s="4" t="inlineStr"/>
      <c r="I3055" s="5" t="n">
        <v>669</v>
      </c>
      <c r="J3055" s="6" t="n">
        <v>15</v>
      </c>
      <c r="K3055" s="7">
        <f>IF(I3055="","",I3055*(1+J3055/100))</f>
        <v/>
      </c>
      <c r="L3055" s="12" t="inlineStr"/>
      <c r="M3055" s="8">
        <f>IF(OR(L3055="",K3055="",L3055=0),"",
  (L3055-K3055)/L3055*100)</f>
        <v/>
      </c>
      <c r="N3055" s="9" t="inlineStr"/>
      <c r="O3055" s="4" t="inlineStr"/>
      <c r="P3055" s="4" t="inlineStr"/>
      <c r="Q3055" s="4" t="inlineStr"/>
      <c r="R3055" s="4" t="inlineStr">
        <is>
          <t>2026-03-12</t>
        </is>
      </c>
      <c r="S3055" s="4" t="inlineStr"/>
    </row>
    <row r="3056">
      <c r="A3056" s="10" t="inlineStr">
        <is>
          <t>F03523</t>
        </is>
      </c>
      <c r="B3056" s="10" t="inlineStr">
        <is>
          <t>F03523</t>
        </is>
      </c>
      <c r="C3056" s="10" t="inlineStr"/>
      <c r="D3056" s="10" t="inlineStr">
        <is>
          <t>6009705654625</t>
        </is>
      </c>
      <c r="E3056" s="10" t="inlineStr">
        <is>
          <t>CHAIN GALVANIZED 8MMX30M 5.1KG</t>
        </is>
      </c>
      <c r="F3056" s="10" t="inlineStr"/>
      <c r="G3056" s="10" t="inlineStr"/>
      <c r="H3056" s="10" t="inlineStr"/>
      <c r="I3056" s="11" t="n">
        <v>999</v>
      </c>
      <c r="J3056" s="6" t="n">
        <v>15</v>
      </c>
      <c r="K3056" s="7">
        <f>IF(I3056="","",I3056*(1+J3056/100))</f>
        <v/>
      </c>
      <c r="L3056" s="12" t="inlineStr"/>
      <c r="M3056" s="8">
        <f>IF(OR(L3056="",K3056="",L3056=0),"",
  (L3056-K3056)/L3056*100)</f>
        <v/>
      </c>
      <c r="N3056" s="9" t="inlineStr"/>
      <c r="O3056" s="10" t="inlineStr"/>
      <c r="P3056" s="10" t="inlineStr"/>
      <c r="Q3056" s="10" t="inlineStr"/>
      <c r="R3056" s="10" t="inlineStr">
        <is>
          <t>2026-03-12</t>
        </is>
      </c>
      <c r="S3056" s="10" t="inlineStr"/>
    </row>
    <row r="3057">
      <c r="A3057" s="3" t="inlineStr">
        <is>
          <t>F03524</t>
        </is>
      </c>
      <c r="B3057" s="4" t="inlineStr">
        <is>
          <t>F03524</t>
        </is>
      </c>
      <c r="C3057" s="4" t="inlineStr"/>
      <c r="D3057" s="4" t="inlineStr">
        <is>
          <t>6009705654632</t>
        </is>
      </c>
      <c r="E3057" s="3" t="inlineStr">
        <is>
          <t>CHAIN GALVANIZED 10MMX15M 5.1KG</t>
        </is>
      </c>
      <c r="F3057" s="4" t="inlineStr"/>
      <c r="G3057" s="4" t="inlineStr"/>
      <c r="H3057" s="4" t="inlineStr"/>
      <c r="I3057" s="5" t="n">
        <v>749.5</v>
      </c>
      <c r="J3057" s="6" t="n">
        <v>15</v>
      </c>
      <c r="K3057" s="7">
        <f>IF(I3057="","",I3057*(1+J3057/100))</f>
        <v/>
      </c>
      <c r="L3057" s="12" t="inlineStr"/>
      <c r="M3057" s="8">
        <f>IF(OR(L3057="",K3057="",L3057=0),"",
  (L3057-K3057)/L3057*100)</f>
        <v/>
      </c>
      <c r="N3057" s="14" t="n">
        <v>11</v>
      </c>
      <c r="O3057" s="4" t="inlineStr"/>
      <c r="P3057" s="4" t="inlineStr"/>
      <c r="Q3057" s="4" t="inlineStr"/>
      <c r="R3057" s="4" t="inlineStr">
        <is>
          <t>2026-03-12</t>
        </is>
      </c>
      <c r="S3057" s="4" t="inlineStr"/>
    </row>
    <row r="3058">
      <c r="A3058" s="10" t="inlineStr">
        <is>
          <t>F03525</t>
        </is>
      </c>
      <c r="B3058" s="10" t="inlineStr">
        <is>
          <t>F03525</t>
        </is>
      </c>
      <c r="C3058" s="10" t="inlineStr"/>
      <c r="D3058" s="10" t="inlineStr">
        <is>
          <t>6009705654649</t>
        </is>
      </c>
      <c r="E3058" s="10" t="inlineStr">
        <is>
          <t>TROWEL PLAIN BLUE PLASTIC HANDLE</t>
        </is>
      </c>
      <c r="F3058" s="10" t="inlineStr"/>
      <c r="G3058" s="10" t="inlineStr"/>
      <c r="H3058" s="10" t="inlineStr"/>
      <c r="I3058" s="11" t="n">
        <v>23.95</v>
      </c>
      <c r="J3058" s="6" t="n">
        <v>15</v>
      </c>
      <c r="K3058" s="7">
        <f>IF(I3058="","",I3058*(1+J3058/100))</f>
        <v/>
      </c>
      <c r="L3058" s="12" t="inlineStr"/>
      <c r="M3058" s="8">
        <f>IF(OR(L3058="",K3058="",L3058=0),"",
  (L3058-K3058)/L3058*100)</f>
        <v/>
      </c>
      <c r="N3058" s="13" t="n">
        <v>965</v>
      </c>
      <c r="O3058" s="10" t="inlineStr"/>
      <c r="P3058" s="10" t="inlineStr"/>
      <c r="Q3058" s="10" t="inlineStr"/>
      <c r="R3058" s="10" t="inlineStr">
        <is>
          <t>2026-03-12</t>
        </is>
      </c>
      <c r="S3058" s="10" t="inlineStr"/>
    </row>
    <row r="3059">
      <c r="A3059" s="3" t="inlineStr">
        <is>
          <t>F03526</t>
        </is>
      </c>
      <c r="B3059" s="4" t="inlineStr">
        <is>
          <t>F03526</t>
        </is>
      </c>
      <c r="C3059" s="4" t="inlineStr"/>
      <c r="D3059" s="4" t="inlineStr">
        <is>
          <t>6009705654656</t>
        </is>
      </c>
      <c r="E3059" s="3" t="inlineStr">
        <is>
          <t>HACKSAW PRO METAL HANDLE</t>
        </is>
      </c>
      <c r="F3059" s="4" t="inlineStr"/>
      <c r="G3059" s="4" t="inlineStr"/>
      <c r="H3059" s="4" t="inlineStr"/>
      <c r="I3059" s="5" t="n">
        <v>89.95</v>
      </c>
      <c r="J3059" s="6" t="n">
        <v>15</v>
      </c>
      <c r="K3059" s="7">
        <f>IF(I3059="","",I3059*(1+J3059/100))</f>
        <v/>
      </c>
      <c r="L3059" s="12" t="inlineStr"/>
      <c r="M3059" s="8">
        <f>IF(OR(L3059="",K3059="",L3059=0),"",
  (L3059-K3059)/L3059*100)</f>
        <v/>
      </c>
      <c r="N3059" s="14" t="n">
        <v>223</v>
      </c>
      <c r="O3059" s="4" t="inlineStr"/>
      <c r="P3059" s="4" t="inlineStr"/>
      <c r="Q3059" s="4" t="inlineStr"/>
      <c r="R3059" s="4" t="inlineStr">
        <is>
          <t>2026-03-12</t>
        </is>
      </c>
      <c r="S3059" s="4" t="inlineStr"/>
    </row>
    <row r="3060">
      <c r="A3060" s="10" t="inlineStr">
        <is>
          <t>F03527</t>
        </is>
      </c>
      <c r="B3060" s="10" t="inlineStr">
        <is>
          <t>F03527</t>
        </is>
      </c>
      <c r="C3060" s="10" t="inlineStr"/>
      <c r="D3060" s="10" t="inlineStr">
        <is>
          <t>6009705654663</t>
        </is>
      </c>
      <c r="E3060" s="10" t="inlineStr">
        <is>
          <t>HACKSAW PRO RUBBER HANDLE</t>
        </is>
      </c>
      <c r="F3060" s="10" t="inlineStr"/>
      <c r="G3060" s="10" t="inlineStr"/>
      <c r="H3060" s="10" t="inlineStr"/>
      <c r="I3060" s="11" t="n">
        <v>99.95</v>
      </c>
      <c r="J3060" s="6" t="n">
        <v>15</v>
      </c>
      <c r="K3060" s="7">
        <f>IF(I3060="","",I3060*(1+J3060/100))</f>
        <v/>
      </c>
      <c r="L3060" s="12" t="inlineStr"/>
      <c r="M3060" s="8">
        <f>IF(OR(L3060="",K3060="",L3060=0),"",
  (L3060-K3060)/L3060*100)</f>
        <v/>
      </c>
      <c r="N3060" s="13" t="n">
        <v>225</v>
      </c>
      <c r="O3060" s="10" t="inlineStr"/>
      <c r="P3060" s="10" t="inlineStr"/>
      <c r="Q3060" s="10" t="inlineStr"/>
      <c r="R3060" s="10" t="inlineStr">
        <is>
          <t>2026-03-12</t>
        </is>
      </c>
      <c r="S3060" s="10" t="inlineStr"/>
    </row>
    <row r="3061">
      <c r="A3061" s="3" t="inlineStr">
        <is>
          <t>F03528</t>
        </is>
      </c>
      <c r="B3061" s="4" t="inlineStr">
        <is>
          <t>F03528</t>
        </is>
      </c>
      <c r="C3061" s="4" t="inlineStr"/>
      <c r="D3061" s="4" t="inlineStr">
        <is>
          <t>6009705654670</t>
        </is>
      </c>
      <c r="E3061" s="3" t="inlineStr">
        <is>
          <t>SOCKET SET 10PC SMALL DIY</t>
        </is>
      </c>
      <c r="F3061" s="4" t="inlineStr"/>
      <c r="G3061" s="4" t="inlineStr"/>
      <c r="H3061" s="4" t="inlineStr"/>
      <c r="I3061" s="5" t="n">
        <v>69.5</v>
      </c>
      <c r="J3061" s="6" t="n">
        <v>15</v>
      </c>
      <c r="K3061" s="7">
        <f>IF(I3061="","",I3061*(1+J3061/100))</f>
        <v/>
      </c>
      <c r="L3061" s="12" t="inlineStr"/>
      <c r="M3061" s="8">
        <f>IF(OR(L3061="",K3061="",L3061=0),"",
  (L3061-K3061)/L3061*100)</f>
        <v/>
      </c>
      <c r="N3061" s="9" t="inlineStr"/>
      <c r="O3061" s="4" t="inlineStr"/>
      <c r="P3061" s="4" t="inlineStr"/>
      <c r="Q3061" s="4" t="inlineStr"/>
      <c r="R3061" s="4" t="inlineStr">
        <is>
          <t>2026-03-12</t>
        </is>
      </c>
      <c r="S3061" s="4" t="inlineStr"/>
    </row>
    <row r="3062">
      <c r="A3062" s="10" t="inlineStr">
        <is>
          <t>F03529</t>
        </is>
      </c>
      <c r="B3062" s="10" t="inlineStr">
        <is>
          <t>F03529</t>
        </is>
      </c>
      <c r="C3062" s="10" t="inlineStr"/>
      <c r="D3062" s="10" t="inlineStr">
        <is>
          <t>6009705654687</t>
        </is>
      </c>
      <c r="E3062" s="10" t="inlineStr">
        <is>
          <t>LEVEL, SPIRIT LEVL HANDY MAN SML</t>
        </is>
      </c>
      <c r="F3062" s="10" t="inlineStr"/>
      <c r="G3062" s="10" t="inlineStr"/>
      <c r="H3062" s="10" t="inlineStr"/>
      <c r="I3062" s="11" t="n">
        <v>18.5</v>
      </c>
      <c r="J3062" s="6" t="n">
        <v>15</v>
      </c>
      <c r="K3062" s="7">
        <f>IF(I3062="","",I3062*(1+J3062/100))</f>
        <v/>
      </c>
      <c r="L3062" s="12" t="inlineStr"/>
      <c r="M3062" s="8">
        <f>IF(OR(L3062="",K3062="",L3062=0),"",
  (L3062-K3062)/L3062*100)</f>
        <v/>
      </c>
      <c r="N3062" s="13" t="n">
        <v>399</v>
      </c>
      <c r="O3062" s="10" t="inlineStr"/>
      <c r="P3062" s="10" t="inlineStr"/>
      <c r="Q3062" s="10" t="inlineStr"/>
      <c r="R3062" s="10" t="inlineStr">
        <is>
          <t>2026-03-12</t>
        </is>
      </c>
      <c r="S3062" s="10" t="inlineStr"/>
    </row>
    <row r="3063">
      <c r="A3063" s="3" t="inlineStr">
        <is>
          <t>F03530</t>
        </is>
      </c>
      <c r="B3063" s="4" t="inlineStr">
        <is>
          <t>F03530</t>
        </is>
      </c>
      <c r="C3063" s="4" t="inlineStr"/>
      <c r="D3063" s="4" t="inlineStr">
        <is>
          <t>6009705654694</t>
        </is>
      </c>
      <c r="E3063" s="3" t="inlineStr">
        <is>
          <t>GLUE GUN 100W ELECTRIC 100-240V</t>
        </is>
      </c>
      <c r="F3063" s="4" t="inlineStr"/>
      <c r="G3063" s="4" t="inlineStr"/>
      <c r="H3063" s="4" t="inlineStr"/>
      <c r="I3063" s="5" t="n">
        <v>79.95</v>
      </c>
      <c r="J3063" s="6" t="n">
        <v>15</v>
      </c>
      <c r="K3063" s="7">
        <f>IF(I3063="","",I3063*(1+J3063/100))</f>
        <v/>
      </c>
      <c r="L3063" s="12" t="inlineStr"/>
      <c r="M3063" s="8">
        <f>IF(OR(L3063="",K3063="",L3063=0),"",
  (L3063-K3063)/L3063*100)</f>
        <v/>
      </c>
      <c r="N3063" s="14" t="n">
        <v>153</v>
      </c>
      <c r="O3063" s="4" t="inlineStr"/>
      <c r="P3063" s="4" t="inlineStr"/>
      <c r="Q3063" s="4" t="inlineStr"/>
      <c r="R3063" s="4" t="inlineStr">
        <is>
          <t>2026-03-12</t>
        </is>
      </c>
      <c r="S3063" s="4" t="inlineStr"/>
    </row>
    <row r="3064">
      <c r="A3064" s="10" t="inlineStr">
        <is>
          <t>F03531</t>
        </is>
      </c>
      <c r="B3064" s="10" t="inlineStr">
        <is>
          <t>F03531</t>
        </is>
      </c>
      <c r="C3064" s="10" t="inlineStr"/>
      <c r="D3064" s="10" t="inlineStr">
        <is>
          <t>6009705654700</t>
        </is>
      </c>
      <c r="E3064" s="10" t="inlineStr">
        <is>
          <t>GLUE GUN 40W ELECTRIC 100-240V</t>
        </is>
      </c>
      <c r="F3064" s="10" t="inlineStr"/>
      <c r="G3064" s="10" t="inlineStr"/>
      <c r="H3064" s="10" t="inlineStr"/>
      <c r="I3064" s="11" t="n">
        <v>49.95</v>
      </c>
      <c r="J3064" s="6" t="n">
        <v>15</v>
      </c>
      <c r="K3064" s="7">
        <f>IF(I3064="","",I3064*(1+J3064/100))</f>
        <v/>
      </c>
      <c r="L3064" s="12" t="inlineStr"/>
      <c r="M3064" s="8">
        <f>IF(OR(L3064="",K3064="",L3064=0),"",
  (L3064-K3064)/L3064*100)</f>
        <v/>
      </c>
      <c r="N3064" s="13" t="n">
        <v>314</v>
      </c>
      <c r="O3064" s="10" t="inlineStr"/>
      <c r="P3064" s="10" t="inlineStr"/>
      <c r="Q3064" s="10" t="inlineStr"/>
      <c r="R3064" s="10" t="inlineStr">
        <is>
          <t>2026-03-12</t>
        </is>
      </c>
      <c r="S3064" s="10" t="inlineStr"/>
    </row>
    <row r="3065">
      <c r="A3065" s="3" t="inlineStr">
        <is>
          <t>F03532</t>
        </is>
      </c>
      <c r="B3065" s="4" t="inlineStr">
        <is>
          <t>F03532</t>
        </is>
      </c>
      <c r="C3065" s="4" t="inlineStr"/>
      <c r="D3065" s="4" t="inlineStr">
        <is>
          <t>6009705654717</t>
        </is>
      </c>
      <c r="E3065" s="3" t="inlineStr">
        <is>
          <t>PLIER MINI 4PC SET DIY</t>
        </is>
      </c>
      <c r="F3065" s="4" t="inlineStr"/>
      <c r="G3065" s="4" t="inlineStr"/>
      <c r="H3065" s="4" t="inlineStr"/>
      <c r="I3065" s="5" t="n">
        <v>89.95</v>
      </c>
      <c r="J3065" s="6" t="n">
        <v>15</v>
      </c>
      <c r="K3065" s="7">
        <f>IF(I3065="","",I3065*(1+J3065/100))</f>
        <v/>
      </c>
      <c r="L3065" s="12" t="inlineStr"/>
      <c r="M3065" s="8">
        <f>IF(OR(L3065="",K3065="",L3065=0),"",
  (L3065-K3065)/L3065*100)</f>
        <v/>
      </c>
      <c r="N3065" s="14" t="n">
        <v>163</v>
      </c>
      <c r="O3065" s="4" t="inlineStr"/>
      <c r="P3065" s="4" t="inlineStr"/>
      <c r="Q3065" s="4" t="inlineStr"/>
      <c r="R3065" s="4" t="inlineStr">
        <is>
          <t>2026-03-12</t>
        </is>
      </c>
      <c r="S3065" s="4" t="inlineStr"/>
    </row>
    <row r="3066">
      <c r="A3066" s="10" t="inlineStr">
        <is>
          <t>F03533</t>
        </is>
      </c>
      <c r="B3066" s="10" t="inlineStr">
        <is>
          <t>F03533</t>
        </is>
      </c>
      <c r="C3066" s="10" t="inlineStr"/>
      <c r="D3066" s="10" t="inlineStr">
        <is>
          <t>6009705654724</t>
        </is>
      </c>
      <c r="E3066" s="10" t="inlineStr">
        <is>
          <t>SOLDER IRON 40W  ELECTRRIC 220V</t>
        </is>
      </c>
      <c r="F3066" s="10" t="inlineStr"/>
      <c r="G3066" s="10" t="inlineStr"/>
      <c r="H3066" s="10" t="inlineStr"/>
      <c r="I3066" s="11" t="n">
        <v>64.95</v>
      </c>
      <c r="J3066" s="6" t="n">
        <v>15</v>
      </c>
      <c r="K3066" s="7">
        <f>IF(I3066="","",I3066*(1+J3066/100))</f>
        <v/>
      </c>
      <c r="L3066" s="12" t="inlineStr"/>
      <c r="M3066" s="8">
        <f>IF(OR(L3066="",K3066="",L3066=0),"",
  (L3066-K3066)/L3066*100)</f>
        <v/>
      </c>
      <c r="N3066" s="13" t="n">
        <v>372</v>
      </c>
      <c r="O3066" s="10" t="inlineStr"/>
      <c r="P3066" s="10" t="inlineStr"/>
      <c r="Q3066" s="10" t="inlineStr"/>
      <c r="R3066" s="10" t="inlineStr">
        <is>
          <t>2026-03-12</t>
        </is>
      </c>
      <c r="S3066" s="10" t="inlineStr"/>
    </row>
    <row r="3067">
      <c r="A3067" s="3" t="inlineStr">
        <is>
          <t>F03534</t>
        </is>
      </c>
      <c r="B3067" s="4" t="inlineStr">
        <is>
          <t>F03534</t>
        </is>
      </c>
      <c r="C3067" s="4" t="inlineStr"/>
      <c r="D3067" s="4" t="inlineStr">
        <is>
          <t>6009705654731</t>
        </is>
      </c>
      <c r="E3067" s="3" t="inlineStr">
        <is>
          <t>SOLDER IRON 60W ELECTRIC 220V</t>
        </is>
      </c>
      <c r="F3067" s="4" t="inlineStr"/>
      <c r="G3067" s="4" t="inlineStr"/>
      <c r="H3067" s="4" t="inlineStr"/>
      <c r="I3067" s="5" t="n">
        <v>72.95</v>
      </c>
      <c r="J3067" s="6" t="n">
        <v>15</v>
      </c>
      <c r="K3067" s="7">
        <f>IF(I3067="","",I3067*(1+J3067/100))</f>
        <v/>
      </c>
      <c r="L3067" s="12" t="inlineStr"/>
      <c r="M3067" s="8">
        <f>IF(OR(L3067="",K3067="",L3067=0),"",
  (L3067-K3067)/L3067*100)</f>
        <v/>
      </c>
      <c r="N3067" s="14" t="n">
        <v>355</v>
      </c>
      <c r="O3067" s="4" t="inlineStr"/>
      <c r="P3067" s="4" t="inlineStr"/>
      <c r="Q3067" s="4" t="inlineStr"/>
      <c r="R3067" s="4" t="inlineStr">
        <is>
          <t>2026-03-12</t>
        </is>
      </c>
      <c r="S3067" s="4" t="inlineStr"/>
    </row>
    <row r="3068">
      <c r="A3068" s="10" t="inlineStr">
        <is>
          <t>F03535</t>
        </is>
      </c>
      <c r="B3068" s="10" t="inlineStr">
        <is>
          <t>F03535</t>
        </is>
      </c>
      <c r="C3068" s="10" t="inlineStr"/>
      <c r="D3068" s="10" t="inlineStr">
        <is>
          <t>6009705654748</t>
        </is>
      </c>
      <c r="E3068" s="10" t="inlineStr">
        <is>
          <t>BOLT CUTTER YELLOW 450MM 18''</t>
        </is>
      </c>
      <c r="F3068" s="10" t="inlineStr"/>
      <c r="G3068" s="10" t="inlineStr"/>
      <c r="H3068" s="10" t="inlineStr"/>
      <c r="I3068" s="11" t="n">
        <v>159</v>
      </c>
      <c r="J3068" s="6" t="n">
        <v>15</v>
      </c>
      <c r="K3068" s="7">
        <f>IF(I3068="","",I3068*(1+J3068/100))</f>
        <v/>
      </c>
      <c r="L3068" s="12" t="inlineStr"/>
      <c r="M3068" s="8">
        <f>IF(OR(L3068="",K3068="",L3068=0),"",
  (L3068-K3068)/L3068*100)</f>
        <v/>
      </c>
      <c r="N3068" s="13" t="n">
        <v>29</v>
      </c>
      <c r="O3068" s="10" t="inlineStr"/>
      <c r="P3068" s="10" t="inlineStr"/>
      <c r="Q3068" s="10" t="inlineStr"/>
      <c r="R3068" s="10" t="inlineStr">
        <is>
          <t>2026-03-12</t>
        </is>
      </c>
      <c r="S3068" s="10" t="inlineStr"/>
    </row>
    <row r="3069">
      <c r="A3069" s="3" t="inlineStr">
        <is>
          <t>F03536</t>
        </is>
      </c>
      <c r="B3069" s="4" t="inlineStr">
        <is>
          <t>F03536</t>
        </is>
      </c>
      <c r="C3069" s="4" t="inlineStr"/>
      <c r="D3069" s="4" t="inlineStr">
        <is>
          <t>6009705654755</t>
        </is>
      </c>
      <c r="E3069" s="3" t="inlineStr">
        <is>
          <t>PVC ROLL SELF STICK VANATO CARARA 1.2X3M</t>
        </is>
      </c>
      <c r="F3069" s="4" t="inlineStr"/>
      <c r="G3069" s="4" t="inlineStr"/>
      <c r="H3069" s="4" t="inlineStr"/>
      <c r="I3069" s="5" t="n">
        <v>20</v>
      </c>
      <c r="J3069" s="6" t="n">
        <v>15</v>
      </c>
      <c r="K3069" s="7">
        <f>IF(I3069="","",I3069*(1+J3069/100))</f>
        <v/>
      </c>
      <c r="L3069" s="12" t="inlineStr"/>
      <c r="M3069" s="8">
        <f>IF(OR(L3069="",K3069="",L3069=0),"",
  (L3069-K3069)/L3069*100)</f>
        <v/>
      </c>
      <c r="N3069" s="9" t="inlineStr"/>
      <c r="O3069" s="4" t="inlineStr"/>
      <c r="P3069" s="4" t="inlineStr"/>
      <c r="Q3069" s="4" t="inlineStr"/>
      <c r="R3069" s="4" t="inlineStr">
        <is>
          <t>2026-03-12</t>
        </is>
      </c>
      <c r="S3069" s="4" t="inlineStr"/>
    </row>
    <row r="3070">
      <c r="A3070" s="10" t="inlineStr">
        <is>
          <t>F03542</t>
        </is>
      </c>
      <c r="B3070" s="10" t="inlineStr">
        <is>
          <t>F03542</t>
        </is>
      </c>
      <c r="C3070" s="10" t="inlineStr"/>
      <c r="D3070" s="10" t="inlineStr">
        <is>
          <t>6009705654816</t>
        </is>
      </c>
      <c r="E3070" s="10" t="inlineStr">
        <is>
          <t>WALL PANEL CASABLANCA GOLD</t>
        </is>
      </c>
      <c r="F3070" s="10" t="inlineStr"/>
      <c r="G3070" s="10" t="inlineStr"/>
      <c r="H3070" s="10" t="inlineStr"/>
      <c r="I3070" s="11" t="n">
        <v>1417</v>
      </c>
      <c r="J3070" s="6" t="n">
        <v>15</v>
      </c>
      <c r="K3070" s="7">
        <f>IF(I3070="","",I3070*(1+J3070/100))</f>
        <v/>
      </c>
      <c r="L3070" s="12" t="inlineStr"/>
      <c r="M3070" s="8">
        <f>IF(OR(L3070="",K3070="",L3070=0),"",
  (L3070-K3070)/L3070*100)</f>
        <v/>
      </c>
      <c r="N3070" s="13" t="n">
        <v>20</v>
      </c>
      <c r="O3070" s="10" t="inlineStr"/>
      <c r="P3070" s="10" t="inlineStr"/>
      <c r="Q3070" s="10" t="inlineStr"/>
      <c r="R3070" s="10" t="inlineStr">
        <is>
          <t>2026-03-12</t>
        </is>
      </c>
      <c r="S3070" s="10" t="inlineStr"/>
    </row>
    <row r="3071">
      <c r="A3071" s="3" t="inlineStr">
        <is>
          <t>F03543</t>
        </is>
      </c>
      <c r="B3071" s="4" t="inlineStr">
        <is>
          <t>F03543</t>
        </is>
      </c>
      <c r="C3071" s="4" t="inlineStr"/>
      <c r="D3071" s="4" t="inlineStr">
        <is>
          <t>6009705654823</t>
        </is>
      </c>
      <c r="E3071" s="3" t="inlineStr">
        <is>
          <t>WALL PANEL CASABLANCA GREY SMOKE</t>
        </is>
      </c>
      <c r="F3071" s="4" t="inlineStr"/>
      <c r="G3071" s="4" t="inlineStr"/>
      <c r="H3071" s="4" t="inlineStr"/>
      <c r="I3071" s="5" t="n">
        <v>1417</v>
      </c>
      <c r="J3071" s="6" t="n">
        <v>15</v>
      </c>
      <c r="K3071" s="7">
        <f>IF(I3071="","",I3071*(1+J3071/100))</f>
        <v/>
      </c>
      <c r="L3071" s="12" t="inlineStr"/>
      <c r="M3071" s="8">
        <f>IF(OR(L3071="",K3071="",L3071=0),"",
  (L3071-K3071)/L3071*100)</f>
        <v/>
      </c>
      <c r="N3071" s="14" t="n">
        <v>19</v>
      </c>
      <c r="O3071" s="4" t="inlineStr"/>
      <c r="P3071" s="4" t="inlineStr"/>
      <c r="Q3071" s="4" t="inlineStr"/>
      <c r="R3071" s="4" t="inlineStr">
        <is>
          <t>2026-03-12</t>
        </is>
      </c>
      <c r="S3071" s="4" t="inlineStr"/>
    </row>
    <row r="3072">
      <c r="A3072" s="10" t="inlineStr">
        <is>
          <t>F03544</t>
        </is>
      </c>
      <c r="B3072" s="10" t="inlineStr">
        <is>
          <t>F03544</t>
        </is>
      </c>
      <c r="C3072" s="10" t="inlineStr"/>
      <c r="D3072" s="10" t="inlineStr">
        <is>
          <t>6009705654830</t>
        </is>
      </c>
      <c r="E3072" s="10" t="inlineStr">
        <is>
          <t>WALL PANEL CASABLANCA ANGEL</t>
        </is>
      </c>
      <c r="F3072" s="10" t="inlineStr"/>
      <c r="G3072" s="10" t="inlineStr"/>
      <c r="H3072" s="10" t="inlineStr"/>
      <c r="I3072" s="11" t="n">
        <v>1417</v>
      </c>
      <c r="J3072" s="6" t="n">
        <v>15</v>
      </c>
      <c r="K3072" s="7">
        <f>IF(I3072="","",I3072*(1+J3072/100))</f>
        <v/>
      </c>
      <c r="L3072" s="12" t="inlineStr"/>
      <c r="M3072" s="8">
        <f>IF(OR(L3072="",K3072="",L3072=0),"",
  (L3072-K3072)/L3072*100)</f>
        <v/>
      </c>
      <c r="N3072" s="13" t="n">
        <v>27</v>
      </c>
      <c r="O3072" s="10" t="inlineStr"/>
      <c r="P3072" s="10" t="inlineStr"/>
      <c r="Q3072" s="10" t="inlineStr"/>
      <c r="R3072" s="10" t="inlineStr">
        <is>
          <t>2026-03-12</t>
        </is>
      </c>
      <c r="S3072" s="10" t="inlineStr"/>
    </row>
    <row r="3073">
      <c r="A3073" s="3" t="inlineStr">
        <is>
          <t>F03545</t>
        </is>
      </c>
      <c r="B3073" s="4" t="inlineStr">
        <is>
          <t>F03545</t>
        </is>
      </c>
      <c r="C3073" s="4" t="inlineStr"/>
      <c r="D3073" s="4" t="inlineStr">
        <is>
          <t>6009705654847</t>
        </is>
      </c>
      <c r="E3073" s="3" t="inlineStr">
        <is>
          <t>WALL PANEL CASABLANCA MOCHA</t>
        </is>
      </c>
      <c r="F3073" s="4" t="inlineStr"/>
      <c r="G3073" s="4" t="inlineStr"/>
      <c r="H3073" s="4" t="inlineStr"/>
      <c r="I3073" s="5" t="n">
        <v>1417</v>
      </c>
      <c r="J3073" s="6" t="n">
        <v>15</v>
      </c>
      <c r="K3073" s="7">
        <f>IF(I3073="","",I3073*(1+J3073/100))</f>
        <v/>
      </c>
      <c r="L3073" s="12" t="inlineStr"/>
      <c r="M3073" s="8">
        <f>IF(OR(L3073="",K3073="",L3073=0),"",
  (L3073-K3073)/L3073*100)</f>
        <v/>
      </c>
      <c r="N3073" s="14" t="n">
        <v>14</v>
      </c>
      <c r="O3073" s="4" t="inlineStr"/>
      <c r="P3073" s="4" t="inlineStr"/>
      <c r="Q3073" s="4" t="inlineStr"/>
      <c r="R3073" s="4" t="inlineStr">
        <is>
          <t>2026-03-12</t>
        </is>
      </c>
      <c r="S3073" s="4" t="inlineStr"/>
    </row>
    <row r="3074">
      <c r="A3074" s="10" t="inlineStr">
        <is>
          <t>F03546</t>
        </is>
      </c>
      <c r="B3074" s="10" t="inlineStr">
        <is>
          <t>F03546</t>
        </is>
      </c>
      <c r="C3074" s="10" t="inlineStr"/>
      <c r="D3074" s="10" t="inlineStr">
        <is>
          <t>6009705654854</t>
        </is>
      </c>
      <c r="E3074" s="10" t="inlineStr">
        <is>
          <t>MIRROR SELF STICK 40X60CM MIX SHAPE</t>
        </is>
      </c>
      <c r="F3074" s="10" t="inlineStr"/>
      <c r="G3074" s="10" t="inlineStr"/>
      <c r="H3074" s="10" t="inlineStr"/>
      <c r="I3074" s="11" t="n">
        <v>20</v>
      </c>
      <c r="J3074" s="6" t="n">
        <v>15</v>
      </c>
      <c r="K3074" s="7">
        <f>IF(I3074="","",I3074*(1+J3074/100))</f>
        <v/>
      </c>
      <c r="L3074" s="12" t="inlineStr"/>
      <c r="M3074" s="8">
        <f>IF(OR(L3074="",K3074="",L3074=0),"",
  (L3074-K3074)/L3074*100)</f>
        <v/>
      </c>
      <c r="N3074" s="9" t="inlineStr"/>
      <c r="O3074" s="10" t="inlineStr"/>
      <c r="P3074" s="10" t="inlineStr"/>
      <c r="Q3074" s="10" t="inlineStr"/>
      <c r="R3074" s="10" t="inlineStr">
        <is>
          <t>2026-03-12</t>
        </is>
      </c>
      <c r="S3074" s="10" t="inlineStr"/>
    </row>
    <row r="3075">
      <c r="A3075" s="3" t="inlineStr">
        <is>
          <t>F03547</t>
        </is>
      </c>
      <c r="B3075" s="4" t="inlineStr">
        <is>
          <t>F03547</t>
        </is>
      </c>
      <c r="C3075" s="4" t="inlineStr"/>
      <c r="D3075" s="4" t="inlineStr">
        <is>
          <t>6009705654861</t>
        </is>
      </c>
      <c r="E3075" s="3" t="inlineStr">
        <is>
          <t>MIRROR SELF STICK 1.2X40CM</t>
        </is>
      </c>
      <c r="F3075" s="4" t="inlineStr"/>
      <c r="G3075" s="4" t="inlineStr"/>
      <c r="H3075" s="4" t="inlineStr"/>
      <c r="I3075" s="5" t="n">
        <v>49.95</v>
      </c>
      <c r="J3075" s="6" t="n">
        <v>15</v>
      </c>
      <c r="K3075" s="7">
        <f>IF(I3075="","",I3075*(1+J3075/100))</f>
        <v/>
      </c>
      <c r="L3075" s="12" t="inlineStr"/>
      <c r="M3075" s="8">
        <f>IF(OR(L3075="",K3075="",L3075=0),"",
  (L3075-K3075)/L3075*100)</f>
        <v/>
      </c>
      <c r="N3075" s="9" t="inlineStr"/>
      <c r="O3075" s="4" t="inlineStr"/>
      <c r="P3075" s="4" t="inlineStr"/>
      <c r="Q3075" s="4" t="inlineStr"/>
      <c r="R3075" s="4" t="inlineStr">
        <is>
          <t>2026-03-12</t>
        </is>
      </c>
      <c r="S3075" s="4" t="inlineStr"/>
    </row>
    <row r="3076">
      <c r="A3076" s="10" t="inlineStr">
        <is>
          <t>F03548</t>
        </is>
      </c>
      <c r="B3076" s="10" t="inlineStr">
        <is>
          <t>F03548</t>
        </is>
      </c>
      <c r="C3076" s="10" t="inlineStr"/>
      <c r="D3076" s="10" t="inlineStr">
        <is>
          <t>6009705654878</t>
        </is>
      </c>
      <c r="E3076" s="10" t="inlineStr">
        <is>
          <t>MIRROR SELF STICK 1.2X44</t>
        </is>
      </c>
      <c r="F3076" s="10" t="inlineStr"/>
      <c r="G3076" s="10" t="inlineStr"/>
      <c r="H3076" s="10" t="inlineStr"/>
      <c r="I3076" s="11" t="n">
        <v>199</v>
      </c>
      <c r="J3076" s="6" t="n">
        <v>15</v>
      </c>
      <c r="K3076" s="7">
        <f>IF(I3076="","",I3076*(1+J3076/100))</f>
        <v/>
      </c>
      <c r="L3076" s="12" t="inlineStr"/>
      <c r="M3076" s="8">
        <f>IF(OR(L3076="",K3076="",L3076=0),"",
  (L3076-K3076)/L3076*100)</f>
        <v/>
      </c>
      <c r="N3076" s="9" t="inlineStr"/>
      <c r="O3076" s="10" t="inlineStr"/>
      <c r="P3076" s="10" t="inlineStr"/>
      <c r="Q3076" s="10" t="inlineStr"/>
      <c r="R3076" s="10" t="inlineStr">
        <is>
          <t>2026-03-12</t>
        </is>
      </c>
      <c r="S3076" s="10" t="inlineStr"/>
    </row>
    <row r="3077">
      <c r="A3077" s="3" t="inlineStr">
        <is>
          <t>F03552</t>
        </is>
      </c>
      <c r="B3077" s="4" t="inlineStr">
        <is>
          <t>F03552</t>
        </is>
      </c>
      <c r="C3077" s="4" t="inlineStr"/>
      <c r="D3077" s="4" t="inlineStr">
        <is>
          <t>6009705654915</t>
        </is>
      </c>
      <c r="E3077" s="3" t="inlineStr">
        <is>
          <t>WALL P BLOCK D ARTE MATTE BLACK</t>
        </is>
      </c>
      <c r="F3077" s="4" t="inlineStr"/>
      <c r="G3077" s="4" t="inlineStr"/>
      <c r="H3077" s="4" t="inlineStr"/>
      <c r="I3077" s="5" t="n">
        <v>2397.5</v>
      </c>
      <c r="J3077" s="6" t="n">
        <v>15</v>
      </c>
      <c r="K3077" s="7">
        <f>IF(I3077="","",I3077*(1+J3077/100))</f>
        <v/>
      </c>
      <c r="L3077" s="12" t="inlineStr"/>
      <c r="M3077" s="8">
        <f>IF(OR(L3077="",K3077="",L3077=0),"",
  (L3077-K3077)/L3077*100)</f>
        <v/>
      </c>
      <c r="N3077" s="14" t="n">
        <v>14</v>
      </c>
      <c r="O3077" s="4" t="inlineStr"/>
      <c r="P3077" s="4" t="inlineStr"/>
      <c r="Q3077" s="4" t="inlineStr"/>
      <c r="R3077" s="4" t="inlineStr">
        <is>
          <t>2026-03-12</t>
        </is>
      </c>
      <c r="S3077" s="4" t="inlineStr"/>
    </row>
    <row r="3078">
      <c r="A3078" s="10" t="inlineStr">
        <is>
          <t>F03553</t>
        </is>
      </c>
      <c r="B3078" s="10" t="inlineStr">
        <is>
          <t>F03553</t>
        </is>
      </c>
      <c r="C3078" s="10" t="inlineStr"/>
      <c r="D3078" s="10" t="inlineStr">
        <is>
          <t>6009705654922</t>
        </is>
      </c>
      <c r="E3078" s="10" t="inlineStr">
        <is>
          <t>WALL P BLOCK D ARTE WHITE WOOD</t>
        </is>
      </c>
      <c r="F3078" s="10" t="inlineStr"/>
      <c r="G3078" s="10" t="inlineStr"/>
      <c r="H3078" s="10" t="inlineStr"/>
      <c r="I3078" s="11" t="n">
        <v>2397.5</v>
      </c>
      <c r="J3078" s="6" t="n">
        <v>15</v>
      </c>
      <c r="K3078" s="7">
        <f>IF(I3078="","",I3078*(1+J3078/100))</f>
        <v/>
      </c>
      <c r="L3078" s="12" t="inlineStr"/>
      <c r="M3078" s="8">
        <f>IF(OR(L3078="",K3078="",L3078=0),"",
  (L3078-K3078)/L3078*100)</f>
        <v/>
      </c>
      <c r="N3078" s="13" t="n">
        <v>24</v>
      </c>
      <c r="O3078" s="10" t="inlineStr"/>
      <c r="P3078" s="10" t="inlineStr"/>
      <c r="Q3078" s="10" t="inlineStr"/>
      <c r="R3078" s="10" t="inlineStr">
        <is>
          <t>2026-03-12</t>
        </is>
      </c>
      <c r="S3078" s="10" t="inlineStr"/>
    </row>
    <row r="3079">
      <c r="A3079" s="3" t="inlineStr">
        <is>
          <t>F03554</t>
        </is>
      </c>
      <c r="B3079" s="4" t="inlineStr">
        <is>
          <t>F03554</t>
        </is>
      </c>
      <c r="C3079" s="4" t="inlineStr"/>
      <c r="D3079" s="4" t="inlineStr">
        <is>
          <t>6009705654939</t>
        </is>
      </c>
      <c r="E3079" s="3" t="inlineStr">
        <is>
          <t>WALL P BLOCK D ARTE LIGHT GRAIN WOOD</t>
        </is>
      </c>
      <c r="F3079" s="4" t="inlineStr"/>
      <c r="G3079" s="4" t="inlineStr"/>
      <c r="H3079" s="4" t="inlineStr"/>
      <c r="I3079" s="5" t="n">
        <v>2397.5</v>
      </c>
      <c r="J3079" s="6" t="n">
        <v>15</v>
      </c>
      <c r="K3079" s="7">
        <f>IF(I3079="","",I3079*(1+J3079/100))</f>
        <v/>
      </c>
      <c r="L3079" s="12" t="inlineStr"/>
      <c r="M3079" s="8">
        <f>IF(OR(L3079="",K3079="",L3079=0),"",
  (L3079-K3079)/L3079*100)</f>
        <v/>
      </c>
      <c r="N3079" s="14" t="n">
        <v>22</v>
      </c>
      <c r="O3079" s="4" t="inlineStr"/>
      <c r="P3079" s="4" t="inlineStr"/>
      <c r="Q3079" s="4" t="inlineStr"/>
      <c r="R3079" s="4" t="inlineStr">
        <is>
          <t>2026-03-12</t>
        </is>
      </c>
      <c r="S3079" s="4" t="inlineStr"/>
    </row>
    <row r="3080">
      <c r="A3080" s="10" t="inlineStr">
        <is>
          <t>F03555</t>
        </is>
      </c>
      <c r="B3080" s="10" t="inlineStr">
        <is>
          <t>F03555</t>
        </is>
      </c>
      <c r="C3080" s="10" t="inlineStr"/>
      <c r="D3080" s="10" t="inlineStr">
        <is>
          <t>6009705654946</t>
        </is>
      </c>
      <c r="E3080" s="10" t="inlineStr">
        <is>
          <t>WALL P BLOCK D ARTE BLACKWOOD {BROWN}</t>
        </is>
      </c>
      <c r="F3080" s="10" t="inlineStr"/>
      <c r="G3080" s="10" t="inlineStr"/>
      <c r="H3080" s="10" t="inlineStr"/>
      <c r="I3080" s="11" t="n">
        <v>2397.5</v>
      </c>
      <c r="J3080" s="6" t="n">
        <v>15</v>
      </c>
      <c r="K3080" s="7">
        <f>IF(I3080="","",I3080*(1+J3080/100))</f>
        <v/>
      </c>
      <c r="L3080" s="12" t="inlineStr"/>
      <c r="M3080" s="8">
        <f>IF(OR(L3080="",K3080="",L3080=0),"",
  (L3080-K3080)/L3080*100)</f>
        <v/>
      </c>
      <c r="N3080" s="13" t="n">
        <v>24</v>
      </c>
      <c r="O3080" s="10" t="inlineStr"/>
      <c r="P3080" s="10" t="inlineStr"/>
      <c r="Q3080" s="10" t="inlineStr"/>
      <c r="R3080" s="10" t="inlineStr">
        <is>
          <t>2026-03-12</t>
        </is>
      </c>
      <c r="S3080" s="10" t="inlineStr"/>
    </row>
    <row r="3081">
      <c r="A3081" s="3" t="inlineStr">
        <is>
          <t>F03556</t>
        </is>
      </c>
      <c r="B3081" s="4" t="inlineStr">
        <is>
          <t>F03556</t>
        </is>
      </c>
      <c r="C3081" s="4" t="inlineStr"/>
      <c r="D3081" s="4" t="inlineStr"/>
      <c r="E3081" s="3" t="inlineStr">
        <is>
          <t>WALL P BLOCK D ARTE LIGHT CHAMPAGNE GOLD</t>
        </is>
      </c>
      <c r="F3081" s="4" t="inlineStr"/>
      <c r="G3081" s="4" t="inlineStr"/>
      <c r="H3081" s="4" t="inlineStr"/>
      <c r="I3081" s="5" t="n">
        <v>2697.5</v>
      </c>
      <c r="J3081" s="6" t="n">
        <v>15</v>
      </c>
      <c r="K3081" s="7">
        <f>IF(I3081="","",I3081*(1+J3081/100))</f>
        <v/>
      </c>
      <c r="L3081" s="12" t="inlineStr"/>
      <c r="M3081" s="8">
        <f>IF(OR(L3081="",K3081="",L3081=0),"",
  (L3081-K3081)/L3081*100)</f>
        <v/>
      </c>
      <c r="N3081" s="14" t="n">
        <v>20</v>
      </c>
      <c r="O3081" s="4" t="inlineStr"/>
      <c r="P3081" s="4" t="inlineStr"/>
      <c r="Q3081" s="4" t="inlineStr"/>
      <c r="R3081" s="4" t="inlineStr">
        <is>
          <t>2026-03-12</t>
        </is>
      </c>
      <c r="S3081" s="4" t="inlineStr"/>
    </row>
    <row r="3082">
      <c r="A3082" s="10" t="inlineStr">
        <is>
          <t>F03557</t>
        </is>
      </c>
      <c r="B3082" s="10" t="inlineStr">
        <is>
          <t>F03557</t>
        </is>
      </c>
      <c r="C3082" s="10" t="inlineStr"/>
      <c r="D3082" s="10" t="inlineStr">
        <is>
          <t>6009705654960</t>
        </is>
      </c>
      <c r="E3082" s="10" t="inlineStr">
        <is>
          <t>WALL P BLOCK D ARTE MATTE BLACK</t>
        </is>
      </c>
      <c r="F3082" s="10" t="inlineStr"/>
      <c r="G3082" s="10" t="inlineStr"/>
      <c r="H3082" s="10" t="inlineStr"/>
      <c r="I3082" s="11" t="n">
        <v>2397.5</v>
      </c>
      <c r="J3082" s="6" t="n">
        <v>15</v>
      </c>
      <c r="K3082" s="7">
        <f>IF(I3082="","",I3082*(1+J3082/100))</f>
        <v/>
      </c>
      <c r="L3082" s="12" t="inlineStr"/>
      <c r="M3082" s="8">
        <f>IF(OR(L3082="",K3082="",L3082=0),"",
  (L3082-K3082)/L3082*100)</f>
        <v/>
      </c>
      <c r="N3082" s="13" t="n">
        <v>19</v>
      </c>
      <c r="O3082" s="10" t="inlineStr"/>
      <c r="P3082" s="10" t="inlineStr"/>
      <c r="Q3082" s="10" t="inlineStr"/>
      <c r="R3082" s="10" t="inlineStr">
        <is>
          <t>2026-03-12</t>
        </is>
      </c>
      <c r="S3082" s="10" t="inlineStr"/>
    </row>
    <row r="3083">
      <c r="A3083" s="3" t="inlineStr">
        <is>
          <t>F03558</t>
        </is>
      </c>
      <c r="B3083" s="4" t="inlineStr">
        <is>
          <t>F03558</t>
        </is>
      </c>
      <c r="C3083" s="4" t="inlineStr"/>
      <c r="D3083" s="4" t="inlineStr">
        <is>
          <t>6009705654977</t>
        </is>
      </c>
      <c r="E3083" s="3" t="inlineStr">
        <is>
          <t>WALL P BLOCK D ARTE WHITE WOOD</t>
        </is>
      </c>
      <c r="F3083" s="4" t="inlineStr"/>
      <c r="G3083" s="4" t="inlineStr"/>
      <c r="H3083" s="4" t="inlineStr"/>
      <c r="I3083" s="5" t="n">
        <v>2397.5</v>
      </c>
      <c r="J3083" s="6" t="n">
        <v>15</v>
      </c>
      <c r="K3083" s="7">
        <f>IF(I3083="","",I3083*(1+J3083/100))</f>
        <v/>
      </c>
      <c r="L3083" s="12" t="inlineStr"/>
      <c r="M3083" s="8">
        <f>IF(OR(L3083="",K3083="",L3083=0),"",
  (L3083-K3083)/L3083*100)</f>
        <v/>
      </c>
      <c r="N3083" s="14" t="n">
        <v>22</v>
      </c>
      <c r="O3083" s="4" t="inlineStr"/>
      <c r="P3083" s="4" t="inlineStr"/>
      <c r="Q3083" s="4" t="inlineStr"/>
      <c r="R3083" s="4" t="inlineStr">
        <is>
          <t>2026-03-12</t>
        </is>
      </c>
      <c r="S3083" s="4" t="inlineStr"/>
    </row>
    <row r="3084">
      <c r="A3084" s="10" t="inlineStr">
        <is>
          <t>F03559</t>
        </is>
      </c>
      <c r="B3084" s="10" t="inlineStr">
        <is>
          <t>F03559</t>
        </is>
      </c>
      <c r="C3084" s="10" t="inlineStr"/>
      <c r="D3084" s="10" t="inlineStr">
        <is>
          <t>6009705654984</t>
        </is>
      </c>
      <c r="E3084" s="10" t="inlineStr">
        <is>
          <t>WALL P BLOCK D ARTE LIGHTGRAIN WOOD</t>
        </is>
      </c>
      <c r="F3084" s="10" t="inlineStr"/>
      <c r="G3084" s="10" t="inlineStr"/>
      <c r="H3084" s="10" t="inlineStr"/>
      <c r="I3084" s="11" t="n">
        <v>2397.5</v>
      </c>
      <c r="J3084" s="6" t="n">
        <v>15</v>
      </c>
      <c r="K3084" s="7">
        <f>IF(I3084="","",I3084*(1+J3084/100))</f>
        <v/>
      </c>
      <c r="L3084" s="12" t="inlineStr"/>
      <c r="M3084" s="8">
        <f>IF(OR(L3084="",K3084="",L3084=0),"",
  (L3084-K3084)/L3084*100)</f>
        <v/>
      </c>
      <c r="N3084" s="13" t="n">
        <v>18</v>
      </c>
      <c r="O3084" s="10" t="inlineStr"/>
      <c r="P3084" s="10" t="inlineStr"/>
      <c r="Q3084" s="10" t="inlineStr"/>
      <c r="R3084" s="10" t="inlineStr">
        <is>
          <t>2026-03-12</t>
        </is>
      </c>
      <c r="S3084" s="10" t="inlineStr"/>
    </row>
    <row r="3085">
      <c r="A3085" s="3" t="inlineStr">
        <is>
          <t>F03560</t>
        </is>
      </c>
      <c r="B3085" s="4" t="inlineStr">
        <is>
          <t>F03560</t>
        </is>
      </c>
      <c r="C3085" s="4" t="inlineStr"/>
      <c r="D3085" s="4" t="inlineStr">
        <is>
          <t>6009705654991</t>
        </is>
      </c>
      <c r="E3085" s="3" t="inlineStr">
        <is>
          <t>WALL P BLOCK D ARTE BLACKWOOD</t>
        </is>
      </c>
      <c r="F3085" s="4" t="inlineStr"/>
      <c r="G3085" s="4" t="inlineStr"/>
      <c r="H3085" s="4" t="inlineStr"/>
      <c r="I3085" s="5" t="n">
        <v>2397.5</v>
      </c>
      <c r="J3085" s="6" t="n">
        <v>15</v>
      </c>
      <c r="K3085" s="7">
        <f>IF(I3085="","",I3085*(1+J3085/100))</f>
        <v/>
      </c>
      <c r="L3085" s="12" t="inlineStr"/>
      <c r="M3085" s="8">
        <f>IF(OR(L3085="",K3085="",L3085=0),"",
  (L3085-K3085)/L3085*100)</f>
        <v/>
      </c>
      <c r="N3085" s="14" t="n">
        <v>16</v>
      </c>
      <c r="O3085" s="4" t="inlineStr"/>
      <c r="P3085" s="4" t="inlineStr"/>
      <c r="Q3085" s="4" t="inlineStr"/>
      <c r="R3085" s="4" t="inlineStr">
        <is>
          <t>2026-03-12</t>
        </is>
      </c>
      <c r="S3085" s="4" t="inlineStr"/>
    </row>
    <row r="3086">
      <c r="A3086" s="10" t="inlineStr">
        <is>
          <t>F03561</t>
        </is>
      </c>
      <c r="B3086" s="10" t="inlineStr">
        <is>
          <t>F03561</t>
        </is>
      </c>
      <c r="C3086" s="10" t="inlineStr"/>
      <c r="D3086" s="10" t="inlineStr">
        <is>
          <t>6009705655004</t>
        </is>
      </c>
      <c r="E3086" s="10" t="inlineStr">
        <is>
          <t>WALL P BLOCK D ARTE CHAMPAGNE GOLD</t>
        </is>
      </c>
      <c r="F3086" s="10" t="inlineStr"/>
      <c r="G3086" s="10" t="inlineStr"/>
      <c r="H3086" s="10" t="inlineStr"/>
      <c r="I3086" s="11" t="n">
        <v>2697.5</v>
      </c>
      <c r="J3086" s="6" t="n">
        <v>15</v>
      </c>
      <c r="K3086" s="7">
        <f>IF(I3086="","",I3086*(1+J3086/100))</f>
        <v/>
      </c>
      <c r="L3086" s="12" t="inlineStr"/>
      <c r="M3086" s="8">
        <f>IF(OR(L3086="",K3086="",L3086=0),"",
  (L3086-K3086)/L3086*100)</f>
        <v/>
      </c>
      <c r="N3086" s="13" t="n">
        <v>23</v>
      </c>
      <c r="O3086" s="10" t="inlineStr"/>
      <c r="P3086" s="10" t="inlineStr"/>
      <c r="Q3086" s="10" t="inlineStr"/>
      <c r="R3086" s="10" t="inlineStr">
        <is>
          <t>2026-03-12</t>
        </is>
      </c>
      <c r="S3086" s="10" t="inlineStr"/>
    </row>
    <row r="3087">
      <c r="A3087" s="3" t="inlineStr">
        <is>
          <t>F03562</t>
        </is>
      </c>
      <c r="B3087" s="4" t="inlineStr">
        <is>
          <t>F03562</t>
        </is>
      </c>
      <c r="C3087" s="4" t="inlineStr"/>
      <c r="D3087" s="4" t="inlineStr">
        <is>
          <t>6009705655011</t>
        </is>
      </c>
      <c r="E3087" s="3" t="inlineStr">
        <is>
          <t>WALL PANEL CIRCLE BLACK 50X50CM</t>
        </is>
      </c>
      <c r="F3087" s="4" t="inlineStr"/>
      <c r="G3087" s="4" t="inlineStr"/>
      <c r="H3087" s="4" t="inlineStr"/>
      <c r="I3087" s="5" t="n">
        <v>20</v>
      </c>
      <c r="J3087" s="6" t="n">
        <v>15</v>
      </c>
      <c r="K3087" s="7">
        <f>IF(I3087="","",I3087*(1+J3087/100))</f>
        <v/>
      </c>
      <c r="L3087" s="12" t="inlineStr"/>
      <c r="M3087" s="8">
        <f>IF(OR(L3087="",K3087="",L3087=0),"",
  (L3087-K3087)/L3087*100)</f>
        <v/>
      </c>
      <c r="N3087" s="9" t="inlineStr"/>
      <c r="O3087" s="4" t="inlineStr"/>
      <c r="P3087" s="4" t="inlineStr"/>
      <c r="Q3087" s="4" t="inlineStr"/>
      <c r="R3087" s="4" t="inlineStr">
        <is>
          <t>2026-03-12</t>
        </is>
      </c>
      <c r="S3087" s="4" t="inlineStr"/>
    </row>
    <row r="3088">
      <c r="A3088" s="10" t="inlineStr">
        <is>
          <t>F03563</t>
        </is>
      </c>
      <c r="B3088" s="10" t="inlineStr">
        <is>
          <t>F03563</t>
        </is>
      </c>
      <c r="C3088" s="10" t="inlineStr"/>
      <c r="D3088" s="10" t="inlineStr">
        <is>
          <t>6009705654953</t>
        </is>
      </c>
      <c r="E3088" s="10" t="inlineStr">
        <is>
          <t>WALL PANEL WHITE WOOD 50X50CM</t>
        </is>
      </c>
      <c r="F3088" s="10" t="inlineStr"/>
      <c r="G3088" s="10" t="inlineStr"/>
      <c r="H3088" s="10" t="inlineStr"/>
      <c r="I3088" s="11" t="n">
        <v>20</v>
      </c>
      <c r="J3088" s="6" t="n">
        <v>15</v>
      </c>
      <c r="K3088" s="7">
        <f>IF(I3088="","",I3088*(1+J3088/100))</f>
        <v/>
      </c>
      <c r="L3088" s="12" t="inlineStr"/>
      <c r="M3088" s="8">
        <f>IF(OR(L3088="",K3088="",L3088=0),"",
  (L3088-K3088)/L3088*100)</f>
        <v/>
      </c>
      <c r="N3088" s="9" t="inlineStr"/>
      <c r="O3088" s="10" t="inlineStr"/>
      <c r="P3088" s="10" t="inlineStr"/>
      <c r="Q3088" s="10" t="inlineStr"/>
      <c r="R3088" s="10" t="inlineStr">
        <is>
          <t>2026-03-12</t>
        </is>
      </c>
      <c r="S3088" s="10" t="inlineStr"/>
    </row>
    <row r="3089">
      <c r="A3089" s="3" t="inlineStr">
        <is>
          <t>F03564</t>
        </is>
      </c>
      <c r="B3089" s="4" t="inlineStr">
        <is>
          <t>F03564</t>
        </is>
      </c>
      <c r="C3089" s="4" t="inlineStr"/>
      <c r="D3089" s="4" t="inlineStr">
        <is>
          <t>6009705655035</t>
        </is>
      </c>
      <c r="E3089" s="3" t="inlineStr">
        <is>
          <t>TRIMMER LINE 1.6X6M MIX COLOR</t>
        </is>
      </c>
      <c r="F3089" s="4" t="inlineStr"/>
      <c r="G3089" s="4" t="inlineStr"/>
      <c r="H3089" s="4" t="inlineStr"/>
      <c r="I3089" s="5" t="n">
        <v>6.95</v>
      </c>
      <c r="J3089" s="6" t="n">
        <v>15</v>
      </c>
      <c r="K3089" s="7">
        <f>IF(I3089="","",I3089*(1+J3089/100))</f>
        <v/>
      </c>
      <c r="L3089" s="12" t="inlineStr"/>
      <c r="M3089" s="8">
        <f>IF(OR(L3089="",K3089="",L3089=0),"",
  (L3089-K3089)/L3089*100)</f>
        <v/>
      </c>
      <c r="N3089" s="14" t="n">
        <v>835</v>
      </c>
      <c r="O3089" s="4" t="inlineStr"/>
      <c r="P3089" s="4" t="inlineStr"/>
      <c r="Q3089" s="4" t="inlineStr"/>
      <c r="R3089" s="4" t="inlineStr">
        <is>
          <t>2026-03-12</t>
        </is>
      </c>
      <c r="S3089" s="4" t="inlineStr"/>
    </row>
    <row r="3090">
      <c r="A3090" s="10" t="inlineStr">
        <is>
          <t>F03565</t>
        </is>
      </c>
      <c r="B3090" s="10" t="inlineStr">
        <is>
          <t>F03565</t>
        </is>
      </c>
      <c r="C3090" s="10" t="inlineStr"/>
      <c r="D3090" s="10" t="inlineStr">
        <is>
          <t>6009705655042</t>
        </is>
      </c>
      <c r="E3090" s="10" t="inlineStr">
        <is>
          <t>TRIMMER LINE 2X6M MIX COLOR</t>
        </is>
      </c>
      <c r="F3090" s="10" t="inlineStr"/>
      <c r="G3090" s="10" t="inlineStr"/>
      <c r="H3090" s="10" t="inlineStr"/>
      <c r="I3090" s="11" t="n">
        <v>8.949999999999999</v>
      </c>
      <c r="J3090" s="6" t="n">
        <v>15</v>
      </c>
      <c r="K3090" s="7">
        <f>IF(I3090="","",I3090*(1+J3090/100))</f>
        <v/>
      </c>
      <c r="L3090" s="12" t="inlineStr"/>
      <c r="M3090" s="8">
        <f>IF(OR(L3090="",K3090="",L3090=0),"",
  (L3090-K3090)/L3090*100)</f>
        <v/>
      </c>
      <c r="N3090" s="13" t="n">
        <v>872</v>
      </c>
      <c r="O3090" s="10" t="inlineStr"/>
      <c r="P3090" s="10" t="inlineStr"/>
      <c r="Q3090" s="10" t="inlineStr"/>
      <c r="R3090" s="10" t="inlineStr">
        <is>
          <t>2026-03-12</t>
        </is>
      </c>
      <c r="S3090" s="10" t="inlineStr"/>
    </row>
    <row r="3091">
      <c r="A3091" s="3" t="inlineStr">
        <is>
          <t>F03566</t>
        </is>
      </c>
      <c r="B3091" s="4" t="inlineStr">
        <is>
          <t>F03566</t>
        </is>
      </c>
      <c r="C3091" s="4" t="inlineStr"/>
      <c r="D3091" s="4" t="inlineStr">
        <is>
          <t>6009705655059</t>
        </is>
      </c>
      <c r="E3091" s="3" t="inlineStr">
        <is>
          <t>TRIMMER LINE 2.4X6M MIX COLOR</t>
        </is>
      </c>
      <c r="F3091" s="4" t="inlineStr"/>
      <c r="G3091" s="4" t="inlineStr"/>
      <c r="H3091" s="4" t="inlineStr"/>
      <c r="I3091" s="5" t="n">
        <v>11.5</v>
      </c>
      <c r="J3091" s="6" t="n">
        <v>15</v>
      </c>
      <c r="K3091" s="7">
        <f>IF(I3091="","",I3091*(1+J3091/100))</f>
        <v/>
      </c>
      <c r="L3091" s="12" t="inlineStr"/>
      <c r="M3091" s="8">
        <f>IF(OR(L3091="",K3091="",L3091=0),"",
  (L3091-K3091)/L3091*100)</f>
        <v/>
      </c>
      <c r="N3091" s="14" t="n">
        <v>732</v>
      </c>
      <c r="O3091" s="4" t="inlineStr"/>
      <c r="P3091" s="4" t="inlineStr"/>
      <c r="Q3091" s="4" t="inlineStr"/>
      <c r="R3091" s="4" t="inlineStr">
        <is>
          <t>2026-03-12</t>
        </is>
      </c>
      <c r="S3091" s="4" t="inlineStr"/>
    </row>
    <row r="3092">
      <c r="A3092" s="10" t="inlineStr">
        <is>
          <t>F03567</t>
        </is>
      </c>
      <c r="B3092" s="10" t="inlineStr">
        <is>
          <t>F03567</t>
        </is>
      </c>
      <c r="C3092" s="10" t="inlineStr"/>
      <c r="D3092" s="10" t="inlineStr">
        <is>
          <t>6009705655066</t>
        </is>
      </c>
      <c r="E3092" s="10" t="inlineStr">
        <is>
          <t>TRIMMER LINE 1.6X10M MIX COLOR</t>
        </is>
      </c>
      <c r="F3092" s="10" t="inlineStr"/>
      <c r="G3092" s="10" t="inlineStr"/>
      <c r="H3092" s="10" t="inlineStr"/>
      <c r="I3092" s="11" t="n">
        <v>9.949999999999999</v>
      </c>
      <c r="J3092" s="6" t="n">
        <v>15</v>
      </c>
      <c r="K3092" s="7">
        <f>IF(I3092="","",I3092*(1+J3092/100))</f>
        <v/>
      </c>
      <c r="L3092" s="12" t="inlineStr"/>
      <c r="M3092" s="8">
        <f>IF(OR(L3092="",K3092="",L3092=0),"",
  (L3092-K3092)/L3092*100)</f>
        <v/>
      </c>
      <c r="N3092" s="13" t="n">
        <v>134</v>
      </c>
      <c r="O3092" s="10" t="inlineStr"/>
      <c r="P3092" s="10" t="inlineStr"/>
      <c r="Q3092" s="10" t="inlineStr"/>
      <c r="R3092" s="10" t="inlineStr">
        <is>
          <t>2026-03-12</t>
        </is>
      </c>
      <c r="S3092" s="10" t="inlineStr"/>
    </row>
    <row r="3093">
      <c r="A3093" s="3" t="inlineStr">
        <is>
          <t>F03568</t>
        </is>
      </c>
      <c r="B3093" s="4" t="inlineStr">
        <is>
          <t>F03568</t>
        </is>
      </c>
      <c r="C3093" s="4" t="inlineStr"/>
      <c r="D3093" s="4" t="inlineStr">
        <is>
          <t>6009705655073</t>
        </is>
      </c>
      <c r="E3093" s="3" t="inlineStr">
        <is>
          <t>TRIMMER LINE 2X10M  MIX COLOR</t>
        </is>
      </c>
      <c r="F3093" s="4" t="inlineStr"/>
      <c r="G3093" s="4" t="inlineStr"/>
      <c r="H3093" s="4" t="inlineStr"/>
      <c r="I3093" s="5" t="n">
        <v>10.95</v>
      </c>
      <c r="J3093" s="6" t="n">
        <v>15</v>
      </c>
      <c r="K3093" s="7">
        <f>IF(I3093="","",I3093*(1+J3093/100))</f>
        <v/>
      </c>
      <c r="L3093" s="12" t="inlineStr"/>
      <c r="M3093" s="8">
        <f>IF(OR(L3093="",K3093="",L3093=0),"",
  (L3093-K3093)/L3093*100)</f>
        <v/>
      </c>
      <c r="N3093" s="14" t="n">
        <v>12</v>
      </c>
      <c r="O3093" s="4" t="inlineStr"/>
      <c r="P3093" s="4" t="inlineStr"/>
      <c r="Q3093" s="4" t="inlineStr"/>
      <c r="R3093" s="4" t="inlineStr">
        <is>
          <t>2026-03-12</t>
        </is>
      </c>
      <c r="S3093" s="4" t="inlineStr"/>
    </row>
    <row r="3094">
      <c r="A3094" s="10" t="inlineStr">
        <is>
          <t>F03569</t>
        </is>
      </c>
      <c r="B3094" s="10" t="inlineStr">
        <is>
          <t>F03569</t>
        </is>
      </c>
      <c r="C3094" s="10" t="inlineStr"/>
      <c r="D3094" s="10" t="inlineStr">
        <is>
          <t>6009705655080</t>
        </is>
      </c>
      <c r="E3094" s="10" t="inlineStr">
        <is>
          <t>TRIMMER LINE 2.4X10M MIX COLOR</t>
        </is>
      </c>
      <c r="F3094" s="10" t="inlineStr"/>
      <c r="G3094" s="10" t="inlineStr"/>
      <c r="H3094" s="10" t="inlineStr"/>
      <c r="I3094" s="11" t="n">
        <v>13.95</v>
      </c>
      <c r="J3094" s="6" t="n">
        <v>15</v>
      </c>
      <c r="K3094" s="7">
        <f>IF(I3094="","",I3094*(1+J3094/100))</f>
        <v/>
      </c>
      <c r="L3094" s="12" t="inlineStr"/>
      <c r="M3094" s="8">
        <f>IF(OR(L3094="",K3094="",L3094=0),"",
  (L3094-K3094)/L3094*100)</f>
        <v/>
      </c>
      <c r="N3094" s="9" t="inlineStr"/>
      <c r="O3094" s="10" t="inlineStr"/>
      <c r="P3094" s="10" t="inlineStr"/>
      <c r="Q3094" s="10" t="inlineStr"/>
      <c r="R3094" s="10" t="inlineStr">
        <is>
          <t>2026-03-12</t>
        </is>
      </c>
      <c r="S3094" s="10" t="inlineStr"/>
    </row>
    <row r="3095">
      <c r="A3095" s="3" t="inlineStr">
        <is>
          <t>F03570</t>
        </is>
      </c>
      <c r="B3095" s="4" t="inlineStr">
        <is>
          <t>F03570</t>
        </is>
      </c>
      <c r="C3095" s="4" t="inlineStr"/>
      <c r="D3095" s="4" t="inlineStr">
        <is>
          <t>6009705655097</t>
        </is>
      </c>
      <c r="E3095" s="3" t="inlineStr">
        <is>
          <t>GARDEN SET 3PCS WOODEN HANDLE</t>
        </is>
      </c>
      <c r="F3095" s="4" t="inlineStr"/>
      <c r="G3095" s="4" t="inlineStr"/>
      <c r="H3095" s="4" t="inlineStr"/>
      <c r="I3095" s="5" t="n">
        <v>34.95</v>
      </c>
      <c r="J3095" s="6" t="n">
        <v>15</v>
      </c>
      <c r="K3095" s="7">
        <f>IF(I3095="","",I3095*(1+J3095/100))</f>
        <v/>
      </c>
      <c r="L3095" s="12" t="inlineStr"/>
      <c r="M3095" s="8">
        <f>IF(OR(L3095="",K3095="",L3095=0),"",
  (L3095-K3095)/L3095*100)</f>
        <v/>
      </c>
      <c r="N3095" s="9" t="inlineStr"/>
      <c r="O3095" s="4" t="inlineStr"/>
      <c r="P3095" s="4" t="inlineStr"/>
      <c r="Q3095" s="4" t="inlineStr"/>
      <c r="R3095" s="4" t="inlineStr">
        <is>
          <t>2026-03-12</t>
        </is>
      </c>
      <c r="S3095" s="4" t="inlineStr"/>
    </row>
    <row r="3096">
      <c r="A3096" s="10" t="inlineStr">
        <is>
          <t>F03571</t>
        </is>
      </c>
      <c r="B3096" s="10" t="inlineStr">
        <is>
          <t>F03571</t>
        </is>
      </c>
      <c r="C3096" s="10" t="inlineStr"/>
      <c r="D3096" s="10" t="inlineStr">
        <is>
          <t>6009705655103</t>
        </is>
      </c>
      <c r="E3096" s="10" t="inlineStr">
        <is>
          <t>PLIER 3PC SET D.I.Y</t>
        </is>
      </c>
      <c r="F3096" s="10" t="inlineStr"/>
      <c r="G3096" s="10" t="inlineStr"/>
      <c r="H3096" s="10" t="inlineStr"/>
      <c r="I3096" s="11" t="n">
        <v>94.95</v>
      </c>
      <c r="J3096" s="6" t="n">
        <v>15</v>
      </c>
      <c r="K3096" s="7">
        <f>IF(I3096="","",I3096*(1+J3096/100))</f>
        <v/>
      </c>
      <c r="L3096" s="12" t="inlineStr"/>
      <c r="M3096" s="8">
        <f>IF(OR(L3096="",K3096="",L3096=0),"",
  (L3096-K3096)/L3096*100)</f>
        <v/>
      </c>
      <c r="N3096" s="13" t="n">
        <v>117</v>
      </c>
      <c r="O3096" s="10" t="inlineStr"/>
      <c r="P3096" s="10" t="inlineStr"/>
      <c r="Q3096" s="10" t="inlineStr"/>
      <c r="R3096" s="10" t="inlineStr">
        <is>
          <t>2026-03-12</t>
        </is>
      </c>
      <c r="S3096" s="10" t="inlineStr"/>
    </row>
    <row r="3097">
      <c r="A3097" s="3" t="inlineStr">
        <is>
          <t>F03572</t>
        </is>
      </c>
      <c r="B3097" s="4" t="inlineStr">
        <is>
          <t>F03572</t>
        </is>
      </c>
      <c r="C3097" s="4" t="inlineStr"/>
      <c r="D3097" s="4" t="inlineStr">
        <is>
          <t>6009705655110</t>
        </is>
      </c>
      <c r="E3097" s="3" t="inlineStr">
        <is>
          <t>TROWEL PLAIN RUBBER HANDLE BETTER QLTY</t>
        </is>
      </c>
      <c r="F3097" s="4" t="inlineStr"/>
      <c r="G3097" s="4" t="inlineStr"/>
      <c r="H3097" s="4" t="inlineStr"/>
      <c r="I3097" s="5" t="n">
        <v>27.95</v>
      </c>
      <c r="J3097" s="6" t="n">
        <v>15</v>
      </c>
      <c r="K3097" s="7">
        <f>IF(I3097="","",I3097*(1+J3097/100))</f>
        <v/>
      </c>
      <c r="L3097" s="12" t="inlineStr"/>
      <c r="M3097" s="8">
        <f>IF(OR(L3097="",K3097="",L3097=0),"",
  (L3097-K3097)/L3097*100)</f>
        <v/>
      </c>
      <c r="N3097" s="14" t="n">
        <v>25</v>
      </c>
      <c r="O3097" s="4" t="inlineStr"/>
      <c r="P3097" s="4" t="inlineStr"/>
      <c r="Q3097" s="4" t="inlineStr"/>
      <c r="R3097" s="4" t="inlineStr">
        <is>
          <t>2026-03-12</t>
        </is>
      </c>
      <c r="S3097" s="4" t="inlineStr"/>
    </row>
    <row r="3098">
      <c r="A3098" s="10" t="inlineStr">
        <is>
          <t>F03573</t>
        </is>
      </c>
      <c r="B3098" s="10" t="inlineStr">
        <is>
          <t>F03573</t>
        </is>
      </c>
      <c r="C3098" s="10" t="inlineStr"/>
      <c r="D3098" s="10" t="inlineStr">
        <is>
          <t>6009705655127</t>
        </is>
      </c>
      <c r="E3098" s="10" t="inlineStr">
        <is>
          <t>BRICK TROWEL 8" RUBY HANDLE</t>
        </is>
      </c>
      <c r="F3098" s="10" t="inlineStr"/>
      <c r="G3098" s="10" t="inlineStr"/>
      <c r="H3098" s="10" t="inlineStr"/>
      <c r="I3098" s="11" t="n">
        <v>32.95</v>
      </c>
      <c r="J3098" s="6" t="n">
        <v>15</v>
      </c>
      <c r="K3098" s="7">
        <f>IF(I3098="","",I3098*(1+J3098/100))</f>
        <v/>
      </c>
      <c r="L3098" s="12" t="inlineStr"/>
      <c r="M3098" s="8">
        <f>IF(OR(L3098="",K3098="",L3098=0),"",
  (L3098-K3098)/L3098*100)</f>
        <v/>
      </c>
      <c r="N3098" s="13" t="n">
        <v>474</v>
      </c>
      <c r="O3098" s="10" t="inlineStr"/>
      <c r="P3098" s="10" t="inlineStr"/>
      <c r="Q3098" s="10" t="inlineStr"/>
      <c r="R3098" s="10" t="inlineStr">
        <is>
          <t>2026-03-12</t>
        </is>
      </c>
      <c r="S3098" s="10" t="inlineStr"/>
    </row>
    <row r="3099">
      <c r="A3099" s="3" t="inlineStr">
        <is>
          <t>F03574</t>
        </is>
      </c>
      <c r="B3099" s="4" t="inlineStr">
        <is>
          <t>F03574</t>
        </is>
      </c>
      <c r="C3099" s="4" t="inlineStr"/>
      <c r="D3099" s="4" t="inlineStr">
        <is>
          <t>6009705655134</t>
        </is>
      </c>
      <c r="E3099" s="3" t="inlineStr">
        <is>
          <t>BRICK TROWEL 10'' RUBY HANDLE</t>
        </is>
      </c>
      <c r="F3099" s="4" t="inlineStr"/>
      <c r="G3099" s="4" t="inlineStr"/>
      <c r="H3099" s="4" t="inlineStr"/>
      <c r="I3099" s="5" t="n">
        <v>35.95</v>
      </c>
      <c r="J3099" s="6" t="n">
        <v>15</v>
      </c>
      <c r="K3099" s="7">
        <f>IF(I3099="","",I3099*(1+J3099/100))</f>
        <v/>
      </c>
      <c r="L3099" s="12" t="inlineStr"/>
      <c r="M3099" s="8">
        <f>IF(OR(L3099="",K3099="",L3099=0),"",
  (L3099-K3099)/L3099*100)</f>
        <v/>
      </c>
      <c r="N3099" s="14" t="n">
        <v>453</v>
      </c>
      <c r="O3099" s="4" t="inlineStr"/>
      <c r="P3099" s="4" t="inlineStr"/>
      <c r="Q3099" s="4" t="inlineStr"/>
      <c r="R3099" s="4" t="inlineStr">
        <is>
          <t>2026-03-12</t>
        </is>
      </c>
      <c r="S3099" s="4" t="inlineStr"/>
    </row>
    <row r="3100">
      <c r="A3100" s="10" t="inlineStr">
        <is>
          <t>F03575</t>
        </is>
      </c>
      <c r="B3100" s="10" t="inlineStr">
        <is>
          <t>F03575</t>
        </is>
      </c>
      <c r="C3100" s="10" t="inlineStr"/>
      <c r="D3100" s="10" t="inlineStr">
        <is>
          <t>6009705655141</t>
        </is>
      </c>
      <c r="E3100" s="10" t="inlineStr">
        <is>
          <t>PLIER PRO SIDE CUTTER  3IN1</t>
        </is>
      </c>
      <c r="F3100" s="10" t="inlineStr"/>
      <c r="G3100" s="10" t="inlineStr"/>
      <c r="H3100" s="10" t="inlineStr"/>
      <c r="I3100" s="11" t="n">
        <v>89.95</v>
      </c>
      <c r="J3100" s="6" t="n">
        <v>15</v>
      </c>
      <c r="K3100" s="7">
        <f>IF(I3100="","",I3100*(1+J3100/100))</f>
        <v/>
      </c>
      <c r="L3100" s="12" t="inlineStr"/>
      <c r="M3100" s="8">
        <f>IF(OR(L3100="",K3100="",L3100=0),"",
  (L3100-K3100)/L3100*100)</f>
        <v/>
      </c>
      <c r="N3100" s="9" t="inlineStr"/>
      <c r="O3100" s="10" t="inlineStr"/>
      <c r="P3100" s="10" t="inlineStr"/>
      <c r="Q3100" s="10" t="inlineStr"/>
      <c r="R3100" s="10" t="inlineStr">
        <is>
          <t>2026-03-12</t>
        </is>
      </c>
      <c r="S3100" s="10" t="inlineStr"/>
    </row>
    <row r="3101">
      <c r="A3101" s="3" t="inlineStr">
        <is>
          <t>F03576</t>
        </is>
      </c>
      <c r="B3101" s="4" t="inlineStr">
        <is>
          <t>F03576</t>
        </is>
      </c>
      <c r="C3101" s="4" t="inlineStr"/>
      <c r="D3101" s="4" t="inlineStr">
        <is>
          <t>6009705655158</t>
        </is>
      </c>
      <c r="E3101" s="3" t="inlineStr">
        <is>
          <t>PLIER PRO COMBINATION 5IN1</t>
        </is>
      </c>
      <c r="F3101" s="4" t="inlineStr"/>
      <c r="G3101" s="4" t="inlineStr"/>
      <c r="H3101" s="4" t="inlineStr"/>
      <c r="I3101" s="5" t="n">
        <v>89.95</v>
      </c>
      <c r="J3101" s="6" t="n">
        <v>15</v>
      </c>
      <c r="K3101" s="7">
        <f>IF(I3101="","",I3101*(1+J3101/100))</f>
        <v/>
      </c>
      <c r="L3101" s="12" t="inlineStr"/>
      <c r="M3101" s="8">
        <f>IF(OR(L3101="",K3101="",L3101=0),"",
  (L3101-K3101)/L3101*100)</f>
        <v/>
      </c>
      <c r="N3101" s="9" t="inlineStr"/>
      <c r="O3101" s="4" t="inlineStr"/>
      <c r="P3101" s="4" t="inlineStr"/>
      <c r="Q3101" s="4" t="inlineStr"/>
      <c r="R3101" s="4" t="inlineStr">
        <is>
          <t>2026-03-12</t>
        </is>
      </c>
      <c r="S3101" s="4" t="inlineStr"/>
    </row>
    <row r="3102">
      <c r="A3102" s="10" t="inlineStr">
        <is>
          <t>F03577</t>
        </is>
      </c>
      <c r="B3102" s="10" t="inlineStr">
        <is>
          <t>F03577</t>
        </is>
      </c>
      <c r="C3102" s="10" t="inlineStr"/>
      <c r="D3102" s="10" t="inlineStr">
        <is>
          <t>6009705655165</t>
        </is>
      </c>
      <c r="E3102" s="10" t="inlineStr">
        <is>
          <t>PLIER PRO LONG NOSE 4IN1</t>
        </is>
      </c>
      <c r="F3102" s="10" t="inlineStr"/>
      <c r="G3102" s="10" t="inlineStr"/>
      <c r="H3102" s="10" t="inlineStr"/>
      <c r="I3102" s="11" t="n">
        <v>87.95</v>
      </c>
      <c r="J3102" s="6" t="n">
        <v>15</v>
      </c>
      <c r="K3102" s="7">
        <f>IF(I3102="","",I3102*(1+J3102/100))</f>
        <v/>
      </c>
      <c r="L3102" s="12" t="inlineStr"/>
      <c r="M3102" s="8">
        <f>IF(OR(L3102="",K3102="",L3102=0),"",
  (L3102-K3102)/L3102*100)</f>
        <v/>
      </c>
      <c r="N3102" s="13" t="n">
        <v>5</v>
      </c>
      <c r="O3102" s="10" t="inlineStr"/>
      <c r="P3102" s="10" t="inlineStr"/>
      <c r="Q3102" s="10" t="inlineStr"/>
      <c r="R3102" s="10" t="inlineStr">
        <is>
          <t>2026-03-12</t>
        </is>
      </c>
      <c r="S3102" s="10" t="inlineStr"/>
    </row>
    <row r="3103">
      <c r="A3103" s="3" t="inlineStr">
        <is>
          <t>F03578</t>
        </is>
      </c>
      <c r="B3103" s="4" t="inlineStr">
        <is>
          <t>F03578</t>
        </is>
      </c>
      <c r="C3103" s="4" t="inlineStr"/>
      <c r="D3103" s="4" t="inlineStr">
        <is>
          <t>6009705655172</t>
        </is>
      </c>
      <c r="E3103" s="3" t="inlineStr">
        <is>
          <t>WALL PANEL- BARCELONA BROWN/BLACK</t>
        </is>
      </c>
      <c r="F3103" s="4" t="inlineStr"/>
      <c r="G3103" s="4" t="inlineStr"/>
      <c r="H3103" s="4" t="inlineStr"/>
      <c r="I3103" s="5" t="n">
        <v>950</v>
      </c>
      <c r="J3103" s="6" t="n">
        <v>15</v>
      </c>
      <c r="K3103" s="7">
        <f>IF(I3103="","",I3103*(1+J3103/100))</f>
        <v/>
      </c>
      <c r="L3103" s="12" t="inlineStr"/>
      <c r="M3103" s="8">
        <f>IF(OR(L3103="",K3103="",L3103=0),"",
  (L3103-K3103)/L3103*100)</f>
        <v/>
      </c>
      <c r="N3103" s="14" t="n">
        <v>1</v>
      </c>
      <c r="O3103" s="4" t="inlineStr"/>
      <c r="P3103" s="4" t="inlineStr"/>
      <c r="Q3103" s="4" t="inlineStr"/>
      <c r="R3103" s="4" t="inlineStr">
        <is>
          <t>2026-03-12</t>
        </is>
      </c>
      <c r="S3103" s="4" t="inlineStr"/>
    </row>
    <row r="3104">
      <c r="A3104" s="10" t="inlineStr">
        <is>
          <t>F03579</t>
        </is>
      </c>
      <c r="B3104" s="10" t="inlineStr">
        <is>
          <t>F03579</t>
        </is>
      </c>
      <c r="C3104" s="10" t="inlineStr"/>
      <c r="D3104" s="10" t="inlineStr">
        <is>
          <t>6009705655189</t>
        </is>
      </c>
      <c r="E3104" s="10" t="inlineStr">
        <is>
          <t>WALL PANEL 50X50 BLOCK DESIGN,WHITE</t>
        </is>
      </c>
      <c r="F3104" s="10" t="inlineStr"/>
      <c r="G3104" s="10" t="inlineStr"/>
      <c r="H3104" s="10" t="inlineStr"/>
      <c r="I3104" s="11" t="n">
        <v>3000</v>
      </c>
      <c r="J3104" s="6" t="n">
        <v>15</v>
      </c>
      <c r="K3104" s="7">
        <f>IF(I3104="","",I3104*(1+J3104/100))</f>
        <v/>
      </c>
      <c r="L3104" s="12" t="inlineStr"/>
      <c r="M3104" s="8">
        <f>IF(OR(L3104="",K3104="",L3104=0),"",
  (L3104-K3104)/L3104*100)</f>
        <v/>
      </c>
      <c r="N3104" s="9" t="inlineStr"/>
      <c r="O3104" s="10" t="inlineStr"/>
      <c r="P3104" s="10" t="inlineStr"/>
      <c r="Q3104" s="10" t="inlineStr"/>
      <c r="R3104" s="10" t="inlineStr">
        <is>
          <t>2026-03-12</t>
        </is>
      </c>
      <c r="S3104" s="10" t="inlineStr"/>
    </row>
    <row r="3105">
      <c r="A3105" s="3" t="inlineStr">
        <is>
          <t>F03580</t>
        </is>
      </c>
      <c r="B3105" s="4" t="inlineStr">
        <is>
          <t>F03580</t>
        </is>
      </c>
      <c r="C3105" s="4" t="inlineStr"/>
      <c r="D3105" s="4" t="inlineStr">
        <is>
          <t>6009705655196</t>
        </is>
      </c>
      <c r="E3105" s="3" t="inlineStr">
        <is>
          <t>WALL PANEL MONTE CARLO NATURAL 24pc</t>
        </is>
      </c>
      <c r="F3105" s="4" t="inlineStr"/>
      <c r="G3105" s="4" t="inlineStr"/>
      <c r="H3105" s="4" t="inlineStr"/>
      <c r="I3105" s="5" t="n">
        <v>2760</v>
      </c>
      <c r="J3105" s="6" t="n">
        <v>15</v>
      </c>
      <c r="K3105" s="7">
        <f>IF(I3105="","",I3105*(1+J3105/100))</f>
        <v/>
      </c>
      <c r="L3105" s="12" t="inlineStr"/>
      <c r="M3105" s="8">
        <f>IF(OR(L3105="",K3105="",L3105=0),"",
  (L3105-K3105)/L3105*100)</f>
        <v/>
      </c>
      <c r="N3105" s="14" t="n">
        <v>14</v>
      </c>
      <c r="O3105" s="4" t="inlineStr"/>
      <c r="P3105" s="4" t="inlineStr"/>
      <c r="Q3105" s="4" t="inlineStr"/>
      <c r="R3105" s="4" t="inlineStr">
        <is>
          <t>2026-03-12</t>
        </is>
      </c>
      <c r="S3105" s="4" t="inlineStr"/>
    </row>
    <row r="3106">
      <c r="A3106" s="10" t="inlineStr">
        <is>
          <t>F03581</t>
        </is>
      </c>
      <c r="B3106" s="10" t="inlineStr">
        <is>
          <t>F03581</t>
        </is>
      </c>
      <c r="C3106" s="10" t="inlineStr"/>
      <c r="D3106" s="10" t="inlineStr">
        <is>
          <t>6009705655202</t>
        </is>
      </c>
      <c r="E3106" s="10" t="inlineStr">
        <is>
          <t>WALL PANEL MONTE CARLO WOOD 24pc</t>
        </is>
      </c>
      <c r="F3106" s="10" t="inlineStr"/>
      <c r="G3106" s="10" t="inlineStr"/>
      <c r="H3106" s="10" t="inlineStr"/>
      <c r="I3106" s="11" t="n">
        <v>3000</v>
      </c>
      <c r="J3106" s="6" t="n">
        <v>15</v>
      </c>
      <c r="K3106" s="7">
        <f>IF(I3106="","",I3106*(1+J3106/100))</f>
        <v/>
      </c>
      <c r="L3106" s="12" t="inlineStr"/>
      <c r="M3106" s="8">
        <f>IF(OR(L3106="",K3106="",L3106=0),"",
  (L3106-K3106)/L3106*100)</f>
        <v/>
      </c>
      <c r="N3106" s="13" t="n">
        <v>31</v>
      </c>
      <c r="O3106" s="10" t="inlineStr"/>
      <c r="P3106" s="10" t="inlineStr"/>
      <c r="Q3106" s="10" t="inlineStr"/>
      <c r="R3106" s="10" t="inlineStr">
        <is>
          <t>2026-03-12</t>
        </is>
      </c>
      <c r="S3106" s="10" t="inlineStr"/>
    </row>
    <row r="3107">
      <c r="A3107" s="3" t="inlineStr">
        <is>
          <t>F03582</t>
        </is>
      </c>
      <c r="B3107" s="4" t="inlineStr">
        <is>
          <t>F03582</t>
        </is>
      </c>
      <c r="C3107" s="4" t="inlineStr"/>
      <c r="D3107" s="4" t="inlineStr">
        <is>
          <t>6009705655219</t>
        </is>
      </c>
      <c r="E3107" s="3" t="inlineStr">
        <is>
          <t>WALL PANEL MONTE CARLO GREY/BLAK 14pc</t>
        </is>
      </c>
      <c r="F3107" s="4" t="inlineStr"/>
      <c r="G3107" s="4" t="inlineStr"/>
      <c r="H3107" s="4" t="inlineStr"/>
      <c r="I3107" s="5" t="n">
        <v>1750</v>
      </c>
      <c r="J3107" s="6" t="n">
        <v>15</v>
      </c>
      <c r="K3107" s="7">
        <f>IF(I3107="","",I3107*(1+J3107/100))</f>
        <v/>
      </c>
      <c r="L3107" s="12" t="inlineStr"/>
      <c r="M3107" s="8">
        <f>IF(OR(L3107="",K3107="",L3107=0),"",
  (L3107-K3107)/L3107*100)</f>
        <v/>
      </c>
      <c r="N3107" s="14" t="n">
        <v>50</v>
      </c>
      <c r="O3107" s="4" t="inlineStr"/>
      <c r="P3107" s="4" t="inlineStr"/>
      <c r="Q3107" s="4" t="inlineStr"/>
      <c r="R3107" s="4" t="inlineStr">
        <is>
          <t>2026-03-12</t>
        </is>
      </c>
      <c r="S3107" s="4" t="inlineStr"/>
    </row>
    <row r="3108">
      <c r="A3108" s="10" t="inlineStr">
        <is>
          <t>F03600</t>
        </is>
      </c>
      <c r="B3108" s="10" t="inlineStr">
        <is>
          <t>F03600</t>
        </is>
      </c>
      <c r="C3108" s="10" t="inlineStr"/>
      <c r="D3108" s="10" t="inlineStr">
        <is>
          <t>6009705659999</t>
        </is>
      </c>
      <c r="E3108" s="10" t="inlineStr">
        <is>
          <t>HOSE PIPE PVC CLEAR  8MMX30M</t>
        </is>
      </c>
      <c r="F3108" s="10" t="inlineStr"/>
      <c r="G3108" s="10" t="inlineStr"/>
      <c r="H3108" s="10" t="inlineStr"/>
      <c r="I3108" s="11" t="n">
        <v>52.95</v>
      </c>
      <c r="J3108" s="6" t="n">
        <v>15</v>
      </c>
      <c r="K3108" s="7">
        <f>IF(I3108="","",I3108*(1+J3108/100))</f>
        <v/>
      </c>
      <c r="L3108" s="12" t="inlineStr"/>
      <c r="M3108" s="8">
        <f>IF(OR(L3108="",K3108="",L3108=0),"",
  (L3108-K3108)/L3108*100)</f>
        <v/>
      </c>
      <c r="N3108" s="9" t="inlineStr"/>
      <c r="O3108" s="10" t="inlineStr"/>
      <c r="P3108" s="10" t="inlineStr"/>
      <c r="Q3108" s="10" t="inlineStr"/>
      <c r="R3108" s="10" t="inlineStr">
        <is>
          <t>2026-03-12</t>
        </is>
      </c>
      <c r="S3108" s="10" t="inlineStr"/>
    </row>
    <row r="3109">
      <c r="A3109" s="3" t="inlineStr">
        <is>
          <t>F03601</t>
        </is>
      </c>
      <c r="B3109" s="4" t="inlineStr">
        <is>
          <t>F03601</t>
        </is>
      </c>
      <c r="C3109" s="4" t="inlineStr"/>
      <c r="D3109" s="4" t="inlineStr">
        <is>
          <t>6009705659982</t>
        </is>
      </c>
      <c r="E3109" s="3" t="inlineStr">
        <is>
          <t>HOSE PIPE PVC CLEAR 10MMX30M</t>
        </is>
      </c>
      <c r="F3109" s="4" t="inlineStr"/>
      <c r="G3109" s="4" t="inlineStr"/>
      <c r="H3109" s="4" t="inlineStr"/>
      <c r="I3109" s="5" t="n">
        <v>64.95</v>
      </c>
      <c r="J3109" s="6" t="n">
        <v>15</v>
      </c>
      <c r="K3109" s="7">
        <f>IF(I3109="","",I3109*(1+J3109/100))</f>
        <v/>
      </c>
      <c r="L3109" s="12" t="inlineStr"/>
      <c r="M3109" s="8">
        <f>IF(OR(L3109="",K3109="",L3109=0),"",
  (L3109-K3109)/L3109*100)</f>
        <v/>
      </c>
      <c r="N3109" s="9" t="inlineStr"/>
      <c r="O3109" s="4" t="inlineStr"/>
      <c r="P3109" s="4" t="inlineStr"/>
      <c r="Q3109" s="4" t="inlineStr"/>
      <c r="R3109" s="4" t="inlineStr">
        <is>
          <t>2026-03-12</t>
        </is>
      </c>
      <c r="S3109" s="4" t="inlineStr"/>
    </row>
    <row r="3110">
      <c r="A3110" s="10" t="inlineStr">
        <is>
          <t>F03602</t>
        </is>
      </c>
      <c r="B3110" s="10" t="inlineStr">
        <is>
          <t>F03602</t>
        </is>
      </c>
      <c r="C3110" s="10" t="inlineStr"/>
      <c r="D3110" s="10" t="inlineStr">
        <is>
          <t>6009705659975</t>
        </is>
      </c>
      <c r="E3110" s="10" t="inlineStr">
        <is>
          <t>HOSE PIPE PVC CLEAR 12MMX30M</t>
        </is>
      </c>
      <c r="F3110" s="10" t="inlineStr"/>
      <c r="G3110" s="10" t="inlineStr"/>
      <c r="H3110" s="10" t="inlineStr"/>
      <c r="I3110" s="11" t="n">
        <v>109</v>
      </c>
      <c r="J3110" s="6" t="n">
        <v>15</v>
      </c>
      <c r="K3110" s="7">
        <f>IF(I3110="","",I3110*(1+J3110/100))</f>
        <v/>
      </c>
      <c r="L3110" s="12" t="inlineStr"/>
      <c r="M3110" s="8">
        <f>IF(OR(L3110="",K3110="",L3110=0),"",
  (L3110-K3110)/L3110*100)</f>
        <v/>
      </c>
      <c r="N3110" s="9" t="inlineStr"/>
      <c r="O3110" s="10" t="inlineStr"/>
      <c r="P3110" s="10" t="inlineStr"/>
      <c r="Q3110" s="10" t="inlineStr"/>
      <c r="R3110" s="10" t="inlineStr">
        <is>
          <t>2026-03-12</t>
        </is>
      </c>
      <c r="S3110" s="10" t="inlineStr"/>
    </row>
    <row r="3111">
      <c r="A3111" s="3" t="inlineStr">
        <is>
          <t>F03603</t>
        </is>
      </c>
      <c r="B3111" s="4" t="inlineStr">
        <is>
          <t>F03603</t>
        </is>
      </c>
      <c r="C3111" s="4" t="inlineStr"/>
      <c r="D3111" s="4" t="inlineStr">
        <is>
          <t>6009705656176</t>
        </is>
      </c>
      <c r="E3111" s="3" t="inlineStr">
        <is>
          <t>JACKPLANE 4</t>
        </is>
      </c>
      <c r="F3111" s="4" t="inlineStr"/>
      <c r="G3111" s="4" t="inlineStr"/>
      <c r="H3111" s="4" t="inlineStr"/>
      <c r="I3111" s="5" t="n">
        <v>129</v>
      </c>
      <c r="J3111" s="6" t="n">
        <v>15</v>
      </c>
      <c r="K3111" s="7">
        <f>IF(I3111="","",I3111*(1+J3111/100))</f>
        <v/>
      </c>
      <c r="L3111" s="12" t="inlineStr"/>
      <c r="M3111" s="8">
        <f>IF(OR(L3111="",K3111="",L3111=0),"",
  (L3111-K3111)/L3111*100)</f>
        <v/>
      </c>
      <c r="N3111" s="9" t="inlineStr"/>
      <c r="O3111" s="4" t="inlineStr"/>
      <c r="P3111" s="4" t="inlineStr"/>
      <c r="Q3111" s="4" t="inlineStr"/>
      <c r="R3111" s="4" t="inlineStr">
        <is>
          <t>2026-03-12</t>
        </is>
      </c>
      <c r="S3111" s="4" t="inlineStr"/>
    </row>
    <row r="3112">
      <c r="A3112" s="10" t="inlineStr">
        <is>
          <t>F03604</t>
        </is>
      </c>
      <c r="B3112" s="10" t="inlineStr">
        <is>
          <t>F03604</t>
        </is>
      </c>
      <c r="C3112" s="10" t="inlineStr"/>
      <c r="D3112" s="10" t="inlineStr"/>
      <c r="E3112" s="10" t="inlineStr">
        <is>
          <t>REDBACK VINYL 3MTR WITH SHRINK</t>
        </is>
      </c>
      <c r="F3112" s="10" t="inlineStr"/>
      <c r="G3112" s="10" t="inlineStr"/>
      <c r="H3112" s="10" t="inlineStr"/>
      <c r="I3112" s="11" t="n">
        <v>93.5</v>
      </c>
      <c r="J3112" s="6" t="n">
        <v>15</v>
      </c>
      <c r="K3112" s="7">
        <f>IF(I3112="","",I3112*(1+J3112/100))</f>
        <v/>
      </c>
      <c r="L3112" s="12" t="inlineStr"/>
      <c r="M3112" s="8">
        <f>IF(OR(L3112="",K3112="",L3112=0),"",
  (L3112-K3112)/L3112*100)</f>
        <v/>
      </c>
      <c r="N3112" s="9" t="inlineStr"/>
      <c r="O3112" s="10" t="inlineStr"/>
      <c r="P3112" s="10" t="inlineStr"/>
      <c r="Q3112" s="10" t="inlineStr"/>
      <c r="R3112" s="10" t="inlineStr">
        <is>
          <t>2026-03-12</t>
        </is>
      </c>
      <c r="S3112" s="10" t="inlineStr"/>
    </row>
    <row r="3113">
      <c r="A3113" s="3" t="inlineStr">
        <is>
          <t>F03605</t>
        </is>
      </c>
      <c r="B3113" s="4" t="inlineStr">
        <is>
          <t>F03605</t>
        </is>
      </c>
      <c r="C3113" s="4" t="inlineStr"/>
      <c r="D3113" s="4" t="inlineStr"/>
      <c r="E3113" s="3" t="inlineStr">
        <is>
          <t>PLASTIC POF 10KG</t>
        </is>
      </c>
      <c r="F3113" s="4" t="inlineStr"/>
      <c r="G3113" s="4" t="inlineStr"/>
      <c r="H3113" s="4" t="inlineStr"/>
      <c r="I3113" s="5" t="n">
        <v>20</v>
      </c>
      <c r="J3113" s="6" t="n">
        <v>15</v>
      </c>
      <c r="K3113" s="7">
        <f>IF(I3113="","",I3113*(1+J3113/100))</f>
        <v/>
      </c>
      <c r="L3113" s="12" t="inlineStr"/>
      <c r="M3113" s="8">
        <f>IF(OR(L3113="",K3113="",L3113=0),"",
  (L3113-K3113)/L3113*100)</f>
        <v/>
      </c>
      <c r="N3113" s="14" t="n">
        <v>90</v>
      </c>
      <c r="O3113" s="4" t="inlineStr"/>
      <c r="P3113" s="4" t="inlineStr"/>
      <c r="Q3113" s="4" t="inlineStr"/>
      <c r="R3113" s="4" t="inlineStr">
        <is>
          <t>2026-03-12</t>
        </is>
      </c>
      <c r="S3113" s="4" t="inlineStr"/>
    </row>
    <row r="3114">
      <c r="A3114" s="10" t="inlineStr">
        <is>
          <t>F03606</t>
        </is>
      </c>
      <c r="B3114" s="10" t="inlineStr">
        <is>
          <t>F03606</t>
        </is>
      </c>
      <c r="C3114" s="10" t="inlineStr"/>
      <c r="D3114" s="10" t="inlineStr"/>
      <c r="E3114" s="10" t="inlineStr">
        <is>
          <t>PLASTIC POF 15KG</t>
        </is>
      </c>
      <c r="F3114" s="10" t="inlineStr"/>
      <c r="G3114" s="10" t="inlineStr"/>
      <c r="H3114" s="10" t="inlineStr"/>
      <c r="I3114" s="11" t="n">
        <v>20</v>
      </c>
      <c r="J3114" s="6" t="n">
        <v>15</v>
      </c>
      <c r="K3114" s="7">
        <f>IF(I3114="","",I3114*(1+J3114/100))</f>
        <v/>
      </c>
      <c r="L3114" s="12" t="inlineStr"/>
      <c r="M3114" s="8">
        <f>IF(OR(L3114="",K3114="",L3114=0),"",
  (L3114-K3114)/L3114*100)</f>
        <v/>
      </c>
      <c r="N3114" s="13" t="n">
        <v>60</v>
      </c>
      <c r="O3114" s="10" t="inlineStr"/>
      <c r="P3114" s="10" t="inlineStr"/>
      <c r="Q3114" s="10" t="inlineStr"/>
      <c r="R3114" s="10" t="inlineStr">
        <is>
          <t>2026-03-12</t>
        </is>
      </c>
      <c r="S3114" s="10" t="inlineStr"/>
    </row>
    <row r="3115">
      <c r="A3115" s="3" t="inlineStr">
        <is>
          <t>F03607</t>
        </is>
      </c>
      <c r="B3115" s="4" t="inlineStr">
        <is>
          <t>F03607</t>
        </is>
      </c>
      <c r="C3115" s="4" t="inlineStr"/>
      <c r="D3115" s="4" t="inlineStr"/>
      <c r="E3115" s="3" t="inlineStr">
        <is>
          <t>SPRAYER KNAPSACK SPRAYER 16L IMP</t>
        </is>
      </c>
      <c r="F3115" s="4" t="inlineStr"/>
      <c r="G3115" s="4" t="inlineStr"/>
      <c r="H3115" s="4" t="inlineStr"/>
      <c r="I3115" s="5" t="n">
        <v>239.95</v>
      </c>
      <c r="J3115" s="6" t="n">
        <v>15</v>
      </c>
      <c r="K3115" s="7">
        <f>IF(I3115="","",I3115*(1+J3115/100))</f>
        <v/>
      </c>
      <c r="L3115" s="12" t="inlineStr"/>
      <c r="M3115" s="8">
        <f>IF(OR(L3115="",K3115="",L3115=0),"",
  (L3115-K3115)/L3115*100)</f>
        <v/>
      </c>
      <c r="N3115" s="14" t="n">
        <v>201</v>
      </c>
      <c r="O3115" s="4" t="inlineStr"/>
      <c r="P3115" s="4" t="inlineStr"/>
      <c r="Q3115" s="4" t="inlineStr"/>
      <c r="R3115" s="4" t="inlineStr">
        <is>
          <t>2026-03-12</t>
        </is>
      </c>
      <c r="S3115" s="4" t="inlineStr"/>
    </row>
    <row r="3116">
      <c r="A3116" s="10" t="inlineStr">
        <is>
          <t>F03608</t>
        </is>
      </c>
      <c r="B3116" s="10" t="inlineStr">
        <is>
          <t>F03608</t>
        </is>
      </c>
      <c r="C3116" s="10" t="inlineStr"/>
      <c r="D3116" s="10" t="inlineStr">
        <is>
          <t>6009705656374</t>
        </is>
      </c>
      <c r="E3116" s="10" t="inlineStr">
        <is>
          <t>SPRAYER 2LTR</t>
        </is>
      </c>
      <c r="F3116" s="10" t="inlineStr"/>
      <c r="G3116" s="10" t="inlineStr"/>
      <c r="H3116" s="10" t="inlineStr"/>
      <c r="I3116" s="11" t="n">
        <v>44.95</v>
      </c>
      <c r="J3116" s="6" t="n">
        <v>15</v>
      </c>
      <c r="K3116" s="7">
        <f>IF(I3116="","",I3116*(1+J3116/100))</f>
        <v/>
      </c>
      <c r="L3116" s="12" t="inlineStr"/>
      <c r="M3116" s="8">
        <f>IF(OR(L3116="",K3116="",L3116=0),"",
  (L3116-K3116)/L3116*100)</f>
        <v/>
      </c>
      <c r="N3116" s="13" t="n">
        <v>1</v>
      </c>
      <c r="O3116" s="10" t="inlineStr"/>
      <c r="P3116" s="10" t="inlineStr"/>
      <c r="Q3116" s="10" t="inlineStr"/>
      <c r="R3116" s="10" t="inlineStr">
        <is>
          <t>2026-03-12</t>
        </is>
      </c>
      <c r="S3116" s="10" t="inlineStr"/>
    </row>
    <row r="3117">
      <c r="A3117" s="3" t="inlineStr">
        <is>
          <t>F03609</t>
        </is>
      </c>
      <c r="B3117" s="4" t="inlineStr">
        <is>
          <t>F03609</t>
        </is>
      </c>
      <c r="C3117" s="4" t="inlineStr"/>
      <c r="D3117" s="4" t="inlineStr">
        <is>
          <t>6009705656381</t>
        </is>
      </c>
      <c r="E3117" s="3" t="inlineStr">
        <is>
          <t>DADOO CORNER RAIL 35MMX 35MM</t>
        </is>
      </c>
      <c r="F3117" s="4" t="inlineStr"/>
      <c r="G3117" s="4" t="inlineStr"/>
      <c r="H3117" s="4" t="inlineStr"/>
      <c r="I3117" s="5" t="n">
        <v>34.95</v>
      </c>
      <c r="J3117" s="6" t="n">
        <v>15</v>
      </c>
      <c r="K3117" s="7">
        <f>IF(I3117="","",I3117*(1+J3117/100))</f>
        <v/>
      </c>
      <c r="L3117" s="12" t="inlineStr"/>
      <c r="M3117" s="8">
        <f>IF(OR(L3117="",K3117="",L3117=0),"",
  (L3117-K3117)/L3117*100)</f>
        <v/>
      </c>
      <c r="N3117" s="14" t="n">
        <v>900</v>
      </c>
      <c r="O3117" s="4" t="inlineStr"/>
      <c r="P3117" s="4" t="inlineStr"/>
      <c r="Q3117" s="4" t="inlineStr"/>
      <c r="R3117" s="4" t="inlineStr">
        <is>
          <t>2026-03-12</t>
        </is>
      </c>
      <c r="S3117" s="4" t="inlineStr"/>
    </row>
    <row r="3118">
      <c r="A3118" s="10" t="inlineStr">
        <is>
          <t>F03610</t>
        </is>
      </c>
      <c r="B3118" s="10" t="inlineStr">
        <is>
          <t>F03610</t>
        </is>
      </c>
      <c r="C3118" s="10" t="inlineStr"/>
      <c r="D3118" s="10" t="inlineStr">
        <is>
          <t>6009705656299</t>
        </is>
      </c>
      <c r="E3118" s="10" t="inlineStr">
        <is>
          <t>MAT -WUDHU ROLL 1.2MX9M</t>
        </is>
      </c>
      <c r="F3118" s="10" t="inlineStr"/>
      <c r="G3118" s="10" t="inlineStr"/>
      <c r="H3118" s="10" t="inlineStr"/>
      <c r="I3118" s="11" t="n">
        <v>2500</v>
      </c>
      <c r="J3118" s="6" t="n">
        <v>15</v>
      </c>
      <c r="K3118" s="7">
        <f>IF(I3118="","",I3118*(1+J3118/100))</f>
        <v/>
      </c>
      <c r="L3118" s="12" t="inlineStr"/>
      <c r="M3118" s="8">
        <f>IF(OR(L3118="",K3118="",L3118=0),"",
  (L3118-K3118)/L3118*100)</f>
        <v/>
      </c>
      <c r="N3118" s="13" t="n">
        <v>2</v>
      </c>
      <c r="O3118" s="10" t="inlineStr"/>
      <c r="P3118" s="10" t="inlineStr"/>
      <c r="Q3118" s="10" t="inlineStr"/>
      <c r="R3118" s="10" t="inlineStr">
        <is>
          <t>2026-03-12</t>
        </is>
      </c>
      <c r="S3118" s="10" t="inlineStr"/>
    </row>
    <row r="3119">
      <c r="A3119" s="3" t="inlineStr">
        <is>
          <t>F03611</t>
        </is>
      </c>
      <c r="B3119" s="4" t="inlineStr">
        <is>
          <t>F03611</t>
        </is>
      </c>
      <c r="C3119" s="4" t="inlineStr"/>
      <c r="D3119" s="4" t="inlineStr">
        <is>
          <t>6009705656305</t>
        </is>
      </c>
      <c r="E3119" s="3" t="inlineStr">
        <is>
          <t>CUPPING</t>
        </is>
      </c>
      <c r="F3119" s="4" t="inlineStr"/>
      <c r="G3119" s="4" t="inlineStr"/>
      <c r="H3119" s="4" t="inlineStr"/>
      <c r="I3119" s="5" t="n">
        <v>130</v>
      </c>
      <c r="J3119" s="6" t="n">
        <v>15</v>
      </c>
      <c r="K3119" s="7">
        <f>IF(I3119="","",I3119*(1+J3119/100))</f>
        <v/>
      </c>
      <c r="L3119" s="12" t="inlineStr"/>
      <c r="M3119" s="8">
        <f>IF(OR(L3119="",K3119="",L3119=0),"",
  (L3119-K3119)/L3119*100)</f>
        <v/>
      </c>
      <c r="N3119" s="14" t="n">
        <v>40</v>
      </c>
      <c r="O3119" s="4" t="inlineStr"/>
      <c r="P3119" s="4" t="inlineStr"/>
      <c r="Q3119" s="4" t="inlineStr"/>
      <c r="R3119" s="4" t="inlineStr">
        <is>
          <t>2026-03-12</t>
        </is>
      </c>
      <c r="S3119" s="4" t="inlineStr"/>
    </row>
    <row r="3120">
      <c r="A3120" s="10" t="inlineStr">
        <is>
          <t>F03612</t>
        </is>
      </c>
      <c r="B3120" s="10" t="inlineStr">
        <is>
          <t>F03612</t>
        </is>
      </c>
      <c r="C3120" s="10" t="inlineStr"/>
      <c r="D3120" s="10" t="inlineStr">
        <is>
          <t>6009705656312</t>
        </is>
      </c>
      <c r="E3120" s="10" t="inlineStr">
        <is>
          <t>PEEL &amp; STICK TILES (8PC/5PK) 1001</t>
        </is>
      </c>
      <c r="F3120" s="10" t="inlineStr"/>
      <c r="G3120" s="10" t="inlineStr"/>
      <c r="H3120" s="10" t="inlineStr"/>
      <c r="I3120" s="11" t="n">
        <v>214.95</v>
      </c>
      <c r="J3120" s="6" t="n">
        <v>15</v>
      </c>
      <c r="K3120" s="7">
        <f>IF(I3120="","",I3120*(1+J3120/100))</f>
        <v/>
      </c>
      <c r="L3120" s="12" t="inlineStr"/>
      <c r="M3120" s="8">
        <f>IF(OR(L3120="",K3120="",L3120=0),"",
  (L3120-K3120)/L3120*100)</f>
        <v/>
      </c>
      <c r="N3120" s="13" t="n">
        <v>19</v>
      </c>
      <c r="O3120" s="10" t="inlineStr"/>
      <c r="P3120" s="10" t="inlineStr"/>
      <c r="Q3120" s="10" t="inlineStr"/>
      <c r="R3120" s="10" t="inlineStr">
        <is>
          <t>2026-03-12</t>
        </is>
      </c>
      <c r="S3120" s="10" t="inlineStr"/>
    </row>
    <row r="3121">
      <c r="A3121" s="3" t="inlineStr">
        <is>
          <t>F03613</t>
        </is>
      </c>
      <c r="B3121" s="4" t="inlineStr">
        <is>
          <t>F03613</t>
        </is>
      </c>
      <c r="C3121" s="4" t="inlineStr"/>
      <c r="D3121" s="4" t="inlineStr">
        <is>
          <t>6009705656336</t>
        </is>
      </c>
      <c r="E3121" s="3" t="inlineStr">
        <is>
          <t>PEEL &amp; STICK TILES (8PC/5PK) 1002</t>
        </is>
      </c>
      <c r="F3121" s="4" t="inlineStr"/>
      <c r="G3121" s="4" t="inlineStr"/>
      <c r="H3121" s="4" t="inlineStr"/>
      <c r="I3121" s="5" t="n">
        <v>214.95</v>
      </c>
      <c r="J3121" s="6" t="n">
        <v>15</v>
      </c>
      <c r="K3121" s="7">
        <f>IF(I3121="","",I3121*(1+J3121/100))</f>
        <v/>
      </c>
      <c r="L3121" s="12" t="inlineStr"/>
      <c r="M3121" s="8">
        <f>IF(OR(L3121="",K3121="",L3121=0),"",
  (L3121-K3121)/L3121*100)</f>
        <v/>
      </c>
      <c r="N3121" s="14" t="n">
        <v>241</v>
      </c>
      <c r="O3121" s="4" t="inlineStr"/>
      <c r="P3121" s="4" t="inlineStr"/>
      <c r="Q3121" s="4" t="inlineStr"/>
      <c r="R3121" s="4" t="inlineStr">
        <is>
          <t>2026-03-12</t>
        </is>
      </c>
      <c r="S3121" s="4" t="inlineStr"/>
    </row>
    <row r="3122">
      <c r="A3122" s="10" t="inlineStr">
        <is>
          <t>F03614</t>
        </is>
      </c>
      <c r="B3122" s="10" t="inlineStr">
        <is>
          <t>F03614</t>
        </is>
      </c>
      <c r="C3122" s="10" t="inlineStr"/>
      <c r="D3122" s="10" t="inlineStr">
        <is>
          <t>6009705656350</t>
        </is>
      </c>
      <c r="E3122" s="10" t="inlineStr">
        <is>
          <t>PEEL &amp; STICK TILES (8PC/5PK) GM3</t>
        </is>
      </c>
      <c r="F3122" s="10" t="inlineStr"/>
      <c r="G3122" s="10" t="inlineStr"/>
      <c r="H3122" s="10" t="inlineStr"/>
      <c r="I3122" s="11" t="n">
        <v>214.95</v>
      </c>
      <c r="J3122" s="6" t="n">
        <v>15</v>
      </c>
      <c r="K3122" s="7">
        <f>IF(I3122="","",I3122*(1+J3122/100))</f>
        <v/>
      </c>
      <c r="L3122" s="12" t="inlineStr"/>
      <c r="M3122" s="8">
        <f>IF(OR(L3122="",K3122="",L3122=0),"",
  (L3122-K3122)/L3122*100)</f>
        <v/>
      </c>
      <c r="N3122" s="13" t="n">
        <v>168</v>
      </c>
      <c r="O3122" s="10" t="inlineStr"/>
      <c r="P3122" s="10" t="inlineStr"/>
      <c r="Q3122" s="10" t="inlineStr"/>
      <c r="R3122" s="10" t="inlineStr">
        <is>
          <t>2026-03-12</t>
        </is>
      </c>
      <c r="S3122" s="10" t="inlineStr"/>
    </row>
    <row r="3123">
      <c r="A3123" s="3" t="inlineStr">
        <is>
          <t>F03616</t>
        </is>
      </c>
      <c r="B3123" s="4" t="inlineStr">
        <is>
          <t>F03616</t>
        </is>
      </c>
      <c r="C3123" s="4" t="inlineStr"/>
      <c r="D3123" s="4" t="inlineStr">
        <is>
          <t>6009705656398</t>
        </is>
      </c>
      <c r="E3123" s="3" t="inlineStr">
        <is>
          <t>BOWL 6'' STRIP EMBOSSED</t>
        </is>
      </c>
      <c r="F3123" s="4" t="inlineStr"/>
      <c r="G3123" s="4" t="inlineStr"/>
      <c r="H3123" s="4" t="inlineStr"/>
      <c r="I3123" s="5" t="n">
        <v>12.95</v>
      </c>
      <c r="J3123" s="6" t="n">
        <v>15</v>
      </c>
      <c r="K3123" s="7">
        <f>IF(I3123="","",I3123*(1+J3123/100))</f>
        <v/>
      </c>
      <c r="L3123" s="12" t="inlineStr"/>
      <c r="M3123" s="8">
        <f>IF(OR(L3123="",K3123="",L3123=0),"",
  (L3123-K3123)/L3123*100)</f>
        <v/>
      </c>
      <c r="N3123" s="14" t="n">
        <v>168</v>
      </c>
      <c r="O3123" s="4" t="inlineStr"/>
      <c r="P3123" s="4" t="inlineStr"/>
      <c r="Q3123" s="4" t="inlineStr"/>
      <c r="R3123" s="4" t="inlineStr">
        <is>
          <t>2026-03-12</t>
        </is>
      </c>
      <c r="S3123" s="4" t="inlineStr"/>
    </row>
    <row r="3124">
      <c r="A3124" s="10" t="inlineStr">
        <is>
          <t>F03617</t>
        </is>
      </c>
      <c r="B3124" s="10" t="inlineStr">
        <is>
          <t>F03617</t>
        </is>
      </c>
      <c r="C3124" s="10" t="inlineStr"/>
      <c r="D3124" s="10" t="inlineStr">
        <is>
          <t>6009705656404</t>
        </is>
      </c>
      <c r="E3124" s="10" t="inlineStr">
        <is>
          <t>PLATE 10.6'' PASTA PLATE REACTIVE GLAZED</t>
        </is>
      </c>
      <c r="F3124" s="10" t="inlineStr"/>
      <c r="G3124" s="10" t="inlineStr"/>
      <c r="H3124" s="10" t="inlineStr"/>
      <c r="I3124" s="11" t="n">
        <v>18.95</v>
      </c>
      <c r="J3124" s="6" t="n">
        <v>15</v>
      </c>
      <c r="K3124" s="7">
        <f>IF(I3124="","",I3124*(1+J3124/100))</f>
        <v/>
      </c>
      <c r="L3124" s="12" t="inlineStr"/>
      <c r="M3124" s="8">
        <f>IF(OR(L3124="",K3124="",L3124=0),"",
  (L3124-K3124)/L3124*100)</f>
        <v/>
      </c>
      <c r="N3124" s="13" t="n">
        <v>5202</v>
      </c>
      <c r="O3124" s="10" t="inlineStr"/>
      <c r="P3124" s="10" t="inlineStr"/>
      <c r="Q3124" s="10" t="inlineStr"/>
      <c r="R3124" s="10" t="inlineStr">
        <is>
          <t>2026-03-12</t>
        </is>
      </c>
      <c r="S3124" s="10" t="inlineStr"/>
    </row>
    <row r="3125">
      <c r="A3125" s="3" t="inlineStr">
        <is>
          <t>F03618</t>
        </is>
      </c>
      <c r="B3125" s="4" t="inlineStr">
        <is>
          <t>F03618</t>
        </is>
      </c>
      <c r="C3125" s="4" t="inlineStr"/>
      <c r="D3125" s="4" t="inlineStr">
        <is>
          <t>6009705656411</t>
        </is>
      </c>
      <c r="E3125" s="3" t="inlineStr">
        <is>
          <t>TUMBLER SET 3S WNDW PK FANCY ASST COLORS</t>
        </is>
      </c>
      <c r="F3125" s="4" t="inlineStr"/>
      <c r="G3125" s="4" t="inlineStr"/>
      <c r="H3125" s="4" t="inlineStr"/>
      <c r="I3125" s="5" t="n">
        <v>27.95</v>
      </c>
      <c r="J3125" s="6" t="n">
        <v>15</v>
      </c>
      <c r="K3125" s="7">
        <f>IF(I3125="","",I3125*(1+J3125/100))</f>
        <v/>
      </c>
      <c r="L3125" s="12" t="inlineStr"/>
      <c r="M3125" s="8">
        <f>IF(OR(L3125="",K3125="",L3125=0),"",
  (L3125-K3125)/L3125*100)</f>
        <v/>
      </c>
      <c r="N3125" s="14" t="n">
        <v>8416</v>
      </c>
      <c r="O3125" s="4" t="inlineStr"/>
      <c r="P3125" s="4" t="inlineStr"/>
      <c r="Q3125" s="4" t="inlineStr"/>
      <c r="R3125" s="4" t="inlineStr">
        <is>
          <t>2026-03-12</t>
        </is>
      </c>
      <c r="S3125" s="4" t="inlineStr"/>
    </row>
    <row r="3126">
      <c r="A3126" s="10" t="inlineStr">
        <is>
          <t>F03619</t>
        </is>
      </c>
      <c r="B3126" s="10" t="inlineStr">
        <is>
          <t>F03619</t>
        </is>
      </c>
      <c r="C3126" s="10" t="inlineStr"/>
      <c r="D3126" s="10" t="inlineStr">
        <is>
          <t>6009705656428</t>
        </is>
      </c>
      <c r="E3126" s="10" t="inlineStr">
        <is>
          <t>TUMBLER 3PC SET FANCY GOBLET</t>
        </is>
      </c>
      <c r="F3126" s="10" t="inlineStr"/>
      <c r="G3126" s="10" t="inlineStr"/>
      <c r="H3126" s="10" t="inlineStr"/>
      <c r="I3126" s="11" t="n">
        <v>28.95</v>
      </c>
      <c r="J3126" s="6" t="n">
        <v>15</v>
      </c>
      <c r="K3126" s="7">
        <f>IF(I3126="","",I3126*(1+J3126/100))</f>
        <v/>
      </c>
      <c r="L3126" s="12" t="inlineStr"/>
      <c r="M3126" s="8">
        <f>IF(OR(L3126="",K3126="",L3126=0),"",
  (L3126-K3126)/L3126*100)</f>
        <v/>
      </c>
      <c r="N3126" s="13" t="n">
        <v>3388</v>
      </c>
      <c r="O3126" s="10" t="inlineStr"/>
      <c r="P3126" s="10" t="inlineStr"/>
      <c r="Q3126" s="10" t="inlineStr"/>
      <c r="R3126" s="10" t="inlineStr">
        <is>
          <t>2026-03-12</t>
        </is>
      </c>
      <c r="S3126" s="10" t="inlineStr"/>
    </row>
    <row r="3127">
      <c r="A3127" s="3" t="inlineStr">
        <is>
          <t>F03620</t>
        </is>
      </c>
      <c r="B3127" s="4" t="inlineStr">
        <is>
          <t>F03620</t>
        </is>
      </c>
      <c r="C3127" s="4" t="inlineStr"/>
      <c r="D3127" s="4" t="inlineStr">
        <is>
          <t>6009705656435</t>
        </is>
      </c>
      <c r="E3127" s="3" t="inlineStr">
        <is>
          <t>CUP &amp; SAUCER SET  WHITE/GOLD</t>
        </is>
      </c>
      <c r="F3127" s="4" t="inlineStr"/>
      <c r="G3127" s="4" t="inlineStr"/>
      <c r="H3127" s="4" t="inlineStr"/>
      <c r="I3127" s="5" t="n">
        <v>20</v>
      </c>
      <c r="J3127" s="6" t="n">
        <v>15</v>
      </c>
      <c r="K3127" s="7">
        <f>IF(I3127="","",I3127*(1+J3127/100))</f>
        <v/>
      </c>
      <c r="L3127" s="12" t="inlineStr"/>
      <c r="M3127" s="8">
        <f>IF(OR(L3127="",K3127="",L3127=0),"",
  (L3127-K3127)/L3127*100)</f>
        <v/>
      </c>
      <c r="N3127" s="9" t="inlineStr"/>
      <c r="O3127" s="4" t="inlineStr"/>
      <c r="P3127" s="4" t="inlineStr"/>
      <c r="Q3127" s="4" t="inlineStr"/>
      <c r="R3127" s="4" t="inlineStr">
        <is>
          <t>2026-03-12</t>
        </is>
      </c>
      <c r="S3127" s="4" t="inlineStr"/>
    </row>
    <row r="3128">
      <c r="A3128" s="10" t="inlineStr">
        <is>
          <t>F03621</t>
        </is>
      </c>
      <c r="B3128" s="10" t="inlineStr">
        <is>
          <t>F03621</t>
        </is>
      </c>
      <c r="C3128" s="10" t="inlineStr"/>
      <c r="D3128" s="10" t="inlineStr">
        <is>
          <t>6009705656442</t>
        </is>
      </c>
      <c r="E3128" s="10" t="inlineStr">
        <is>
          <t>CUP &amp; SAUCER SET  WHITE/SILVER</t>
        </is>
      </c>
      <c r="F3128" s="10" t="inlineStr"/>
      <c r="G3128" s="10" t="inlineStr"/>
      <c r="H3128" s="10" t="inlineStr"/>
      <c r="I3128" s="11" t="n">
        <v>20</v>
      </c>
      <c r="J3128" s="6" t="n">
        <v>15</v>
      </c>
      <c r="K3128" s="7">
        <f>IF(I3128="","",I3128*(1+J3128/100))</f>
        <v/>
      </c>
      <c r="L3128" s="12" t="inlineStr"/>
      <c r="M3128" s="8">
        <f>IF(OR(L3128="",K3128="",L3128=0),"",
  (L3128-K3128)/L3128*100)</f>
        <v/>
      </c>
      <c r="N3128" s="9" t="inlineStr"/>
      <c r="O3128" s="10" t="inlineStr"/>
      <c r="P3128" s="10" t="inlineStr"/>
      <c r="Q3128" s="10" t="inlineStr"/>
      <c r="R3128" s="10" t="inlineStr">
        <is>
          <t>2026-03-12</t>
        </is>
      </c>
      <c r="S3128" s="10" t="inlineStr"/>
    </row>
    <row r="3129">
      <c r="A3129" s="3" t="inlineStr">
        <is>
          <t>F03622</t>
        </is>
      </c>
      <c r="B3129" s="4" t="inlineStr">
        <is>
          <t>F03622</t>
        </is>
      </c>
      <c r="C3129" s="4" t="inlineStr"/>
      <c r="D3129" s="4" t="inlineStr"/>
      <c r="E3129" s="3" t="inlineStr">
        <is>
          <t>ELECTRIC- READY BOARD 6 DIN  SURFACE</t>
        </is>
      </c>
      <c r="F3129" s="4" t="inlineStr"/>
      <c r="G3129" s="4" t="inlineStr"/>
      <c r="H3129" s="4" t="inlineStr"/>
      <c r="I3129" s="5" t="n">
        <v>259</v>
      </c>
      <c r="J3129" s="6" t="n">
        <v>15</v>
      </c>
      <c r="K3129" s="7">
        <f>IF(I3129="","",I3129*(1+J3129/100))</f>
        <v/>
      </c>
      <c r="L3129" s="12" t="inlineStr"/>
      <c r="M3129" s="8">
        <f>IF(OR(L3129="",K3129="",L3129=0),"",
  (L3129-K3129)/L3129*100)</f>
        <v/>
      </c>
      <c r="N3129" s="14" t="n">
        <v>43</v>
      </c>
      <c r="O3129" s="4" t="inlineStr"/>
      <c r="P3129" s="4" t="inlineStr"/>
      <c r="Q3129" s="4" t="inlineStr"/>
      <c r="R3129" s="4" t="inlineStr">
        <is>
          <t>2026-03-12</t>
        </is>
      </c>
      <c r="S3129" s="4" t="inlineStr"/>
    </row>
    <row r="3130">
      <c r="A3130" s="10" t="inlineStr">
        <is>
          <t>F03623</t>
        </is>
      </c>
      <c r="B3130" s="10" t="inlineStr">
        <is>
          <t>F03623</t>
        </is>
      </c>
      <c r="C3130" s="10" t="inlineStr"/>
      <c r="D3130" s="10" t="inlineStr"/>
      <c r="E3130" s="10" t="inlineStr">
        <is>
          <t>ELECTRIC- READY BOARD 8 DIN  SURFACE</t>
        </is>
      </c>
      <c r="F3130" s="10" t="inlineStr"/>
      <c r="G3130" s="10" t="inlineStr"/>
      <c r="H3130" s="10" t="inlineStr"/>
      <c r="I3130" s="11" t="n">
        <v>309</v>
      </c>
      <c r="J3130" s="6" t="n">
        <v>15</v>
      </c>
      <c r="K3130" s="7">
        <f>IF(I3130="","",I3130*(1+J3130/100))</f>
        <v/>
      </c>
      <c r="L3130" s="12" t="inlineStr"/>
      <c r="M3130" s="8">
        <f>IF(OR(L3130="",K3130="",L3130=0),"",
  (L3130-K3130)/L3130*100)</f>
        <v/>
      </c>
      <c r="N3130" s="13" t="n">
        <v>28</v>
      </c>
      <c r="O3130" s="10" t="inlineStr"/>
      <c r="P3130" s="10" t="inlineStr"/>
      <c r="Q3130" s="10" t="inlineStr"/>
      <c r="R3130" s="10" t="inlineStr">
        <is>
          <t>2026-03-12</t>
        </is>
      </c>
      <c r="S3130" s="10" t="inlineStr"/>
    </row>
    <row r="3131">
      <c r="A3131" s="3" t="inlineStr">
        <is>
          <t>F03624</t>
        </is>
      </c>
      <c r="B3131" s="4" t="inlineStr">
        <is>
          <t>F03624</t>
        </is>
      </c>
      <c r="C3131" s="4" t="inlineStr"/>
      <c r="D3131" s="4" t="inlineStr"/>
      <c r="E3131" s="3" t="inlineStr">
        <is>
          <t>ELECTRIC- READY BOARD 12 DIN  SURFACE</t>
        </is>
      </c>
      <c r="F3131" s="4" t="inlineStr"/>
      <c r="G3131" s="4" t="inlineStr"/>
      <c r="H3131" s="4" t="inlineStr"/>
      <c r="I3131" s="5" t="n">
        <v>419</v>
      </c>
      <c r="J3131" s="6" t="n">
        <v>15</v>
      </c>
      <c r="K3131" s="7">
        <f>IF(I3131="","",I3131*(1+J3131/100))</f>
        <v/>
      </c>
      <c r="L3131" s="12" t="inlineStr"/>
      <c r="M3131" s="8">
        <f>IF(OR(L3131="",K3131="",L3131=0),"",
  (L3131-K3131)/L3131*100)</f>
        <v/>
      </c>
      <c r="N3131" s="14" t="n">
        <v>12</v>
      </c>
      <c r="O3131" s="4" t="inlineStr"/>
      <c r="P3131" s="4" t="inlineStr"/>
      <c r="Q3131" s="4" t="inlineStr"/>
      <c r="R3131" s="4" t="inlineStr">
        <is>
          <t>2026-03-12</t>
        </is>
      </c>
      <c r="S3131" s="4" t="inlineStr"/>
    </row>
    <row r="3132">
      <c r="A3132" s="10" t="inlineStr">
        <is>
          <t>F03625</t>
        </is>
      </c>
      <c r="B3132" s="10" t="inlineStr">
        <is>
          <t>F03625</t>
        </is>
      </c>
      <c r="C3132" s="10" t="inlineStr"/>
      <c r="D3132" s="10" t="inlineStr"/>
      <c r="E3132" s="10" t="inlineStr">
        <is>
          <t>ELECTRIC- READY BOARD 12 DIN FLUSH</t>
        </is>
      </c>
      <c r="F3132" s="10" t="inlineStr"/>
      <c r="G3132" s="10" t="inlineStr"/>
      <c r="H3132" s="10" t="inlineStr"/>
      <c r="I3132" s="11" t="n">
        <v>419</v>
      </c>
      <c r="J3132" s="6" t="n">
        <v>15</v>
      </c>
      <c r="K3132" s="7">
        <f>IF(I3132="","",I3132*(1+J3132/100))</f>
        <v/>
      </c>
      <c r="L3132" s="12" t="inlineStr"/>
      <c r="M3132" s="8">
        <f>IF(OR(L3132="",K3132="",L3132=0),"",
  (L3132-K3132)/L3132*100)</f>
        <v/>
      </c>
      <c r="N3132" s="13" t="n">
        <v>64</v>
      </c>
      <c r="O3132" s="10" t="inlineStr"/>
      <c r="P3132" s="10" t="inlineStr"/>
      <c r="Q3132" s="10" t="inlineStr"/>
      <c r="R3132" s="10" t="inlineStr">
        <is>
          <t>2026-03-12</t>
        </is>
      </c>
      <c r="S3132" s="10" t="inlineStr"/>
    </row>
    <row r="3133">
      <c r="A3133" s="3" t="inlineStr">
        <is>
          <t>F03626</t>
        </is>
      </c>
      <c r="B3133" s="4" t="inlineStr">
        <is>
          <t>F03626</t>
        </is>
      </c>
      <c r="C3133" s="4" t="inlineStr"/>
      <c r="D3133" s="4" t="inlineStr">
        <is>
          <t>6009705658200</t>
        </is>
      </c>
      <c r="E3133" s="3" t="inlineStr">
        <is>
          <t>TAPE INSULATION NITTO BLACK 10S 20MT</t>
        </is>
      </c>
      <c r="F3133" s="4" t="inlineStr"/>
      <c r="G3133" s="4" t="inlineStr"/>
      <c r="H3133" s="4" t="inlineStr"/>
      <c r="I3133" s="5" t="n">
        <v>159</v>
      </c>
      <c r="J3133" s="6" t="n">
        <v>15</v>
      </c>
      <c r="K3133" s="7">
        <f>IF(I3133="","",I3133*(1+J3133/100))</f>
        <v/>
      </c>
      <c r="L3133" s="12" t="inlineStr"/>
      <c r="M3133" s="8">
        <f>IF(OR(L3133="",K3133="",L3133=0),"",
  (L3133-K3133)/L3133*100)</f>
        <v/>
      </c>
      <c r="N3133" s="14" t="n">
        <v>2</v>
      </c>
      <c r="O3133" s="4" t="inlineStr"/>
      <c r="P3133" s="4" t="inlineStr"/>
      <c r="Q3133" s="4" t="inlineStr"/>
      <c r="R3133" s="4" t="inlineStr">
        <is>
          <t>2026-03-12</t>
        </is>
      </c>
      <c r="S3133" s="4" t="inlineStr"/>
    </row>
    <row r="3134">
      <c r="A3134" s="10" t="inlineStr">
        <is>
          <t>F03627</t>
        </is>
      </c>
      <c r="B3134" s="10" t="inlineStr">
        <is>
          <t>F03627</t>
        </is>
      </c>
      <c r="C3134" s="10" t="inlineStr"/>
      <c r="D3134" s="10" t="inlineStr">
        <is>
          <t>6009705658187</t>
        </is>
      </c>
      <c r="E3134" s="10" t="inlineStr">
        <is>
          <t>TAPE INSULATION NITTO GREEN 10S 20MT</t>
        </is>
      </c>
      <c r="F3134" s="10" t="inlineStr"/>
      <c r="G3134" s="10" t="inlineStr"/>
      <c r="H3134" s="10" t="inlineStr"/>
      <c r="I3134" s="11" t="n">
        <v>159</v>
      </c>
      <c r="J3134" s="6" t="n">
        <v>15</v>
      </c>
      <c r="K3134" s="7">
        <f>IF(I3134="","",I3134*(1+J3134/100))</f>
        <v/>
      </c>
      <c r="L3134" s="12" t="inlineStr"/>
      <c r="M3134" s="8">
        <f>IF(OR(L3134="",K3134="",L3134=0),"",
  (L3134-K3134)/L3134*100)</f>
        <v/>
      </c>
      <c r="N3134" s="13" t="n">
        <v>47</v>
      </c>
      <c r="O3134" s="10" t="inlineStr"/>
      <c r="P3134" s="10" t="inlineStr"/>
      <c r="Q3134" s="10" t="inlineStr"/>
      <c r="R3134" s="10" t="inlineStr">
        <is>
          <t>2026-03-12</t>
        </is>
      </c>
      <c r="S3134" s="10" t="inlineStr"/>
    </row>
    <row r="3135">
      <c r="A3135" s="3" t="inlineStr">
        <is>
          <t>F03628</t>
        </is>
      </c>
      <c r="B3135" s="4" t="inlineStr">
        <is>
          <t>F03628</t>
        </is>
      </c>
      <c r="C3135" s="4" t="inlineStr"/>
      <c r="D3135" s="4" t="inlineStr">
        <is>
          <t>6009705658194</t>
        </is>
      </c>
      <c r="E3135" s="3" t="inlineStr">
        <is>
          <t>TAPE INSULATION NITTO RED 10S 20MT</t>
        </is>
      </c>
      <c r="F3135" s="4" t="inlineStr"/>
      <c r="G3135" s="4" t="inlineStr"/>
      <c r="H3135" s="4" t="inlineStr"/>
      <c r="I3135" s="5" t="n">
        <v>159</v>
      </c>
      <c r="J3135" s="6" t="n">
        <v>15</v>
      </c>
      <c r="K3135" s="7">
        <f>IF(I3135="","",I3135*(1+J3135/100))</f>
        <v/>
      </c>
      <c r="L3135" s="12" t="inlineStr"/>
      <c r="M3135" s="8">
        <f>IF(OR(L3135="",K3135="",L3135=0),"",
  (L3135-K3135)/L3135*100)</f>
        <v/>
      </c>
      <c r="N3135" s="14" t="n">
        <v>49</v>
      </c>
      <c r="O3135" s="4" t="inlineStr"/>
      <c r="P3135" s="4" t="inlineStr"/>
      <c r="Q3135" s="4" t="inlineStr"/>
      <c r="R3135" s="4" t="inlineStr">
        <is>
          <t>2026-03-12</t>
        </is>
      </c>
      <c r="S3135" s="4" t="inlineStr"/>
    </row>
    <row r="3136">
      <c r="A3136" s="10" t="inlineStr">
        <is>
          <t>F03629</t>
        </is>
      </c>
      <c r="B3136" s="10" t="inlineStr">
        <is>
          <t>F03629</t>
        </is>
      </c>
      <c r="C3136" s="10" t="inlineStr"/>
      <c r="D3136" s="10" t="inlineStr"/>
      <c r="E3136" s="10" t="inlineStr">
        <is>
          <t>EARTH SPIKE PLUS CLAMP 10MM</t>
        </is>
      </c>
      <c r="F3136" s="10" t="inlineStr"/>
      <c r="G3136" s="10" t="inlineStr"/>
      <c r="H3136" s="10" t="inlineStr"/>
      <c r="I3136" s="11" t="n">
        <v>55.95</v>
      </c>
      <c r="J3136" s="6" t="n">
        <v>15</v>
      </c>
      <c r="K3136" s="7">
        <f>IF(I3136="","",I3136*(1+J3136/100))</f>
        <v/>
      </c>
      <c r="L3136" s="12" t="inlineStr"/>
      <c r="M3136" s="8">
        <f>IF(OR(L3136="",K3136="",L3136=0),"",
  (L3136-K3136)/L3136*100)</f>
        <v/>
      </c>
      <c r="N3136" s="9" t="inlineStr"/>
      <c r="O3136" s="10" t="inlineStr"/>
      <c r="P3136" s="10" t="inlineStr"/>
      <c r="Q3136" s="10" t="inlineStr"/>
      <c r="R3136" s="10" t="inlineStr">
        <is>
          <t>2026-03-12</t>
        </is>
      </c>
      <c r="S3136" s="10" t="inlineStr"/>
    </row>
    <row r="3137">
      <c r="A3137" s="3" t="inlineStr">
        <is>
          <t>F03630</t>
        </is>
      </c>
      <c r="B3137" s="4" t="inlineStr">
        <is>
          <t>F03630</t>
        </is>
      </c>
      <c r="C3137" s="4" t="inlineStr"/>
      <c r="D3137" s="4" t="inlineStr"/>
      <c r="E3137" s="3" t="inlineStr">
        <is>
          <t>GEYSER  BONDING STRIP 10MTR*0.4*1.2</t>
        </is>
      </c>
      <c r="F3137" s="4" t="inlineStr"/>
      <c r="G3137" s="4" t="inlineStr"/>
      <c r="H3137" s="4" t="inlineStr"/>
      <c r="I3137" s="5" t="n">
        <v>181.5</v>
      </c>
      <c r="J3137" s="6" t="n">
        <v>15</v>
      </c>
      <c r="K3137" s="7">
        <f>IF(I3137="","",I3137*(1+J3137/100))</f>
        <v/>
      </c>
      <c r="L3137" s="12" t="inlineStr"/>
      <c r="M3137" s="8">
        <f>IF(OR(L3137="",K3137="",L3137=0),"",
  (L3137-K3137)/L3137*100)</f>
        <v/>
      </c>
      <c r="N3137" s="14" t="n">
        <v>109</v>
      </c>
      <c r="O3137" s="4" t="inlineStr"/>
      <c r="P3137" s="4" t="inlineStr"/>
      <c r="Q3137" s="4" t="inlineStr"/>
      <c r="R3137" s="4" t="inlineStr">
        <is>
          <t>2026-03-12</t>
        </is>
      </c>
      <c r="S3137" s="4" t="inlineStr"/>
    </row>
    <row r="3138">
      <c r="A3138" s="10" t="inlineStr">
        <is>
          <t>F03631</t>
        </is>
      </c>
      <c r="B3138" s="10" t="inlineStr">
        <is>
          <t>F03631</t>
        </is>
      </c>
      <c r="C3138" s="10" t="inlineStr"/>
      <c r="D3138" s="10" t="inlineStr"/>
      <c r="E3138" s="10" t="inlineStr">
        <is>
          <t>GEYSER ELEMENT SPIRAL 2KW TYSON</t>
        </is>
      </c>
      <c r="F3138" s="10" t="inlineStr"/>
      <c r="G3138" s="10" t="inlineStr"/>
      <c r="H3138" s="10" t="inlineStr"/>
      <c r="I3138" s="11" t="n">
        <v>149</v>
      </c>
      <c r="J3138" s="6" t="n">
        <v>15</v>
      </c>
      <c r="K3138" s="7">
        <f>IF(I3138="","",I3138*(1+J3138/100))</f>
        <v/>
      </c>
      <c r="L3138" s="12" t="inlineStr"/>
      <c r="M3138" s="8">
        <f>IF(OR(L3138="",K3138="",L3138=0),"",
  (L3138-K3138)/L3138*100)</f>
        <v/>
      </c>
      <c r="N3138" s="13" t="n">
        <v>47</v>
      </c>
      <c r="O3138" s="10" t="inlineStr"/>
      <c r="P3138" s="10" t="inlineStr"/>
      <c r="Q3138" s="10" t="inlineStr"/>
      <c r="R3138" s="10" t="inlineStr">
        <is>
          <t>2026-03-12</t>
        </is>
      </c>
      <c r="S3138" s="10" t="inlineStr"/>
    </row>
    <row r="3139">
      <c r="A3139" s="3" t="inlineStr">
        <is>
          <t>F03632</t>
        </is>
      </c>
      <c r="B3139" s="4" t="inlineStr">
        <is>
          <t>F03632</t>
        </is>
      </c>
      <c r="C3139" s="4" t="inlineStr"/>
      <c r="D3139" s="4" t="inlineStr"/>
      <c r="E3139" s="3" t="inlineStr">
        <is>
          <t>GEYSER ELEMENT SPIRAL 3KW TYSON</t>
        </is>
      </c>
      <c r="F3139" s="4" t="inlineStr"/>
      <c r="G3139" s="4" t="inlineStr"/>
      <c r="H3139" s="4" t="inlineStr"/>
      <c r="I3139" s="5" t="n">
        <v>165.95</v>
      </c>
      <c r="J3139" s="6" t="n">
        <v>15</v>
      </c>
      <c r="K3139" s="7">
        <f>IF(I3139="","",I3139*(1+J3139/100))</f>
        <v/>
      </c>
      <c r="L3139" s="12" t="inlineStr"/>
      <c r="M3139" s="8">
        <f>IF(OR(L3139="",K3139="",L3139=0),"",
  (L3139-K3139)/L3139*100)</f>
        <v/>
      </c>
      <c r="N3139" s="14" t="n">
        <v>46</v>
      </c>
      <c r="O3139" s="4" t="inlineStr"/>
      <c r="P3139" s="4" t="inlineStr"/>
      <c r="Q3139" s="4" t="inlineStr"/>
      <c r="R3139" s="4" t="inlineStr">
        <is>
          <t>2026-03-12</t>
        </is>
      </c>
      <c r="S3139" s="4" t="inlineStr"/>
    </row>
    <row r="3140">
      <c r="A3140" s="10" t="inlineStr">
        <is>
          <t>F03633</t>
        </is>
      </c>
      <c r="B3140" s="10" t="inlineStr">
        <is>
          <t>F03633</t>
        </is>
      </c>
      <c r="C3140" s="10" t="inlineStr"/>
      <c r="D3140" s="10" t="inlineStr"/>
      <c r="E3140" s="10" t="inlineStr">
        <is>
          <t>GEYSER ELEMENT SPIRAL 4KW TYSON</t>
        </is>
      </c>
      <c r="F3140" s="10" t="inlineStr"/>
      <c r="G3140" s="10" t="inlineStr"/>
      <c r="H3140" s="10" t="inlineStr"/>
      <c r="I3140" s="11" t="n">
        <v>175.95</v>
      </c>
      <c r="J3140" s="6" t="n">
        <v>15</v>
      </c>
      <c r="K3140" s="7">
        <f>IF(I3140="","",I3140*(1+J3140/100))</f>
        <v/>
      </c>
      <c r="L3140" s="12" t="inlineStr"/>
      <c r="M3140" s="8">
        <f>IF(OR(L3140="",K3140="",L3140=0),"",
  (L3140-K3140)/L3140*100)</f>
        <v/>
      </c>
      <c r="N3140" s="13" t="n">
        <v>21</v>
      </c>
      <c r="O3140" s="10" t="inlineStr"/>
      <c r="P3140" s="10" t="inlineStr"/>
      <c r="Q3140" s="10" t="inlineStr"/>
      <c r="R3140" s="10" t="inlineStr">
        <is>
          <t>2026-03-12</t>
        </is>
      </c>
      <c r="S3140" s="10" t="inlineStr"/>
    </row>
    <row r="3141">
      <c r="A3141" s="3" t="inlineStr">
        <is>
          <t>F03634</t>
        </is>
      </c>
      <c r="B3141" s="4" t="inlineStr">
        <is>
          <t>F03634</t>
        </is>
      </c>
      <c r="C3141" s="4" t="inlineStr"/>
      <c r="D3141" s="4" t="inlineStr"/>
      <c r="E3141" s="3" t="inlineStr">
        <is>
          <t>STOVE PLATE SOLID 6INCH 1000W</t>
        </is>
      </c>
      <c r="F3141" s="4" t="inlineStr"/>
      <c r="G3141" s="4" t="inlineStr"/>
      <c r="H3141" s="4" t="inlineStr"/>
      <c r="I3141" s="5" t="n">
        <v>119.5</v>
      </c>
      <c r="J3141" s="6" t="n">
        <v>15</v>
      </c>
      <c r="K3141" s="7">
        <f>IF(I3141="","",I3141*(1+J3141/100))</f>
        <v/>
      </c>
      <c r="L3141" s="12" t="inlineStr"/>
      <c r="M3141" s="8">
        <f>IF(OR(L3141="",K3141="",L3141=0),"",
  (L3141-K3141)/L3141*100)</f>
        <v/>
      </c>
      <c r="N3141" s="14" t="n">
        <v>2</v>
      </c>
      <c r="O3141" s="4" t="inlineStr"/>
      <c r="P3141" s="4" t="inlineStr"/>
      <c r="Q3141" s="4" t="inlineStr"/>
      <c r="R3141" s="4" t="inlineStr">
        <is>
          <t>2026-03-12</t>
        </is>
      </c>
      <c r="S3141" s="4" t="inlineStr"/>
    </row>
    <row r="3142">
      <c r="A3142" s="10" t="inlineStr">
        <is>
          <t>F03635</t>
        </is>
      </c>
      <c r="B3142" s="10" t="inlineStr">
        <is>
          <t>F03635</t>
        </is>
      </c>
      <c r="C3142" s="10" t="inlineStr"/>
      <c r="D3142" s="10" t="inlineStr"/>
      <c r="E3142" s="10" t="inlineStr">
        <is>
          <t>STOVE PLATE SOLID RED DOT 6INCH 1500W</t>
        </is>
      </c>
      <c r="F3142" s="10" t="inlineStr"/>
      <c r="G3142" s="10" t="inlineStr"/>
      <c r="H3142" s="10" t="inlineStr"/>
      <c r="I3142" s="11" t="n">
        <v>137.5</v>
      </c>
      <c r="J3142" s="6" t="n">
        <v>15</v>
      </c>
      <c r="K3142" s="7">
        <f>IF(I3142="","",I3142*(1+J3142/100))</f>
        <v/>
      </c>
      <c r="L3142" s="12" t="inlineStr"/>
      <c r="M3142" s="8">
        <f>IF(OR(L3142="",K3142="",L3142=0),"",
  (L3142-K3142)/L3142*100)</f>
        <v/>
      </c>
      <c r="N3142" s="13" t="n">
        <v>8</v>
      </c>
      <c r="O3142" s="10" t="inlineStr"/>
      <c r="P3142" s="10" t="inlineStr"/>
      <c r="Q3142" s="10" t="inlineStr"/>
      <c r="R3142" s="10" t="inlineStr">
        <is>
          <t>2026-03-12</t>
        </is>
      </c>
      <c r="S3142" s="10" t="inlineStr"/>
    </row>
    <row r="3143">
      <c r="A3143" s="3" t="inlineStr">
        <is>
          <t>F03636</t>
        </is>
      </c>
      <c r="B3143" s="4" t="inlineStr">
        <is>
          <t>F03636</t>
        </is>
      </c>
      <c r="C3143" s="4" t="inlineStr"/>
      <c r="D3143" s="4" t="inlineStr"/>
      <c r="E3143" s="3" t="inlineStr">
        <is>
          <t>STOVE PLATE SOLID 8INCH 1500W</t>
        </is>
      </c>
      <c r="F3143" s="4" t="inlineStr"/>
      <c r="G3143" s="4" t="inlineStr"/>
      <c r="H3143" s="4" t="inlineStr"/>
      <c r="I3143" s="5" t="n">
        <v>135.95</v>
      </c>
      <c r="J3143" s="6" t="n">
        <v>15</v>
      </c>
      <c r="K3143" s="7">
        <f>IF(I3143="","",I3143*(1+J3143/100))</f>
        <v/>
      </c>
      <c r="L3143" s="12" t="inlineStr"/>
      <c r="M3143" s="8">
        <f>IF(OR(L3143="",K3143="",L3143=0),"",
  (L3143-K3143)/L3143*100)</f>
        <v/>
      </c>
      <c r="N3143" s="9" t="inlineStr"/>
      <c r="O3143" s="4" t="inlineStr"/>
      <c r="P3143" s="4" t="inlineStr"/>
      <c r="Q3143" s="4" t="inlineStr"/>
      <c r="R3143" s="4" t="inlineStr">
        <is>
          <t>2026-03-12</t>
        </is>
      </c>
      <c r="S3143" s="4" t="inlineStr"/>
    </row>
    <row r="3144">
      <c r="A3144" s="10" t="inlineStr">
        <is>
          <t>F03637</t>
        </is>
      </c>
      <c r="B3144" s="10" t="inlineStr">
        <is>
          <t>F03637</t>
        </is>
      </c>
      <c r="C3144" s="10" t="inlineStr"/>
      <c r="D3144" s="10" t="inlineStr"/>
      <c r="E3144" s="10" t="inlineStr">
        <is>
          <t>STOVE PLATE SOLID RED DOT  8INCH 2000W</t>
        </is>
      </c>
      <c r="F3144" s="10" t="inlineStr"/>
      <c r="G3144" s="10" t="inlineStr"/>
      <c r="H3144" s="10" t="inlineStr"/>
      <c r="I3144" s="11" t="n">
        <v>163.95</v>
      </c>
      <c r="J3144" s="6" t="n">
        <v>15</v>
      </c>
      <c r="K3144" s="7">
        <f>IF(I3144="","",I3144*(1+J3144/100))</f>
        <v/>
      </c>
      <c r="L3144" s="12" t="inlineStr"/>
      <c r="M3144" s="8">
        <f>IF(OR(L3144="",K3144="",L3144=0),"",
  (L3144-K3144)/L3144*100)</f>
        <v/>
      </c>
      <c r="N3144" s="13" t="n">
        <v>16</v>
      </c>
      <c r="O3144" s="10" t="inlineStr"/>
      <c r="P3144" s="10" t="inlineStr"/>
      <c r="Q3144" s="10" t="inlineStr"/>
      <c r="R3144" s="10" t="inlineStr">
        <is>
          <t>2026-03-12</t>
        </is>
      </c>
      <c r="S3144" s="10" t="inlineStr"/>
    </row>
    <row r="3145">
      <c r="A3145" s="3" t="inlineStr">
        <is>
          <t>F03638</t>
        </is>
      </c>
      <c r="B3145" s="4" t="inlineStr">
        <is>
          <t>F03638</t>
        </is>
      </c>
      <c r="C3145" s="4" t="inlineStr"/>
      <c r="D3145" s="4" t="inlineStr"/>
      <c r="E3145" s="3" t="inlineStr">
        <is>
          <t>GEYSER THERMOSTAT 20AMP ROUND -GREY</t>
        </is>
      </c>
      <c r="F3145" s="4" t="inlineStr"/>
      <c r="G3145" s="4" t="inlineStr"/>
      <c r="H3145" s="4" t="inlineStr"/>
      <c r="I3145" s="5" t="n">
        <v>92.95</v>
      </c>
      <c r="J3145" s="6" t="n">
        <v>15</v>
      </c>
      <c r="K3145" s="7">
        <f>IF(I3145="","",I3145*(1+J3145/100))</f>
        <v/>
      </c>
      <c r="L3145" s="12" t="inlineStr"/>
      <c r="M3145" s="8">
        <f>IF(OR(L3145="",K3145="",L3145=0),"",
  (L3145-K3145)/L3145*100)</f>
        <v/>
      </c>
      <c r="N3145" s="9" t="inlineStr"/>
      <c r="O3145" s="4" t="inlineStr"/>
      <c r="P3145" s="4" t="inlineStr"/>
      <c r="Q3145" s="4" t="inlineStr"/>
      <c r="R3145" s="4" t="inlineStr">
        <is>
          <t>2026-03-12</t>
        </is>
      </c>
      <c r="S3145" s="4" t="inlineStr"/>
    </row>
    <row r="3146">
      <c r="A3146" s="10" t="inlineStr">
        <is>
          <t>F03639</t>
        </is>
      </c>
      <c r="B3146" s="10" t="inlineStr">
        <is>
          <t>F03639</t>
        </is>
      </c>
      <c r="C3146" s="10" t="inlineStr"/>
      <c r="D3146" s="10" t="inlineStr"/>
      <c r="E3146" s="10" t="inlineStr">
        <is>
          <t>GEYSER THERMOSTAT 20AMP SQUARE-BROWN</t>
        </is>
      </c>
      <c r="F3146" s="10" t="inlineStr"/>
      <c r="G3146" s="10" t="inlineStr"/>
      <c r="H3146" s="10" t="inlineStr"/>
      <c r="I3146" s="11" t="n">
        <v>112.5</v>
      </c>
      <c r="J3146" s="6" t="n">
        <v>15</v>
      </c>
      <c r="K3146" s="7">
        <f>IF(I3146="","",I3146*(1+J3146/100))</f>
        <v/>
      </c>
      <c r="L3146" s="12" t="inlineStr"/>
      <c r="M3146" s="8">
        <f>IF(OR(L3146="",K3146="",L3146=0),"",
  (L3146-K3146)/L3146*100)</f>
        <v/>
      </c>
      <c r="N3146" s="13" t="n">
        <v>62</v>
      </c>
      <c r="O3146" s="10" t="inlineStr"/>
      <c r="P3146" s="10" t="inlineStr"/>
      <c r="Q3146" s="10" t="inlineStr"/>
      <c r="R3146" s="10" t="inlineStr">
        <is>
          <t>2026-03-12</t>
        </is>
      </c>
      <c r="S3146" s="10" t="inlineStr"/>
    </row>
    <row r="3147">
      <c r="A3147" s="3" t="inlineStr">
        <is>
          <t>F03640</t>
        </is>
      </c>
      <c r="B3147" s="4" t="inlineStr">
        <is>
          <t>F03640</t>
        </is>
      </c>
      <c r="C3147" s="4" t="inlineStr"/>
      <c r="D3147" s="4" t="inlineStr"/>
      <c r="E3147" s="3" t="inlineStr">
        <is>
          <t>SPRAY PAINT 300ML APPLIANCE WHITE TYSON</t>
        </is>
      </c>
      <c r="F3147" s="4" t="inlineStr"/>
      <c r="G3147" s="4" t="inlineStr"/>
      <c r="H3147" s="4" t="inlineStr"/>
      <c r="I3147" s="5" t="n">
        <v>27.5</v>
      </c>
      <c r="J3147" s="6" t="n">
        <v>15</v>
      </c>
      <c r="K3147" s="7">
        <f>IF(I3147="","",I3147*(1+J3147/100))</f>
        <v/>
      </c>
      <c r="L3147" s="12" t="inlineStr"/>
      <c r="M3147" s="8">
        <f>IF(OR(L3147="",K3147="",L3147=0),"",
  (L3147-K3147)/L3147*100)</f>
        <v/>
      </c>
      <c r="N3147" s="14" t="n">
        <v>16</v>
      </c>
      <c r="O3147" s="4" t="inlineStr"/>
      <c r="P3147" s="4" t="inlineStr"/>
      <c r="Q3147" s="4" t="inlineStr"/>
      <c r="R3147" s="4" t="inlineStr">
        <is>
          <t>2026-03-12</t>
        </is>
      </c>
      <c r="S3147" s="4" t="inlineStr"/>
    </row>
    <row r="3148">
      <c r="A3148" s="10" t="inlineStr">
        <is>
          <t>F03641</t>
        </is>
      </c>
      <c r="B3148" s="10" t="inlineStr">
        <is>
          <t>F03641</t>
        </is>
      </c>
      <c r="C3148" s="10" t="inlineStr"/>
      <c r="D3148" s="10" t="inlineStr"/>
      <c r="E3148" s="10" t="inlineStr">
        <is>
          <t>SPRAY PAINT 300ML BLUE TYSON</t>
        </is>
      </c>
      <c r="F3148" s="10" t="inlineStr"/>
      <c r="G3148" s="10" t="inlineStr"/>
      <c r="H3148" s="10" t="inlineStr"/>
      <c r="I3148" s="11" t="n">
        <v>27.5</v>
      </c>
      <c r="J3148" s="6" t="n">
        <v>15</v>
      </c>
      <c r="K3148" s="7">
        <f>IF(I3148="","",I3148*(1+J3148/100))</f>
        <v/>
      </c>
      <c r="L3148" s="12" t="inlineStr"/>
      <c r="M3148" s="8">
        <f>IF(OR(L3148="",K3148="",L3148=0),"",
  (L3148-K3148)/L3148*100)</f>
        <v/>
      </c>
      <c r="N3148" s="13" t="n">
        <v>24</v>
      </c>
      <c r="O3148" s="10" t="inlineStr"/>
      <c r="P3148" s="10" t="inlineStr"/>
      <c r="Q3148" s="10" t="inlineStr"/>
      <c r="R3148" s="10" t="inlineStr">
        <is>
          <t>2026-03-12</t>
        </is>
      </c>
      <c r="S3148" s="10" t="inlineStr"/>
    </row>
    <row r="3149">
      <c r="A3149" s="3" t="inlineStr">
        <is>
          <t>F03642</t>
        </is>
      </c>
      <c r="B3149" s="4" t="inlineStr">
        <is>
          <t>F03642</t>
        </is>
      </c>
      <c r="C3149" s="4" t="inlineStr"/>
      <c r="D3149" s="4" t="inlineStr"/>
      <c r="E3149" s="3" t="inlineStr">
        <is>
          <t>SPRAY PAINT 300ML GLOSS BLACK TYSON</t>
        </is>
      </c>
      <c r="F3149" s="4" t="inlineStr"/>
      <c r="G3149" s="4" t="inlineStr"/>
      <c r="H3149" s="4" t="inlineStr"/>
      <c r="I3149" s="5" t="n">
        <v>27.5</v>
      </c>
      <c r="J3149" s="6" t="n">
        <v>15</v>
      </c>
      <c r="K3149" s="7">
        <f>IF(I3149="","",I3149*(1+J3149/100))</f>
        <v/>
      </c>
      <c r="L3149" s="12" t="inlineStr"/>
      <c r="M3149" s="8">
        <f>IF(OR(L3149="",K3149="",L3149=0),"",
  (L3149-K3149)/L3149*100)</f>
        <v/>
      </c>
      <c r="N3149" s="14" t="n">
        <v>6</v>
      </c>
      <c r="O3149" s="4" t="inlineStr"/>
      <c r="P3149" s="4" t="inlineStr"/>
      <c r="Q3149" s="4" t="inlineStr"/>
      <c r="R3149" s="4" t="inlineStr">
        <is>
          <t>2026-03-12</t>
        </is>
      </c>
      <c r="S3149" s="4" t="inlineStr"/>
    </row>
    <row r="3150">
      <c r="A3150" s="10" t="inlineStr">
        <is>
          <t>F03643</t>
        </is>
      </c>
      <c r="B3150" s="10" t="inlineStr">
        <is>
          <t>F03643</t>
        </is>
      </c>
      <c r="C3150" s="10" t="inlineStr"/>
      <c r="D3150" s="10" t="inlineStr"/>
      <c r="E3150" s="10" t="inlineStr">
        <is>
          <t>SPRAY PAINT 300ML GOLD TYSON</t>
        </is>
      </c>
      <c r="F3150" s="10" t="inlineStr"/>
      <c r="G3150" s="10" t="inlineStr"/>
      <c r="H3150" s="10" t="inlineStr"/>
      <c r="I3150" s="11" t="n">
        <v>27.5</v>
      </c>
      <c r="J3150" s="6" t="n">
        <v>15</v>
      </c>
      <c r="K3150" s="7">
        <f>IF(I3150="","",I3150*(1+J3150/100))</f>
        <v/>
      </c>
      <c r="L3150" s="12" t="inlineStr"/>
      <c r="M3150" s="8">
        <f>IF(OR(L3150="",K3150="",L3150=0),"",
  (L3150-K3150)/L3150*100)</f>
        <v/>
      </c>
      <c r="N3150" s="13" t="n">
        <v>7</v>
      </c>
      <c r="O3150" s="10" t="inlineStr"/>
      <c r="P3150" s="10" t="inlineStr"/>
      <c r="Q3150" s="10" t="inlineStr"/>
      <c r="R3150" s="10" t="inlineStr">
        <is>
          <t>2026-03-12</t>
        </is>
      </c>
      <c r="S3150" s="10" t="inlineStr"/>
    </row>
    <row r="3151">
      <c r="A3151" s="3" t="inlineStr">
        <is>
          <t>F03644</t>
        </is>
      </c>
      <c r="B3151" s="4" t="inlineStr">
        <is>
          <t>F03644</t>
        </is>
      </c>
      <c r="C3151" s="4" t="inlineStr"/>
      <c r="D3151" s="4" t="inlineStr"/>
      <c r="E3151" s="3" t="inlineStr">
        <is>
          <t>SPRAY PAINT 300ML GREEN TYSON</t>
        </is>
      </c>
      <c r="F3151" s="4" t="inlineStr"/>
      <c r="G3151" s="4" t="inlineStr"/>
      <c r="H3151" s="4" t="inlineStr"/>
      <c r="I3151" s="5" t="n">
        <v>27.5</v>
      </c>
      <c r="J3151" s="6" t="n">
        <v>15</v>
      </c>
      <c r="K3151" s="7">
        <f>IF(I3151="","",I3151*(1+J3151/100))</f>
        <v/>
      </c>
      <c r="L3151" s="12" t="inlineStr"/>
      <c r="M3151" s="8">
        <f>IF(OR(L3151="",K3151="",L3151=0),"",
  (L3151-K3151)/L3151*100)</f>
        <v/>
      </c>
      <c r="N3151" s="9" t="inlineStr"/>
      <c r="O3151" s="4" t="inlineStr"/>
      <c r="P3151" s="4" t="inlineStr"/>
      <c r="Q3151" s="4" t="inlineStr"/>
      <c r="R3151" s="4" t="inlineStr">
        <is>
          <t>2026-03-12</t>
        </is>
      </c>
      <c r="S3151" s="4" t="inlineStr"/>
    </row>
    <row r="3152">
      <c r="A3152" s="10" t="inlineStr">
        <is>
          <t>F03645</t>
        </is>
      </c>
      <c r="B3152" s="10" t="inlineStr">
        <is>
          <t>F03645</t>
        </is>
      </c>
      <c r="C3152" s="10" t="inlineStr"/>
      <c r="D3152" s="10" t="inlineStr"/>
      <c r="E3152" s="10" t="inlineStr">
        <is>
          <t>SPRAY PAINT 300ML MATT BLACK TYSON</t>
        </is>
      </c>
      <c r="F3152" s="10" t="inlineStr"/>
      <c r="G3152" s="10" t="inlineStr"/>
      <c r="H3152" s="10" t="inlineStr"/>
      <c r="I3152" s="11" t="n">
        <v>27.5</v>
      </c>
      <c r="J3152" s="6" t="n">
        <v>15</v>
      </c>
      <c r="K3152" s="7">
        <f>IF(I3152="","",I3152*(1+J3152/100))</f>
        <v/>
      </c>
      <c r="L3152" s="12" t="inlineStr"/>
      <c r="M3152" s="8">
        <f>IF(OR(L3152="",K3152="",L3152=0),"",
  (L3152-K3152)/L3152*100)</f>
        <v/>
      </c>
      <c r="N3152" s="13" t="n">
        <v>11</v>
      </c>
      <c r="O3152" s="10" t="inlineStr"/>
      <c r="P3152" s="10" t="inlineStr"/>
      <c r="Q3152" s="10" t="inlineStr"/>
      <c r="R3152" s="10" t="inlineStr">
        <is>
          <t>2026-03-12</t>
        </is>
      </c>
      <c r="S3152" s="10" t="inlineStr"/>
    </row>
    <row r="3153">
      <c r="A3153" s="3" t="inlineStr">
        <is>
          <t>F03646</t>
        </is>
      </c>
      <c r="B3153" s="4" t="inlineStr">
        <is>
          <t>F03646</t>
        </is>
      </c>
      <c r="C3153" s="4" t="inlineStr"/>
      <c r="D3153" s="4" t="inlineStr"/>
      <c r="E3153" s="3" t="inlineStr">
        <is>
          <t>SPRAY PAINT 300ML SIGNAL RED TYSON</t>
        </is>
      </c>
      <c r="F3153" s="4" t="inlineStr"/>
      <c r="G3153" s="4" t="inlineStr"/>
      <c r="H3153" s="4" t="inlineStr"/>
      <c r="I3153" s="5" t="n">
        <v>27.5</v>
      </c>
      <c r="J3153" s="6" t="n">
        <v>15</v>
      </c>
      <c r="K3153" s="7">
        <f>IF(I3153="","",I3153*(1+J3153/100))</f>
        <v/>
      </c>
      <c r="L3153" s="12" t="inlineStr"/>
      <c r="M3153" s="8">
        <f>IF(OR(L3153="",K3153="",L3153=0),"",
  (L3153-K3153)/L3153*100)</f>
        <v/>
      </c>
      <c r="N3153" s="14" t="n">
        <v>24</v>
      </c>
      <c r="O3153" s="4" t="inlineStr"/>
      <c r="P3153" s="4" t="inlineStr"/>
      <c r="Q3153" s="4" t="inlineStr"/>
      <c r="R3153" s="4" t="inlineStr">
        <is>
          <t>2026-03-12</t>
        </is>
      </c>
      <c r="S3153" s="4" t="inlineStr"/>
    </row>
    <row r="3154">
      <c r="A3154" s="10" t="inlineStr">
        <is>
          <t>F03647</t>
        </is>
      </c>
      <c r="B3154" s="10" t="inlineStr">
        <is>
          <t>F03647</t>
        </is>
      </c>
      <c r="C3154" s="10" t="inlineStr"/>
      <c r="D3154" s="10" t="inlineStr"/>
      <c r="E3154" s="10" t="inlineStr">
        <is>
          <t>SPRAY PAINT 300ML SILVER TYSON</t>
        </is>
      </c>
      <c r="F3154" s="10" t="inlineStr"/>
      <c r="G3154" s="10" t="inlineStr"/>
      <c r="H3154" s="10" t="inlineStr"/>
      <c r="I3154" s="11" t="n">
        <v>27.5</v>
      </c>
      <c r="J3154" s="6" t="n">
        <v>15</v>
      </c>
      <c r="K3154" s="7">
        <f>IF(I3154="","",I3154*(1+J3154/100))</f>
        <v/>
      </c>
      <c r="L3154" s="12" t="inlineStr"/>
      <c r="M3154" s="8">
        <f>IF(OR(L3154="",K3154="",L3154=0),"",
  (L3154-K3154)/L3154*100)</f>
        <v/>
      </c>
      <c r="N3154" s="13" t="n">
        <v>30</v>
      </c>
      <c r="O3154" s="10" t="inlineStr"/>
      <c r="P3154" s="10" t="inlineStr"/>
      <c r="Q3154" s="10" t="inlineStr"/>
      <c r="R3154" s="10" t="inlineStr">
        <is>
          <t>2026-03-12</t>
        </is>
      </c>
      <c r="S3154" s="10" t="inlineStr"/>
    </row>
    <row r="3155">
      <c r="A3155" s="3" t="inlineStr">
        <is>
          <t>F03648</t>
        </is>
      </c>
      <c r="B3155" s="4" t="inlineStr">
        <is>
          <t>F03648</t>
        </is>
      </c>
      <c r="C3155" s="4" t="inlineStr"/>
      <c r="D3155" s="4" t="inlineStr"/>
      <c r="E3155" s="3" t="inlineStr">
        <is>
          <t>SPRAY PAINT 300ML YELLOW TYSON</t>
        </is>
      </c>
      <c r="F3155" s="4" t="inlineStr"/>
      <c r="G3155" s="4" t="inlineStr"/>
      <c r="H3155" s="4" t="inlineStr"/>
      <c r="I3155" s="5" t="n">
        <v>27.5</v>
      </c>
      <c r="J3155" s="6" t="n">
        <v>15</v>
      </c>
      <c r="K3155" s="7">
        <f>IF(I3155="","",I3155*(1+J3155/100))</f>
        <v/>
      </c>
      <c r="L3155" s="12" t="inlineStr"/>
      <c r="M3155" s="8">
        <f>IF(OR(L3155="",K3155="",L3155=0),"",
  (L3155-K3155)/L3155*100)</f>
        <v/>
      </c>
      <c r="N3155" s="14" t="n">
        <v>58</v>
      </c>
      <c r="O3155" s="4" t="inlineStr"/>
      <c r="P3155" s="4" t="inlineStr"/>
      <c r="Q3155" s="4" t="inlineStr"/>
      <c r="R3155" s="4" t="inlineStr">
        <is>
          <t>2026-03-12</t>
        </is>
      </c>
      <c r="S3155" s="4" t="inlineStr"/>
    </row>
    <row r="3156">
      <c r="A3156" s="10" t="inlineStr">
        <is>
          <t>F03649</t>
        </is>
      </c>
      <c r="B3156" s="10" t="inlineStr">
        <is>
          <t>F03649</t>
        </is>
      </c>
      <c r="C3156" s="10" t="inlineStr"/>
      <c r="D3156" s="10" t="inlineStr"/>
      <c r="E3156" s="10" t="inlineStr">
        <is>
          <t>BOOSTER CABLE 2000AMP</t>
        </is>
      </c>
      <c r="F3156" s="10" t="inlineStr"/>
      <c r="G3156" s="10" t="inlineStr"/>
      <c r="H3156" s="10" t="inlineStr"/>
      <c r="I3156" s="11" t="n">
        <v>191.95</v>
      </c>
      <c r="J3156" s="6" t="n">
        <v>15</v>
      </c>
      <c r="K3156" s="7">
        <f>IF(I3156="","",I3156*(1+J3156/100))</f>
        <v/>
      </c>
      <c r="L3156" s="12" t="inlineStr"/>
      <c r="M3156" s="8">
        <f>IF(OR(L3156="",K3156="",L3156=0),"",
  (L3156-K3156)/L3156*100)</f>
        <v/>
      </c>
      <c r="N3156" s="13" t="n">
        <v>15</v>
      </c>
      <c r="O3156" s="10" t="inlineStr"/>
      <c r="P3156" s="10" t="inlineStr"/>
      <c r="Q3156" s="10" t="inlineStr"/>
      <c r="R3156" s="10" t="inlineStr">
        <is>
          <t>2026-03-12</t>
        </is>
      </c>
      <c r="S3156" s="10" t="inlineStr"/>
    </row>
    <row r="3157">
      <c r="A3157" s="3" t="inlineStr">
        <is>
          <t>F03650</t>
        </is>
      </c>
      <c r="B3157" s="4" t="inlineStr">
        <is>
          <t>F03650</t>
        </is>
      </c>
      <c r="C3157" s="4" t="inlineStr"/>
      <c r="D3157" s="4" t="inlineStr"/>
      <c r="E3157" s="3" t="inlineStr">
        <is>
          <t>PADLOCK INSURANCE 80MM BRASS H337</t>
        </is>
      </c>
      <c r="F3157" s="4" t="inlineStr"/>
      <c r="G3157" s="4" t="inlineStr"/>
      <c r="H3157" s="4" t="inlineStr"/>
      <c r="I3157" s="5" t="n">
        <v>67.5</v>
      </c>
      <c r="J3157" s="6" t="n">
        <v>15</v>
      </c>
      <c r="K3157" s="7">
        <f>IF(I3157="","",I3157*(1+J3157/100))</f>
        <v/>
      </c>
      <c r="L3157" s="12" t="inlineStr"/>
      <c r="M3157" s="8">
        <f>IF(OR(L3157="",K3157="",L3157=0),"",
  (L3157-K3157)/L3157*100)</f>
        <v/>
      </c>
      <c r="N3157" s="9" t="inlineStr"/>
      <c r="O3157" s="4" t="inlineStr"/>
      <c r="P3157" s="4" t="inlineStr"/>
      <c r="Q3157" s="4" t="inlineStr"/>
      <c r="R3157" s="4" t="inlineStr">
        <is>
          <t>2026-03-12</t>
        </is>
      </c>
      <c r="S3157" s="4" t="inlineStr"/>
    </row>
    <row r="3158">
      <c r="A3158" s="10" t="inlineStr">
        <is>
          <t>F03651</t>
        </is>
      </c>
      <c r="B3158" s="10" t="inlineStr">
        <is>
          <t>F03651</t>
        </is>
      </c>
      <c r="C3158" s="10" t="inlineStr"/>
      <c r="D3158" s="10" t="inlineStr"/>
      <c r="E3158" s="10" t="inlineStr">
        <is>
          <t>SPEAKER WIRE 0.5MM CLEAR H147 COPPER</t>
        </is>
      </c>
      <c r="F3158" s="10" t="inlineStr"/>
      <c r="G3158" s="10" t="inlineStr"/>
      <c r="H3158" s="10" t="inlineStr"/>
      <c r="I3158" s="11" t="n">
        <v>141.5</v>
      </c>
      <c r="J3158" s="6" t="n">
        <v>15</v>
      </c>
      <c r="K3158" s="7">
        <f>IF(I3158="","",I3158*(1+J3158/100))</f>
        <v/>
      </c>
      <c r="L3158" s="12" t="inlineStr"/>
      <c r="M3158" s="8">
        <f>IF(OR(L3158="",K3158="",L3158=0),"",
  (L3158-K3158)/L3158*100)</f>
        <v/>
      </c>
      <c r="N3158" s="9" t="inlineStr"/>
      <c r="O3158" s="10" t="inlineStr"/>
      <c r="P3158" s="10" t="inlineStr"/>
      <c r="Q3158" s="10" t="inlineStr"/>
      <c r="R3158" s="10" t="inlineStr">
        <is>
          <t>2026-03-12</t>
        </is>
      </c>
      <c r="S3158" s="10" t="inlineStr"/>
    </row>
    <row r="3159">
      <c r="A3159" s="3" t="inlineStr">
        <is>
          <t>F03652</t>
        </is>
      </c>
      <c r="B3159" s="4" t="inlineStr">
        <is>
          <t>F03652</t>
        </is>
      </c>
      <c r="C3159" s="4" t="inlineStr"/>
      <c r="D3159" s="4" t="inlineStr"/>
      <c r="E3159" s="3" t="inlineStr">
        <is>
          <t>SPEAKER WIRE 0.5MM RED-BLK H146 COPPER</t>
        </is>
      </c>
      <c r="F3159" s="4" t="inlineStr"/>
      <c r="G3159" s="4" t="inlineStr"/>
      <c r="H3159" s="4" t="inlineStr"/>
      <c r="I3159" s="5" t="n">
        <v>141.5</v>
      </c>
      <c r="J3159" s="6" t="n">
        <v>15</v>
      </c>
      <c r="K3159" s="7">
        <f>IF(I3159="","",I3159*(1+J3159/100))</f>
        <v/>
      </c>
      <c r="L3159" s="12" t="inlineStr"/>
      <c r="M3159" s="8">
        <f>IF(OR(L3159="",K3159="",L3159=0),"",
  (L3159-K3159)/L3159*100)</f>
        <v/>
      </c>
      <c r="N3159" s="9" t="inlineStr"/>
      <c r="O3159" s="4" t="inlineStr"/>
      <c r="P3159" s="4" t="inlineStr"/>
      <c r="Q3159" s="4" t="inlineStr"/>
      <c r="R3159" s="4" t="inlineStr">
        <is>
          <t>2026-03-12</t>
        </is>
      </c>
      <c r="S3159" s="4" t="inlineStr"/>
    </row>
    <row r="3160">
      <c r="A3160" s="10" t="inlineStr">
        <is>
          <t>F03653</t>
        </is>
      </c>
      <c r="B3160" s="10" t="inlineStr">
        <is>
          <t>F03653</t>
        </is>
      </c>
      <c r="C3160" s="10" t="inlineStr"/>
      <c r="D3160" s="10" t="inlineStr"/>
      <c r="E3160" s="10" t="inlineStr">
        <is>
          <t>SPEAKER WIRE 0.5MM WHITE H148 COPPER</t>
        </is>
      </c>
      <c r="F3160" s="10" t="inlineStr"/>
      <c r="G3160" s="10" t="inlineStr"/>
      <c r="H3160" s="10" t="inlineStr"/>
      <c r="I3160" s="11" t="n">
        <v>141.5</v>
      </c>
      <c r="J3160" s="6" t="n">
        <v>15</v>
      </c>
      <c r="K3160" s="7">
        <f>IF(I3160="","",I3160*(1+J3160/100))</f>
        <v/>
      </c>
      <c r="L3160" s="12" t="inlineStr"/>
      <c r="M3160" s="8">
        <f>IF(OR(L3160="",K3160="",L3160=0),"",
  (L3160-K3160)/L3160*100)</f>
        <v/>
      </c>
      <c r="N3160" s="9" t="inlineStr"/>
      <c r="O3160" s="10" t="inlineStr"/>
      <c r="P3160" s="10" t="inlineStr"/>
      <c r="Q3160" s="10" t="inlineStr"/>
      <c r="R3160" s="10" t="inlineStr">
        <is>
          <t>2026-03-12</t>
        </is>
      </c>
      <c r="S3160" s="10" t="inlineStr"/>
    </row>
    <row r="3161">
      <c r="A3161" s="3" t="inlineStr">
        <is>
          <t>F03654</t>
        </is>
      </c>
      <c r="B3161" s="4" t="inlineStr">
        <is>
          <t>F03654</t>
        </is>
      </c>
      <c r="C3161" s="4" t="inlineStr"/>
      <c r="D3161" s="4" t="inlineStr"/>
      <c r="E3161" s="3" t="inlineStr">
        <is>
          <t>SPEAKER WIRE 1MM RED-BLK H145RB COPPER</t>
        </is>
      </c>
      <c r="F3161" s="4" t="inlineStr"/>
      <c r="G3161" s="4" t="inlineStr"/>
      <c r="H3161" s="4" t="inlineStr"/>
      <c r="I3161" s="5" t="n">
        <v>257</v>
      </c>
      <c r="J3161" s="6" t="n">
        <v>15</v>
      </c>
      <c r="K3161" s="7">
        <f>IF(I3161="","",I3161*(1+J3161/100))</f>
        <v/>
      </c>
      <c r="L3161" s="12" t="inlineStr"/>
      <c r="M3161" s="8">
        <f>IF(OR(L3161="",K3161="",L3161=0),"",
  (L3161-K3161)/L3161*100)</f>
        <v/>
      </c>
      <c r="N3161" s="9" t="inlineStr"/>
      <c r="O3161" s="4" t="inlineStr"/>
      <c r="P3161" s="4" t="inlineStr"/>
      <c r="Q3161" s="4" t="inlineStr"/>
      <c r="R3161" s="4" t="inlineStr">
        <is>
          <t>2026-03-12</t>
        </is>
      </c>
      <c r="S3161" s="4" t="inlineStr"/>
    </row>
    <row r="3162">
      <c r="A3162" s="10" t="inlineStr">
        <is>
          <t>F03655</t>
        </is>
      </c>
      <c r="B3162" s="10" t="inlineStr">
        <is>
          <t>F03655</t>
        </is>
      </c>
      <c r="C3162" s="10" t="inlineStr"/>
      <c r="D3162" s="10" t="inlineStr"/>
      <c r="E3162" s="10" t="inlineStr">
        <is>
          <t>SPEAKER WIRE 1MM WHITE H145W COPPER</t>
        </is>
      </c>
      <c r="F3162" s="10" t="inlineStr"/>
      <c r="G3162" s="10" t="inlineStr"/>
      <c r="H3162" s="10" t="inlineStr"/>
      <c r="I3162" s="11" t="n">
        <v>257</v>
      </c>
      <c r="J3162" s="6" t="n">
        <v>15</v>
      </c>
      <c r="K3162" s="7">
        <f>IF(I3162="","",I3162*(1+J3162/100))</f>
        <v/>
      </c>
      <c r="L3162" s="12" t="inlineStr"/>
      <c r="M3162" s="8">
        <f>IF(OR(L3162="",K3162="",L3162=0),"",
  (L3162-K3162)/L3162*100)</f>
        <v/>
      </c>
      <c r="N3162" s="13" t="n">
        <v>1</v>
      </c>
      <c r="O3162" s="10" t="inlineStr"/>
      <c r="P3162" s="10" t="inlineStr"/>
      <c r="Q3162" s="10" t="inlineStr"/>
      <c r="R3162" s="10" t="inlineStr">
        <is>
          <t>2026-03-12</t>
        </is>
      </c>
      <c r="S3162" s="10" t="inlineStr"/>
    </row>
    <row r="3163">
      <c r="A3163" s="3" t="inlineStr">
        <is>
          <t>F03656</t>
        </is>
      </c>
      <c r="B3163" s="4" t="inlineStr">
        <is>
          <t>F03656</t>
        </is>
      </c>
      <c r="C3163" s="4" t="inlineStr"/>
      <c r="D3163" s="4" t="inlineStr"/>
      <c r="E3163" s="3" t="inlineStr">
        <is>
          <t>STOVE PLATE SPIRAL 6INCH DNS145</t>
        </is>
      </c>
      <c r="F3163" s="4" t="inlineStr"/>
      <c r="G3163" s="4" t="inlineStr"/>
      <c r="H3163" s="4" t="inlineStr"/>
      <c r="I3163" s="5" t="n">
        <v>43.5</v>
      </c>
      <c r="J3163" s="6" t="n">
        <v>15</v>
      </c>
      <c r="K3163" s="7">
        <f>IF(I3163="","",I3163*(1+J3163/100))</f>
        <v/>
      </c>
      <c r="L3163" s="12" t="inlineStr"/>
      <c r="M3163" s="8">
        <f>IF(OR(L3163="",K3163="",L3163=0),"",
  (L3163-K3163)/L3163*100)</f>
        <v/>
      </c>
      <c r="N3163" s="14" t="n">
        <v>43</v>
      </c>
      <c r="O3163" s="4" t="inlineStr"/>
      <c r="P3163" s="4" t="inlineStr"/>
      <c r="Q3163" s="4" t="inlineStr"/>
      <c r="R3163" s="4" t="inlineStr">
        <is>
          <t>2026-03-12</t>
        </is>
      </c>
      <c r="S3163" s="4" t="inlineStr"/>
    </row>
    <row r="3164">
      <c r="A3164" s="10" t="inlineStr">
        <is>
          <t>F03657</t>
        </is>
      </c>
      <c r="B3164" s="10" t="inlineStr">
        <is>
          <t>F03657</t>
        </is>
      </c>
      <c r="C3164" s="10" t="inlineStr"/>
      <c r="D3164" s="10" t="inlineStr"/>
      <c r="E3164" s="10" t="inlineStr">
        <is>
          <t>STOVE PLATE SPIRAL 8INCH DNS190</t>
        </is>
      </c>
      <c r="F3164" s="10" t="inlineStr"/>
      <c r="G3164" s="10" t="inlineStr"/>
      <c r="H3164" s="10" t="inlineStr"/>
      <c r="I3164" s="11" t="n">
        <v>75.95</v>
      </c>
      <c r="J3164" s="6" t="n">
        <v>15</v>
      </c>
      <c r="K3164" s="7">
        <f>IF(I3164="","",I3164*(1+J3164/100))</f>
        <v/>
      </c>
      <c r="L3164" s="12" t="inlineStr"/>
      <c r="M3164" s="8">
        <f>IF(OR(L3164="",K3164="",L3164=0),"",
  (L3164-K3164)/L3164*100)</f>
        <v/>
      </c>
      <c r="N3164" s="13" t="n">
        <v>66</v>
      </c>
      <c r="O3164" s="10" t="inlineStr"/>
      <c r="P3164" s="10" t="inlineStr"/>
      <c r="Q3164" s="10" t="inlineStr"/>
      <c r="R3164" s="10" t="inlineStr">
        <is>
          <t>2026-03-12</t>
        </is>
      </c>
      <c r="S3164" s="10" t="inlineStr"/>
    </row>
    <row r="3165">
      <c r="A3165" s="3" t="inlineStr">
        <is>
          <t>F03658</t>
        </is>
      </c>
      <c r="B3165" s="4" t="inlineStr">
        <is>
          <t>F03658</t>
        </is>
      </c>
      <c r="C3165" s="4" t="inlineStr"/>
      <c r="D3165" s="4" t="inlineStr"/>
      <c r="E3165" s="3" t="inlineStr">
        <is>
          <t>GATE LOCK CYLINDER TYSON N296</t>
        </is>
      </c>
      <c r="F3165" s="4" t="inlineStr"/>
      <c r="G3165" s="4" t="inlineStr"/>
      <c r="H3165" s="4" t="inlineStr"/>
      <c r="I3165" s="5" t="n">
        <v>95.95</v>
      </c>
      <c r="J3165" s="6" t="n">
        <v>15</v>
      </c>
      <c r="K3165" s="7">
        <f>IF(I3165="","",I3165*(1+J3165/100))</f>
        <v/>
      </c>
      <c r="L3165" s="12" t="inlineStr"/>
      <c r="M3165" s="8">
        <f>IF(OR(L3165="",K3165="",L3165=0),"",
  (L3165-K3165)/L3165*100)</f>
        <v/>
      </c>
      <c r="N3165" s="14" t="n">
        <v>16</v>
      </c>
      <c r="O3165" s="4" t="inlineStr"/>
      <c r="P3165" s="4" t="inlineStr"/>
      <c r="Q3165" s="4" t="inlineStr"/>
      <c r="R3165" s="4" t="inlineStr">
        <is>
          <t>2026-03-12</t>
        </is>
      </c>
      <c r="S3165" s="4" t="inlineStr"/>
    </row>
    <row r="3166">
      <c r="A3166" s="10" t="inlineStr">
        <is>
          <t>F03659</t>
        </is>
      </c>
      <c r="B3166" s="10" t="inlineStr">
        <is>
          <t>F03659</t>
        </is>
      </c>
      <c r="C3166" s="10" t="inlineStr"/>
      <c r="D3166" s="10" t="inlineStr"/>
      <c r="E3166" s="10" t="inlineStr">
        <is>
          <t>GATE LOCK SQUARE TYSON N294</t>
        </is>
      </c>
      <c r="F3166" s="10" t="inlineStr"/>
      <c r="G3166" s="10" t="inlineStr"/>
      <c r="H3166" s="10" t="inlineStr"/>
      <c r="I3166" s="11" t="n">
        <v>46.95</v>
      </c>
      <c r="J3166" s="6" t="n">
        <v>15</v>
      </c>
      <c r="K3166" s="7">
        <f>IF(I3166="","",I3166*(1+J3166/100))</f>
        <v/>
      </c>
      <c r="L3166" s="12" t="inlineStr"/>
      <c r="M3166" s="8">
        <f>IF(OR(L3166="",K3166="",L3166=0),"",
  (L3166-K3166)/L3166*100)</f>
        <v/>
      </c>
      <c r="N3166" s="13" t="n">
        <v>153</v>
      </c>
      <c r="O3166" s="10" t="inlineStr"/>
      <c r="P3166" s="10" t="inlineStr"/>
      <c r="Q3166" s="10" t="inlineStr"/>
      <c r="R3166" s="10" t="inlineStr">
        <is>
          <t>2026-03-12</t>
        </is>
      </c>
      <c r="S3166" s="10" t="inlineStr"/>
    </row>
    <row r="3167">
      <c r="A3167" s="3" t="inlineStr">
        <is>
          <t>F03660</t>
        </is>
      </c>
      <c r="B3167" s="4" t="inlineStr">
        <is>
          <t>F03660</t>
        </is>
      </c>
      <c r="C3167" s="4" t="inlineStr"/>
      <c r="D3167" s="4" t="inlineStr"/>
      <c r="E3167" s="3" t="inlineStr">
        <is>
          <t>LED LIGHT  MODULE SPARE 36W</t>
        </is>
      </c>
      <c r="F3167" s="4" t="inlineStr"/>
      <c r="G3167" s="4" t="inlineStr"/>
      <c r="H3167" s="4" t="inlineStr"/>
      <c r="I3167" s="5" t="n">
        <v>32.95</v>
      </c>
      <c r="J3167" s="6" t="n">
        <v>15</v>
      </c>
      <c r="K3167" s="7">
        <f>IF(I3167="","",I3167*(1+J3167/100))</f>
        <v/>
      </c>
      <c r="L3167" s="12" t="inlineStr"/>
      <c r="M3167" s="8">
        <f>IF(OR(L3167="",K3167="",L3167=0),"",
  (L3167-K3167)/L3167*100)</f>
        <v/>
      </c>
      <c r="N3167" s="14" t="n">
        <v>62</v>
      </c>
      <c r="O3167" s="4" t="inlineStr"/>
      <c r="P3167" s="4" t="inlineStr"/>
      <c r="Q3167" s="4" t="inlineStr"/>
      <c r="R3167" s="4" t="inlineStr">
        <is>
          <t>2026-03-12</t>
        </is>
      </c>
      <c r="S3167" s="4" t="inlineStr"/>
    </row>
    <row r="3168">
      <c r="A3168" s="10" t="inlineStr">
        <is>
          <t>F03661</t>
        </is>
      </c>
      <c r="B3168" s="10" t="inlineStr">
        <is>
          <t>F03661</t>
        </is>
      </c>
      <c r="C3168" s="10" t="inlineStr"/>
      <c r="D3168" s="10" t="inlineStr"/>
      <c r="E3168" s="10" t="inlineStr">
        <is>
          <t>LED LIGHT  MODULE SPARE 24W</t>
        </is>
      </c>
      <c r="F3168" s="10" t="inlineStr"/>
      <c r="G3168" s="10" t="inlineStr"/>
      <c r="H3168" s="10" t="inlineStr"/>
      <c r="I3168" s="11" t="n">
        <v>25.95</v>
      </c>
      <c r="J3168" s="6" t="n">
        <v>15</v>
      </c>
      <c r="K3168" s="7">
        <f>IF(I3168="","",I3168*(1+J3168/100))</f>
        <v/>
      </c>
      <c r="L3168" s="12" t="inlineStr"/>
      <c r="M3168" s="8">
        <f>IF(OR(L3168="",K3168="",L3168=0),"",
  (L3168-K3168)/L3168*100)</f>
        <v/>
      </c>
      <c r="N3168" s="13" t="n">
        <v>79</v>
      </c>
      <c r="O3168" s="10" t="inlineStr"/>
      <c r="P3168" s="10" t="inlineStr"/>
      <c r="Q3168" s="10" t="inlineStr"/>
      <c r="R3168" s="10" t="inlineStr">
        <is>
          <t>2026-03-12</t>
        </is>
      </c>
      <c r="S3168" s="10" t="inlineStr"/>
    </row>
    <row r="3169">
      <c r="A3169" s="3" t="inlineStr">
        <is>
          <t>F03662</t>
        </is>
      </c>
      <c r="B3169" s="4" t="inlineStr">
        <is>
          <t>F03662</t>
        </is>
      </c>
      <c r="C3169" s="4" t="inlineStr"/>
      <c r="D3169" s="4" t="inlineStr"/>
      <c r="E3169" s="3" t="inlineStr">
        <is>
          <t>PADLOCK 63MM  TOP SECURITY H334 BLISTER</t>
        </is>
      </c>
      <c r="F3169" s="4" t="inlineStr"/>
      <c r="G3169" s="4" t="inlineStr"/>
      <c r="H3169" s="4" t="inlineStr"/>
      <c r="I3169" s="5" t="n">
        <v>39.95</v>
      </c>
      <c r="J3169" s="6" t="n">
        <v>15</v>
      </c>
      <c r="K3169" s="7">
        <f>IF(I3169="","",I3169*(1+J3169/100))</f>
        <v/>
      </c>
      <c r="L3169" s="12" t="inlineStr"/>
      <c r="M3169" s="8">
        <f>IF(OR(L3169="",K3169="",L3169=0),"",
  (L3169-K3169)/L3169*100)</f>
        <v/>
      </c>
      <c r="N3169" s="14" t="n">
        <v>46</v>
      </c>
      <c r="O3169" s="4" t="inlineStr"/>
      <c r="P3169" s="4" t="inlineStr"/>
      <c r="Q3169" s="4" t="inlineStr"/>
      <c r="R3169" s="4" t="inlineStr">
        <is>
          <t>2026-03-12</t>
        </is>
      </c>
      <c r="S3169" s="4" t="inlineStr"/>
    </row>
    <row r="3170">
      <c r="A3170" s="10" t="inlineStr">
        <is>
          <t>F03663</t>
        </is>
      </c>
      <c r="B3170" s="10" t="inlineStr">
        <is>
          <t>F03663</t>
        </is>
      </c>
      <c r="C3170" s="10" t="inlineStr"/>
      <c r="D3170" s="10" t="inlineStr"/>
      <c r="E3170" s="10" t="inlineStr">
        <is>
          <t>PADLOCK 38MM  TOP SECURITY  H332 BLISTER</t>
        </is>
      </c>
      <c r="F3170" s="10" t="inlineStr"/>
      <c r="G3170" s="10" t="inlineStr"/>
      <c r="H3170" s="10" t="inlineStr"/>
      <c r="I3170" s="11" t="n">
        <v>19.95</v>
      </c>
      <c r="J3170" s="6" t="n">
        <v>15</v>
      </c>
      <c r="K3170" s="7">
        <f>IF(I3170="","",I3170*(1+J3170/100))</f>
        <v/>
      </c>
      <c r="L3170" s="12" t="inlineStr"/>
      <c r="M3170" s="8">
        <f>IF(OR(L3170="",K3170="",L3170=0),"",
  (L3170-K3170)/L3170*100)</f>
        <v/>
      </c>
      <c r="N3170" s="9" t="inlineStr"/>
      <c r="O3170" s="10" t="inlineStr"/>
      <c r="P3170" s="10" t="inlineStr"/>
      <c r="Q3170" s="10" t="inlineStr"/>
      <c r="R3170" s="10" t="inlineStr">
        <is>
          <t>2026-03-12</t>
        </is>
      </c>
      <c r="S3170" s="10" t="inlineStr"/>
    </row>
    <row r="3171">
      <c r="A3171" s="3" t="inlineStr">
        <is>
          <t>F03664</t>
        </is>
      </c>
      <c r="B3171" s="4" t="inlineStr">
        <is>
          <t>F03664</t>
        </is>
      </c>
      <c r="C3171" s="4" t="inlineStr"/>
      <c r="D3171" s="4" t="inlineStr"/>
      <c r="E3171" s="3" t="inlineStr">
        <is>
          <t>PADLOCK 32MM  TOP SECURITY H331 BLISTER</t>
        </is>
      </c>
      <c r="F3171" s="4" t="inlineStr"/>
      <c r="G3171" s="4" t="inlineStr"/>
      <c r="H3171" s="4" t="inlineStr"/>
      <c r="I3171" s="5" t="n">
        <v>16.95</v>
      </c>
      <c r="J3171" s="6" t="n">
        <v>15</v>
      </c>
      <c r="K3171" s="7">
        <f>IF(I3171="","",I3171*(1+J3171/100))</f>
        <v/>
      </c>
      <c r="L3171" s="12" t="inlineStr"/>
      <c r="M3171" s="8">
        <f>IF(OR(L3171="",K3171="",L3171=0),"",
  (L3171-K3171)/L3171*100)</f>
        <v/>
      </c>
      <c r="N3171" s="14" t="n">
        <v>16</v>
      </c>
      <c r="O3171" s="4" t="inlineStr"/>
      <c r="P3171" s="4" t="inlineStr"/>
      <c r="Q3171" s="4" t="inlineStr"/>
      <c r="R3171" s="4" t="inlineStr">
        <is>
          <t>2026-03-12</t>
        </is>
      </c>
      <c r="S3171" s="4" t="inlineStr"/>
    </row>
    <row r="3172">
      <c r="A3172" s="10" t="inlineStr">
        <is>
          <t>F03665</t>
        </is>
      </c>
      <c r="B3172" s="10" t="inlineStr">
        <is>
          <t>F03665</t>
        </is>
      </c>
      <c r="C3172" s="10" t="inlineStr"/>
      <c r="D3172" s="10" t="inlineStr"/>
      <c r="E3172" s="10" t="inlineStr">
        <is>
          <t>PADLOCK 50MM  TOP SECURITY H333 BLISTER</t>
        </is>
      </c>
      <c r="F3172" s="10" t="inlineStr"/>
      <c r="G3172" s="10" t="inlineStr"/>
      <c r="H3172" s="10" t="inlineStr"/>
      <c r="I3172" s="11" t="n">
        <v>26.5</v>
      </c>
      <c r="J3172" s="6" t="n">
        <v>15</v>
      </c>
      <c r="K3172" s="7">
        <f>IF(I3172="","",I3172*(1+J3172/100))</f>
        <v/>
      </c>
      <c r="L3172" s="12" t="inlineStr"/>
      <c r="M3172" s="8">
        <f>IF(OR(L3172="",K3172="",L3172=0),"",
  (L3172-K3172)/L3172*100)</f>
        <v/>
      </c>
      <c r="N3172" s="13" t="n">
        <v>16</v>
      </c>
      <c r="O3172" s="10" t="inlineStr"/>
      <c r="P3172" s="10" t="inlineStr"/>
      <c r="Q3172" s="10" t="inlineStr"/>
      <c r="R3172" s="10" t="inlineStr">
        <is>
          <t>2026-03-12</t>
        </is>
      </c>
      <c r="S3172" s="10" t="inlineStr"/>
    </row>
    <row r="3173">
      <c r="A3173" s="3" t="inlineStr">
        <is>
          <t>F03666</t>
        </is>
      </c>
      <c r="B3173" s="4" t="inlineStr">
        <is>
          <t>F03666</t>
        </is>
      </c>
      <c r="C3173" s="4" t="inlineStr"/>
      <c r="D3173" s="4" t="inlineStr"/>
      <c r="E3173" s="3" t="inlineStr">
        <is>
          <t>DOWNLIGHT KIT 5W CHROME 3PC - SWIVEL</t>
        </is>
      </c>
      <c r="F3173" s="4" t="inlineStr"/>
      <c r="G3173" s="4" t="inlineStr"/>
      <c r="H3173" s="4" t="inlineStr"/>
      <c r="I3173" s="5" t="n">
        <v>31.95</v>
      </c>
      <c r="J3173" s="6" t="n">
        <v>15</v>
      </c>
      <c r="K3173" s="7">
        <f>IF(I3173="","",I3173*(1+J3173/100))</f>
        <v/>
      </c>
      <c r="L3173" s="12" t="inlineStr"/>
      <c r="M3173" s="8">
        <f>IF(OR(L3173="",K3173="",L3173=0),"",
  (L3173-K3173)/L3173*100)</f>
        <v/>
      </c>
      <c r="N3173" s="14" t="n">
        <v>271</v>
      </c>
      <c r="O3173" s="4" t="inlineStr"/>
      <c r="P3173" s="4" t="inlineStr"/>
      <c r="Q3173" s="4" t="inlineStr"/>
      <c r="R3173" s="4" t="inlineStr">
        <is>
          <t>2026-03-12</t>
        </is>
      </c>
      <c r="S3173" s="4" t="inlineStr"/>
    </row>
    <row r="3174">
      <c r="A3174" s="10" t="inlineStr">
        <is>
          <t>F03667</t>
        </is>
      </c>
      <c r="B3174" s="10" t="inlineStr">
        <is>
          <t>F03667</t>
        </is>
      </c>
      <c r="C3174" s="10" t="inlineStr"/>
      <c r="D3174" s="10" t="inlineStr"/>
      <c r="E3174" s="10" t="inlineStr">
        <is>
          <t>DOWNLIGHT KIT 5W CHROME 3PC - FIXED</t>
        </is>
      </c>
      <c r="F3174" s="10" t="inlineStr"/>
      <c r="G3174" s="10" t="inlineStr"/>
      <c r="H3174" s="10" t="inlineStr"/>
      <c r="I3174" s="11" t="n">
        <v>23.5</v>
      </c>
      <c r="J3174" s="6" t="n">
        <v>15</v>
      </c>
      <c r="K3174" s="7">
        <f>IF(I3174="","",I3174*(1+J3174/100))</f>
        <v/>
      </c>
      <c r="L3174" s="12" t="inlineStr"/>
      <c r="M3174" s="8">
        <f>IF(OR(L3174="",K3174="",L3174=0),"",
  (L3174-K3174)/L3174*100)</f>
        <v/>
      </c>
      <c r="N3174" s="9" t="inlineStr"/>
      <c r="O3174" s="10" t="inlineStr"/>
      <c r="P3174" s="10" t="inlineStr"/>
      <c r="Q3174" s="10" t="inlineStr"/>
      <c r="R3174" s="10" t="inlineStr">
        <is>
          <t>2026-03-12</t>
        </is>
      </c>
      <c r="S3174" s="10" t="inlineStr"/>
    </row>
    <row r="3175">
      <c r="A3175" s="3" t="inlineStr">
        <is>
          <t>F03668</t>
        </is>
      </c>
      <c r="B3175" s="4" t="inlineStr">
        <is>
          <t>F03668</t>
        </is>
      </c>
      <c r="C3175" s="4" t="inlineStr"/>
      <c r="D3175" s="4" t="inlineStr"/>
      <c r="E3175" s="3" t="inlineStr">
        <is>
          <t>SHEAR HEDGE ,GARDEN SHEAR PROF</t>
        </is>
      </c>
      <c r="F3175" s="4" t="inlineStr"/>
      <c r="G3175" s="4" t="inlineStr"/>
      <c r="H3175" s="4" t="inlineStr"/>
      <c r="I3175" s="5" t="n">
        <v>95.5</v>
      </c>
      <c r="J3175" s="6" t="n">
        <v>15</v>
      </c>
      <c r="K3175" s="7">
        <f>IF(I3175="","",I3175*(1+J3175/100))</f>
        <v/>
      </c>
      <c r="L3175" s="12" t="inlineStr"/>
      <c r="M3175" s="8">
        <f>IF(OR(L3175="",K3175="",L3175=0),"",
  (L3175-K3175)/L3175*100)</f>
        <v/>
      </c>
      <c r="N3175" s="9" t="inlineStr"/>
      <c r="O3175" s="4" t="inlineStr"/>
      <c r="P3175" s="4" t="inlineStr"/>
      <c r="Q3175" s="4" t="inlineStr"/>
      <c r="R3175" s="4" t="inlineStr">
        <is>
          <t>2026-03-12</t>
        </is>
      </c>
      <c r="S3175" s="4" t="inlineStr"/>
    </row>
    <row r="3176">
      <c r="A3176" s="10" t="inlineStr">
        <is>
          <t>F03669</t>
        </is>
      </c>
      <c r="B3176" s="10" t="inlineStr">
        <is>
          <t>F03669</t>
        </is>
      </c>
      <c r="C3176" s="10" t="inlineStr"/>
      <c r="D3176" s="10" t="inlineStr"/>
      <c r="E3176" s="10" t="inlineStr">
        <is>
          <t>PLUG SURGE 3PIN PROTECTION</t>
        </is>
      </c>
      <c r="F3176" s="10" t="inlineStr"/>
      <c r="G3176" s="10" t="inlineStr"/>
      <c r="H3176" s="10" t="inlineStr"/>
      <c r="I3176" s="11" t="n">
        <v>43.5</v>
      </c>
      <c r="J3176" s="6" t="n">
        <v>15</v>
      </c>
      <c r="K3176" s="7">
        <f>IF(I3176="","",I3176*(1+J3176/100))</f>
        <v/>
      </c>
      <c r="L3176" s="12" t="inlineStr"/>
      <c r="M3176" s="8">
        <f>IF(OR(L3176="",K3176="",L3176=0),"",
  (L3176-K3176)/L3176*100)</f>
        <v/>
      </c>
      <c r="N3176" s="13" t="n">
        <v>17</v>
      </c>
      <c r="O3176" s="10" t="inlineStr"/>
      <c r="P3176" s="10" t="inlineStr"/>
      <c r="Q3176" s="10" t="inlineStr"/>
      <c r="R3176" s="10" t="inlineStr">
        <is>
          <t>2026-03-12</t>
        </is>
      </c>
      <c r="S3176" s="10" t="inlineStr"/>
    </row>
    <row r="3177">
      <c r="A3177" s="3" t="inlineStr">
        <is>
          <t>F03670</t>
        </is>
      </c>
      <c r="B3177" s="4" t="inlineStr">
        <is>
          <t>F03670</t>
        </is>
      </c>
      <c r="C3177" s="4" t="inlineStr"/>
      <c r="D3177" s="4" t="inlineStr"/>
      <c r="E3177" s="3" t="inlineStr">
        <is>
          <t>CABLE JOINT KIT 1.5MMX4MM JK0</t>
        </is>
      </c>
      <c r="F3177" s="4" t="inlineStr"/>
      <c r="G3177" s="4" t="inlineStr"/>
      <c r="H3177" s="4" t="inlineStr"/>
      <c r="I3177" s="5" t="n">
        <v>59.95</v>
      </c>
      <c r="J3177" s="6" t="n">
        <v>15</v>
      </c>
      <c r="K3177" s="7">
        <f>IF(I3177="","",I3177*(1+J3177/100))</f>
        <v/>
      </c>
      <c r="L3177" s="12" t="inlineStr"/>
      <c r="M3177" s="8">
        <f>IF(OR(L3177="",K3177="",L3177=0),"",
  (L3177-K3177)/L3177*100)</f>
        <v/>
      </c>
      <c r="N3177" s="9" t="inlineStr"/>
      <c r="O3177" s="4" t="inlineStr"/>
      <c r="P3177" s="4" t="inlineStr"/>
      <c r="Q3177" s="4" t="inlineStr"/>
      <c r="R3177" s="4" t="inlineStr">
        <is>
          <t>2026-03-12</t>
        </is>
      </c>
      <c r="S3177" s="4" t="inlineStr"/>
    </row>
    <row r="3178">
      <c r="A3178" s="10" t="inlineStr">
        <is>
          <t>F03671</t>
        </is>
      </c>
      <c r="B3178" s="10" t="inlineStr">
        <is>
          <t>F03671</t>
        </is>
      </c>
      <c r="C3178" s="10" t="inlineStr"/>
      <c r="D3178" s="10" t="inlineStr">
        <is>
          <t>6009705658170</t>
        </is>
      </c>
      <c r="E3178" s="10" t="inlineStr">
        <is>
          <t>TAPE INSULATION NITTO BLUE 10S 20MT</t>
        </is>
      </c>
      <c r="F3178" s="10" t="inlineStr"/>
      <c r="G3178" s="10" t="inlineStr"/>
      <c r="H3178" s="10" t="inlineStr"/>
      <c r="I3178" s="11" t="n">
        <v>159</v>
      </c>
      <c r="J3178" s="6" t="n">
        <v>15</v>
      </c>
      <c r="K3178" s="7">
        <f>IF(I3178="","",I3178*(1+J3178/100))</f>
        <v/>
      </c>
      <c r="L3178" s="12" t="inlineStr"/>
      <c r="M3178" s="8">
        <f>IF(OR(L3178="",K3178="",L3178=0),"",
  (L3178-K3178)/L3178*100)</f>
        <v/>
      </c>
      <c r="N3178" s="13" t="n">
        <v>48</v>
      </c>
      <c r="O3178" s="10" t="inlineStr"/>
      <c r="P3178" s="10" t="inlineStr"/>
      <c r="Q3178" s="10" t="inlineStr"/>
      <c r="R3178" s="10" t="inlineStr">
        <is>
          <t>2026-03-12</t>
        </is>
      </c>
      <c r="S3178" s="10" t="inlineStr"/>
    </row>
    <row r="3179">
      <c r="A3179" s="3" t="inlineStr">
        <is>
          <t>F03672</t>
        </is>
      </c>
      <c r="B3179" s="4" t="inlineStr">
        <is>
          <t>F03672</t>
        </is>
      </c>
      <c r="C3179" s="4" t="inlineStr"/>
      <c r="D3179" s="4" t="inlineStr"/>
      <c r="E3179" s="3" t="inlineStr">
        <is>
          <t>SAND PAPER ROLL P100 30CMX1MTR</t>
        </is>
      </c>
      <c r="F3179" s="4" t="inlineStr"/>
      <c r="G3179" s="4" t="inlineStr"/>
      <c r="H3179" s="4" t="inlineStr"/>
      <c r="I3179" s="5" t="n">
        <v>13.5</v>
      </c>
      <c r="J3179" s="6" t="n">
        <v>15</v>
      </c>
      <c r="K3179" s="7">
        <f>IF(I3179="","",I3179*(1+J3179/100))</f>
        <v/>
      </c>
      <c r="L3179" s="12" t="inlineStr"/>
      <c r="M3179" s="8">
        <f>IF(OR(L3179="",K3179="",L3179=0),"",
  (L3179-K3179)/L3179*100)</f>
        <v/>
      </c>
      <c r="N3179" s="14" t="n">
        <v>213</v>
      </c>
      <c r="O3179" s="4" t="inlineStr"/>
      <c r="P3179" s="4" t="inlineStr"/>
      <c r="Q3179" s="4" t="inlineStr"/>
      <c r="R3179" s="4" t="inlineStr">
        <is>
          <t>2026-03-12</t>
        </is>
      </c>
      <c r="S3179" s="4" t="inlineStr"/>
    </row>
    <row r="3180">
      <c r="A3180" s="10" t="inlineStr">
        <is>
          <t>F03673</t>
        </is>
      </c>
      <c r="B3180" s="10" t="inlineStr">
        <is>
          <t>F03673</t>
        </is>
      </c>
      <c r="C3180" s="10" t="inlineStr"/>
      <c r="D3180" s="10" t="inlineStr"/>
      <c r="E3180" s="10" t="inlineStr">
        <is>
          <t>SAND PAPER ROLL P60 30CMX1MTR</t>
        </is>
      </c>
      <c r="F3180" s="10" t="inlineStr"/>
      <c r="G3180" s="10" t="inlineStr"/>
      <c r="H3180" s="10" t="inlineStr"/>
      <c r="I3180" s="11" t="n">
        <v>13.5</v>
      </c>
      <c r="J3180" s="6" t="n">
        <v>15</v>
      </c>
      <c r="K3180" s="7">
        <f>IF(I3180="","",I3180*(1+J3180/100))</f>
        <v/>
      </c>
      <c r="L3180" s="12" t="inlineStr"/>
      <c r="M3180" s="8">
        <f>IF(OR(L3180="",K3180="",L3180=0),"",
  (L3180-K3180)/L3180*100)</f>
        <v/>
      </c>
      <c r="N3180" s="13" t="n">
        <v>53</v>
      </c>
      <c r="O3180" s="10" t="inlineStr"/>
      <c r="P3180" s="10" t="inlineStr"/>
      <c r="Q3180" s="10" t="inlineStr"/>
      <c r="R3180" s="10" t="inlineStr">
        <is>
          <t>2026-03-12</t>
        </is>
      </c>
      <c r="S3180" s="10" t="inlineStr"/>
    </row>
    <row r="3181">
      <c r="A3181" s="3" t="inlineStr">
        <is>
          <t>F03674</t>
        </is>
      </c>
      <c r="B3181" s="4" t="inlineStr">
        <is>
          <t>F03674</t>
        </is>
      </c>
      <c r="C3181" s="4" t="inlineStr"/>
      <c r="D3181" s="4" t="inlineStr"/>
      <c r="E3181" s="3" t="inlineStr">
        <is>
          <t>SAND PAPER ROLL P80 30CMX1MTR</t>
        </is>
      </c>
      <c r="F3181" s="4" t="inlineStr"/>
      <c r="G3181" s="4" t="inlineStr"/>
      <c r="H3181" s="4" t="inlineStr"/>
      <c r="I3181" s="5" t="n">
        <v>13.5</v>
      </c>
      <c r="J3181" s="6" t="n">
        <v>15</v>
      </c>
      <c r="K3181" s="7">
        <f>IF(I3181="","",I3181*(1+J3181/100))</f>
        <v/>
      </c>
      <c r="L3181" s="12" t="inlineStr"/>
      <c r="M3181" s="8">
        <f>IF(OR(L3181="",K3181="",L3181=0),"",
  (L3181-K3181)/L3181*100)</f>
        <v/>
      </c>
      <c r="N3181" s="9" t="inlineStr"/>
      <c r="O3181" s="4" t="inlineStr"/>
      <c r="P3181" s="4" t="inlineStr"/>
      <c r="Q3181" s="4" t="inlineStr"/>
      <c r="R3181" s="4" t="inlineStr">
        <is>
          <t>2026-03-12</t>
        </is>
      </c>
      <c r="S3181" s="4" t="inlineStr"/>
    </row>
    <row r="3182">
      <c r="A3182" s="10" t="inlineStr">
        <is>
          <t>F03675</t>
        </is>
      </c>
      <c r="B3182" s="10" t="inlineStr">
        <is>
          <t>F03675</t>
        </is>
      </c>
      <c r="C3182" s="10" t="inlineStr"/>
      <c r="D3182" s="10" t="inlineStr"/>
      <c r="E3182" s="10" t="inlineStr">
        <is>
          <t>SAND PAPER SHEET 30CMX20CM P60</t>
        </is>
      </c>
      <c r="F3182" s="10" t="inlineStr"/>
      <c r="G3182" s="10" t="inlineStr"/>
      <c r="H3182" s="10" t="inlineStr"/>
      <c r="I3182" s="11" t="n">
        <v>2.99</v>
      </c>
      <c r="J3182" s="6" t="n">
        <v>15</v>
      </c>
      <c r="K3182" s="7">
        <f>IF(I3182="","",I3182*(1+J3182/100))</f>
        <v/>
      </c>
      <c r="L3182" s="12" t="inlineStr"/>
      <c r="M3182" s="8">
        <f>IF(OR(L3182="",K3182="",L3182=0),"",
  (L3182-K3182)/L3182*100)</f>
        <v/>
      </c>
      <c r="N3182" s="9" t="inlineStr"/>
      <c r="O3182" s="10" t="inlineStr"/>
      <c r="P3182" s="10" t="inlineStr"/>
      <c r="Q3182" s="10" t="inlineStr"/>
      <c r="R3182" s="10" t="inlineStr">
        <is>
          <t>2026-03-12</t>
        </is>
      </c>
      <c r="S3182" s="10" t="inlineStr"/>
    </row>
    <row r="3183">
      <c r="A3183" s="3" t="inlineStr">
        <is>
          <t>F03676</t>
        </is>
      </c>
      <c r="B3183" s="4" t="inlineStr">
        <is>
          <t>F03676</t>
        </is>
      </c>
      <c r="C3183" s="4" t="inlineStr"/>
      <c r="D3183" s="4" t="inlineStr"/>
      <c r="E3183" s="3" t="inlineStr">
        <is>
          <t>SAND PAPER SHEET 30CMX20CM P80</t>
        </is>
      </c>
      <c r="F3183" s="4" t="inlineStr"/>
      <c r="G3183" s="4" t="inlineStr"/>
      <c r="H3183" s="4" t="inlineStr"/>
      <c r="I3183" s="5" t="n">
        <v>2.99</v>
      </c>
      <c r="J3183" s="6" t="n">
        <v>15</v>
      </c>
      <c r="K3183" s="7">
        <f>IF(I3183="","",I3183*(1+J3183/100))</f>
        <v/>
      </c>
      <c r="L3183" s="12" t="inlineStr"/>
      <c r="M3183" s="8">
        <f>IF(OR(L3183="",K3183="",L3183=0),"",
  (L3183-K3183)/L3183*100)</f>
        <v/>
      </c>
      <c r="N3183" s="14" t="n">
        <v>2467</v>
      </c>
      <c r="O3183" s="4" t="inlineStr"/>
      <c r="P3183" s="4" t="inlineStr"/>
      <c r="Q3183" s="4" t="inlineStr"/>
      <c r="R3183" s="4" t="inlineStr">
        <is>
          <t>2026-03-12</t>
        </is>
      </c>
      <c r="S3183" s="4" t="inlineStr"/>
    </row>
    <row r="3184">
      <c r="A3184" s="10" t="inlineStr">
        <is>
          <t>F03677</t>
        </is>
      </c>
      <c r="B3184" s="10" t="inlineStr">
        <is>
          <t>F03677</t>
        </is>
      </c>
      <c r="C3184" s="10" t="inlineStr"/>
      <c r="D3184" s="10" t="inlineStr"/>
      <c r="E3184" s="10" t="inlineStr">
        <is>
          <t>SAND PAPER SHEET 30CMX20CM P100</t>
        </is>
      </c>
      <c r="F3184" s="10" t="inlineStr"/>
      <c r="G3184" s="10" t="inlineStr"/>
      <c r="H3184" s="10" t="inlineStr"/>
      <c r="I3184" s="11" t="n">
        <v>2.99</v>
      </c>
      <c r="J3184" s="6" t="n">
        <v>15</v>
      </c>
      <c r="K3184" s="7">
        <f>IF(I3184="","",I3184*(1+J3184/100))</f>
        <v/>
      </c>
      <c r="L3184" s="12" t="inlineStr"/>
      <c r="M3184" s="8">
        <f>IF(OR(L3184="",K3184="",L3184=0),"",
  (L3184-K3184)/L3184*100)</f>
        <v/>
      </c>
      <c r="N3184" s="9" t="inlineStr"/>
      <c r="O3184" s="10" t="inlineStr"/>
      <c r="P3184" s="10" t="inlineStr"/>
      <c r="Q3184" s="10" t="inlineStr"/>
      <c r="R3184" s="10" t="inlineStr">
        <is>
          <t>2026-03-12</t>
        </is>
      </c>
      <c r="S3184" s="10" t="inlineStr"/>
    </row>
    <row r="3185">
      <c r="A3185" s="3" t="inlineStr">
        <is>
          <t>F03678</t>
        </is>
      </c>
      <c r="B3185" s="4" t="inlineStr">
        <is>
          <t>F03678</t>
        </is>
      </c>
      <c r="C3185" s="4" t="inlineStr"/>
      <c r="D3185" s="4" t="inlineStr"/>
      <c r="E3185" s="3" t="inlineStr">
        <is>
          <t>CABLE JOINT KIT 10MM-16MM JK2</t>
        </is>
      </c>
      <c r="F3185" s="4" t="inlineStr"/>
      <c r="G3185" s="4" t="inlineStr"/>
      <c r="H3185" s="4" t="inlineStr"/>
      <c r="I3185" s="5" t="n">
        <v>105.95</v>
      </c>
      <c r="J3185" s="6" t="n">
        <v>15</v>
      </c>
      <c r="K3185" s="7">
        <f>IF(I3185="","",I3185*(1+J3185/100))</f>
        <v/>
      </c>
      <c r="L3185" s="12" t="inlineStr"/>
      <c r="M3185" s="8">
        <f>IF(OR(L3185="",K3185="",L3185=0),"",
  (L3185-K3185)/L3185*100)</f>
        <v/>
      </c>
      <c r="N3185" s="14" t="n">
        <v>7</v>
      </c>
      <c r="O3185" s="4" t="inlineStr"/>
      <c r="P3185" s="4" t="inlineStr"/>
      <c r="Q3185" s="4" t="inlineStr"/>
      <c r="R3185" s="4" t="inlineStr">
        <is>
          <t>2026-03-12</t>
        </is>
      </c>
      <c r="S3185" s="4" t="inlineStr"/>
    </row>
    <row r="3186">
      <c r="A3186" s="10" t="inlineStr">
        <is>
          <t>F03679</t>
        </is>
      </c>
      <c r="B3186" s="10" t="inlineStr">
        <is>
          <t>F03679</t>
        </is>
      </c>
      <c r="C3186" s="10" t="inlineStr"/>
      <c r="D3186" s="10" t="inlineStr"/>
      <c r="E3186" s="10" t="inlineStr">
        <is>
          <t>CABLE JOINT KIT 16MM-35MM JK3</t>
        </is>
      </c>
      <c r="F3186" s="10" t="inlineStr"/>
      <c r="G3186" s="10" t="inlineStr"/>
      <c r="H3186" s="10" t="inlineStr"/>
      <c r="I3186" s="11" t="n">
        <v>159.95</v>
      </c>
      <c r="J3186" s="6" t="n">
        <v>15</v>
      </c>
      <c r="K3186" s="7">
        <f>IF(I3186="","",I3186*(1+J3186/100))</f>
        <v/>
      </c>
      <c r="L3186" s="12" t="inlineStr"/>
      <c r="M3186" s="8">
        <f>IF(OR(L3186="",K3186="",L3186=0),"",
  (L3186-K3186)/L3186*100)</f>
        <v/>
      </c>
      <c r="N3186" s="13" t="n">
        <v>10</v>
      </c>
      <c r="O3186" s="10" t="inlineStr"/>
      <c r="P3186" s="10" t="inlineStr"/>
      <c r="Q3186" s="10" t="inlineStr"/>
      <c r="R3186" s="10" t="inlineStr">
        <is>
          <t>2026-03-12</t>
        </is>
      </c>
      <c r="S3186" s="10" t="inlineStr"/>
    </row>
    <row r="3187">
      <c r="A3187" s="3" t="inlineStr">
        <is>
          <t>F03680</t>
        </is>
      </c>
      <c r="B3187" s="4" t="inlineStr">
        <is>
          <t>F03680</t>
        </is>
      </c>
      <c r="C3187" s="4" t="inlineStr"/>
      <c r="D3187" s="4" t="inlineStr"/>
      <c r="E3187" s="3" t="inlineStr">
        <is>
          <t>LED LIGHT  MODULE SPARE 18W</t>
        </is>
      </c>
      <c r="F3187" s="4" t="inlineStr"/>
      <c r="G3187" s="4" t="inlineStr"/>
      <c r="H3187" s="4" t="inlineStr"/>
      <c r="I3187" s="5" t="n">
        <v>21.5</v>
      </c>
      <c r="J3187" s="6" t="n">
        <v>15</v>
      </c>
      <c r="K3187" s="7">
        <f>IF(I3187="","",I3187*(1+J3187/100))</f>
        <v/>
      </c>
      <c r="L3187" s="12" t="inlineStr"/>
      <c r="M3187" s="8">
        <f>IF(OR(L3187="",K3187="",L3187=0),"",
  (L3187-K3187)/L3187*100)</f>
        <v/>
      </c>
      <c r="N3187" s="14" t="n">
        <v>98</v>
      </c>
      <c r="O3187" s="4" t="inlineStr"/>
      <c r="P3187" s="4" t="inlineStr"/>
      <c r="Q3187" s="4" t="inlineStr"/>
      <c r="R3187" s="4" t="inlineStr">
        <is>
          <t>2026-03-12</t>
        </is>
      </c>
      <c r="S3187" s="4" t="inlineStr"/>
    </row>
    <row r="3188">
      <c r="A3188" s="10" t="inlineStr">
        <is>
          <t>F03681</t>
        </is>
      </c>
      <c r="B3188" s="10" t="inlineStr">
        <is>
          <t>F03681</t>
        </is>
      </c>
      <c r="C3188" s="10" t="inlineStr"/>
      <c r="D3188" s="10" t="inlineStr"/>
      <c r="E3188" s="10" t="inlineStr">
        <is>
          <t>LIGHT CEILING LIGHT RUSTIC CL012</t>
        </is>
      </c>
      <c r="F3188" s="10" t="inlineStr"/>
      <c r="G3188" s="10" t="inlineStr"/>
      <c r="H3188" s="10" t="inlineStr"/>
      <c r="I3188" s="11" t="n">
        <v>450</v>
      </c>
      <c r="J3188" s="6" t="n">
        <v>15</v>
      </c>
      <c r="K3188" s="7">
        <f>IF(I3188="","",I3188*(1+J3188/100))</f>
        <v/>
      </c>
      <c r="L3188" s="12" t="inlineStr"/>
      <c r="M3188" s="8">
        <f>IF(OR(L3188="",K3188="",L3188=0),"",
  (L3188-K3188)/L3188*100)</f>
        <v/>
      </c>
      <c r="N3188" s="9" t="inlineStr"/>
      <c r="O3188" s="10" t="inlineStr"/>
      <c r="P3188" s="10" t="inlineStr"/>
      <c r="Q3188" s="10" t="inlineStr"/>
      <c r="R3188" s="10" t="inlineStr">
        <is>
          <t>2026-03-12</t>
        </is>
      </c>
      <c r="S3188" s="10" t="inlineStr"/>
    </row>
    <row r="3189">
      <c r="A3189" s="3" t="inlineStr">
        <is>
          <t>F03682</t>
        </is>
      </c>
      <c r="B3189" s="4" t="inlineStr">
        <is>
          <t>F03682</t>
        </is>
      </c>
      <c r="C3189" s="4" t="inlineStr"/>
      <c r="D3189" s="4" t="inlineStr"/>
      <c r="E3189" s="3" t="inlineStr">
        <is>
          <t>LIGHT CEILING LIGHT RUSTIC CL014</t>
        </is>
      </c>
      <c r="F3189" s="4" t="inlineStr"/>
      <c r="G3189" s="4" t="inlineStr"/>
      <c r="H3189" s="4" t="inlineStr"/>
      <c r="I3189" s="5" t="n">
        <v>430</v>
      </c>
      <c r="J3189" s="6" t="n">
        <v>15</v>
      </c>
      <c r="K3189" s="7">
        <f>IF(I3189="","",I3189*(1+J3189/100))</f>
        <v/>
      </c>
      <c r="L3189" s="12" t="inlineStr"/>
      <c r="M3189" s="8">
        <f>IF(OR(L3189="",K3189="",L3189=0),"",
  (L3189-K3189)/L3189*100)</f>
        <v/>
      </c>
      <c r="N3189" s="9" t="inlineStr"/>
      <c r="O3189" s="4" t="inlineStr"/>
      <c r="P3189" s="4" t="inlineStr"/>
      <c r="Q3189" s="4" t="inlineStr"/>
      <c r="R3189" s="4" t="inlineStr">
        <is>
          <t>2026-03-12</t>
        </is>
      </c>
      <c r="S3189" s="4" t="inlineStr"/>
    </row>
    <row r="3190">
      <c r="A3190" s="10" t="inlineStr">
        <is>
          <t>F03683</t>
        </is>
      </c>
      <c r="B3190" s="10" t="inlineStr">
        <is>
          <t>F03683</t>
        </is>
      </c>
      <c r="C3190" s="10" t="inlineStr"/>
      <c r="D3190" s="10" t="inlineStr"/>
      <c r="E3190" s="10" t="inlineStr">
        <is>
          <t>LIGHT CEILING LIGHT RUSTIC CL016</t>
        </is>
      </c>
      <c r="F3190" s="10" t="inlineStr"/>
      <c r="G3190" s="10" t="inlineStr"/>
      <c r="H3190" s="10" t="inlineStr"/>
      <c r="I3190" s="11" t="n">
        <v>399</v>
      </c>
      <c r="J3190" s="6" t="n">
        <v>15</v>
      </c>
      <c r="K3190" s="7">
        <f>IF(I3190="","",I3190*(1+J3190/100))</f>
        <v/>
      </c>
      <c r="L3190" s="12" t="inlineStr"/>
      <c r="M3190" s="8">
        <f>IF(OR(L3190="",K3190="",L3190=0),"",
  (L3190-K3190)/L3190*100)</f>
        <v/>
      </c>
      <c r="N3190" s="13" t="n">
        <v>1</v>
      </c>
      <c r="O3190" s="10" t="inlineStr"/>
      <c r="P3190" s="10" t="inlineStr"/>
      <c r="Q3190" s="10" t="inlineStr"/>
      <c r="R3190" s="10" t="inlineStr">
        <is>
          <t>2026-03-12</t>
        </is>
      </c>
      <c r="S3190" s="10" t="inlineStr"/>
    </row>
    <row r="3191">
      <c r="A3191" s="3" t="inlineStr">
        <is>
          <t>F03684</t>
        </is>
      </c>
      <c r="B3191" s="4" t="inlineStr">
        <is>
          <t>F03684</t>
        </is>
      </c>
      <c r="C3191" s="4" t="inlineStr"/>
      <c r="D3191" s="4" t="inlineStr"/>
      <c r="E3191" s="3" t="inlineStr">
        <is>
          <t>LIGHT CEILING LIGHT RUSTIC CL018</t>
        </is>
      </c>
      <c r="F3191" s="4" t="inlineStr"/>
      <c r="G3191" s="4" t="inlineStr"/>
      <c r="H3191" s="4" t="inlineStr"/>
      <c r="I3191" s="5" t="n">
        <v>485</v>
      </c>
      <c r="J3191" s="6" t="n">
        <v>15</v>
      </c>
      <c r="K3191" s="7">
        <f>IF(I3191="","",I3191*(1+J3191/100))</f>
        <v/>
      </c>
      <c r="L3191" s="12" t="inlineStr"/>
      <c r="M3191" s="8">
        <f>IF(OR(L3191="",K3191="",L3191=0),"",
  (L3191-K3191)/L3191*100)</f>
        <v/>
      </c>
      <c r="N3191" s="9" t="inlineStr"/>
      <c r="O3191" s="4" t="inlineStr"/>
      <c r="P3191" s="4" t="inlineStr"/>
      <c r="Q3191" s="4" t="inlineStr"/>
      <c r="R3191" s="4" t="inlineStr">
        <is>
          <t>2026-03-12</t>
        </is>
      </c>
      <c r="S3191" s="4" t="inlineStr"/>
    </row>
    <row r="3192">
      <c r="A3192" s="10" t="inlineStr">
        <is>
          <t>F03685</t>
        </is>
      </c>
      <c r="B3192" s="10" t="inlineStr">
        <is>
          <t>F03685</t>
        </is>
      </c>
      <c r="C3192" s="10" t="inlineStr"/>
      <c r="D3192" s="10" t="inlineStr"/>
      <c r="E3192" s="10" t="inlineStr">
        <is>
          <t>LIGHT CEILING LIGHT RUSTIC CL019</t>
        </is>
      </c>
      <c r="F3192" s="10" t="inlineStr"/>
      <c r="G3192" s="10" t="inlineStr"/>
      <c r="H3192" s="10" t="inlineStr"/>
      <c r="I3192" s="11" t="n">
        <v>399</v>
      </c>
      <c r="J3192" s="6" t="n">
        <v>15</v>
      </c>
      <c r="K3192" s="7">
        <f>IF(I3192="","",I3192*(1+J3192/100))</f>
        <v/>
      </c>
      <c r="L3192" s="12" t="inlineStr"/>
      <c r="M3192" s="8">
        <f>IF(OR(L3192="",K3192="",L3192=0),"",
  (L3192-K3192)/L3192*100)</f>
        <v/>
      </c>
      <c r="N3192" s="9" t="inlineStr"/>
      <c r="O3192" s="10" t="inlineStr"/>
      <c r="P3192" s="10" t="inlineStr"/>
      <c r="Q3192" s="10" t="inlineStr"/>
      <c r="R3192" s="10" t="inlineStr">
        <is>
          <t>2026-03-12</t>
        </is>
      </c>
      <c r="S3192" s="10" t="inlineStr"/>
    </row>
    <row r="3193">
      <c r="A3193" s="3" t="inlineStr">
        <is>
          <t>F03686</t>
        </is>
      </c>
      <c r="B3193" s="4" t="inlineStr">
        <is>
          <t>F03686</t>
        </is>
      </c>
      <c r="C3193" s="4" t="inlineStr"/>
      <c r="D3193" s="4" t="inlineStr"/>
      <c r="E3193" s="3" t="inlineStr">
        <is>
          <t>LIGHT CEILING LIGHT RUSTIC CL020</t>
        </is>
      </c>
      <c r="F3193" s="4" t="inlineStr"/>
      <c r="G3193" s="4" t="inlineStr"/>
      <c r="H3193" s="4" t="inlineStr"/>
      <c r="I3193" s="5" t="n">
        <v>355</v>
      </c>
      <c r="J3193" s="6" t="n">
        <v>15</v>
      </c>
      <c r="K3193" s="7">
        <f>IF(I3193="","",I3193*(1+J3193/100))</f>
        <v/>
      </c>
      <c r="L3193" s="12" t="inlineStr"/>
      <c r="M3193" s="8">
        <f>IF(OR(L3193="",K3193="",L3193=0),"",
  (L3193-K3193)/L3193*100)</f>
        <v/>
      </c>
      <c r="N3193" s="9" t="inlineStr"/>
      <c r="O3193" s="4" t="inlineStr"/>
      <c r="P3193" s="4" t="inlineStr"/>
      <c r="Q3193" s="4" t="inlineStr"/>
      <c r="R3193" s="4" t="inlineStr">
        <is>
          <t>2026-03-12</t>
        </is>
      </c>
      <c r="S3193" s="4" t="inlineStr"/>
    </row>
    <row r="3194">
      <c r="A3194" s="10" t="inlineStr">
        <is>
          <t>F03687</t>
        </is>
      </c>
      <c r="B3194" s="10" t="inlineStr">
        <is>
          <t>F03687</t>
        </is>
      </c>
      <c r="C3194" s="10" t="inlineStr"/>
      <c r="D3194" s="10" t="inlineStr"/>
      <c r="E3194" s="10" t="inlineStr">
        <is>
          <t>LIGHT CEILING LIGHT RETRO CL027</t>
        </is>
      </c>
      <c r="F3194" s="10" t="inlineStr"/>
      <c r="G3194" s="10" t="inlineStr"/>
      <c r="H3194" s="10" t="inlineStr"/>
      <c r="I3194" s="11" t="n">
        <v>459</v>
      </c>
      <c r="J3194" s="6" t="n">
        <v>15</v>
      </c>
      <c r="K3194" s="7">
        <f>IF(I3194="","",I3194*(1+J3194/100))</f>
        <v/>
      </c>
      <c r="L3194" s="12" t="inlineStr"/>
      <c r="M3194" s="8">
        <f>IF(OR(L3194="",K3194="",L3194=0),"",
  (L3194-K3194)/L3194*100)</f>
        <v/>
      </c>
      <c r="N3194" s="13" t="n">
        <v>22</v>
      </c>
      <c r="O3194" s="10" t="inlineStr"/>
      <c r="P3194" s="10" t="inlineStr"/>
      <c r="Q3194" s="10" t="inlineStr"/>
      <c r="R3194" s="10" t="inlineStr">
        <is>
          <t>2026-03-12</t>
        </is>
      </c>
      <c r="S3194" s="10" t="inlineStr"/>
    </row>
    <row r="3195">
      <c r="A3195" s="3" t="inlineStr">
        <is>
          <t>F03688</t>
        </is>
      </c>
      <c r="B3195" s="4" t="inlineStr">
        <is>
          <t>F03688</t>
        </is>
      </c>
      <c r="C3195" s="4" t="inlineStr"/>
      <c r="D3195" s="4" t="inlineStr"/>
      <c r="E3195" s="3" t="inlineStr">
        <is>
          <t>LIGHT CEILING LIGHT RETRO CL028</t>
        </is>
      </c>
      <c r="F3195" s="4" t="inlineStr"/>
      <c r="G3195" s="4" t="inlineStr"/>
      <c r="H3195" s="4" t="inlineStr"/>
      <c r="I3195" s="5" t="n">
        <v>459</v>
      </c>
      <c r="J3195" s="6" t="n">
        <v>15</v>
      </c>
      <c r="K3195" s="7">
        <f>IF(I3195="","",I3195*(1+J3195/100))</f>
        <v/>
      </c>
      <c r="L3195" s="12" t="inlineStr"/>
      <c r="M3195" s="8">
        <f>IF(OR(L3195="",K3195="",L3195=0),"",
  (L3195-K3195)/L3195*100)</f>
        <v/>
      </c>
      <c r="N3195" s="14" t="n">
        <v>1</v>
      </c>
      <c r="O3195" s="4" t="inlineStr"/>
      <c r="P3195" s="4" t="inlineStr"/>
      <c r="Q3195" s="4" t="inlineStr"/>
      <c r="R3195" s="4" t="inlineStr">
        <is>
          <t>2026-03-12</t>
        </is>
      </c>
      <c r="S3195" s="4" t="inlineStr"/>
    </row>
    <row r="3196">
      <c r="A3196" s="10" t="inlineStr">
        <is>
          <t>F03689</t>
        </is>
      </c>
      <c r="B3196" s="10" t="inlineStr">
        <is>
          <t>F03689</t>
        </is>
      </c>
      <c r="C3196" s="10" t="inlineStr"/>
      <c r="D3196" s="10" t="inlineStr"/>
      <c r="E3196" s="10" t="inlineStr">
        <is>
          <t>LIGHT CEILING LIGHT RETRO CL029</t>
        </is>
      </c>
      <c r="F3196" s="10" t="inlineStr"/>
      <c r="G3196" s="10" t="inlineStr"/>
      <c r="H3196" s="10" t="inlineStr"/>
      <c r="I3196" s="11" t="n">
        <v>459</v>
      </c>
      <c r="J3196" s="6" t="n">
        <v>15</v>
      </c>
      <c r="K3196" s="7">
        <f>IF(I3196="","",I3196*(1+J3196/100))</f>
        <v/>
      </c>
      <c r="L3196" s="12" t="inlineStr"/>
      <c r="M3196" s="8">
        <f>IF(OR(L3196="",K3196="",L3196=0),"",
  (L3196-K3196)/L3196*100)</f>
        <v/>
      </c>
      <c r="N3196" s="13" t="n">
        <v>9</v>
      </c>
      <c r="O3196" s="10" t="inlineStr"/>
      <c r="P3196" s="10" t="inlineStr"/>
      <c r="Q3196" s="10" t="inlineStr"/>
      <c r="R3196" s="10" t="inlineStr">
        <is>
          <t>2026-03-12</t>
        </is>
      </c>
      <c r="S3196" s="10" t="inlineStr"/>
    </row>
    <row r="3197">
      <c r="A3197" s="3" t="inlineStr">
        <is>
          <t>F03690</t>
        </is>
      </c>
      <c r="B3197" s="4" t="inlineStr">
        <is>
          <t>F03690</t>
        </is>
      </c>
      <c r="C3197" s="4" t="inlineStr"/>
      <c r="D3197" s="4" t="inlineStr"/>
      <c r="E3197" s="3" t="inlineStr">
        <is>
          <t>LIGHT CEILING LIGHT RETRO CL030</t>
        </is>
      </c>
      <c r="F3197" s="4" t="inlineStr"/>
      <c r="G3197" s="4" t="inlineStr"/>
      <c r="H3197" s="4" t="inlineStr"/>
      <c r="I3197" s="5" t="n">
        <v>459</v>
      </c>
      <c r="J3197" s="6" t="n">
        <v>15</v>
      </c>
      <c r="K3197" s="7">
        <f>IF(I3197="","",I3197*(1+J3197/100))</f>
        <v/>
      </c>
      <c r="L3197" s="12" t="inlineStr"/>
      <c r="M3197" s="8">
        <f>IF(OR(L3197="",K3197="",L3197=0),"",
  (L3197-K3197)/L3197*100)</f>
        <v/>
      </c>
      <c r="N3197" s="14" t="n">
        <v>30</v>
      </c>
      <c r="O3197" s="4" t="inlineStr"/>
      <c r="P3197" s="4" t="inlineStr"/>
      <c r="Q3197" s="4" t="inlineStr"/>
      <c r="R3197" s="4" t="inlineStr">
        <is>
          <t>2026-03-12</t>
        </is>
      </c>
      <c r="S3197" s="4" t="inlineStr"/>
    </row>
    <row r="3198">
      <c r="A3198" s="10" t="inlineStr">
        <is>
          <t>F03691</t>
        </is>
      </c>
      <c r="B3198" s="10" t="inlineStr">
        <is>
          <t>F03691</t>
        </is>
      </c>
      <c r="C3198" s="10" t="inlineStr"/>
      <c r="D3198" s="10" t="inlineStr"/>
      <c r="E3198" s="10" t="inlineStr">
        <is>
          <t>LIGHT CEILING LIGHT RETRO CL031</t>
        </is>
      </c>
      <c r="F3198" s="10" t="inlineStr"/>
      <c r="G3198" s="10" t="inlineStr"/>
      <c r="H3198" s="10" t="inlineStr"/>
      <c r="I3198" s="11" t="n">
        <v>459</v>
      </c>
      <c r="J3198" s="6" t="n">
        <v>15</v>
      </c>
      <c r="K3198" s="7">
        <f>IF(I3198="","",I3198*(1+J3198/100))</f>
        <v/>
      </c>
      <c r="L3198" s="12" t="inlineStr"/>
      <c r="M3198" s="8">
        <f>IF(OR(L3198="",K3198="",L3198=0),"",
  (L3198-K3198)/L3198*100)</f>
        <v/>
      </c>
      <c r="N3198" s="13" t="n">
        <v>3</v>
      </c>
      <c r="O3198" s="10" t="inlineStr"/>
      <c r="P3198" s="10" t="inlineStr"/>
      <c r="Q3198" s="10" t="inlineStr"/>
      <c r="R3198" s="10" t="inlineStr">
        <is>
          <t>2026-03-12</t>
        </is>
      </c>
      <c r="S3198" s="10" t="inlineStr"/>
    </row>
    <row r="3199">
      <c r="A3199" s="3" t="inlineStr">
        <is>
          <t>F03692</t>
        </is>
      </c>
      <c r="B3199" s="4" t="inlineStr">
        <is>
          <t>F03692</t>
        </is>
      </c>
      <c r="C3199" s="4" t="inlineStr"/>
      <c r="D3199" s="4" t="inlineStr"/>
      <c r="E3199" s="3" t="inlineStr">
        <is>
          <t>LIGHT CEILING LIGHT RETRO CL032</t>
        </is>
      </c>
      <c r="F3199" s="4" t="inlineStr"/>
      <c r="G3199" s="4" t="inlineStr"/>
      <c r="H3199" s="4" t="inlineStr"/>
      <c r="I3199" s="5" t="n">
        <v>459</v>
      </c>
      <c r="J3199" s="6" t="n">
        <v>15</v>
      </c>
      <c r="K3199" s="7">
        <f>IF(I3199="","",I3199*(1+J3199/100))</f>
        <v/>
      </c>
      <c r="L3199" s="12" t="inlineStr"/>
      <c r="M3199" s="8">
        <f>IF(OR(L3199="",K3199="",L3199=0),"",
  (L3199-K3199)/L3199*100)</f>
        <v/>
      </c>
      <c r="N3199" s="14" t="n">
        <v>3</v>
      </c>
      <c r="O3199" s="4" t="inlineStr"/>
      <c r="P3199" s="4" t="inlineStr"/>
      <c r="Q3199" s="4" t="inlineStr"/>
      <c r="R3199" s="4" t="inlineStr">
        <is>
          <t>2026-03-12</t>
        </is>
      </c>
      <c r="S3199" s="4" t="inlineStr"/>
    </row>
    <row r="3200">
      <c r="A3200" s="10" t="inlineStr">
        <is>
          <t>F03693</t>
        </is>
      </c>
      <c r="B3200" s="10" t="inlineStr">
        <is>
          <t>F03693</t>
        </is>
      </c>
      <c r="C3200" s="10" t="inlineStr"/>
      <c r="D3200" s="10" t="inlineStr"/>
      <c r="E3200" s="10" t="inlineStr">
        <is>
          <t>LIGHT CEILING LIGHT RETRO CL033</t>
        </is>
      </c>
      <c r="F3200" s="10" t="inlineStr"/>
      <c r="G3200" s="10" t="inlineStr"/>
      <c r="H3200" s="10" t="inlineStr"/>
      <c r="I3200" s="11" t="n">
        <v>459</v>
      </c>
      <c r="J3200" s="6" t="n">
        <v>15</v>
      </c>
      <c r="K3200" s="7">
        <f>IF(I3200="","",I3200*(1+J3200/100))</f>
        <v/>
      </c>
      <c r="L3200" s="12" t="inlineStr"/>
      <c r="M3200" s="8">
        <f>IF(OR(L3200="",K3200="",L3200=0),"",
  (L3200-K3200)/L3200*100)</f>
        <v/>
      </c>
      <c r="N3200" s="13" t="n">
        <v>3</v>
      </c>
      <c r="O3200" s="10" t="inlineStr"/>
      <c r="P3200" s="10" t="inlineStr"/>
      <c r="Q3200" s="10" t="inlineStr"/>
      <c r="R3200" s="10" t="inlineStr">
        <is>
          <t>2026-03-12</t>
        </is>
      </c>
      <c r="S3200" s="10" t="inlineStr"/>
    </row>
    <row r="3201">
      <c r="A3201" s="3" t="inlineStr">
        <is>
          <t>F03694</t>
        </is>
      </c>
      <c r="B3201" s="4" t="inlineStr">
        <is>
          <t>F03694</t>
        </is>
      </c>
      <c r="C3201" s="4" t="inlineStr"/>
      <c r="D3201" s="4" t="inlineStr"/>
      <c r="E3201" s="3" t="inlineStr">
        <is>
          <t>LIGHT CEILING LIGHT RETRO CL034</t>
        </is>
      </c>
      <c r="F3201" s="4" t="inlineStr"/>
      <c r="G3201" s="4" t="inlineStr"/>
      <c r="H3201" s="4" t="inlineStr"/>
      <c r="I3201" s="5" t="n">
        <v>459</v>
      </c>
      <c r="J3201" s="6" t="n">
        <v>15</v>
      </c>
      <c r="K3201" s="7">
        <f>IF(I3201="","",I3201*(1+J3201/100))</f>
        <v/>
      </c>
      <c r="L3201" s="12" t="inlineStr"/>
      <c r="M3201" s="8">
        <f>IF(OR(L3201="",K3201="",L3201=0),"",
  (L3201-K3201)/L3201*100)</f>
        <v/>
      </c>
      <c r="N3201" s="14" t="n">
        <v>1</v>
      </c>
      <c r="O3201" s="4" t="inlineStr"/>
      <c r="P3201" s="4" t="inlineStr"/>
      <c r="Q3201" s="4" t="inlineStr"/>
      <c r="R3201" s="4" t="inlineStr">
        <is>
          <t>2026-03-12</t>
        </is>
      </c>
      <c r="S3201" s="4" t="inlineStr"/>
    </row>
    <row r="3202">
      <c r="A3202" s="10" t="inlineStr">
        <is>
          <t>F03695</t>
        </is>
      </c>
      <c r="B3202" s="10" t="inlineStr">
        <is>
          <t>F03695</t>
        </is>
      </c>
      <c r="C3202" s="10" t="inlineStr"/>
      <c r="D3202" s="10" t="inlineStr"/>
      <c r="E3202" s="10" t="inlineStr">
        <is>
          <t>LIGHT CEILING LIGHT ELEGANCE CL035</t>
        </is>
      </c>
      <c r="F3202" s="10" t="inlineStr"/>
      <c r="G3202" s="10" t="inlineStr"/>
      <c r="H3202" s="10" t="inlineStr"/>
      <c r="I3202" s="11" t="n">
        <v>329</v>
      </c>
      <c r="J3202" s="6" t="n">
        <v>15</v>
      </c>
      <c r="K3202" s="7">
        <f>IF(I3202="","",I3202*(1+J3202/100))</f>
        <v/>
      </c>
      <c r="L3202" s="12" t="inlineStr"/>
      <c r="M3202" s="8">
        <f>IF(OR(L3202="",K3202="",L3202=0),"",
  (L3202-K3202)/L3202*100)</f>
        <v/>
      </c>
      <c r="N3202" s="13" t="n">
        <v>28</v>
      </c>
      <c r="O3202" s="10" t="inlineStr"/>
      <c r="P3202" s="10" t="inlineStr"/>
      <c r="Q3202" s="10" t="inlineStr"/>
      <c r="R3202" s="10" t="inlineStr">
        <is>
          <t>2026-03-12</t>
        </is>
      </c>
      <c r="S3202" s="10" t="inlineStr"/>
    </row>
    <row r="3203">
      <c r="A3203" s="3" t="inlineStr">
        <is>
          <t>F03696</t>
        </is>
      </c>
      <c r="B3203" s="4" t="inlineStr">
        <is>
          <t>F03696</t>
        </is>
      </c>
      <c r="C3203" s="4" t="inlineStr"/>
      <c r="D3203" s="4" t="inlineStr"/>
      <c r="E3203" s="3" t="inlineStr">
        <is>
          <t>LIGHT CEILING LIGHT ELEGANCE CL036</t>
        </is>
      </c>
      <c r="F3203" s="4" t="inlineStr"/>
      <c r="G3203" s="4" t="inlineStr"/>
      <c r="H3203" s="4" t="inlineStr"/>
      <c r="I3203" s="5" t="n">
        <v>329</v>
      </c>
      <c r="J3203" s="6" t="n">
        <v>15</v>
      </c>
      <c r="K3203" s="7">
        <f>IF(I3203="","",I3203*(1+J3203/100))</f>
        <v/>
      </c>
      <c r="L3203" s="12" t="inlineStr"/>
      <c r="M3203" s="8">
        <f>IF(OR(L3203="",K3203="",L3203=0),"",
  (L3203-K3203)/L3203*100)</f>
        <v/>
      </c>
      <c r="N3203" s="14" t="n">
        <v>8</v>
      </c>
      <c r="O3203" s="4" t="inlineStr"/>
      <c r="P3203" s="4" t="inlineStr"/>
      <c r="Q3203" s="4" t="inlineStr"/>
      <c r="R3203" s="4" t="inlineStr">
        <is>
          <t>2026-03-12</t>
        </is>
      </c>
      <c r="S3203" s="4" t="inlineStr"/>
    </row>
    <row r="3204">
      <c r="A3204" s="10" t="inlineStr">
        <is>
          <t>F03697</t>
        </is>
      </c>
      <c r="B3204" s="10" t="inlineStr">
        <is>
          <t>F03697</t>
        </is>
      </c>
      <c r="C3204" s="10" t="inlineStr"/>
      <c r="D3204" s="10" t="inlineStr"/>
      <c r="E3204" s="10" t="inlineStr">
        <is>
          <t>LIGHT CEILING LIGHT ELEGANCE CL037</t>
        </is>
      </c>
      <c r="F3204" s="10" t="inlineStr"/>
      <c r="G3204" s="10" t="inlineStr"/>
      <c r="H3204" s="10" t="inlineStr"/>
      <c r="I3204" s="11" t="n">
        <v>329</v>
      </c>
      <c r="J3204" s="6" t="n">
        <v>15</v>
      </c>
      <c r="K3204" s="7">
        <f>IF(I3204="","",I3204*(1+J3204/100))</f>
        <v/>
      </c>
      <c r="L3204" s="12" t="inlineStr"/>
      <c r="M3204" s="8">
        <f>IF(OR(L3204="",K3204="",L3204=0),"",
  (L3204-K3204)/L3204*100)</f>
        <v/>
      </c>
      <c r="N3204" s="13" t="n">
        <v>20</v>
      </c>
      <c r="O3204" s="10" t="inlineStr"/>
      <c r="P3204" s="10" t="inlineStr"/>
      <c r="Q3204" s="10" t="inlineStr"/>
      <c r="R3204" s="10" t="inlineStr">
        <is>
          <t>2026-03-12</t>
        </is>
      </c>
      <c r="S3204" s="10" t="inlineStr"/>
    </row>
    <row r="3205">
      <c r="A3205" s="3" t="inlineStr">
        <is>
          <t>F03698</t>
        </is>
      </c>
      <c r="B3205" s="4" t="inlineStr">
        <is>
          <t>F03698</t>
        </is>
      </c>
      <c r="C3205" s="4" t="inlineStr"/>
      <c r="D3205" s="4" t="inlineStr"/>
      <c r="E3205" s="3" t="inlineStr">
        <is>
          <t>LIGHT CEILING LIGHT ELEGANCE CL038</t>
        </is>
      </c>
      <c r="F3205" s="4" t="inlineStr"/>
      <c r="G3205" s="4" t="inlineStr"/>
      <c r="H3205" s="4" t="inlineStr"/>
      <c r="I3205" s="5" t="n">
        <v>419</v>
      </c>
      <c r="J3205" s="6" t="n">
        <v>15</v>
      </c>
      <c r="K3205" s="7">
        <f>IF(I3205="","",I3205*(1+J3205/100))</f>
        <v/>
      </c>
      <c r="L3205" s="12" t="inlineStr"/>
      <c r="M3205" s="8">
        <f>IF(OR(L3205="",K3205="",L3205=0),"",
  (L3205-K3205)/L3205*100)</f>
        <v/>
      </c>
      <c r="N3205" s="14" t="n">
        <v>8</v>
      </c>
      <c r="O3205" s="4" t="inlineStr"/>
      <c r="P3205" s="4" t="inlineStr"/>
      <c r="Q3205" s="4" t="inlineStr"/>
      <c r="R3205" s="4" t="inlineStr">
        <is>
          <t>2026-03-12</t>
        </is>
      </c>
      <c r="S3205" s="4" t="inlineStr"/>
    </row>
    <row r="3206">
      <c r="A3206" s="10" t="inlineStr">
        <is>
          <t>F03699</t>
        </is>
      </c>
      <c r="B3206" s="10" t="inlineStr">
        <is>
          <t>F03699</t>
        </is>
      </c>
      <c r="C3206" s="10" t="inlineStr"/>
      <c r="D3206" s="10" t="inlineStr"/>
      <c r="E3206" s="10" t="inlineStr">
        <is>
          <t>LIGHT CEILING LIGHT ELEGANCE CL039</t>
        </is>
      </c>
      <c r="F3206" s="10" t="inlineStr"/>
      <c r="G3206" s="10" t="inlineStr"/>
      <c r="H3206" s="10" t="inlineStr"/>
      <c r="I3206" s="11" t="n">
        <v>419</v>
      </c>
      <c r="J3206" s="6" t="n">
        <v>15</v>
      </c>
      <c r="K3206" s="7">
        <f>IF(I3206="","",I3206*(1+J3206/100))</f>
        <v/>
      </c>
      <c r="L3206" s="12" t="inlineStr"/>
      <c r="M3206" s="8">
        <f>IF(OR(L3206="",K3206="",L3206=0),"",
  (L3206-K3206)/L3206*100)</f>
        <v/>
      </c>
      <c r="N3206" s="13" t="n">
        <v>15</v>
      </c>
      <c r="O3206" s="10" t="inlineStr"/>
      <c r="P3206" s="10" t="inlineStr"/>
      <c r="Q3206" s="10" t="inlineStr"/>
      <c r="R3206" s="10" t="inlineStr">
        <is>
          <t>2026-03-12</t>
        </is>
      </c>
      <c r="S3206" s="10" t="inlineStr"/>
    </row>
    <row r="3207">
      <c r="A3207" s="3" t="inlineStr">
        <is>
          <t>F03700</t>
        </is>
      </c>
      <c r="B3207" s="4" t="inlineStr">
        <is>
          <t>F03700</t>
        </is>
      </c>
      <c r="C3207" s="4" t="inlineStr"/>
      <c r="D3207" s="4" t="inlineStr"/>
      <c r="E3207" s="3" t="inlineStr">
        <is>
          <t>LIGHT CEILING LIGHT ELEGANCE CL040</t>
        </is>
      </c>
      <c r="F3207" s="4" t="inlineStr"/>
      <c r="G3207" s="4" t="inlineStr"/>
      <c r="H3207" s="4" t="inlineStr"/>
      <c r="I3207" s="5" t="n">
        <v>419</v>
      </c>
      <c r="J3207" s="6" t="n">
        <v>15</v>
      </c>
      <c r="K3207" s="7">
        <f>IF(I3207="","",I3207*(1+J3207/100))</f>
        <v/>
      </c>
      <c r="L3207" s="12" t="inlineStr"/>
      <c r="M3207" s="8">
        <f>IF(OR(L3207="",K3207="",L3207=0),"",
  (L3207-K3207)/L3207*100)</f>
        <v/>
      </c>
      <c r="N3207" s="9" t="inlineStr"/>
      <c r="O3207" s="4" t="inlineStr"/>
      <c r="P3207" s="4" t="inlineStr"/>
      <c r="Q3207" s="4" t="inlineStr"/>
      <c r="R3207" s="4" t="inlineStr">
        <is>
          <t>2026-03-12</t>
        </is>
      </c>
      <c r="S3207" s="4" t="inlineStr"/>
    </row>
    <row r="3208">
      <c r="A3208" s="10" t="inlineStr">
        <is>
          <t>F03701</t>
        </is>
      </c>
      <c r="B3208" s="10" t="inlineStr">
        <is>
          <t>F03701</t>
        </is>
      </c>
      <c r="C3208" s="10" t="inlineStr"/>
      <c r="D3208" s="10" t="inlineStr"/>
      <c r="E3208" s="10" t="inlineStr">
        <is>
          <t>LIGHT CEILING LIGHT ELEGANCE CL041</t>
        </is>
      </c>
      <c r="F3208" s="10" t="inlineStr"/>
      <c r="G3208" s="10" t="inlineStr"/>
      <c r="H3208" s="10" t="inlineStr"/>
      <c r="I3208" s="11" t="n">
        <v>419</v>
      </c>
      <c r="J3208" s="6" t="n">
        <v>15</v>
      </c>
      <c r="K3208" s="7">
        <f>IF(I3208="","",I3208*(1+J3208/100))</f>
        <v/>
      </c>
      <c r="L3208" s="12" t="inlineStr"/>
      <c r="M3208" s="8">
        <f>IF(OR(L3208="",K3208="",L3208=0),"",
  (L3208-K3208)/L3208*100)</f>
        <v/>
      </c>
      <c r="N3208" s="13" t="n">
        <v>1</v>
      </c>
      <c r="O3208" s="10" t="inlineStr"/>
      <c r="P3208" s="10" t="inlineStr"/>
      <c r="Q3208" s="10" t="inlineStr"/>
      <c r="R3208" s="10" t="inlineStr">
        <is>
          <t>2026-03-12</t>
        </is>
      </c>
      <c r="S3208" s="10" t="inlineStr"/>
    </row>
    <row r="3209">
      <c r="A3209" s="3" t="inlineStr">
        <is>
          <t>F03702</t>
        </is>
      </c>
      <c r="B3209" s="4" t="inlineStr">
        <is>
          <t>F03702</t>
        </is>
      </c>
      <c r="C3209" s="4" t="inlineStr"/>
      <c r="D3209" s="4" t="inlineStr"/>
      <c r="E3209" s="3" t="inlineStr">
        <is>
          <t>LIGHT CEILING LIGHT ELEGANCE CL042</t>
        </is>
      </c>
      <c r="F3209" s="4" t="inlineStr"/>
      <c r="G3209" s="4" t="inlineStr"/>
      <c r="H3209" s="4" t="inlineStr"/>
      <c r="I3209" s="5" t="n">
        <v>419</v>
      </c>
      <c r="J3209" s="6" t="n">
        <v>15</v>
      </c>
      <c r="K3209" s="7">
        <f>IF(I3209="","",I3209*(1+J3209/100))</f>
        <v/>
      </c>
      <c r="L3209" s="12" t="inlineStr"/>
      <c r="M3209" s="8">
        <f>IF(OR(L3209="",K3209="",L3209=0),"",
  (L3209-K3209)/L3209*100)</f>
        <v/>
      </c>
      <c r="N3209" s="14" t="n">
        <v>1</v>
      </c>
      <c r="O3209" s="4" t="inlineStr"/>
      <c r="P3209" s="4" t="inlineStr"/>
      <c r="Q3209" s="4" t="inlineStr"/>
      <c r="R3209" s="4" t="inlineStr">
        <is>
          <t>2026-03-12</t>
        </is>
      </c>
      <c r="S3209" s="4" t="inlineStr"/>
    </row>
    <row r="3210">
      <c r="A3210" s="10" t="inlineStr">
        <is>
          <t>F03703</t>
        </is>
      </c>
      <c r="B3210" s="10" t="inlineStr">
        <is>
          <t>F03703</t>
        </is>
      </c>
      <c r="C3210" s="10" t="inlineStr"/>
      <c r="D3210" s="10" t="inlineStr"/>
      <c r="E3210" s="10" t="inlineStr">
        <is>
          <t>ELECTRIC- READY BOARD 8 DIN  FLUSH</t>
        </is>
      </c>
      <c r="F3210" s="10" t="inlineStr"/>
      <c r="G3210" s="10" t="inlineStr"/>
      <c r="H3210" s="10" t="inlineStr"/>
      <c r="I3210" s="11" t="n">
        <v>309</v>
      </c>
      <c r="J3210" s="6" t="n">
        <v>15</v>
      </c>
      <c r="K3210" s="7">
        <f>IF(I3210="","",I3210*(1+J3210/100))</f>
        <v/>
      </c>
      <c r="L3210" s="12" t="inlineStr"/>
      <c r="M3210" s="8">
        <f>IF(OR(L3210="",K3210="",L3210=0),"",
  (L3210-K3210)/L3210*100)</f>
        <v/>
      </c>
      <c r="N3210" s="13" t="n">
        <v>96</v>
      </c>
      <c r="O3210" s="10" t="inlineStr"/>
      <c r="P3210" s="10" t="inlineStr"/>
      <c r="Q3210" s="10" t="inlineStr"/>
      <c r="R3210" s="10" t="inlineStr">
        <is>
          <t>2026-03-12</t>
        </is>
      </c>
      <c r="S3210" s="10" t="inlineStr"/>
    </row>
    <row r="3211">
      <c r="A3211" s="3" t="inlineStr">
        <is>
          <t>F03704</t>
        </is>
      </c>
      <c r="B3211" s="4" t="inlineStr">
        <is>
          <t>F03704</t>
        </is>
      </c>
      <c r="C3211" s="4" t="inlineStr"/>
      <c r="D3211" s="4" t="inlineStr"/>
      <c r="E3211" s="3" t="inlineStr">
        <is>
          <t>CABLE JOINT KIT 4MMX10MM JK1</t>
        </is>
      </c>
      <c r="F3211" s="4" t="inlineStr"/>
      <c r="G3211" s="4" t="inlineStr"/>
      <c r="H3211" s="4" t="inlineStr"/>
      <c r="I3211" s="5" t="n">
        <v>82.5</v>
      </c>
      <c r="J3211" s="6" t="n">
        <v>15</v>
      </c>
      <c r="K3211" s="7">
        <f>IF(I3211="","",I3211*(1+J3211/100))</f>
        <v/>
      </c>
      <c r="L3211" s="12" t="inlineStr"/>
      <c r="M3211" s="8">
        <f>IF(OR(L3211="",K3211="",L3211=0),"",
  (L3211-K3211)/L3211*100)</f>
        <v/>
      </c>
      <c r="N3211" s="14" t="n">
        <v>2</v>
      </c>
      <c r="O3211" s="4" t="inlineStr"/>
      <c r="P3211" s="4" t="inlineStr"/>
      <c r="Q3211" s="4" t="inlineStr"/>
      <c r="R3211" s="4" t="inlineStr">
        <is>
          <t>2026-03-12</t>
        </is>
      </c>
      <c r="S3211" s="4" t="inlineStr"/>
    </row>
    <row r="3212">
      <c r="A3212" s="10" t="inlineStr">
        <is>
          <t>F03705</t>
        </is>
      </c>
      <c r="B3212" s="10" t="inlineStr">
        <is>
          <t>F03705</t>
        </is>
      </c>
      <c r="C3212" s="10" t="inlineStr"/>
      <c r="D3212" s="10" t="inlineStr">
        <is>
          <t>6009705656459</t>
        </is>
      </c>
      <c r="E3212" s="10" t="inlineStr">
        <is>
          <t>MUG 120Z HANDPAINTED 4PC SET</t>
        </is>
      </c>
      <c r="F3212" s="10" t="inlineStr"/>
      <c r="G3212" s="10" t="inlineStr"/>
      <c r="H3212" s="10" t="inlineStr"/>
      <c r="I3212" s="11" t="n">
        <v>20</v>
      </c>
      <c r="J3212" s="6" t="n">
        <v>15</v>
      </c>
      <c r="K3212" s="7">
        <f>IF(I3212="","",I3212*(1+J3212/100))</f>
        <v/>
      </c>
      <c r="L3212" s="12" t="inlineStr"/>
      <c r="M3212" s="8">
        <f>IF(OR(L3212="",K3212="",L3212=0),"",
  (L3212-K3212)/L3212*100)</f>
        <v/>
      </c>
      <c r="N3212" s="9" t="inlineStr"/>
      <c r="O3212" s="10" t="inlineStr"/>
      <c r="P3212" s="10" t="inlineStr"/>
      <c r="Q3212" s="10" t="inlineStr"/>
      <c r="R3212" s="10" t="inlineStr">
        <is>
          <t>2026-03-12</t>
        </is>
      </c>
      <c r="S3212" s="10" t="inlineStr"/>
    </row>
    <row r="3213">
      <c r="A3213" s="3" t="inlineStr">
        <is>
          <t>F03706</t>
        </is>
      </c>
      <c r="B3213" s="4" t="inlineStr">
        <is>
          <t>F03706</t>
        </is>
      </c>
      <c r="C3213" s="4" t="inlineStr"/>
      <c r="D3213" s="4" t="inlineStr">
        <is>
          <t>6009705656466</t>
        </is>
      </c>
      <c r="E3213" s="3" t="inlineStr">
        <is>
          <t>BOWL 7" HANDPAINTED 4PC SET</t>
        </is>
      </c>
      <c r="F3213" s="4" t="inlineStr"/>
      <c r="G3213" s="4" t="inlineStr"/>
      <c r="H3213" s="4" t="inlineStr"/>
      <c r="I3213" s="5" t="n">
        <v>20</v>
      </c>
      <c r="J3213" s="6" t="n">
        <v>15</v>
      </c>
      <c r="K3213" s="7">
        <f>IF(I3213="","",I3213*(1+J3213/100))</f>
        <v/>
      </c>
      <c r="L3213" s="12" t="inlineStr"/>
      <c r="M3213" s="8">
        <f>IF(OR(L3213="",K3213="",L3213=0),"",
  (L3213-K3213)/L3213*100)</f>
        <v/>
      </c>
      <c r="N3213" s="9" t="inlineStr"/>
      <c r="O3213" s="4" t="inlineStr"/>
      <c r="P3213" s="4" t="inlineStr"/>
      <c r="Q3213" s="4" t="inlineStr"/>
      <c r="R3213" s="4" t="inlineStr">
        <is>
          <t>2026-03-12</t>
        </is>
      </c>
      <c r="S3213" s="4" t="inlineStr"/>
    </row>
    <row r="3214">
      <c r="A3214" s="10" t="inlineStr">
        <is>
          <t>F03707</t>
        </is>
      </c>
      <c r="B3214" s="10" t="inlineStr">
        <is>
          <t>F03707</t>
        </is>
      </c>
      <c r="C3214" s="10" t="inlineStr"/>
      <c r="D3214" s="10" t="inlineStr">
        <is>
          <t>6009705656473</t>
        </is>
      </c>
      <c r="E3214" s="10" t="inlineStr">
        <is>
          <t>PLATE 10.5'' HANDPAINTED 4PC SET</t>
        </is>
      </c>
      <c r="F3214" s="10" t="inlineStr"/>
      <c r="G3214" s="10" t="inlineStr"/>
      <c r="H3214" s="10" t="inlineStr"/>
      <c r="I3214" s="11" t="n">
        <v>20</v>
      </c>
      <c r="J3214" s="6" t="n">
        <v>15</v>
      </c>
      <c r="K3214" s="7">
        <f>IF(I3214="","",I3214*(1+J3214/100))</f>
        <v/>
      </c>
      <c r="L3214" s="12" t="inlineStr"/>
      <c r="M3214" s="8">
        <f>IF(OR(L3214="",K3214="",L3214=0),"",
  (L3214-K3214)/L3214*100)</f>
        <v/>
      </c>
      <c r="N3214" s="9" t="inlineStr"/>
      <c r="O3214" s="10" t="inlineStr"/>
      <c r="P3214" s="10" t="inlineStr"/>
      <c r="Q3214" s="10" t="inlineStr"/>
      <c r="R3214" s="10" t="inlineStr">
        <is>
          <t>2026-03-12</t>
        </is>
      </c>
      <c r="S3214" s="10" t="inlineStr"/>
    </row>
    <row r="3215">
      <c r="A3215" s="3" t="inlineStr">
        <is>
          <t>F03708</t>
        </is>
      </c>
      <c r="B3215" s="4" t="inlineStr">
        <is>
          <t>F03708</t>
        </is>
      </c>
      <c r="C3215" s="4" t="inlineStr"/>
      <c r="D3215" s="4" t="inlineStr"/>
      <c r="E3215" s="3" t="inlineStr">
        <is>
          <t>AWNING 1MX1.2MTR HOLLOW BROWN ALCO</t>
        </is>
      </c>
      <c r="F3215" s="4" t="inlineStr"/>
      <c r="G3215" s="4" t="inlineStr"/>
      <c r="H3215" s="4" t="inlineStr"/>
      <c r="I3215" s="5" t="n">
        <v>409</v>
      </c>
      <c r="J3215" s="6" t="n">
        <v>15</v>
      </c>
      <c r="K3215" s="7">
        <f>IF(I3215="","",I3215*(1+J3215/100))</f>
        <v/>
      </c>
      <c r="L3215" s="12" t="inlineStr"/>
      <c r="M3215" s="8">
        <f>IF(OR(L3215="",K3215="",L3215=0),"",
  (L3215-K3215)/L3215*100)</f>
        <v/>
      </c>
      <c r="N3215" s="14" t="n">
        <v>132</v>
      </c>
      <c r="O3215" s="4" t="inlineStr"/>
      <c r="P3215" s="4" t="inlineStr"/>
      <c r="Q3215" s="4" t="inlineStr"/>
      <c r="R3215" s="4" t="inlineStr">
        <is>
          <t>2026-03-12</t>
        </is>
      </c>
      <c r="S3215" s="4" t="inlineStr"/>
    </row>
    <row r="3216">
      <c r="A3216" s="10" t="inlineStr">
        <is>
          <t>F03709</t>
        </is>
      </c>
      <c r="B3216" s="10" t="inlineStr">
        <is>
          <t>F03709</t>
        </is>
      </c>
      <c r="C3216" s="10" t="inlineStr"/>
      <c r="D3216" s="10" t="inlineStr"/>
      <c r="E3216" s="10" t="inlineStr">
        <is>
          <t>AWNING 1MX1.5MTR HOLLOW BROWN ALCO</t>
        </is>
      </c>
      <c r="F3216" s="10" t="inlineStr"/>
      <c r="G3216" s="10" t="inlineStr"/>
      <c r="H3216" s="10" t="inlineStr"/>
      <c r="I3216" s="11" t="n">
        <v>449</v>
      </c>
      <c r="J3216" s="6" t="n">
        <v>15</v>
      </c>
      <c r="K3216" s="7">
        <f>IF(I3216="","",I3216*(1+J3216/100))</f>
        <v/>
      </c>
      <c r="L3216" s="12" t="inlineStr"/>
      <c r="M3216" s="8">
        <f>IF(OR(L3216="",K3216="",L3216=0),"",
  (L3216-K3216)/L3216*100)</f>
        <v/>
      </c>
      <c r="N3216" s="13" t="n">
        <v>90</v>
      </c>
      <c r="O3216" s="10" t="inlineStr"/>
      <c r="P3216" s="10" t="inlineStr"/>
      <c r="Q3216" s="10" t="inlineStr"/>
      <c r="R3216" s="10" t="inlineStr">
        <is>
          <t>2026-03-12</t>
        </is>
      </c>
      <c r="S3216" s="10" t="inlineStr"/>
    </row>
    <row r="3217">
      <c r="A3217" s="3" t="inlineStr">
        <is>
          <t>F03710</t>
        </is>
      </c>
      <c r="B3217" s="4" t="inlineStr">
        <is>
          <t>F03710</t>
        </is>
      </c>
      <c r="C3217" s="4" t="inlineStr"/>
      <c r="D3217" s="4" t="inlineStr">
        <is>
          <t>6009705655578</t>
        </is>
      </c>
      <c r="E3217" s="3" t="inlineStr">
        <is>
          <t>HAMMER SLEDGE 6LB</t>
        </is>
      </c>
      <c r="F3217" s="4" t="inlineStr"/>
      <c r="G3217" s="4" t="inlineStr"/>
      <c r="H3217" s="4" t="inlineStr"/>
      <c r="I3217" s="5" t="n">
        <v>199</v>
      </c>
      <c r="J3217" s="6" t="n">
        <v>15</v>
      </c>
      <c r="K3217" s="7">
        <f>IF(I3217="","",I3217*(1+J3217/100))</f>
        <v/>
      </c>
      <c r="L3217" s="12" t="inlineStr"/>
      <c r="M3217" s="8">
        <f>IF(OR(L3217="",K3217="",L3217=0),"",
  (L3217-K3217)/L3217*100)</f>
        <v/>
      </c>
      <c r="N3217" s="14" t="n">
        <v>79</v>
      </c>
      <c r="O3217" s="4" t="inlineStr"/>
      <c r="P3217" s="4" t="inlineStr"/>
      <c r="Q3217" s="4" t="inlineStr"/>
      <c r="R3217" s="4" t="inlineStr">
        <is>
          <t>2026-03-12</t>
        </is>
      </c>
      <c r="S3217" s="4" t="inlineStr"/>
    </row>
    <row r="3218">
      <c r="A3218" s="10" t="inlineStr">
        <is>
          <t>F03713</t>
        </is>
      </c>
      <c r="B3218" s="10" t="inlineStr">
        <is>
          <t>F03713</t>
        </is>
      </c>
      <c r="C3218" s="10" t="inlineStr"/>
      <c r="D3218" s="10" t="inlineStr"/>
      <c r="E3218" s="10" t="inlineStr">
        <is>
          <t>PU STONE HANYU WHITE 1200*600*30MM LOOSE</t>
        </is>
      </c>
      <c r="F3218" s="10" t="inlineStr"/>
      <c r="G3218" s="10" t="inlineStr"/>
      <c r="H3218" s="10" t="inlineStr"/>
      <c r="I3218" s="11" t="n">
        <v>269</v>
      </c>
      <c r="J3218" s="6" t="n">
        <v>15</v>
      </c>
      <c r="K3218" s="7">
        <f>IF(I3218="","",I3218*(1+J3218/100))</f>
        <v/>
      </c>
      <c r="L3218" s="12" t="inlineStr"/>
      <c r="M3218" s="8">
        <f>IF(OR(L3218="",K3218="",L3218=0),"",
  (L3218-K3218)/L3218*100)</f>
        <v/>
      </c>
      <c r="N3218" s="9" t="inlineStr"/>
      <c r="O3218" s="10" t="inlineStr"/>
      <c r="P3218" s="10" t="inlineStr"/>
      <c r="Q3218" s="10" t="inlineStr"/>
      <c r="R3218" s="10" t="inlineStr">
        <is>
          <t>2026-03-12</t>
        </is>
      </c>
      <c r="S3218" s="10" t="inlineStr"/>
    </row>
    <row r="3219">
      <c r="A3219" s="3" t="inlineStr">
        <is>
          <t>F03714</t>
        </is>
      </c>
      <c r="B3219" s="4" t="inlineStr">
        <is>
          <t>F03714</t>
        </is>
      </c>
      <c r="C3219" s="4" t="inlineStr"/>
      <c r="D3219" s="4" t="inlineStr"/>
      <c r="E3219" s="3" t="inlineStr">
        <is>
          <t>PU STONE GOLDEN MA  1200*600*30MM LOOSE</t>
        </is>
      </c>
      <c r="F3219" s="4" t="inlineStr"/>
      <c r="G3219" s="4" t="inlineStr"/>
      <c r="H3219" s="4" t="inlineStr"/>
      <c r="I3219" s="5" t="n">
        <v>269</v>
      </c>
      <c r="J3219" s="6" t="n">
        <v>15</v>
      </c>
      <c r="K3219" s="7">
        <f>IF(I3219="","",I3219*(1+J3219/100))</f>
        <v/>
      </c>
      <c r="L3219" s="12" t="inlineStr"/>
      <c r="M3219" s="8">
        <f>IF(OR(L3219="",K3219="",L3219=0),"",
  (L3219-K3219)/L3219*100)</f>
        <v/>
      </c>
      <c r="N3219" s="9" t="inlineStr"/>
      <c r="O3219" s="4" t="inlineStr"/>
      <c r="P3219" s="4" t="inlineStr"/>
      <c r="Q3219" s="4" t="inlineStr"/>
      <c r="R3219" s="4" t="inlineStr">
        <is>
          <t>2026-03-12</t>
        </is>
      </c>
      <c r="S3219" s="4" t="inlineStr"/>
    </row>
    <row r="3220">
      <c r="A3220" s="10" t="inlineStr">
        <is>
          <t>F03715</t>
        </is>
      </c>
      <c r="B3220" s="10" t="inlineStr">
        <is>
          <t>F03715</t>
        </is>
      </c>
      <c r="C3220" s="10" t="inlineStr"/>
      <c r="D3220" s="10" t="inlineStr"/>
      <c r="E3220" s="10" t="inlineStr">
        <is>
          <t>PU STONE LIGHT BLACK 1200*600*30MM LOOSE</t>
        </is>
      </c>
      <c r="F3220" s="10" t="inlineStr"/>
      <c r="G3220" s="10" t="inlineStr"/>
      <c r="H3220" s="10" t="inlineStr"/>
      <c r="I3220" s="11" t="n">
        <v>269</v>
      </c>
      <c r="J3220" s="6" t="n">
        <v>15</v>
      </c>
      <c r="K3220" s="7">
        <f>IF(I3220="","",I3220*(1+J3220/100))</f>
        <v/>
      </c>
      <c r="L3220" s="12" t="inlineStr"/>
      <c r="M3220" s="8">
        <f>IF(OR(L3220="",K3220="",L3220=0),"",
  (L3220-K3220)/L3220*100)</f>
        <v/>
      </c>
      <c r="N3220" s="9" t="inlineStr"/>
      <c r="O3220" s="10" t="inlineStr"/>
      <c r="P3220" s="10" t="inlineStr"/>
      <c r="Q3220" s="10" t="inlineStr"/>
      <c r="R3220" s="10" t="inlineStr">
        <is>
          <t>2026-03-12</t>
        </is>
      </c>
      <c r="S3220" s="10" t="inlineStr"/>
    </row>
    <row r="3221">
      <c r="A3221" s="3" t="inlineStr">
        <is>
          <t>F03716</t>
        </is>
      </c>
      <c r="B3221" s="4" t="inlineStr">
        <is>
          <t>F03716</t>
        </is>
      </c>
      <c r="C3221" s="4" t="inlineStr"/>
      <c r="D3221" s="4" t="inlineStr"/>
      <c r="E3221" s="3" t="inlineStr">
        <is>
          <t>PU STONE VOLCANIC GREY 1200*600*30MM LSE</t>
        </is>
      </c>
      <c r="F3221" s="4" t="inlineStr"/>
      <c r="G3221" s="4" t="inlineStr"/>
      <c r="H3221" s="4" t="inlineStr"/>
      <c r="I3221" s="5" t="n">
        <v>269</v>
      </c>
      <c r="J3221" s="6" t="n">
        <v>15</v>
      </c>
      <c r="K3221" s="7">
        <f>IF(I3221="","",I3221*(1+J3221/100))</f>
        <v/>
      </c>
      <c r="L3221" s="12" t="inlineStr"/>
      <c r="M3221" s="8">
        <f>IF(OR(L3221="",K3221="",L3221=0),"",
  (L3221-K3221)/L3221*100)</f>
        <v/>
      </c>
      <c r="N3221" s="9" t="inlineStr"/>
      <c r="O3221" s="4" t="inlineStr"/>
      <c r="P3221" s="4" t="inlineStr"/>
      <c r="Q3221" s="4" t="inlineStr"/>
      <c r="R3221" s="4" t="inlineStr">
        <is>
          <t>2026-03-12</t>
        </is>
      </c>
      <c r="S3221" s="4" t="inlineStr"/>
    </row>
    <row r="3222">
      <c r="A3222" s="10" t="inlineStr">
        <is>
          <t>F03717</t>
        </is>
      </c>
      <c r="B3222" s="10" t="inlineStr">
        <is>
          <t>F03717</t>
        </is>
      </c>
      <c r="C3222" s="10" t="inlineStr"/>
      <c r="D3222" s="10" t="inlineStr"/>
      <c r="E3222" s="10" t="inlineStr">
        <is>
          <t>WALL PANEL-BARCELONA METAL GREY LOOSE</t>
        </is>
      </c>
      <c r="F3222" s="10" t="inlineStr"/>
      <c r="G3222" s="10" t="inlineStr"/>
      <c r="H3222" s="10" t="inlineStr"/>
      <c r="I3222" s="11" t="n">
        <v>139</v>
      </c>
      <c r="J3222" s="6" t="n">
        <v>15</v>
      </c>
      <c r="K3222" s="7">
        <f>IF(I3222="","",I3222*(1+J3222/100))</f>
        <v/>
      </c>
      <c r="L3222" s="12" t="inlineStr"/>
      <c r="M3222" s="8">
        <f>IF(OR(L3222="",K3222="",L3222=0),"",
  (L3222-K3222)/L3222*100)</f>
        <v/>
      </c>
      <c r="N3222" s="9" t="inlineStr"/>
      <c r="O3222" s="10" t="inlineStr"/>
      <c r="P3222" s="10" t="inlineStr"/>
      <c r="Q3222" s="10" t="inlineStr"/>
      <c r="R3222" s="10" t="inlineStr">
        <is>
          <t>2026-03-12</t>
        </is>
      </c>
      <c r="S3222" s="10" t="inlineStr"/>
    </row>
    <row r="3223">
      <c r="A3223" s="3" t="inlineStr">
        <is>
          <t>F03718</t>
        </is>
      </c>
      <c r="B3223" s="4" t="inlineStr">
        <is>
          <t>F03718</t>
        </is>
      </c>
      <c r="C3223" s="4" t="inlineStr"/>
      <c r="D3223" s="4" t="inlineStr"/>
      <c r="E3223" s="3" t="inlineStr">
        <is>
          <t>WALL PANEL-BARCELONA SILVER LOOSE</t>
        </is>
      </c>
      <c r="F3223" s="4" t="inlineStr"/>
      <c r="G3223" s="4" t="inlineStr"/>
      <c r="H3223" s="4" t="inlineStr"/>
      <c r="I3223" s="5" t="n">
        <v>139</v>
      </c>
      <c r="J3223" s="6" t="n">
        <v>15</v>
      </c>
      <c r="K3223" s="7">
        <f>IF(I3223="","",I3223*(1+J3223/100))</f>
        <v/>
      </c>
      <c r="L3223" s="12" t="inlineStr"/>
      <c r="M3223" s="8">
        <f>IF(OR(L3223="",K3223="",L3223=0),"",
  (L3223-K3223)/L3223*100)</f>
        <v/>
      </c>
      <c r="N3223" s="9" t="inlineStr"/>
      <c r="O3223" s="4" t="inlineStr"/>
      <c r="P3223" s="4" t="inlineStr"/>
      <c r="Q3223" s="4" t="inlineStr"/>
      <c r="R3223" s="4" t="inlineStr">
        <is>
          <t>2026-03-12</t>
        </is>
      </c>
      <c r="S3223" s="4" t="inlineStr"/>
    </row>
    <row r="3224">
      <c r="A3224" s="10" t="inlineStr">
        <is>
          <t>F03719</t>
        </is>
      </c>
      <c r="B3224" s="10" t="inlineStr">
        <is>
          <t>F03719</t>
        </is>
      </c>
      <c r="C3224" s="10" t="inlineStr"/>
      <c r="D3224" s="10" t="inlineStr"/>
      <c r="E3224" s="10" t="inlineStr">
        <is>
          <t>WALL PANEL-BARCELONA CHAMPANGE GOLDLOOSE</t>
        </is>
      </c>
      <c r="F3224" s="10" t="inlineStr"/>
      <c r="G3224" s="10" t="inlineStr"/>
      <c r="H3224" s="10" t="inlineStr"/>
      <c r="I3224" s="11" t="n">
        <v>139</v>
      </c>
      <c r="J3224" s="6" t="n">
        <v>15</v>
      </c>
      <c r="K3224" s="7">
        <f>IF(I3224="","",I3224*(1+J3224/100))</f>
        <v/>
      </c>
      <c r="L3224" s="12" t="inlineStr"/>
      <c r="M3224" s="8">
        <f>IF(OR(L3224="",K3224="",L3224=0),"",
  (L3224-K3224)/L3224*100)</f>
        <v/>
      </c>
      <c r="N3224" s="9" t="inlineStr"/>
      <c r="O3224" s="10" t="inlineStr"/>
      <c r="P3224" s="10" t="inlineStr"/>
      <c r="Q3224" s="10" t="inlineStr"/>
      <c r="R3224" s="10" t="inlineStr">
        <is>
          <t>2026-03-12</t>
        </is>
      </c>
      <c r="S3224" s="10" t="inlineStr"/>
    </row>
    <row r="3225">
      <c r="A3225" s="3" t="inlineStr">
        <is>
          <t>F03720</t>
        </is>
      </c>
      <c r="B3225" s="4" t="inlineStr">
        <is>
          <t>F03720</t>
        </is>
      </c>
      <c r="C3225" s="4" t="inlineStr"/>
      <c r="D3225" s="4" t="inlineStr"/>
      <c r="E3225" s="3" t="inlineStr">
        <is>
          <t>WALL PANEL-BARCELONA ROSE GOLD LOOSE</t>
        </is>
      </c>
      <c r="F3225" s="4" t="inlineStr"/>
      <c r="G3225" s="4" t="inlineStr"/>
      <c r="H3225" s="4" t="inlineStr"/>
      <c r="I3225" s="5" t="n">
        <v>139</v>
      </c>
      <c r="J3225" s="6" t="n">
        <v>15</v>
      </c>
      <c r="K3225" s="7">
        <f>IF(I3225="","",I3225*(1+J3225/100))</f>
        <v/>
      </c>
      <c r="L3225" s="12" t="inlineStr"/>
      <c r="M3225" s="8">
        <f>IF(OR(L3225="",K3225="",L3225=0),"",
  (L3225-K3225)/L3225*100)</f>
        <v/>
      </c>
      <c r="N3225" s="9" t="inlineStr"/>
      <c r="O3225" s="4" t="inlineStr"/>
      <c r="P3225" s="4" t="inlineStr"/>
      <c r="Q3225" s="4" t="inlineStr"/>
      <c r="R3225" s="4" t="inlineStr">
        <is>
          <t>2026-03-12</t>
        </is>
      </c>
      <c r="S3225" s="4" t="inlineStr"/>
    </row>
    <row r="3226">
      <c r="A3226" s="10" t="inlineStr">
        <is>
          <t>F03800</t>
        </is>
      </c>
      <c r="B3226" s="10" t="inlineStr">
        <is>
          <t>F03800</t>
        </is>
      </c>
      <c r="C3226" s="10" t="inlineStr"/>
      <c r="D3226" s="10" t="inlineStr">
        <is>
          <t>6009705656640</t>
        </is>
      </c>
      <c r="E3226" s="10" t="inlineStr">
        <is>
          <t>LED STRIP LIGHT  150W  WALL PANEL</t>
        </is>
      </c>
      <c r="F3226" s="10" t="inlineStr"/>
      <c r="G3226" s="10" t="inlineStr"/>
      <c r="H3226" s="10" t="inlineStr"/>
      <c r="I3226" s="11" t="n">
        <v>2</v>
      </c>
      <c r="J3226" s="6" t="n">
        <v>15</v>
      </c>
      <c r="K3226" s="7">
        <f>IF(I3226="","",I3226*(1+J3226/100))</f>
        <v/>
      </c>
      <c r="L3226" s="12" t="inlineStr"/>
      <c r="M3226" s="8">
        <f>IF(OR(L3226="",K3226="",L3226=0),"",
  (L3226-K3226)/L3226*100)</f>
        <v/>
      </c>
      <c r="N3226" s="9" t="inlineStr"/>
      <c r="O3226" s="10" t="inlineStr"/>
      <c r="P3226" s="10" t="inlineStr"/>
      <c r="Q3226" s="10" t="inlineStr"/>
      <c r="R3226" s="10" t="inlineStr">
        <is>
          <t>2026-03-12</t>
        </is>
      </c>
      <c r="S3226" s="10" t="inlineStr"/>
    </row>
    <row r="3227">
      <c r="A3227" s="3" t="inlineStr">
        <is>
          <t>F03801</t>
        </is>
      </c>
      <c r="B3227" s="4" t="inlineStr">
        <is>
          <t>F03801</t>
        </is>
      </c>
      <c r="C3227" s="4" t="inlineStr"/>
      <c r="D3227" s="4" t="inlineStr"/>
      <c r="E3227" s="3" t="inlineStr">
        <is>
          <t>WPC OUTDOOR WALL PANEL COFFEE LOOSE</t>
        </is>
      </c>
      <c r="F3227" s="4" t="inlineStr"/>
      <c r="G3227" s="4" t="inlineStr"/>
      <c r="H3227" s="4" t="inlineStr"/>
      <c r="I3227" s="5" t="n">
        <v>289</v>
      </c>
      <c r="J3227" s="6" t="n">
        <v>15</v>
      </c>
      <c r="K3227" s="7">
        <f>IF(I3227="","",I3227*(1+J3227/100))</f>
        <v/>
      </c>
      <c r="L3227" s="12" t="inlineStr"/>
      <c r="M3227" s="8">
        <f>IF(OR(L3227="",K3227="",L3227=0),"",
  (L3227-K3227)/L3227*100)</f>
        <v/>
      </c>
      <c r="N3227" s="9" t="inlineStr"/>
      <c r="O3227" s="4" t="inlineStr"/>
      <c r="P3227" s="4" t="inlineStr"/>
      <c r="Q3227" s="4" t="inlineStr"/>
      <c r="R3227" s="4" t="inlineStr">
        <is>
          <t>2026-03-12</t>
        </is>
      </c>
      <c r="S3227" s="4" t="inlineStr"/>
    </row>
    <row r="3228">
      <c r="A3228" s="10" t="inlineStr">
        <is>
          <t>F03802</t>
        </is>
      </c>
      <c r="B3228" s="10" t="inlineStr">
        <is>
          <t>F03802</t>
        </is>
      </c>
      <c r="C3228" s="10" t="inlineStr"/>
      <c r="D3228" s="10" t="inlineStr"/>
      <c r="E3228" s="10" t="inlineStr">
        <is>
          <t>PU WALL PANEL LIGHT BROWN RAIN DSGN LOOS</t>
        </is>
      </c>
      <c r="F3228" s="10" t="inlineStr"/>
      <c r="G3228" s="10" t="inlineStr"/>
      <c r="H3228" s="10" t="inlineStr"/>
      <c r="I3228" s="11" t="n">
        <v>299</v>
      </c>
      <c r="J3228" s="6" t="n">
        <v>15</v>
      </c>
      <c r="K3228" s="7">
        <f>IF(I3228="","",I3228*(1+J3228/100))</f>
        <v/>
      </c>
      <c r="L3228" s="12" t="inlineStr"/>
      <c r="M3228" s="8">
        <f>IF(OR(L3228="",K3228="",L3228=0),"",
  (L3228-K3228)/L3228*100)</f>
        <v/>
      </c>
      <c r="N3228" s="9" t="inlineStr"/>
      <c r="O3228" s="10" t="inlineStr"/>
      <c r="P3228" s="10" t="inlineStr"/>
      <c r="Q3228" s="10" t="inlineStr"/>
      <c r="R3228" s="10" t="inlineStr">
        <is>
          <t>2026-03-12</t>
        </is>
      </c>
      <c r="S3228" s="10" t="inlineStr"/>
    </row>
    <row r="3229">
      <c r="A3229" s="3" t="inlineStr">
        <is>
          <t>F03803</t>
        </is>
      </c>
      <c r="B3229" s="4" t="inlineStr">
        <is>
          <t>F03803</t>
        </is>
      </c>
      <c r="C3229" s="4" t="inlineStr"/>
      <c r="D3229" s="4" t="inlineStr"/>
      <c r="E3229" s="3" t="inlineStr">
        <is>
          <t>ACOUSTIC WALL PANEL GREY LOOSE</t>
        </is>
      </c>
      <c r="F3229" s="4" t="inlineStr"/>
      <c r="G3229" s="4" t="inlineStr"/>
      <c r="H3229" s="4" t="inlineStr"/>
      <c r="I3229" s="5" t="n">
        <v>949</v>
      </c>
      <c r="J3229" s="6" t="n">
        <v>15</v>
      </c>
      <c r="K3229" s="7">
        <f>IF(I3229="","",I3229*(1+J3229/100))</f>
        <v/>
      </c>
      <c r="L3229" s="12" t="inlineStr"/>
      <c r="M3229" s="8">
        <f>IF(OR(L3229="",K3229="",L3229=0),"",
  (L3229-K3229)/L3229*100)</f>
        <v/>
      </c>
      <c r="N3229" s="9" t="inlineStr"/>
      <c r="O3229" s="4" t="inlineStr"/>
      <c r="P3229" s="4" t="inlineStr"/>
      <c r="Q3229" s="4" t="inlineStr"/>
      <c r="R3229" s="4" t="inlineStr">
        <is>
          <t>2026-03-12</t>
        </is>
      </c>
      <c r="S3229" s="4" t="inlineStr"/>
    </row>
    <row r="3230">
      <c r="A3230" s="10" t="inlineStr">
        <is>
          <t>F03804</t>
        </is>
      </c>
      <c r="B3230" s="10" t="inlineStr">
        <is>
          <t>F03804</t>
        </is>
      </c>
      <c r="C3230" s="10" t="inlineStr"/>
      <c r="D3230" s="10" t="inlineStr"/>
      <c r="E3230" s="10" t="inlineStr">
        <is>
          <t>PAINT ROLLER SUPER BUDGET BLACK</t>
        </is>
      </c>
      <c r="F3230" s="10" t="inlineStr"/>
      <c r="G3230" s="10" t="inlineStr"/>
      <c r="H3230" s="10" t="inlineStr"/>
      <c r="I3230" s="11" t="n">
        <v>20</v>
      </c>
      <c r="J3230" s="6" t="n">
        <v>15</v>
      </c>
      <c r="K3230" s="7">
        <f>IF(I3230="","",I3230*(1+J3230/100))</f>
        <v/>
      </c>
      <c r="L3230" s="12" t="inlineStr"/>
      <c r="M3230" s="8">
        <f>IF(OR(L3230="",K3230="",L3230=0),"",
  (L3230-K3230)/L3230*100)</f>
        <v/>
      </c>
      <c r="N3230" s="13" t="n">
        <v>10800</v>
      </c>
      <c r="O3230" s="10" t="inlineStr"/>
      <c r="P3230" s="10" t="inlineStr"/>
      <c r="Q3230" s="10" t="inlineStr"/>
      <c r="R3230" s="10" t="inlineStr">
        <is>
          <t>2026-03-12</t>
        </is>
      </c>
      <c r="S3230" s="10" t="inlineStr"/>
    </row>
    <row r="3231">
      <c r="A3231" s="3" t="inlineStr">
        <is>
          <t>F03805</t>
        </is>
      </c>
      <c r="B3231" s="4" t="inlineStr">
        <is>
          <t>F03805</t>
        </is>
      </c>
      <c r="C3231" s="4" t="inlineStr"/>
      <c r="D3231" s="4" t="inlineStr"/>
      <c r="E3231" s="3" t="inlineStr">
        <is>
          <t>PAINT ROLLER PROF PILE BROWN</t>
        </is>
      </c>
      <c r="F3231" s="4" t="inlineStr"/>
      <c r="G3231" s="4" t="inlineStr"/>
      <c r="H3231" s="4" t="inlineStr"/>
      <c r="I3231" s="5" t="n">
        <v>48</v>
      </c>
      <c r="J3231" s="6" t="n">
        <v>15</v>
      </c>
      <c r="K3231" s="7">
        <f>IF(I3231="","",I3231*(1+J3231/100))</f>
        <v/>
      </c>
      <c r="L3231" s="12" t="inlineStr"/>
      <c r="M3231" s="8">
        <f>IF(OR(L3231="",K3231="",L3231=0),"",
  (L3231-K3231)/L3231*100)</f>
        <v/>
      </c>
      <c r="N3231" s="14" t="n">
        <v>2700</v>
      </c>
      <c r="O3231" s="4" t="inlineStr"/>
      <c r="P3231" s="4" t="inlineStr"/>
      <c r="Q3231" s="4" t="inlineStr"/>
      <c r="R3231" s="4" t="inlineStr">
        <is>
          <t>2026-03-12</t>
        </is>
      </c>
      <c r="S3231" s="4" t="inlineStr"/>
    </row>
    <row r="3232">
      <c r="A3232" s="10" t="inlineStr">
        <is>
          <t>F03806</t>
        </is>
      </c>
      <c r="B3232" s="10" t="inlineStr">
        <is>
          <t>F03806</t>
        </is>
      </c>
      <c r="C3232" s="10" t="inlineStr"/>
      <c r="D3232" s="10" t="inlineStr"/>
      <c r="E3232" s="10" t="inlineStr">
        <is>
          <t>PAINT ROLLER RUFFER PILR GREY</t>
        </is>
      </c>
      <c r="F3232" s="10" t="inlineStr"/>
      <c r="G3232" s="10" t="inlineStr"/>
      <c r="H3232" s="10" t="inlineStr"/>
      <c r="I3232" s="11" t="n">
        <v>30</v>
      </c>
      <c r="J3232" s="6" t="n">
        <v>15</v>
      </c>
      <c r="K3232" s="7">
        <f>IF(I3232="","",I3232*(1+J3232/100))</f>
        <v/>
      </c>
      <c r="L3232" s="12" t="inlineStr"/>
      <c r="M3232" s="8">
        <f>IF(OR(L3232="",K3232="",L3232=0),"",
  (L3232-K3232)/L3232*100)</f>
        <v/>
      </c>
      <c r="N3232" s="13" t="n">
        <v>5325</v>
      </c>
      <c r="O3232" s="10" t="inlineStr"/>
      <c r="P3232" s="10" t="inlineStr"/>
      <c r="Q3232" s="10" t="inlineStr"/>
      <c r="R3232" s="10" t="inlineStr">
        <is>
          <t>2026-03-12</t>
        </is>
      </c>
      <c r="S3232" s="10" t="inlineStr"/>
    </row>
    <row r="3233">
      <c r="A3233" s="3" t="inlineStr">
        <is>
          <t>F03807</t>
        </is>
      </c>
      <c r="B3233" s="4" t="inlineStr">
        <is>
          <t>F03807</t>
        </is>
      </c>
      <c r="C3233" s="4" t="inlineStr"/>
      <c r="D3233" s="4" t="inlineStr"/>
      <c r="E3233" s="3" t="inlineStr">
        <is>
          <t>PAINT ROLLER DIY BLUE</t>
        </is>
      </c>
      <c r="F3233" s="4" t="inlineStr"/>
      <c r="G3233" s="4" t="inlineStr"/>
      <c r="H3233" s="4" t="inlineStr"/>
      <c r="I3233" s="5" t="n">
        <v>15</v>
      </c>
      <c r="J3233" s="6" t="n">
        <v>15</v>
      </c>
      <c r="K3233" s="7">
        <f>IF(I3233="","",I3233*(1+J3233/100))</f>
        <v/>
      </c>
      <c r="L3233" s="12" t="inlineStr"/>
      <c r="M3233" s="8">
        <f>IF(OR(L3233="",K3233="",L3233=0),"",
  (L3233-K3233)/L3233*100)</f>
        <v/>
      </c>
      <c r="N3233" s="14" t="n">
        <v>6129</v>
      </c>
      <c r="O3233" s="4" t="inlineStr"/>
      <c r="P3233" s="4" t="inlineStr"/>
      <c r="Q3233" s="4" t="inlineStr"/>
      <c r="R3233" s="4" t="inlineStr">
        <is>
          <t>2026-03-12</t>
        </is>
      </c>
      <c r="S3233" s="4" t="inlineStr"/>
    </row>
    <row r="3234">
      <c r="A3234" s="10" t="inlineStr">
        <is>
          <t>F03808</t>
        </is>
      </c>
      <c r="B3234" s="10" t="inlineStr">
        <is>
          <t>F03808</t>
        </is>
      </c>
      <c r="C3234" s="10" t="inlineStr"/>
      <c r="D3234" s="10" t="inlineStr"/>
      <c r="E3234" s="10" t="inlineStr">
        <is>
          <t>PAINT ROLLER EAZI GREEN</t>
        </is>
      </c>
      <c r="F3234" s="10" t="inlineStr"/>
      <c r="G3234" s="10" t="inlineStr"/>
      <c r="H3234" s="10" t="inlineStr"/>
      <c r="I3234" s="11" t="n">
        <v>30</v>
      </c>
      <c r="J3234" s="6" t="n">
        <v>15</v>
      </c>
      <c r="K3234" s="7">
        <f>IF(I3234="","",I3234*(1+J3234/100))</f>
        <v/>
      </c>
      <c r="L3234" s="12" t="inlineStr"/>
      <c r="M3234" s="8">
        <f>IF(OR(L3234="",K3234="",L3234=0),"",
  (L3234-K3234)/L3234*100)</f>
        <v/>
      </c>
      <c r="N3234" s="13" t="n">
        <v>2440</v>
      </c>
      <c r="O3234" s="10" t="inlineStr"/>
      <c r="P3234" s="10" t="inlineStr"/>
      <c r="Q3234" s="10" t="inlineStr"/>
      <c r="R3234" s="10" t="inlineStr">
        <is>
          <t>2026-03-12</t>
        </is>
      </c>
      <c r="S3234" s="10" t="inlineStr"/>
    </row>
    <row r="3235">
      <c r="A3235" s="3" t="inlineStr">
        <is>
          <t>F03809</t>
        </is>
      </c>
      <c r="B3235" s="4" t="inlineStr">
        <is>
          <t>F03809</t>
        </is>
      </c>
      <c r="C3235" s="4" t="inlineStr"/>
      <c r="D3235" s="4" t="inlineStr"/>
      <c r="E3235" s="3" t="inlineStr">
        <is>
          <t>PAINT ROLLER SUPA PILE ORANGE</t>
        </is>
      </c>
      <c r="F3235" s="4" t="inlineStr"/>
      <c r="G3235" s="4" t="inlineStr"/>
      <c r="H3235" s="4" t="inlineStr"/>
      <c r="I3235" s="5" t="n">
        <v>28</v>
      </c>
      <c r="J3235" s="6" t="n">
        <v>15</v>
      </c>
      <c r="K3235" s="7">
        <f>IF(I3235="","",I3235*(1+J3235/100))</f>
        <v/>
      </c>
      <c r="L3235" s="12" t="inlineStr"/>
      <c r="M3235" s="8">
        <f>IF(OR(L3235="",K3235="",L3235=0),"",
  (L3235-K3235)/L3235*100)</f>
        <v/>
      </c>
      <c r="N3235" s="14" t="n">
        <v>4114</v>
      </c>
      <c r="O3235" s="4" t="inlineStr"/>
      <c r="P3235" s="4" t="inlineStr"/>
      <c r="Q3235" s="4" t="inlineStr"/>
      <c r="R3235" s="4" t="inlineStr">
        <is>
          <t>2026-03-12</t>
        </is>
      </c>
      <c r="S3235" s="4" t="inlineStr"/>
    </row>
    <row r="3236">
      <c r="A3236" s="10" t="inlineStr">
        <is>
          <t>F03810</t>
        </is>
      </c>
      <c r="B3236" s="10" t="inlineStr">
        <is>
          <t>F03810</t>
        </is>
      </c>
      <c r="C3236" s="10" t="inlineStr"/>
      <c r="D3236" s="10" t="inlineStr"/>
      <c r="E3236" s="10" t="inlineStr">
        <is>
          <t>PAINT ROLLER HER PILE PINK</t>
        </is>
      </c>
      <c r="F3236" s="10" t="inlineStr"/>
      <c r="G3236" s="10" t="inlineStr"/>
      <c r="H3236" s="10" t="inlineStr"/>
      <c r="I3236" s="11" t="n">
        <v>20</v>
      </c>
      <c r="J3236" s="6" t="n">
        <v>15</v>
      </c>
      <c r="K3236" s="7">
        <f>IF(I3236="","",I3236*(1+J3236/100))</f>
        <v/>
      </c>
      <c r="L3236" s="12" t="inlineStr"/>
      <c r="M3236" s="8">
        <f>IF(OR(L3236="",K3236="",L3236=0),"",
  (L3236-K3236)/L3236*100)</f>
        <v/>
      </c>
      <c r="N3236" s="13" t="n">
        <v>1560</v>
      </c>
      <c r="O3236" s="10" t="inlineStr"/>
      <c r="P3236" s="10" t="inlineStr"/>
      <c r="Q3236" s="10" t="inlineStr"/>
      <c r="R3236" s="10" t="inlineStr">
        <is>
          <t>2026-03-12</t>
        </is>
      </c>
      <c r="S3236" s="10" t="inlineStr"/>
    </row>
    <row r="3237">
      <c r="A3237" s="3" t="inlineStr">
        <is>
          <t>F03811</t>
        </is>
      </c>
      <c r="B3237" s="4" t="inlineStr">
        <is>
          <t>F03811</t>
        </is>
      </c>
      <c r="C3237" s="4" t="inlineStr"/>
      <c r="D3237" s="4" t="inlineStr"/>
      <c r="E3237" s="3" t="inlineStr">
        <is>
          <t>PAINT ROLLER LAMBWOOL PURPLE</t>
        </is>
      </c>
      <c r="F3237" s="4" t="inlineStr"/>
      <c r="G3237" s="4" t="inlineStr"/>
      <c r="H3237" s="4" t="inlineStr"/>
      <c r="I3237" s="5" t="n">
        <v>30</v>
      </c>
      <c r="J3237" s="6" t="n">
        <v>15</v>
      </c>
      <c r="K3237" s="7">
        <f>IF(I3237="","",I3237*(1+J3237/100))</f>
        <v/>
      </c>
      <c r="L3237" s="12" t="inlineStr"/>
      <c r="M3237" s="8">
        <f>IF(OR(L3237="",K3237="",L3237=0),"",
  (L3237-K3237)/L3237*100)</f>
        <v/>
      </c>
      <c r="N3237" s="14" t="n">
        <v>1219</v>
      </c>
      <c r="O3237" s="4" t="inlineStr"/>
      <c r="P3237" s="4" t="inlineStr"/>
      <c r="Q3237" s="4" t="inlineStr"/>
      <c r="R3237" s="4" t="inlineStr">
        <is>
          <t>2026-03-12</t>
        </is>
      </c>
      <c r="S3237" s="4" t="inlineStr"/>
    </row>
    <row r="3238">
      <c r="A3238" s="10" t="inlineStr">
        <is>
          <t>F03812</t>
        </is>
      </c>
      <c r="B3238" s="10" t="inlineStr">
        <is>
          <t>F03812</t>
        </is>
      </c>
      <c r="C3238" s="10" t="inlineStr"/>
      <c r="D3238" s="10" t="inlineStr"/>
      <c r="E3238" s="10" t="inlineStr">
        <is>
          <t>PAINT ROLLER BUDGET RED</t>
        </is>
      </c>
      <c r="F3238" s="10" t="inlineStr"/>
      <c r="G3238" s="10" t="inlineStr"/>
      <c r="H3238" s="10" t="inlineStr"/>
      <c r="I3238" s="11" t="n">
        <v>15</v>
      </c>
      <c r="J3238" s="6" t="n">
        <v>15</v>
      </c>
      <c r="K3238" s="7">
        <f>IF(I3238="","",I3238*(1+J3238/100))</f>
        <v/>
      </c>
      <c r="L3238" s="12" t="inlineStr"/>
      <c r="M3238" s="8">
        <f>IF(OR(L3238="",K3238="",L3238=0),"",
  (L3238-K3238)/L3238*100)</f>
        <v/>
      </c>
      <c r="N3238" s="13" t="n">
        <v>13100</v>
      </c>
      <c r="O3238" s="10" t="inlineStr"/>
      <c r="P3238" s="10" t="inlineStr"/>
      <c r="Q3238" s="10" t="inlineStr"/>
      <c r="R3238" s="10" t="inlineStr">
        <is>
          <t>2026-03-12</t>
        </is>
      </c>
      <c r="S3238" s="10" t="inlineStr"/>
    </row>
    <row r="3239">
      <c r="A3239" s="3" t="inlineStr">
        <is>
          <t>F03813</t>
        </is>
      </c>
      <c r="B3239" s="4" t="inlineStr">
        <is>
          <t>F03813</t>
        </is>
      </c>
      <c r="C3239" s="4" t="inlineStr"/>
      <c r="D3239" s="4" t="inlineStr"/>
      <c r="E3239" s="3" t="inlineStr">
        <is>
          <t>PAINT ROLLER MOHAIR WHITE</t>
        </is>
      </c>
      <c r="F3239" s="4" t="inlineStr"/>
      <c r="G3239" s="4" t="inlineStr"/>
      <c r="H3239" s="4" t="inlineStr"/>
      <c r="I3239" s="5" t="n">
        <v>40</v>
      </c>
      <c r="J3239" s="6" t="n">
        <v>15</v>
      </c>
      <c r="K3239" s="7">
        <f>IF(I3239="","",I3239*(1+J3239/100))</f>
        <v/>
      </c>
      <c r="L3239" s="12" t="inlineStr"/>
      <c r="M3239" s="8">
        <f>IF(OR(L3239="",K3239="",L3239=0),"",
  (L3239-K3239)/L3239*100)</f>
        <v/>
      </c>
      <c r="N3239" s="14" t="n">
        <v>359</v>
      </c>
      <c r="O3239" s="4" t="inlineStr"/>
      <c r="P3239" s="4" t="inlineStr"/>
      <c r="Q3239" s="4" t="inlineStr"/>
      <c r="R3239" s="4" t="inlineStr">
        <is>
          <t>2026-03-12</t>
        </is>
      </c>
      <c r="S3239" s="4" t="inlineStr"/>
    </row>
    <row r="3240">
      <c r="A3240" s="10" t="inlineStr">
        <is>
          <t>F03814</t>
        </is>
      </c>
      <c r="B3240" s="10" t="inlineStr">
        <is>
          <t>F03814</t>
        </is>
      </c>
      <c r="C3240" s="10" t="inlineStr"/>
      <c r="D3240" s="10" t="inlineStr"/>
      <c r="E3240" s="10" t="inlineStr">
        <is>
          <t>PAINT ROLLER MICROFIBRE YELLOW</t>
        </is>
      </c>
      <c r="F3240" s="10" t="inlineStr"/>
      <c r="G3240" s="10" t="inlineStr"/>
      <c r="H3240" s="10" t="inlineStr"/>
      <c r="I3240" s="11" t="n">
        <v>45</v>
      </c>
      <c r="J3240" s="6" t="n">
        <v>15</v>
      </c>
      <c r="K3240" s="7">
        <f>IF(I3240="","",I3240*(1+J3240/100))</f>
        <v/>
      </c>
      <c r="L3240" s="12" t="inlineStr"/>
      <c r="M3240" s="8">
        <f>IF(OR(L3240="",K3240="",L3240=0),"",
  (L3240-K3240)/L3240*100)</f>
        <v/>
      </c>
      <c r="N3240" s="13" t="n">
        <v>2449</v>
      </c>
      <c r="O3240" s="10" t="inlineStr"/>
      <c r="P3240" s="10" t="inlineStr"/>
      <c r="Q3240" s="10" t="inlineStr"/>
      <c r="R3240" s="10" t="inlineStr">
        <is>
          <t>2026-03-12</t>
        </is>
      </c>
      <c r="S3240" s="10" t="inlineStr"/>
    </row>
    <row r="3241">
      <c r="A3241" s="3" t="inlineStr">
        <is>
          <t>F03815</t>
        </is>
      </c>
      <c r="B3241" s="4" t="inlineStr">
        <is>
          <t>F03815</t>
        </is>
      </c>
      <c r="C3241" s="4" t="inlineStr"/>
      <c r="D3241" s="4" t="inlineStr">
        <is>
          <t>6009705656718</t>
        </is>
      </c>
      <c r="E3241" s="3" t="inlineStr">
        <is>
          <t>MARBLE EMBOSD PANEL CRACKLE ROSE 2.7M</t>
        </is>
      </c>
      <c r="F3241" s="4" t="inlineStr"/>
      <c r="G3241" s="4" t="inlineStr"/>
      <c r="H3241" s="4" t="inlineStr"/>
      <c r="I3241" s="5" t="n">
        <v>569</v>
      </c>
      <c r="J3241" s="6" t="n">
        <v>15</v>
      </c>
      <c r="K3241" s="7">
        <f>IF(I3241="","",I3241*(1+J3241/100))</f>
        <v/>
      </c>
      <c r="L3241" s="12" t="inlineStr"/>
      <c r="M3241" s="8">
        <f>IF(OR(L3241="",K3241="",L3241=0),"",
  (L3241-K3241)/L3241*100)</f>
        <v/>
      </c>
      <c r="N3241" s="14" t="n">
        <v>111</v>
      </c>
      <c r="O3241" s="4" t="inlineStr"/>
      <c r="P3241" s="4" t="inlineStr"/>
      <c r="Q3241" s="4" t="inlineStr"/>
      <c r="R3241" s="4" t="inlineStr">
        <is>
          <t>2026-03-12</t>
        </is>
      </c>
      <c r="S3241" s="4" t="inlineStr"/>
    </row>
    <row r="3242">
      <c r="A3242" s="10" t="inlineStr">
        <is>
          <t>F03816</t>
        </is>
      </c>
      <c r="B3242" s="10" t="inlineStr">
        <is>
          <t>F03816</t>
        </is>
      </c>
      <c r="C3242" s="10" t="inlineStr"/>
      <c r="D3242" s="10" t="inlineStr">
        <is>
          <t>6009705656725</t>
        </is>
      </c>
      <c r="E3242" s="10" t="inlineStr">
        <is>
          <t>MARBLE EMBOSD PANEL CRACKLE ANGEL 2.7M</t>
        </is>
      </c>
      <c r="F3242" s="10" t="inlineStr"/>
      <c r="G3242" s="10" t="inlineStr"/>
      <c r="H3242" s="10" t="inlineStr"/>
      <c r="I3242" s="11" t="n">
        <v>569</v>
      </c>
      <c r="J3242" s="6" t="n">
        <v>15</v>
      </c>
      <c r="K3242" s="7">
        <f>IF(I3242="","",I3242*(1+J3242/100))</f>
        <v/>
      </c>
      <c r="L3242" s="12" t="inlineStr"/>
      <c r="M3242" s="8">
        <f>IF(OR(L3242="",K3242="",L3242=0),"",
  (L3242-K3242)/L3242*100)</f>
        <v/>
      </c>
      <c r="N3242" s="13" t="n">
        <v>159</v>
      </c>
      <c r="O3242" s="10" t="inlineStr"/>
      <c r="P3242" s="10" t="inlineStr"/>
      <c r="Q3242" s="10" t="inlineStr"/>
      <c r="R3242" s="10" t="inlineStr">
        <is>
          <t>2026-03-12</t>
        </is>
      </c>
      <c r="S3242" s="10" t="inlineStr"/>
    </row>
    <row r="3243">
      <c r="A3243" s="3" t="inlineStr">
        <is>
          <t>F03817</t>
        </is>
      </c>
      <c r="B3243" s="4" t="inlineStr">
        <is>
          <t>F03817</t>
        </is>
      </c>
      <c r="C3243" s="4" t="inlineStr"/>
      <c r="D3243" s="4" t="inlineStr">
        <is>
          <t>6009705656732</t>
        </is>
      </c>
      <c r="E3243" s="3" t="inlineStr">
        <is>
          <t>MARBLE EMBOSD PANEL CRACKLE BLANCO 2.7</t>
        </is>
      </c>
      <c r="F3243" s="4" t="inlineStr"/>
      <c r="G3243" s="4" t="inlineStr"/>
      <c r="H3243" s="4" t="inlineStr"/>
      <c r="I3243" s="5" t="n">
        <v>569</v>
      </c>
      <c r="J3243" s="6" t="n">
        <v>15</v>
      </c>
      <c r="K3243" s="7">
        <f>IF(I3243="","",I3243*(1+J3243/100))</f>
        <v/>
      </c>
      <c r="L3243" s="12" t="inlineStr"/>
      <c r="M3243" s="8">
        <f>IF(OR(L3243="",K3243="",L3243=0),"",
  (L3243-K3243)/L3243*100)</f>
        <v/>
      </c>
      <c r="N3243" s="14" t="n">
        <v>106</v>
      </c>
      <c r="O3243" s="4" t="inlineStr"/>
      <c r="P3243" s="4" t="inlineStr"/>
      <c r="Q3243" s="4" t="inlineStr"/>
      <c r="R3243" s="4" t="inlineStr">
        <is>
          <t>2026-03-12</t>
        </is>
      </c>
      <c r="S3243" s="4" t="inlineStr"/>
    </row>
    <row r="3244">
      <c r="A3244" s="10" t="inlineStr">
        <is>
          <t>F03818</t>
        </is>
      </c>
      <c r="B3244" s="10" t="inlineStr">
        <is>
          <t>F03818</t>
        </is>
      </c>
      <c r="C3244" s="10" t="inlineStr"/>
      <c r="D3244" s="10" t="inlineStr">
        <is>
          <t>6009705656749</t>
        </is>
      </c>
      <c r="E3244" s="10" t="inlineStr">
        <is>
          <t>MARBLE EMBOSD PANEL CRACKLE SWISS 2.7M</t>
        </is>
      </c>
      <c r="F3244" s="10" t="inlineStr"/>
      <c r="G3244" s="10" t="inlineStr"/>
      <c r="H3244" s="10" t="inlineStr"/>
      <c r="I3244" s="11" t="n">
        <v>569</v>
      </c>
      <c r="J3244" s="6" t="n">
        <v>15</v>
      </c>
      <c r="K3244" s="7">
        <f>IF(I3244="","",I3244*(1+J3244/100))</f>
        <v/>
      </c>
      <c r="L3244" s="12" t="inlineStr"/>
      <c r="M3244" s="8">
        <f>IF(OR(L3244="",K3244="",L3244=0),"",
  (L3244-K3244)/L3244*100)</f>
        <v/>
      </c>
      <c r="N3244" s="13" t="n">
        <v>79</v>
      </c>
      <c r="O3244" s="10" t="inlineStr"/>
      <c r="P3244" s="10" t="inlineStr"/>
      <c r="Q3244" s="10" t="inlineStr"/>
      <c r="R3244" s="10" t="inlineStr">
        <is>
          <t>2026-03-12</t>
        </is>
      </c>
      <c r="S3244" s="10" t="inlineStr"/>
    </row>
    <row r="3245">
      <c r="A3245" s="3" t="inlineStr">
        <is>
          <t>F03819</t>
        </is>
      </c>
      <c r="B3245" s="4" t="inlineStr">
        <is>
          <t>F03819</t>
        </is>
      </c>
      <c r="C3245" s="4" t="inlineStr"/>
      <c r="D3245" s="4" t="inlineStr">
        <is>
          <t>6009705656756</t>
        </is>
      </c>
      <c r="E3245" s="3" t="inlineStr">
        <is>
          <t>MARBLE EMBOSD PANEL LINEAR SMOKE2.7M</t>
        </is>
      </c>
      <c r="F3245" s="4" t="inlineStr"/>
      <c r="G3245" s="4" t="inlineStr"/>
      <c r="H3245" s="4" t="inlineStr"/>
      <c r="I3245" s="5" t="n">
        <v>569</v>
      </c>
      <c r="J3245" s="6" t="n">
        <v>15</v>
      </c>
      <c r="K3245" s="7">
        <f>IF(I3245="","",I3245*(1+J3245/100))</f>
        <v/>
      </c>
      <c r="L3245" s="12" t="inlineStr"/>
      <c r="M3245" s="8">
        <f>IF(OR(L3245="",K3245="",L3245=0),"",
  (L3245-K3245)/L3245*100)</f>
        <v/>
      </c>
      <c r="N3245" s="14" t="n">
        <v>162</v>
      </c>
      <c r="O3245" s="4" t="inlineStr"/>
      <c r="P3245" s="4" t="inlineStr"/>
      <c r="Q3245" s="4" t="inlineStr"/>
      <c r="R3245" s="4" t="inlineStr">
        <is>
          <t>2026-03-12</t>
        </is>
      </c>
      <c r="S3245" s="4" t="inlineStr"/>
    </row>
    <row r="3246">
      <c r="A3246" s="10" t="inlineStr">
        <is>
          <t>F03820</t>
        </is>
      </c>
      <c r="B3246" s="10" t="inlineStr">
        <is>
          <t>F03820</t>
        </is>
      </c>
      <c r="C3246" s="10" t="inlineStr"/>
      <c r="D3246" s="10" t="inlineStr">
        <is>
          <t>6009705656763</t>
        </is>
      </c>
      <c r="E3246" s="10" t="inlineStr">
        <is>
          <t>MARBLE EMBOSD PANEL LINEAR CHOC 2.7M</t>
        </is>
      </c>
      <c r="F3246" s="10" t="inlineStr"/>
      <c r="G3246" s="10" t="inlineStr"/>
      <c r="H3246" s="10" t="inlineStr"/>
      <c r="I3246" s="11" t="n">
        <v>569</v>
      </c>
      <c r="J3246" s="6" t="n">
        <v>15</v>
      </c>
      <c r="K3246" s="7">
        <f>IF(I3246="","",I3246*(1+J3246/100))</f>
        <v/>
      </c>
      <c r="L3246" s="12" t="inlineStr"/>
      <c r="M3246" s="8">
        <f>IF(OR(L3246="",K3246="",L3246=0),"",
  (L3246-K3246)/L3246*100)</f>
        <v/>
      </c>
      <c r="N3246" s="13" t="n">
        <v>154</v>
      </c>
      <c r="O3246" s="10" t="inlineStr"/>
      <c r="P3246" s="10" t="inlineStr"/>
      <c r="Q3246" s="10" t="inlineStr"/>
      <c r="R3246" s="10" t="inlineStr">
        <is>
          <t>2026-03-12</t>
        </is>
      </c>
      <c r="S3246" s="10" t="inlineStr"/>
    </row>
    <row r="3247">
      <c r="A3247" s="3" t="inlineStr">
        <is>
          <t>F03821</t>
        </is>
      </c>
      <c r="B3247" s="4" t="inlineStr">
        <is>
          <t>F03821</t>
        </is>
      </c>
      <c r="C3247" s="4" t="inlineStr"/>
      <c r="D3247" s="4" t="inlineStr">
        <is>
          <t>6009705656770</t>
        </is>
      </c>
      <c r="E3247" s="3" t="inlineStr">
        <is>
          <t>MARBLE EMBOSD PANEL LINEAR ROSE 2.7M</t>
        </is>
      </c>
      <c r="F3247" s="4" t="inlineStr"/>
      <c r="G3247" s="4" t="inlineStr"/>
      <c r="H3247" s="4" t="inlineStr"/>
      <c r="I3247" s="5" t="n">
        <v>659</v>
      </c>
      <c r="J3247" s="6" t="n">
        <v>15</v>
      </c>
      <c r="K3247" s="7">
        <f>IF(I3247="","",I3247*(1+J3247/100))</f>
        <v/>
      </c>
      <c r="L3247" s="12" t="inlineStr"/>
      <c r="M3247" s="8">
        <f>IF(OR(L3247="",K3247="",L3247=0),"",
  (L3247-K3247)/L3247*100)</f>
        <v/>
      </c>
      <c r="N3247" s="14" t="n">
        <v>150</v>
      </c>
      <c r="O3247" s="4" t="inlineStr"/>
      <c r="P3247" s="4" t="inlineStr"/>
      <c r="Q3247" s="4" t="inlineStr"/>
      <c r="R3247" s="4" t="inlineStr">
        <is>
          <t>2026-03-12</t>
        </is>
      </c>
      <c r="S3247" s="4" t="inlineStr"/>
    </row>
    <row r="3248">
      <c r="A3248" s="10" t="inlineStr">
        <is>
          <t>F03822</t>
        </is>
      </c>
      <c r="B3248" s="10" t="inlineStr">
        <is>
          <t>F03822</t>
        </is>
      </c>
      <c r="C3248" s="10" t="inlineStr"/>
      <c r="D3248" s="10" t="inlineStr">
        <is>
          <t>6009705656787</t>
        </is>
      </c>
      <c r="E3248" s="10" t="inlineStr">
        <is>
          <t>MARBLE EMBOSD PANEL LINEAR SILVER 2.7M</t>
        </is>
      </c>
      <c r="F3248" s="10" t="inlineStr"/>
      <c r="G3248" s="10" t="inlineStr"/>
      <c r="H3248" s="10" t="inlineStr"/>
      <c r="I3248" s="11" t="n">
        <v>659</v>
      </c>
      <c r="J3248" s="6" t="n">
        <v>15</v>
      </c>
      <c r="K3248" s="7">
        <f>IF(I3248="","",I3248*(1+J3248/100))</f>
        <v/>
      </c>
      <c r="L3248" s="12" t="inlineStr"/>
      <c r="M3248" s="8">
        <f>IF(OR(L3248="",K3248="",L3248=0),"",
  (L3248-K3248)/L3248*100)</f>
        <v/>
      </c>
      <c r="N3248" s="13" t="n">
        <v>145</v>
      </c>
      <c r="O3248" s="10" t="inlineStr"/>
      <c r="P3248" s="10" t="inlineStr"/>
      <c r="Q3248" s="10" t="inlineStr"/>
      <c r="R3248" s="10" t="inlineStr">
        <is>
          <t>2026-03-12</t>
        </is>
      </c>
      <c r="S3248" s="10" t="inlineStr"/>
    </row>
    <row r="3249">
      <c r="A3249" s="3" t="inlineStr">
        <is>
          <t>F03823</t>
        </is>
      </c>
      <c r="B3249" s="4" t="inlineStr">
        <is>
          <t>F03823</t>
        </is>
      </c>
      <c r="C3249" s="4" t="inlineStr"/>
      <c r="D3249" s="4" t="inlineStr">
        <is>
          <t>6009705656794</t>
        </is>
      </c>
      <c r="E3249" s="3" t="inlineStr">
        <is>
          <t>MARBLE EMBOSD PANEL LINEAR FANTASY2.7M</t>
        </is>
      </c>
      <c r="F3249" s="4" t="inlineStr"/>
      <c r="G3249" s="4" t="inlineStr"/>
      <c r="H3249" s="4" t="inlineStr"/>
      <c r="I3249" s="5" t="n">
        <v>569</v>
      </c>
      <c r="J3249" s="6" t="n">
        <v>15</v>
      </c>
      <c r="K3249" s="7">
        <f>IF(I3249="","",I3249*(1+J3249/100))</f>
        <v/>
      </c>
      <c r="L3249" s="12" t="inlineStr"/>
      <c r="M3249" s="8">
        <f>IF(OR(L3249="",K3249="",L3249=0),"",
  (L3249-K3249)/L3249*100)</f>
        <v/>
      </c>
      <c r="N3249" s="14" t="n">
        <v>174</v>
      </c>
      <c r="O3249" s="4" t="inlineStr"/>
      <c r="P3249" s="4" t="inlineStr"/>
      <c r="Q3249" s="4" t="inlineStr"/>
      <c r="R3249" s="4" t="inlineStr">
        <is>
          <t>2026-03-12</t>
        </is>
      </c>
      <c r="S3249" s="4" t="inlineStr"/>
    </row>
    <row r="3250">
      <c r="A3250" s="10" t="inlineStr">
        <is>
          <t>F03824</t>
        </is>
      </c>
      <c r="B3250" s="10" t="inlineStr">
        <is>
          <t>F03824</t>
        </is>
      </c>
      <c r="C3250" s="10" t="inlineStr"/>
      <c r="D3250" s="10" t="inlineStr">
        <is>
          <t>6009705656800</t>
        </is>
      </c>
      <c r="E3250" s="10" t="inlineStr">
        <is>
          <t>MARBLE EMBOSD PANEL LINEAR 3D 2.7M</t>
        </is>
      </c>
      <c r="F3250" s="10" t="inlineStr"/>
      <c r="G3250" s="10" t="inlineStr"/>
      <c r="H3250" s="10" t="inlineStr"/>
      <c r="I3250" s="11" t="n">
        <v>569</v>
      </c>
      <c r="J3250" s="6" t="n">
        <v>15</v>
      </c>
      <c r="K3250" s="7">
        <f>IF(I3250="","",I3250*(1+J3250/100))</f>
        <v/>
      </c>
      <c r="L3250" s="12" t="inlineStr"/>
      <c r="M3250" s="8">
        <f>IF(OR(L3250="",K3250="",L3250=0),"",
  (L3250-K3250)/L3250*100)</f>
        <v/>
      </c>
      <c r="N3250" s="13" t="n">
        <v>156</v>
      </c>
      <c r="O3250" s="10" t="inlineStr"/>
      <c r="P3250" s="10" t="inlineStr"/>
      <c r="Q3250" s="10" t="inlineStr"/>
      <c r="R3250" s="10" t="inlineStr">
        <is>
          <t>2026-03-12</t>
        </is>
      </c>
      <c r="S3250" s="10" t="inlineStr"/>
    </row>
    <row r="3251">
      <c r="A3251" s="3" t="inlineStr">
        <is>
          <t>F03825</t>
        </is>
      </c>
      <c r="B3251" s="4" t="inlineStr">
        <is>
          <t>F03825</t>
        </is>
      </c>
      <c r="C3251" s="4" t="inlineStr"/>
      <c r="D3251" s="4" t="inlineStr">
        <is>
          <t>6009705656817</t>
        </is>
      </c>
      <c r="E3251" s="3" t="inlineStr">
        <is>
          <t>MARBLE EMBOSD PANEL LINEAR CALCUTTA2.7</t>
        </is>
      </c>
      <c r="F3251" s="4" t="inlineStr"/>
      <c r="G3251" s="4" t="inlineStr"/>
      <c r="H3251" s="4" t="inlineStr"/>
      <c r="I3251" s="5" t="n">
        <v>569</v>
      </c>
      <c r="J3251" s="6" t="n">
        <v>15</v>
      </c>
      <c r="K3251" s="7">
        <f>IF(I3251="","",I3251*(1+J3251/100))</f>
        <v/>
      </c>
      <c r="L3251" s="12" t="inlineStr"/>
      <c r="M3251" s="8">
        <f>IF(OR(L3251="",K3251="",L3251=0),"",
  (L3251-K3251)/L3251*100)</f>
        <v/>
      </c>
      <c r="N3251" s="14" t="n">
        <v>149</v>
      </c>
      <c r="O3251" s="4" t="inlineStr"/>
      <c r="P3251" s="4" t="inlineStr"/>
      <c r="Q3251" s="4" t="inlineStr"/>
      <c r="R3251" s="4" t="inlineStr">
        <is>
          <t>2026-03-12</t>
        </is>
      </c>
      <c r="S3251" s="4" t="inlineStr"/>
    </row>
    <row r="3252">
      <c r="A3252" s="10" t="inlineStr">
        <is>
          <t>F03826</t>
        </is>
      </c>
      <c r="B3252" s="10" t="inlineStr">
        <is>
          <t>F03826</t>
        </is>
      </c>
      <c r="C3252" s="10" t="inlineStr"/>
      <c r="D3252" s="10" t="inlineStr"/>
      <c r="E3252" s="10" t="inlineStr">
        <is>
          <t>CORNICE T-SERIE T22WS WHT SILVE (2M)(4S)</t>
        </is>
      </c>
      <c r="F3252" s="10" t="inlineStr"/>
      <c r="G3252" s="10" t="inlineStr"/>
      <c r="H3252" s="10" t="inlineStr"/>
      <c r="I3252" s="11" t="n">
        <v>65.36</v>
      </c>
      <c r="J3252" s="6" t="n">
        <v>15</v>
      </c>
      <c r="K3252" s="7">
        <f>IF(I3252="","",I3252*(1+J3252/100))</f>
        <v/>
      </c>
      <c r="L3252" s="12" t="inlineStr"/>
      <c r="M3252" s="8">
        <f>IF(OR(L3252="",K3252="",L3252=0),"",
  (L3252-K3252)/L3252*100)</f>
        <v/>
      </c>
      <c r="N3252" s="9" t="inlineStr"/>
      <c r="O3252" s="10" t="inlineStr"/>
      <c r="P3252" s="10" t="inlineStr"/>
      <c r="Q3252" s="10" t="inlineStr"/>
      <c r="R3252" s="10" t="inlineStr">
        <is>
          <t>2026-03-12</t>
        </is>
      </c>
      <c r="S3252" s="10" t="inlineStr"/>
    </row>
    <row r="3253">
      <c r="A3253" s="3" t="inlineStr">
        <is>
          <t>F03827</t>
        </is>
      </c>
      <c r="B3253" s="4" t="inlineStr">
        <is>
          <t>F03827</t>
        </is>
      </c>
      <c r="C3253" s="4" t="inlineStr"/>
      <c r="D3253" s="4" t="inlineStr"/>
      <c r="E3253" s="3" t="inlineStr">
        <is>
          <t>CORNICE T-SERIE T25WS WHT SILVE (2M)(4S)</t>
        </is>
      </c>
      <c r="F3253" s="4" t="inlineStr"/>
      <c r="G3253" s="4" t="inlineStr"/>
      <c r="H3253" s="4" t="inlineStr"/>
      <c r="I3253" s="5" t="n">
        <v>65.36</v>
      </c>
      <c r="J3253" s="6" t="n">
        <v>15</v>
      </c>
      <c r="K3253" s="7">
        <f>IF(I3253="","",I3253*(1+J3253/100))</f>
        <v/>
      </c>
      <c r="L3253" s="12" t="inlineStr"/>
      <c r="M3253" s="8">
        <f>IF(OR(L3253="",K3253="",L3253=0),"",
  (L3253-K3253)/L3253*100)</f>
        <v/>
      </c>
      <c r="N3253" s="9" t="inlineStr"/>
      <c r="O3253" s="4" t="inlineStr"/>
      <c r="P3253" s="4" t="inlineStr"/>
      <c r="Q3253" s="4" t="inlineStr"/>
      <c r="R3253" s="4" t="inlineStr">
        <is>
          <t>2026-03-12</t>
        </is>
      </c>
      <c r="S3253" s="4" t="inlineStr"/>
    </row>
    <row r="3254">
      <c r="A3254" s="10" t="inlineStr">
        <is>
          <t>F03828</t>
        </is>
      </c>
      <c r="B3254" s="10" t="inlineStr">
        <is>
          <t>F03828</t>
        </is>
      </c>
      <c r="C3254" s="10" t="inlineStr"/>
      <c r="D3254" s="10" t="inlineStr"/>
      <c r="E3254" s="10" t="inlineStr">
        <is>
          <t>CORNICE EPS B02 WHITE SILVER 2MX110MM</t>
        </is>
      </c>
      <c r="F3254" s="10" t="inlineStr"/>
      <c r="G3254" s="10" t="inlineStr"/>
      <c r="H3254" s="10" t="inlineStr"/>
      <c r="I3254" s="11" t="n">
        <v>26.95</v>
      </c>
      <c r="J3254" s="6" t="n">
        <v>15</v>
      </c>
      <c r="K3254" s="7">
        <f>IF(I3254="","",I3254*(1+J3254/100))</f>
        <v/>
      </c>
      <c r="L3254" s="12" t="inlineStr"/>
      <c r="M3254" s="8">
        <f>IF(OR(L3254="",K3254="",L3254=0),"",
  (L3254-K3254)/L3254*100)</f>
        <v/>
      </c>
      <c r="N3254" s="9" t="inlineStr"/>
      <c r="O3254" s="10" t="inlineStr"/>
      <c r="P3254" s="10" t="inlineStr"/>
      <c r="Q3254" s="10" t="inlineStr"/>
      <c r="R3254" s="10" t="inlineStr">
        <is>
          <t>2026-03-12</t>
        </is>
      </c>
      <c r="S3254" s="10" t="inlineStr"/>
    </row>
    <row r="3255">
      <c r="A3255" s="3" t="inlineStr">
        <is>
          <t>F03829</t>
        </is>
      </c>
      <c r="B3255" s="4" t="inlineStr">
        <is>
          <t>F03829</t>
        </is>
      </c>
      <c r="C3255" s="4" t="inlineStr"/>
      <c r="D3255" s="4" t="inlineStr"/>
      <c r="E3255" s="3" t="inlineStr">
        <is>
          <t>CORNICE EPS B04 WHITE SILVER 2MX110MM</t>
        </is>
      </c>
      <c r="F3255" s="4" t="inlineStr"/>
      <c r="G3255" s="4" t="inlineStr"/>
      <c r="H3255" s="4" t="inlineStr"/>
      <c r="I3255" s="5" t="n">
        <v>26.95</v>
      </c>
      <c r="J3255" s="6" t="n">
        <v>15</v>
      </c>
      <c r="K3255" s="7">
        <f>IF(I3255="","",I3255*(1+J3255/100))</f>
        <v/>
      </c>
      <c r="L3255" s="12" t="inlineStr"/>
      <c r="M3255" s="8">
        <f>IF(OR(L3255="",K3255="",L3255=0),"",
  (L3255-K3255)/L3255*100)</f>
        <v/>
      </c>
      <c r="N3255" s="9" t="inlineStr"/>
      <c r="O3255" s="4" t="inlineStr"/>
      <c r="P3255" s="4" t="inlineStr"/>
      <c r="Q3255" s="4" t="inlineStr"/>
      <c r="R3255" s="4" t="inlineStr">
        <is>
          <t>2026-03-12</t>
        </is>
      </c>
      <c r="S3255" s="4" t="inlineStr"/>
    </row>
    <row r="3256">
      <c r="A3256" s="10" t="inlineStr">
        <is>
          <t>F03830</t>
        </is>
      </c>
      <c r="B3256" s="10" t="inlineStr">
        <is>
          <t>F03830</t>
        </is>
      </c>
      <c r="C3256" s="10" t="inlineStr"/>
      <c r="D3256" s="10" t="inlineStr"/>
      <c r="E3256" s="10" t="inlineStr">
        <is>
          <t>CORNICE EPS B02 WHITE GOLD 2MX110MM</t>
        </is>
      </c>
      <c r="F3256" s="10" t="inlineStr"/>
      <c r="G3256" s="10" t="inlineStr"/>
      <c r="H3256" s="10" t="inlineStr"/>
      <c r="I3256" s="11" t="n">
        <v>26.95</v>
      </c>
      <c r="J3256" s="6" t="n">
        <v>15</v>
      </c>
      <c r="K3256" s="7">
        <f>IF(I3256="","",I3256*(1+J3256/100))</f>
        <v/>
      </c>
      <c r="L3256" s="12" t="inlineStr"/>
      <c r="M3256" s="8">
        <f>IF(OR(L3256="",K3256="",L3256=0),"",
  (L3256-K3256)/L3256*100)</f>
        <v/>
      </c>
      <c r="N3256" s="9" t="inlineStr"/>
      <c r="O3256" s="10" t="inlineStr"/>
      <c r="P3256" s="10" t="inlineStr"/>
      <c r="Q3256" s="10" t="inlineStr"/>
      <c r="R3256" s="10" t="inlineStr">
        <is>
          <t>2026-03-12</t>
        </is>
      </c>
      <c r="S3256" s="10" t="inlineStr"/>
    </row>
    <row r="3257">
      <c r="A3257" s="3" t="inlineStr">
        <is>
          <t>F03831</t>
        </is>
      </c>
      <c r="B3257" s="4" t="inlineStr">
        <is>
          <t>F03831</t>
        </is>
      </c>
      <c r="C3257" s="4" t="inlineStr"/>
      <c r="D3257" s="4" t="inlineStr"/>
      <c r="E3257" s="3" t="inlineStr">
        <is>
          <t>CORNICE EPS B04 WHITE GOLD 2MX110MM</t>
        </is>
      </c>
      <c r="F3257" s="4" t="inlineStr"/>
      <c r="G3257" s="4" t="inlineStr"/>
      <c r="H3257" s="4" t="inlineStr"/>
      <c r="I3257" s="5" t="n">
        <v>26.95</v>
      </c>
      <c r="J3257" s="6" t="n">
        <v>15</v>
      </c>
      <c r="K3257" s="7">
        <f>IF(I3257="","",I3257*(1+J3257/100))</f>
        <v/>
      </c>
      <c r="L3257" s="12" t="inlineStr"/>
      <c r="M3257" s="8">
        <f>IF(OR(L3257="",K3257="",L3257=0),"",
  (L3257-K3257)/L3257*100)</f>
        <v/>
      </c>
      <c r="N3257" s="9" t="inlineStr"/>
      <c r="O3257" s="4" t="inlineStr"/>
      <c r="P3257" s="4" t="inlineStr"/>
      <c r="Q3257" s="4" t="inlineStr"/>
      <c r="R3257" s="4" t="inlineStr">
        <is>
          <t>2026-03-12</t>
        </is>
      </c>
      <c r="S3257" s="4" t="inlineStr"/>
    </row>
    <row r="3258">
      <c r="A3258" s="10" t="inlineStr">
        <is>
          <t>F03832</t>
        </is>
      </c>
      <c r="B3258" s="10" t="inlineStr">
        <is>
          <t>F03832</t>
        </is>
      </c>
      <c r="C3258" s="10" t="inlineStr"/>
      <c r="D3258" s="10" t="inlineStr"/>
      <c r="E3258" s="10" t="inlineStr">
        <is>
          <t>CORNICE EPS B01 WHITE  2MX110MM</t>
        </is>
      </c>
      <c r="F3258" s="10" t="inlineStr"/>
      <c r="G3258" s="10" t="inlineStr"/>
      <c r="H3258" s="10" t="inlineStr"/>
      <c r="I3258" s="11" t="n">
        <v>19.95</v>
      </c>
      <c r="J3258" s="6" t="n">
        <v>15</v>
      </c>
      <c r="K3258" s="7">
        <f>IF(I3258="","",I3258*(1+J3258/100))</f>
        <v/>
      </c>
      <c r="L3258" s="12" t="inlineStr"/>
      <c r="M3258" s="8">
        <f>IF(OR(L3258="",K3258="",L3258=0),"",
  (L3258-K3258)/L3258*100)</f>
        <v/>
      </c>
      <c r="N3258" s="9" t="inlineStr"/>
      <c r="O3258" s="10" t="inlineStr"/>
      <c r="P3258" s="10" t="inlineStr"/>
      <c r="Q3258" s="10" t="inlineStr"/>
      <c r="R3258" s="10" t="inlineStr">
        <is>
          <t>2026-03-12</t>
        </is>
      </c>
      <c r="S3258" s="10" t="inlineStr"/>
    </row>
    <row r="3259">
      <c r="A3259" s="3" t="inlineStr">
        <is>
          <t>F03833</t>
        </is>
      </c>
      <c r="B3259" s="4" t="inlineStr">
        <is>
          <t>F03833</t>
        </is>
      </c>
      <c r="C3259" s="4" t="inlineStr"/>
      <c r="D3259" s="4" t="inlineStr"/>
      <c r="E3259" s="3" t="inlineStr">
        <is>
          <t>CORNICE EPS B02 WHITE  2MX110MM</t>
        </is>
      </c>
      <c r="F3259" s="4" t="inlineStr"/>
      <c r="G3259" s="4" t="inlineStr"/>
      <c r="H3259" s="4" t="inlineStr"/>
      <c r="I3259" s="5" t="n">
        <v>19.95</v>
      </c>
      <c r="J3259" s="6" t="n">
        <v>15</v>
      </c>
      <c r="K3259" s="7">
        <f>IF(I3259="","",I3259*(1+J3259/100))</f>
        <v/>
      </c>
      <c r="L3259" s="12" t="inlineStr"/>
      <c r="M3259" s="8">
        <f>IF(OR(L3259="",K3259="",L3259=0),"",
  (L3259-K3259)/L3259*100)</f>
        <v/>
      </c>
      <c r="N3259" s="14" t="n">
        <v>160</v>
      </c>
      <c r="O3259" s="4" t="inlineStr"/>
      <c r="P3259" s="4" t="inlineStr"/>
      <c r="Q3259" s="4" t="inlineStr"/>
      <c r="R3259" s="4" t="inlineStr">
        <is>
          <t>2026-03-12</t>
        </is>
      </c>
      <c r="S3259" s="4" t="inlineStr"/>
    </row>
    <row r="3260">
      <c r="A3260" s="10" t="inlineStr">
        <is>
          <t>F03834</t>
        </is>
      </c>
      <c r="B3260" s="10" t="inlineStr">
        <is>
          <t>F03834</t>
        </is>
      </c>
      <c r="C3260" s="10" t="inlineStr"/>
      <c r="D3260" s="10" t="inlineStr"/>
      <c r="E3260" s="10" t="inlineStr">
        <is>
          <t>CORNICE EPS B03 WHITE  2MX110MM</t>
        </is>
      </c>
      <c r="F3260" s="10" t="inlineStr"/>
      <c r="G3260" s="10" t="inlineStr"/>
      <c r="H3260" s="10" t="inlineStr"/>
      <c r="I3260" s="11" t="n">
        <v>19.95</v>
      </c>
      <c r="J3260" s="6" t="n">
        <v>15</v>
      </c>
      <c r="K3260" s="7">
        <f>IF(I3260="","",I3260*(1+J3260/100))</f>
        <v/>
      </c>
      <c r="L3260" s="12" t="inlineStr"/>
      <c r="M3260" s="8">
        <f>IF(OR(L3260="",K3260="",L3260=0),"",
  (L3260-K3260)/L3260*100)</f>
        <v/>
      </c>
      <c r="N3260" s="9" t="inlineStr"/>
      <c r="O3260" s="10" t="inlineStr"/>
      <c r="P3260" s="10" t="inlineStr"/>
      <c r="Q3260" s="10" t="inlineStr"/>
      <c r="R3260" s="10" t="inlineStr">
        <is>
          <t>2026-03-12</t>
        </is>
      </c>
      <c r="S3260" s="10" t="inlineStr"/>
    </row>
    <row r="3261">
      <c r="A3261" s="3" t="inlineStr">
        <is>
          <t>F03835</t>
        </is>
      </c>
      <c r="B3261" s="4" t="inlineStr">
        <is>
          <t>F03835</t>
        </is>
      </c>
      <c r="C3261" s="4" t="inlineStr"/>
      <c r="D3261" s="4" t="inlineStr"/>
      <c r="E3261" s="3" t="inlineStr">
        <is>
          <t>CORNICE EPS B05 WHITE  2MX110MM</t>
        </is>
      </c>
      <c r="F3261" s="4" t="inlineStr"/>
      <c r="G3261" s="4" t="inlineStr"/>
      <c r="H3261" s="4" t="inlineStr"/>
      <c r="I3261" s="5" t="n">
        <v>19.95</v>
      </c>
      <c r="J3261" s="6" t="n">
        <v>15</v>
      </c>
      <c r="K3261" s="7">
        <f>IF(I3261="","",I3261*(1+J3261/100))</f>
        <v/>
      </c>
      <c r="L3261" s="12" t="inlineStr"/>
      <c r="M3261" s="8">
        <f>IF(OR(L3261="",K3261="",L3261=0),"",
  (L3261-K3261)/L3261*100)</f>
        <v/>
      </c>
      <c r="N3261" s="9" t="inlineStr"/>
      <c r="O3261" s="4" t="inlineStr"/>
      <c r="P3261" s="4" t="inlineStr"/>
      <c r="Q3261" s="4" t="inlineStr"/>
      <c r="R3261" s="4" t="inlineStr">
        <is>
          <t>2026-03-12</t>
        </is>
      </c>
      <c r="S3261" s="4" t="inlineStr"/>
    </row>
    <row r="3262">
      <c r="A3262" s="10" t="inlineStr">
        <is>
          <t>F03836</t>
        </is>
      </c>
      <c r="B3262" s="10" t="inlineStr">
        <is>
          <t>F03836</t>
        </is>
      </c>
      <c r="C3262" s="10" t="inlineStr"/>
      <c r="D3262" s="10" t="inlineStr"/>
      <c r="E3262" s="10" t="inlineStr">
        <is>
          <t>CORNICE EPS B06 WHITE  2MX110MM</t>
        </is>
      </c>
      <c r="F3262" s="10" t="inlineStr"/>
      <c r="G3262" s="10" t="inlineStr"/>
      <c r="H3262" s="10" t="inlineStr"/>
      <c r="I3262" s="11" t="n">
        <v>19.95</v>
      </c>
      <c r="J3262" s="6" t="n">
        <v>15</v>
      </c>
      <c r="K3262" s="7">
        <f>IF(I3262="","",I3262*(1+J3262/100))</f>
        <v/>
      </c>
      <c r="L3262" s="12" t="inlineStr"/>
      <c r="M3262" s="8">
        <f>IF(OR(L3262="",K3262="",L3262=0),"",
  (L3262-K3262)/L3262*100)</f>
        <v/>
      </c>
      <c r="N3262" s="9" t="inlineStr"/>
      <c r="O3262" s="10" t="inlineStr"/>
      <c r="P3262" s="10" t="inlineStr"/>
      <c r="Q3262" s="10" t="inlineStr"/>
      <c r="R3262" s="10" t="inlineStr">
        <is>
          <t>2026-03-12</t>
        </is>
      </c>
      <c r="S3262" s="10" t="inlineStr"/>
    </row>
    <row r="3263">
      <c r="A3263" s="3" t="inlineStr">
        <is>
          <t>F03837</t>
        </is>
      </c>
      <c r="B3263" s="4" t="inlineStr">
        <is>
          <t>F03837</t>
        </is>
      </c>
      <c r="C3263" s="4" t="inlineStr"/>
      <c r="D3263" s="4" t="inlineStr"/>
      <c r="E3263" s="3" t="inlineStr">
        <is>
          <t>CORNICE EPS B07 WHITE  2MX110MM</t>
        </is>
      </c>
      <c r="F3263" s="4" t="inlineStr"/>
      <c r="G3263" s="4" t="inlineStr"/>
      <c r="H3263" s="4" t="inlineStr"/>
      <c r="I3263" s="5" t="n">
        <v>19.95</v>
      </c>
      <c r="J3263" s="6" t="n">
        <v>15</v>
      </c>
      <c r="K3263" s="7">
        <f>IF(I3263="","",I3263*(1+J3263/100))</f>
        <v/>
      </c>
      <c r="L3263" s="12" t="inlineStr"/>
      <c r="M3263" s="8">
        <f>IF(OR(L3263="",K3263="",L3263=0),"",
  (L3263-K3263)/L3263*100)</f>
        <v/>
      </c>
      <c r="N3263" s="9" t="inlineStr"/>
      <c r="O3263" s="4" t="inlineStr"/>
      <c r="P3263" s="4" t="inlineStr"/>
      <c r="Q3263" s="4" t="inlineStr"/>
      <c r="R3263" s="4" t="inlineStr">
        <is>
          <t>2026-03-12</t>
        </is>
      </c>
      <c r="S3263" s="4" t="inlineStr"/>
    </row>
    <row r="3264">
      <c r="A3264" s="10" t="inlineStr">
        <is>
          <t>F03838</t>
        </is>
      </c>
      <c r="B3264" s="10" t="inlineStr">
        <is>
          <t>F03838</t>
        </is>
      </c>
      <c r="C3264" s="10" t="inlineStr"/>
      <c r="D3264" s="10" t="inlineStr"/>
      <c r="E3264" s="10" t="inlineStr">
        <is>
          <t>CORNICE EPS B12  WHITE  2MX110MM</t>
        </is>
      </c>
      <c r="F3264" s="10" t="inlineStr"/>
      <c r="G3264" s="10" t="inlineStr"/>
      <c r="H3264" s="10" t="inlineStr"/>
      <c r="I3264" s="11" t="n">
        <v>19.95</v>
      </c>
      <c r="J3264" s="6" t="n">
        <v>15</v>
      </c>
      <c r="K3264" s="7">
        <f>IF(I3264="","",I3264*(1+J3264/100))</f>
        <v/>
      </c>
      <c r="L3264" s="12" t="inlineStr"/>
      <c r="M3264" s="8">
        <f>IF(OR(L3264="",K3264="",L3264=0),"",
  (L3264-K3264)/L3264*100)</f>
        <v/>
      </c>
      <c r="N3264" s="13" t="n">
        <v>384</v>
      </c>
      <c r="O3264" s="10" t="inlineStr"/>
      <c r="P3264" s="10" t="inlineStr"/>
      <c r="Q3264" s="10" t="inlineStr"/>
      <c r="R3264" s="10" t="inlineStr">
        <is>
          <t>2026-03-12</t>
        </is>
      </c>
      <c r="S3264" s="10" t="inlineStr"/>
    </row>
    <row r="3265">
      <c r="A3265" s="3" t="inlineStr">
        <is>
          <t>F03839</t>
        </is>
      </c>
      <c r="B3265" s="4" t="inlineStr">
        <is>
          <t>F03839</t>
        </is>
      </c>
      <c r="C3265" s="4" t="inlineStr"/>
      <c r="D3265" s="4" t="inlineStr"/>
      <c r="E3265" s="3" t="inlineStr">
        <is>
          <t>CORNICE EPS B08 WHITE  2MX110MM</t>
        </is>
      </c>
      <c r="F3265" s="4" t="inlineStr"/>
      <c r="G3265" s="4" t="inlineStr"/>
      <c r="H3265" s="4" t="inlineStr"/>
      <c r="I3265" s="5" t="n">
        <v>19.95</v>
      </c>
      <c r="J3265" s="6" t="n">
        <v>15</v>
      </c>
      <c r="K3265" s="7">
        <f>IF(I3265="","",I3265*(1+J3265/100))</f>
        <v/>
      </c>
      <c r="L3265" s="12" t="inlineStr"/>
      <c r="M3265" s="8">
        <f>IF(OR(L3265="",K3265="",L3265=0),"",
  (L3265-K3265)/L3265*100)</f>
        <v/>
      </c>
      <c r="N3265" s="9" t="inlineStr"/>
      <c r="O3265" s="4" t="inlineStr"/>
      <c r="P3265" s="4" t="inlineStr"/>
      <c r="Q3265" s="4" t="inlineStr"/>
      <c r="R3265" s="4" t="inlineStr">
        <is>
          <t>2026-03-12</t>
        </is>
      </c>
      <c r="S3265" s="4" t="inlineStr"/>
    </row>
    <row r="3266">
      <c r="A3266" s="10" t="inlineStr">
        <is>
          <t>F03840</t>
        </is>
      </c>
      <c r="B3266" s="10" t="inlineStr">
        <is>
          <t>F03840</t>
        </is>
      </c>
      <c r="C3266" s="10" t="inlineStr"/>
      <c r="D3266" s="10" t="inlineStr"/>
      <c r="E3266" s="10" t="inlineStr">
        <is>
          <t>CORNICE EPS B14  WHITE  2MX110MM</t>
        </is>
      </c>
      <c r="F3266" s="10" t="inlineStr"/>
      <c r="G3266" s="10" t="inlineStr"/>
      <c r="H3266" s="10" t="inlineStr"/>
      <c r="I3266" s="11" t="n">
        <v>19.95</v>
      </c>
      <c r="J3266" s="6" t="n">
        <v>15</v>
      </c>
      <c r="K3266" s="7">
        <f>IF(I3266="","",I3266*(1+J3266/100))</f>
        <v/>
      </c>
      <c r="L3266" s="12" t="inlineStr"/>
      <c r="M3266" s="8">
        <f>IF(OR(L3266="",K3266="",L3266=0),"",
  (L3266-K3266)/L3266*100)</f>
        <v/>
      </c>
      <c r="N3266" s="9" t="inlineStr"/>
      <c r="O3266" s="10" t="inlineStr"/>
      <c r="P3266" s="10" t="inlineStr"/>
      <c r="Q3266" s="10" t="inlineStr"/>
      <c r="R3266" s="10" t="inlineStr">
        <is>
          <t>2026-03-12</t>
        </is>
      </c>
      <c r="S3266" s="10" t="inlineStr"/>
    </row>
    <row r="3267">
      <c r="A3267" s="3" t="inlineStr">
        <is>
          <t>F03841</t>
        </is>
      </c>
      <c r="B3267" s="4" t="inlineStr">
        <is>
          <t>F03841</t>
        </is>
      </c>
      <c r="C3267" s="4" t="inlineStr"/>
      <c r="D3267" s="4" t="inlineStr"/>
      <c r="E3267" s="3" t="inlineStr">
        <is>
          <t>CONTAINER GLASS PLUS LID 3PC SET</t>
        </is>
      </c>
      <c r="F3267" s="4" t="inlineStr"/>
      <c r="G3267" s="4" t="inlineStr"/>
      <c r="H3267" s="4" t="inlineStr"/>
      <c r="I3267" s="5" t="n">
        <v>122.5</v>
      </c>
      <c r="J3267" s="6" t="n">
        <v>15</v>
      </c>
      <c r="K3267" s="7">
        <f>IF(I3267="","",I3267*(1+J3267/100))</f>
        <v/>
      </c>
      <c r="L3267" s="12" t="inlineStr"/>
      <c r="M3267" s="8">
        <f>IF(OR(L3267="",K3267="",L3267=0),"",
  (L3267-K3267)/L3267*100)</f>
        <v/>
      </c>
      <c r="N3267" s="14" t="n">
        <v>8</v>
      </c>
      <c r="O3267" s="4" t="inlineStr"/>
      <c r="P3267" s="4" t="inlineStr"/>
      <c r="Q3267" s="4" t="inlineStr"/>
      <c r="R3267" s="4" t="inlineStr">
        <is>
          <t>2026-03-12</t>
        </is>
      </c>
      <c r="S3267" s="4" t="inlineStr"/>
    </row>
    <row r="3268">
      <c r="A3268" s="10" t="inlineStr">
        <is>
          <t>F03842</t>
        </is>
      </c>
      <c r="B3268" s="10" t="inlineStr">
        <is>
          <t>F03842</t>
        </is>
      </c>
      <c r="C3268" s="10" t="inlineStr"/>
      <c r="D3268" s="10" t="inlineStr"/>
      <c r="E3268" s="10" t="inlineStr">
        <is>
          <t>REPLACEMENT GLASS FOR TCL LIGHTS</t>
        </is>
      </c>
      <c r="F3268" s="10" t="inlineStr"/>
      <c r="G3268" s="10" t="inlineStr"/>
      <c r="H3268" s="10" t="inlineStr"/>
      <c r="I3268" s="11" t="n">
        <v>49</v>
      </c>
      <c r="J3268" s="6" t="n">
        <v>15</v>
      </c>
      <c r="K3268" s="7">
        <f>IF(I3268="","",I3268*(1+J3268/100))</f>
        <v/>
      </c>
      <c r="L3268" s="12" t="inlineStr"/>
      <c r="M3268" s="8">
        <f>IF(OR(L3268="",K3268="",L3268=0),"",
  (L3268-K3268)/L3268*100)</f>
        <v/>
      </c>
      <c r="N3268" s="13" t="n">
        <v>42</v>
      </c>
      <c r="O3268" s="10" t="inlineStr"/>
      <c r="P3268" s="10" t="inlineStr"/>
      <c r="Q3268" s="10" t="inlineStr"/>
      <c r="R3268" s="10" t="inlineStr">
        <is>
          <t>2026-03-12</t>
        </is>
      </c>
      <c r="S3268" s="10" t="inlineStr"/>
    </row>
    <row r="3269">
      <c r="A3269" s="3" t="inlineStr">
        <is>
          <t>F03843</t>
        </is>
      </c>
      <c r="B3269" s="4" t="inlineStr">
        <is>
          <t>F03843</t>
        </is>
      </c>
      <c r="C3269" s="4" t="inlineStr"/>
      <c r="D3269" s="4" t="inlineStr"/>
      <c r="E3269" s="3" t="inlineStr">
        <is>
          <t>DIVIDER WPC TEAK 2.9MX10CMX5CM LOOSE</t>
        </is>
      </c>
      <c r="F3269" s="4" t="inlineStr"/>
      <c r="G3269" s="4" t="inlineStr"/>
      <c r="H3269" s="4" t="inlineStr"/>
      <c r="I3269" s="5" t="n">
        <v>169</v>
      </c>
      <c r="J3269" s="6" t="n">
        <v>15</v>
      </c>
      <c r="K3269" s="7">
        <f>IF(I3269="","",I3269*(1+J3269/100))</f>
        <v/>
      </c>
      <c r="L3269" s="12" t="inlineStr"/>
      <c r="M3269" s="8">
        <f>IF(OR(L3269="",K3269="",L3269=0),"",
  (L3269-K3269)/L3269*100)</f>
        <v/>
      </c>
      <c r="N3269" s="9" t="inlineStr"/>
      <c r="O3269" s="4" t="inlineStr"/>
      <c r="P3269" s="4" t="inlineStr"/>
      <c r="Q3269" s="4" t="inlineStr"/>
      <c r="R3269" s="4" t="inlineStr">
        <is>
          <t>2026-03-12</t>
        </is>
      </c>
      <c r="S3269" s="4" t="inlineStr"/>
    </row>
    <row r="3270">
      <c r="A3270" s="10" t="inlineStr">
        <is>
          <t>F03844</t>
        </is>
      </c>
      <c r="B3270" s="10" t="inlineStr">
        <is>
          <t>F03844</t>
        </is>
      </c>
      <c r="C3270" s="10" t="inlineStr"/>
      <c r="D3270" s="10" t="inlineStr">
        <is>
          <t>6009705658002</t>
        </is>
      </c>
      <c r="E3270" s="10" t="inlineStr">
        <is>
          <t>WALL PANEL 5CMX5CM SQR NERO TUBE/LIGHT</t>
        </is>
      </c>
      <c r="F3270" s="10" t="inlineStr"/>
      <c r="G3270" s="10" t="inlineStr"/>
      <c r="H3270" s="10" t="inlineStr"/>
      <c r="I3270" s="11" t="n">
        <v>1439.1</v>
      </c>
      <c r="J3270" s="6" t="n">
        <v>15</v>
      </c>
      <c r="K3270" s="7">
        <f>IF(I3270="","",I3270*(1+J3270/100))</f>
        <v/>
      </c>
      <c r="L3270" s="12" t="inlineStr"/>
      <c r="M3270" s="8">
        <f>IF(OR(L3270="",K3270="",L3270=0),"",
  (L3270-K3270)/L3270*100)</f>
        <v/>
      </c>
      <c r="N3270" s="13" t="n">
        <v>130</v>
      </c>
      <c r="O3270" s="10" t="inlineStr"/>
      <c r="P3270" s="10" t="inlineStr"/>
      <c r="Q3270" s="10" t="inlineStr"/>
      <c r="R3270" s="10" t="inlineStr">
        <is>
          <t>2026-03-12</t>
        </is>
      </c>
      <c r="S3270" s="10" t="inlineStr"/>
    </row>
    <row r="3271">
      <c r="A3271" s="3" t="inlineStr">
        <is>
          <t>F03845</t>
        </is>
      </c>
      <c r="B3271" s="4" t="inlineStr">
        <is>
          <t>F03845</t>
        </is>
      </c>
      <c r="C3271" s="4" t="inlineStr"/>
      <c r="D3271" s="4" t="inlineStr">
        <is>
          <t>6009705658019</t>
        </is>
      </c>
      <c r="E3271" s="3" t="inlineStr">
        <is>
          <t>WALL PANEL 5CMX5CM SQR WOOD TUBE/LIGHT</t>
        </is>
      </c>
      <c r="F3271" s="4" t="inlineStr"/>
      <c r="G3271" s="4" t="inlineStr"/>
      <c r="H3271" s="4" t="inlineStr"/>
      <c r="I3271" s="5" t="n">
        <v>1439.1</v>
      </c>
      <c r="J3271" s="6" t="n">
        <v>15</v>
      </c>
      <c r="K3271" s="7">
        <f>IF(I3271="","",I3271*(1+J3271/100))</f>
        <v/>
      </c>
      <c r="L3271" s="12" t="inlineStr"/>
      <c r="M3271" s="8">
        <f>IF(OR(L3271="",K3271="",L3271=0),"",
  (L3271-K3271)/L3271*100)</f>
        <v/>
      </c>
      <c r="N3271" s="14" t="n">
        <v>126</v>
      </c>
      <c r="O3271" s="4" t="inlineStr"/>
      <c r="P3271" s="4" t="inlineStr"/>
      <c r="Q3271" s="4" t="inlineStr"/>
      <c r="R3271" s="4" t="inlineStr">
        <is>
          <t>2026-03-12</t>
        </is>
      </c>
      <c r="S3271" s="4" t="inlineStr"/>
    </row>
    <row r="3272">
      <c r="A3272" s="10" t="inlineStr">
        <is>
          <t>F03846</t>
        </is>
      </c>
      <c r="B3272" s="10" t="inlineStr">
        <is>
          <t>F03846</t>
        </is>
      </c>
      <c r="C3272" s="10" t="inlineStr"/>
      <c r="D3272" s="10" t="inlineStr">
        <is>
          <t>6009705658026</t>
        </is>
      </c>
      <c r="E3272" s="10" t="inlineStr">
        <is>
          <t>WALL PANEL 5CMX5CM SQR GREY TUBE/LIGHT</t>
        </is>
      </c>
      <c r="F3272" s="10" t="inlineStr"/>
      <c r="G3272" s="10" t="inlineStr"/>
      <c r="H3272" s="10" t="inlineStr"/>
      <c r="I3272" s="11" t="n">
        <v>1439.1</v>
      </c>
      <c r="J3272" s="6" t="n">
        <v>15</v>
      </c>
      <c r="K3272" s="7">
        <f>IF(I3272="","",I3272*(1+J3272/100))</f>
        <v/>
      </c>
      <c r="L3272" s="12" t="inlineStr"/>
      <c r="M3272" s="8">
        <f>IF(OR(L3272="",K3272="",L3272=0),"",
  (L3272-K3272)/L3272*100)</f>
        <v/>
      </c>
      <c r="N3272" s="13" t="n">
        <v>114</v>
      </c>
      <c r="O3272" s="10" t="inlineStr"/>
      <c r="P3272" s="10" t="inlineStr"/>
      <c r="Q3272" s="10" t="inlineStr"/>
      <c r="R3272" s="10" t="inlineStr">
        <is>
          <t>2026-03-12</t>
        </is>
      </c>
      <c r="S3272" s="10" t="inlineStr"/>
    </row>
    <row r="3273">
      <c r="A3273" s="3" t="inlineStr">
        <is>
          <t>F03847</t>
        </is>
      </c>
      <c r="B3273" s="4" t="inlineStr">
        <is>
          <t>F03847</t>
        </is>
      </c>
      <c r="C3273" s="4" t="inlineStr"/>
      <c r="D3273" s="4" t="inlineStr">
        <is>
          <t>6009705658033</t>
        </is>
      </c>
      <c r="E3273" s="3" t="inlineStr">
        <is>
          <t>WALL PANEL 5CMX5CM SQR MARBLE TUBE/LIGHT</t>
        </is>
      </c>
      <c r="F3273" s="4" t="inlineStr"/>
      <c r="G3273" s="4" t="inlineStr"/>
      <c r="H3273" s="4" t="inlineStr"/>
      <c r="I3273" s="5" t="n">
        <v>1439.1</v>
      </c>
      <c r="J3273" s="6" t="n">
        <v>15</v>
      </c>
      <c r="K3273" s="7">
        <f>IF(I3273="","",I3273*(1+J3273/100))</f>
        <v/>
      </c>
      <c r="L3273" s="12" t="inlineStr"/>
      <c r="M3273" s="8">
        <f>IF(OR(L3273="",K3273="",L3273=0),"",
  (L3273-K3273)/L3273*100)</f>
        <v/>
      </c>
      <c r="N3273" s="14" t="n">
        <v>116</v>
      </c>
      <c r="O3273" s="4" t="inlineStr"/>
      <c r="P3273" s="4" t="inlineStr"/>
      <c r="Q3273" s="4" t="inlineStr"/>
      <c r="R3273" s="4" t="inlineStr">
        <is>
          <t>2026-03-12</t>
        </is>
      </c>
      <c r="S3273" s="4" t="inlineStr"/>
    </row>
    <row r="3274">
      <c r="A3274" s="10" t="inlineStr">
        <is>
          <t>F03848</t>
        </is>
      </c>
      <c r="B3274" s="10" t="inlineStr">
        <is>
          <t>F03848</t>
        </is>
      </c>
      <c r="C3274" s="10" t="inlineStr"/>
      <c r="D3274" s="10" t="inlineStr">
        <is>
          <t>6009705658040</t>
        </is>
      </c>
      <c r="E3274" s="10" t="inlineStr">
        <is>
          <t>LIGHT SPOT FOR WPC 50X50MM PANEL</t>
        </is>
      </c>
      <c r="F3274" s="10" t="inlineStr"/>
      <c r="G3274" s="10" t="inlineStr"/>
      <c r="H3274" s="10" t="inlineStr"/>
      <c r="I3274" s="11" t="n">
        <v>67.95</v>
      </c>
      <c r="J3274" s="6" t="n">
        <v>15</v>
      </c>
      <c r="K3274" s="7">
        <f>IF(I3274="","",I3274*(1+J3274/100))</f>
        <v/>
      </c>
      <c r="L3274" s="12" t="inlineStr"/>
      <c r="M3274" s="8">
        <f>IF(OR(L3274="",K3274="",L3274=0),"",
  (L3274-K3274)/L3274*100)</f>
        <v/>
      </c>
      <c r="N3274" s="13" t="n">
        <v>3520</v>
      </c>
      <c r="O3274" s="10" t="inlineStr"/>
      <c r="P3274" s="10" t="inlineStr"/>
      <c r="Q3274" s="10" t="inlineStr"/>
      <c r="R3274" s="10" t="inlineStr">
        <is>
          <t>2026-03-12</t>
        </is>
      </c>
      <c r="S3274" s="10" t="inlineStr"/>
    </row>
    <row r="3275">
      <c r="A3275" s="3" t="inlineStr">
        <is>
          <t>F03849</t>
        </is>
      </c>
      <c r="B3275" s="4" t="inlineStr">
        <is>
          <t>F03849</t>
        </is>
      </c>
      <c r="C3275" s="4" t="inlineStr"/>
      <c r="D3275" s="4" t="inlineStr">
        <is>
          <t>6009705658053</t>
        </is>
      </c>
      <c r="E3275" s="3" t="inlineStr">
        <is>
          <t>DECKING WPC 5.8M SILV GR/ROSE WD CO EXTR</t>
        </is>
      </c>
      <c r="F3275" s="4" t="inlineStr"/>
      <c r="G3275" s="4" t="inlineStr"/>
      <c r="H3275" s="4" t="inlineStr"/>
      <c r="I3275" s="5" t="n">
        <v>1178</v>
      </c>
      <c r="J3275" s="6" t="n">
        <v>15</v>
      </c>
      <c r="K3275" s="7">
        <f>IF(I3275="","",I3275*(1+J3275/100))</f>
        <v/>
      </c>
      <c r="L3275" s="12" t="inlineStr"/>
      <c r="M3275" s="8">
        <f>IF(OR(L3275="",K3275="",L3275=0),"",
  (L3275-K3275)/L3275*100)</f>
        <v/>
      </c>
      <c r="N3275" s="14" t="n">
        <v>1</v>
      </c>
      <c r="O3275" s="4" t="inlineStr"/>
      <c r="P3275" s="4" t="inlineStr"/>
      <c r="Q3275" s="4" t="inlineStr"/>
      <c r="R3275" s="4" t="inlineStr">
        <is>
          <t>2026-03-12</t>
        </is>
      </c>
      <c r="S3275" s="4" t="inlineStr"/>
    </row>
    <row r="3276">
      <c r="A3276" s="10" t="inlineStr">
        <is>
          <t>F03850</t>
        </is>
      </c>
      <c r="B3276" s="10" t="inlineStr">
        <is>
          <t>F03850</t>
        </is>
      </c>
      <c r="C3276" s="10" t="inlineStr"/>
      <c r="D3276" s="10" t="inlineStr">
        <is>
          <t>6009705658060</t>
        </is>
      </c>
      <c r="E3276" s="10" t="inlineStr">
        <is>
          <t>DECKING WPC 5.8M WALNUT/P TEAK CO EXTR</t>
        </is>
      </c>
      <c r="F3276" s="10" t="inlineStr"/>
      <c r="G3276" s="10" t="inlineStr"/>
      <c r="H3276" s="10" t="inlineStr"/>
      <c r="I3276" s="11" t="n">
        <v>1178</v>
      </c>
      <c r="J3276" s="6" t="n">
        <v>15</v>
      </c>
      <c r="K3276" s="7">
        <f>IF(I3276="","",I3276*(1+J3276/100))</f>
        <v/>
      </c>
      <c r="L3276" s="12" t="inlineStr"/>
      <c r="M3276" s="8">
        <f>IF(OR(L3276="",K3276="",L3276=0),"",
  (L3276-K3276)/L3276*100)</f>
        <v/>
      </c>
      <c r="N3276" s="13" t="n">
        <v>168</v>
      </c>
      <c r="O3276" s="10" t="inlineStr"/>
      <c r="P3276" s="10" t="inlineStr"/>
      <c r="Q3276" s="10" t="inlineStr"/>
      <c r="R3276" s="10" t="inlineStr">
        <is>
          <t>2026-03-12</t>
        </is>
      </c>
      <c r="S3276" s="10" t="inlineStr"/>
    </row>
    <row r="3277">
      <c r="A3277" s="3" t="inlineStr">
        <is>
          <t>F03851A</t>
        </is>
      </c>
      <c r="B3277" s="4" t="inlineStr">
        <is>
          <t>F03851A</t>
        </is>
      </c>
      <c r="C3277" s="4" t="inlineStr"/>
      <c r="D3277" s="4" t="inlineStr">
        <is>
          <t>6009705658077</t>
        </is>
      </c>
      <c r="E3277" s="3" t="inlineStr">
        <is>
          <t>DECKING EDGING SILVER GREY50X50X CO EXTR</t>
        </is>
      </c>
      <c r="F3277" s="4" t="inlineStr"/>
      <c r="G3277" s="4" t="inlineStr"/>
      <c r="H3277" s="4" t="inlineStr"/>
      <c r="I3277" s="5" t="n">
        <v>115</v>
      </c>
      <c r="J3277" s="6" t="n">
        <v>15</v>
      </c>
      <c r="K3277" s="7">
        <f>IF(I3277="","",I3277*(1+J3277/100))</f>
        <v/>
      </c>
      <c r="L3277" s="12" t="inlineStr"/>
      <c r="M3277" s="8">
        <f>IF(OR(L3277="",K3277="",L3277=0),"",
  (L3277-K3277)/L3277*100)</f>
        <v/>
      </c>
      <c r="N3277" s="14" t="n">
        <v>123</v>
      </c>
      <c r="O3277" s="4" t="inlineStr"/>
      <c r="P3277" s="4" t="inlineStr"/>
      <c r="Q3277" s="4" t="inlineStr"/>
      <c r="R3277" s="4" t="inlineStr">
        <is>
          <t>2026-03-12</t>
        </is>
      </c>
      <c r="S3277" s="4" t="inlineStr"/>
    </row>
    <row r="3278">
      <c r="A3278" s="10" t="inlineStr">
        <is>
          <t>F03851B</t>
        </is>
      </c>
      <c r="B3278" s="10" t="inlineStr">
        <is>
          <t>F03851B</t>
        </is>
      </c>
      <c r="C3278" s="10" t="inlineStr"/>
      <c r="D3278" s="10" t="inlineStr"/>
      <c r="E3278" s="10" t="inlineStr">
        <is>
          <t>DECKING EDGING ROSE WOOD 50X50X CO EXTR</t>
        </is>
      </c>
      <c r="F3278" s="10" t="inlineStr"/>
      <c r="G3278" s="10" t="inlineStr"/>
      <c r="H3278" s="10" t="inlineStr"/>
      <c r="I3278" s="11" t="n">
        <v>115</v>
      </c>
      <c r="J3278" s="6" t="n">
        <v>15</v>
      </c>
      <c r="K3278" s="7">
        <f>IF(I3278="","",I3278*(1+J3278/100))</f>
        <v/>
      </c>
      <c r="L3278" s="12" t="inlineStr"/>
      <c r="M3278" s="8">
        <f>IF(OR(L3278="",K3278="",L3278=0),"",
  (L3278-K3278)/L3278*100)</f>
        <v/>
      </c>
      <c r="N3278" s="13" t="n">
        <v>183</v>
      </c>
      <c r="O3278" s="10" t="inlineStr"/>
      <c r="P3278" s="10" t="inlineStr"/>
      <c r="Q3278" s="10" t="inlineStr"/>
      <c r="R3278" s="10" t="inlineStr">
        <is>
          <t>2026-03-12</t>
        </is>
      </c>
      <c r="S3278" s="10" t="inlineStr"/>
    </row>
    <row r="3279">
      <c r="A3279" s="3" t="inlineStr">
        <is>
          <t>F03852A</t>
        </is>
      </c>
      <c r="B3279" s="4" t="inlineStr">
        <is>
          <t>F03852A</t>
        </is>
      </c>
      <c r="C3279" s="4" t="inlineStr"/>
      <c r="D3279" s="4" t="inlineStr"/>
      <c r="E3279" s="3" t="inlineStr">
        <is>
          <t>DECKING EDGING WALNUT 50X50X CO EXTR</t>
        </is>
      </c>
      <c r="F3279" s="4" t="inlineStr"/>
      <c r="G3279" s="4" t="inlineStr"/>
      <c r="H3279" s="4" t="inlineStr"/>
      <c r="I3279" s="5" t="n">
        <v>115</v>
      </c>
      <c r="J3279" s="6" t="n">
        <v>15</v>
      </c>
      <c r="K3279" s="7">
        <f>IF(I3279="","",I3279*(1+J3279/100))</f>
        <v/>
      </c>
      <c r="L3279" s="12" t="inlineStr"/>
      <c r="M3279" s="8">
        <f>IF(OR(L3279="",K3279="",L3279=0),"",
  (L3279-K3279)/L3279*100)</f>
        <v/>
      </c>
      <c r="N3279" s="14" t="n">
        <v>140</v>
      </c>
      <c r="O3279" s="4" t="inlineStr"/>
      <c r="P3279" s="4" t="inlineStr"/>
      <c r="Q3279" s="4" t="inlineStr"/>
      <c r="R3279" s="4" t="inlineStr">
        <is>
          <t>2026-03-12</t>
        </is>
      </c>
      <c r="S3279" s="4" t="inlineStr"/>
    </row>
    <row r="3280">
      <c r="A3280" s="10" t="inlineStr">
        <is>
          <t>F03852B</t>
        </is>
      </c>
      <c r="B3280" s="10" t="inlineStr">
        <is>
          <t>F03852B</t>
        </is>
      </c>
      <c r="C3280" s="10" t="inlineStr"/>
      <c r="D3280" s="10" t="inlineStr">
        <is>
          <t>6009705658084</t>
        </is>
      </c>
      <c r="E3280" s="10" t="inlineStr">
        <is>
          <t>DECKING EDGING PURE TEAK 50X50X CO EXTR</t>
        </is>
      </c>
      <c r="F3280" s="10" t="inlineStr"/>
      <c r="G3280" s="10" t="inlineStr"/>
      <c r="H3280" s="10" t="inlineStr"/>
      <c r="I3280" s="11" t="n">
        <v>115</v>
      </c>
      <c r="J3280" s="6" t="n">
        <v>15</v>
      </c>
      <c r="K3280" s="7">
        <f>IF(I3280="","",I3280*(1+J3280/100))</f>
        <v/>
      </c>
      <c r="L3280" s="12" t="inlineStr"/>
      <c r="M3280" s="8">
        <f>IF(OR(L3280="",K3280="",L3280=0),"",
  (L3280-K3280)/L3280*100)</f>
        <v/>
      </c>
      <c r="N3280" s="13" t="n">
        <v>140</v>
      </c>
      <c r="O3280" s="10" t="inlineStr"/>
      <c r="P3280" s="10" t="inlineStr"/>
      <c r="Q3280" s="10" t="inlineStr"/>
      <c r="R3280" s="10" t="inlineStr">
        <is>
          <t>2026-03-12</t>
        </is>
      </c>
      <c r="S3280" s="10" t="inlineStr"/>
    </row>
    <row r="3281">
      <c r="A3281" s="3" t="inlineStr">
        <is>
          <t>F03853</t>
        </is>
      </c>
      <c r="B3281" s="4" t="inlineStr">
        <is>
          <t>F03853</t>
        </is>
      </c>
      <c r="C3281" s="4" t="inlineStr"/>
      <c r="D3281" s="4" t="inlineStr">
        <is>
          <t>6009705658091</t>
        </is>
      </c>
      <c r="E3281" s="3" t="inlineStr">
        <is>
          <t>DECKING WPC 2.9M EDGING BRWN TRADITIONAL</t>
        </is>
      </c>
      <c r="F3281" s="4" t="inlineStr"/>
      <c r="G3281" s="4" t="inlineStr"/>
      <c r="H3281" s="4" t="inlineStr"/>
      <c r="I3281" s="5" t="n">
        <v>99</v>
      </c>
      <c r="J3281" s="6" t="n">
        <v>15</v>
      </c>
      <c r="K3281" s="7">
        <f>IF(I3281="","",I3281*(1+J3281/100))</f>
        <v/>
      </c>
      <c r="L3281" s="12" t="inlineStr"/>
      <c r="M3281" s="8">
        <f>IF(OR(L3281="",K3281="",L3281=0),"",
  (L3281-K3281)/L3281*100)</f>
        <v/>
      </c>
      <c r="N3281" s="14" t="n">
        <v>142</v>
      </c>
      <c r="O3281" s="4" t="inlineStr"/>
      <c r="P3281" s="4" t="inlineStr"/>
      <c r="Q3281" s="4" t="inlineStr"/>
      <c r="R3281" s="4" t="inlineStr">
        <is>
          <t>2026-03-12</t>
        </is>
      </c>
      <c r="S3281" s="4" t="inlineStr"/>
    </row>
    <row r="3282">
      <c r="A3282" s="10" t="inlineStr">
        <is>
          <t>F03854</t>
        </is>
      </c>
      <c r="B3282" s="10" t="inlineStr">
        <is>
          <t>F03854</t>
        </is>
      </c>
      <c r="C3282" s="10" t="inlineStr"/>
      <c r="D3282" s="10" t="inlineStr">
        <is>
          <t>6009705658107</t>
        </is>
      </c>
      <c r="E3282" s="10" t="inlineStr">
        <is>
          <t>DECKING WPC 2.9M EDGING DRK GRY TRADITI</t>
        </is>
      </c>
      <c r="F3282" s="10" t="inlineStr"/>
      <c r="G3282" s="10" t="inlineStr"/>
      <c r="H3282" s="10" t="inlineStr"/>
      <c r="I3282" s="11" t="n">
        <v>99</v>
      </c>
      <c r="J3282" s="6" t="n">
        <v>15</v>
      </c>
      <c r="K3282" s="7">
        <f>IF(I3282="","",I3282*(1+J3282/100))</f>
        <v/>
      </c>
      <c r="L3282" s="12" t="inlineStr"/>
      <c r="M3282" s="8">
        <f>IF(OR(L3282="",K3282="",L3282=0),"",
  (L3282-K3282)/L3282*100)</f>
        <v/>
      </c>
      <c r="N3282" s="13" t="n">
        <v>116</v>
      </c>
      <c r="O3282" s="10" t="inlineStr"/>
      <c r="P3282" s="10" t="inlineStr"/>
      <c r="Q3282" s="10" t="inlineStr"/>
      <c r="R3282" s="10" t="inlineStr">
        <is>
          <t>2026-03-12</t>
        </is>
      </c>
      <c r="S3282" s="10" t="inlineStr"/>
    </row>
    <row r="3283">
      <c r="A3283" s="3" t="inlineStr">
        <is>
          <t>F03855</t>
        </is>
      </c>
      <c r="B3283" s="4" t="inlineStr">
        <is>
          <t>F03855</t>
        </is>
      </c>
      <c r="C3283" s="4" t="inlineStr"/>
      <c r="D3283" s="4" t="inlineStr">
        <is>
          <t>6009705658114</t>
        </is>
      </c>
      <c r="E3283" s="3" t="inlineStr">
        <is>
          <t>DECKING JOIST 40X25X2900MM</t>
        </is>
      </c>
      <c r="F3283" s="4" t="inlineStr"/>
      <c r="G3283" s="4" t="inlineStr"/>
      <c r="H3283" s="4" t="inlineStr"/>
      <c r="I3283" s="5" t="n">
        <v>99</v>
      </c>
      <c r="J3283" s="6" t="n">
        <v>15</v>
      </c>
      <c r="K3283" s="7">
        <f>IF(I3283="","",I3283*(1+J3283/100))</f>
        <v/>
      </c>
      <c r="L3283" s="12" t="inlineStr"/>
      <c r="M3283" s="8">
        <f>IF(OR(L3283="",K3283="",L3283=0),"",
  (L3283-K3283)/L3283*100)</f>
        <v/>
      </c>
      <c r="N3283" s="14" t="n">
        <v>104</v>
      </c>
      <c r="O3283" s="4" t="inlineStr"/>
      <c r="P3283" s="4" t="inlineStr"/>
      <c r="Q3283" s="4" t="inlineStr"/>
      <c r="R3283" s="4" t="inlineStr">
        <is>
          <t>2026-03-12</t>
        </is>
      </c>
      <c r="S3283" s="4" t="inlineStr"/>
    </row>
    <row r="3284">
      <c r="A3284" s="10" t="inlineStr">
        <is>
          <t>F03856</t>
        </is>
      </c>
      <c r="B3284" s="10" t="inlineStr">
        <is>
          <t>F03856</t>
        </is>
      </c>
      <c r="C3284" s="10" t="inlineStr"/>
      <c r="D3284" s="10" t="inlineStr">
        <is>
          <t>6009705658121</t>
        </is>
      </c>
      <c r="E3284" s="10" t="inlineStr">
        <is>
          <t>DECKING  PLASTIC CLIPS+SCREWS 8MM 10PK</t>
        </is>
      </c>
      <c r="F3284" s="10" t="inlineStr"/>
      <c r="G3284" s="10" t="inlineStr"/>
      <c r="H3284" s="10" t="inlineStr"/>
      <c r="I3284" s="11" t="n">
        <v>11.5</v>
      </c>
      <c r="J3284" s="6" t="n">
        <v>15</v>
      </c>
      <c r="K3284" s="7">
        <f>IF(I3284="","",I3284*(1+J3284/100))</f>
        <v/>
      </c>
      <c r="L3284" s="12" t="inlineStr"/>
      <c r="M3284" s="8">
        <f>IF(OR(L3284="",K3284="",L3284=0),"",
  (L3284-K3284)/L3284*100)</f>
        <v/>
      </c>
      <c r="N3284" s="9" t="inlineStr"/>
      <c r="O3284" s="10" t="inlineStr"/>
      <c r="P3284" s="10" t="inlineStr"/>
      <c r="Q3284" s="10" t="inlineStr"/>
      <c r="R3284" s="10" t="inlineStr">
        <is>
          <t>2026-03-12</t>
        </is>
      </c>
      <c r="S3284" s="10" t="inlineStr"/>
    </row>
    <row r="3285">
      <c r="A3285" s="3" t="inlineStr">
        <is>
          <t>F03857</t>
        </is>
      </c>
      <c r="B3285" s="4" t="inlineStr">
        <is>
          <t>F03857</t>
        </is>
      </c>
      <c r="C3285" s="4" t="inlineStr"/>
      <c r="D3285" s="4" t="inlineStr">
        <is>
          <t>6009705658132</t>
        </is>
      </c>
      <c r="E3285" s="3" t="inlineStr">
        <is>
          <t>PAINT ROLLER HEAD ONLY</t>
        </is>
      </c>
      <c r="F3285" s="4" t="inlineStr"/>
      <c r="G3285" s="4" t="inlineStr"/>
      <c r="H3285" s="4" t="inlineStr"/>
      <c r="I3285" s="5" t="n">
        <v>2</v>
      </c>
      <c r="J3285" s="6" t="n">
        <v>15</v>
      </c>
      <c r="K3285" s="7">
        <f>IF(I3285="","",I3285*(1+J3285/100))</f>
        <v/>
      </c>
      <c r="L3285" s="12" t="inlineStr"/>
      <c r="M3285" s="8">
        <f>IF(OR(L3285="",K3285="",L3285=0),"",
  (L3285-K3285)/L3285*100)</f>
        <v/>
      </c>
      <c r="N3285" s="14" t="n">
        <v>2000</v>
      </c>
      <c r="O3285" s="4" t="inlineStr"/>
      <c r="P3285" s="4" t="inlineStr"/>
      <c r="Q3285" s="4" t="inlineStr"/>
      <c r="R3285" s="4" t="inlineStr">
        <is>
          <t>2026-03-12</t>
        </is>
      </c>
      <c r="S3285" s="4" t="inlineStr"/>
    </row>
    <row r="3286">
      <c r="A3286" s="10" t="inlineStr">
        <is>
          <t>F03858</t>
        </is>
      </c>
      <c r="B3286" s="10" t="inlineStr">
        <is>
          <t>F03858</t>
        </is>
      </c>
      <c r="C3286" s="10" t="inlineStr"/>
      <c r="D3286" s="10" t="inlineStr"/>
      <c r="E3286" s="10" t="inlineStr">
        <is>
          <t>LIGHT CEILING LIGHT RUSTIC CL010</t>
        </is>
      </c>
      <c r="F3286" s="10" t="inlineStr"/>
      <c r="G3286" s="10" t="inlineStr"/>
      <c r="H3286" s="10" t="inlineStr"/>
      <c r="I3286" s="11" t="n">
        <v>430</v>
      </c>
      <c r="J3286" s="6" t="n">
        <v>15</v>
      </c>
      <c r="K3286" s="7">
        <f>IF(I3286="","",I3286*(1+J3286/100))</f>
        <v/>
      </c>
      <c r="L3286" s="12" t="inlineStr"/>
      <c r="M3286" s="8">
        <f>IF(OR(L3286="",K3286="",L3286=0),"",
  (L3286-K3286)/L3286*100)</f>
        <v/>
      </c>
      <c r="N3286" s="13" t="n">
        <v>47</v>
      </c>
      <c r="O3286" s="10" t="inlineStr"/>
      <c r="P3286" s="10" t="inlineStr"/>
      <c r="Q3286" s="10" t="inlineStr"/>
      <c r="R3286" s="10" t="inlineStr">
        <is>
          <t>2026-03-12</t>
        </is>
      </c>
      <c r="S3286" s="10" t="inlineStr"/>
    </row>
    <row r="3287">
      <c r="A3287" s="3" t="inlineStr">
        <is>
          <t>F03859</t>
        </is>
      </c>
      <c r="B3287" s="4" t="inlineStr">
        <is>
          <t>F03859</t>
        </is>
      </c>
      <c r="C3287" s="4" t="inlineStr"/>
      <c r="D3287" s="4" t="inlineStr"/>
      <c r="E3287" s="3" t="inlineStr">
        <is>
          <t>LIGHT CEILING LIGHT RUSTIC CL008</t>
        </is>
      </c>
      <c r="F3287" s="4" t="inlineStr"/>
      <c r="G3287" s="4" t="inlineStr"/>
      <c r="H3287" s="4" t="inlineStr"/>
      <c r="I3287" s="5" t="n">
        <v>430</v>
      </c>
      <c r="J3287" s="6" t="n">
        <v>15</v>
      </c>
      <c r="K3287" s="7">
        <f>IF(I3287="","",I3287*(1+J3287/100))</f>
        <v/>
      </c>
      <c r="L3287" s="12" t="inlineStr"/>
      <c r="M3287" s="8">
        <f>IF(OR(L3287="",K3287="",L3287=0),"",
  (L3287-K3287)/L3287*100)</f>
        <v/>
      </c>
      <c r="N3287" s="14" t="n">
        <v>33</v>
      </c>
      <c r="O3287" s="4" t="inlineStr"/>
      <c r="P3287" s="4" t="inlineStr"/>
      <c r="Q3287" s="4" t="inlineStr"/>
      <c r="R3287" s="4" t="inlineStr">
        <is>
          <t>2026-03-12</t>
        </is>
      </c>
      <c r="S3287" s="4" t="inlineStr"/>
    </row>
    <row r="3288">
      <c r="A3288" s="10" t="inlineStr">
        <is>
          <t>F03860</t>
        </is>
      </c>
      <c r="B3288" s="10" t="inlineStr">
        <is>
          <t>F03860</t>
        </is>
      </c>
      <c r="C3288" s="10" t="inlineStr"/>
      <c r="D3288" s="10" t="inlineStr">
        <is>
          <t>6009705658156</t>
        </is>
      </c>
      <c r="E3288" s="10" t="inlineStr">
        <is>
          <t>DUST PAN AND BRUSH SET BUDGET</t>
        </is>
      </c>
      <c r="F3288" s="10" t="inlineStr"/>
      <c r="G3288" s="10" t="inlineStr"/>
      <c r="H3288" s="10" t="inlineStr"/>
      <c r="I3288" s="11" t="n">
        <v>8.75</v>
      </c>
      <c r="J3288" s="6" t="n">
        <v>15</v>
      </c>
      <c r="K3288" s="7">
        <f>IF(I3288="","",I3288*(1+J3288/100))</f>
        <v/>
      </c>
      <c r="L3288" s="12" t="inlineStr"/>
      <c r="M3288" s="8">
        <f>IF(OR(L3288="",K3288="",L3288=0),"",
  (L3288-K3288)/L3288*100)</f>
        <v/>
      </c>
      <c r="N3288" s="13" t="n">
        <v>2641</v>
      </c>
      <c r="O3288" s="10" t="inlineStr"/>
      <c r="P3288" s="10" t="inlineStr"/>
      <c r="Q3288" s="10" t="inlineStr"/>
      <c r="R3288" s="10" t="inlineStr">
        <is>
          <t>2026-03-12</t>
        </is>
      </c>
      <c r="S3288" s="10" t="inlineStr"/>
    </row>
    <row r="3289">
      <c r="A3289" s="3" t="inlineStr">
        <is>
          <t>F03861</t>
        </is>
      </c>
      <c r="B3289" s="4" t="inlineStr">
        <is>
          <t>F03861</t>
        </is>
      </c>
      <c r="C3289" s="4" t="inlineStr"/>
      <c r="D3289" s="4" t="inlineStr">
        <is>
          <t>6009705658163</t>
        </is>
      </c>
      <c r="E3289" s="3" t="inlineStr">
        <is>
          <t>DUST PAN AND BRUSH SET WITH RUBBER LIP</t>
        </is>
      </c>
      <c r="F3289" s="4" t="inlineStr"/>
      <c r="G3289" s="4" t="inlineStr"/>
      <c r="H3289" s="4" t="inlineStr"/>
      <c r="I3289" s="5" t="n">
        <v>9.75</v>
      </c>
      <c r="J3289" s="6" t="n">
        <v>15</v>
      </c>
      <c r="K3289" s="7">
        <f>IF(I3289="","",I3289*(1+J3289/100))</f>
        <v/>
      </c>
      <c r="L3289" s="12" t="inlineStr"/>
      <c r="M3289" s="8">
        <f>IF(OR(L3289="",K3289="",L3289=0),"",
  (L3289-K3289)/L3289*100)</f>
        <v/>
      </c>
      <c r="N3289" s="14" t="n">
        <v>2027</v>
      </c>
      <c r="O3289" s="4" t="inlineStr"/>
      <c r="P3289" s="4" t="inlineStr"/>
      <c r="Q3289" s="4" t="inlineStr"/>
      <c r="R3289" s="4" t="inlineStr">
        <is>
          <t>2026-03-12</t>
        </is>
      </c>
      <c r="S3289" s="4" t="inlineStr"/>
    </row>
    <row r="3290">
      <c r="A3290" s="10" t="inlineStr">
        <is>
          <t>F03862</t>
        </is>
      </c>
      <c r="B3290" s="10" t="inlineStr">
        <is>
          <t>F03862</t>
        </is>
      </c>
      <c r="C3290" s="10" t="inlineStr"/>
      <c r="D3290" s="10" t="inlineStr"/>
      <c r="E3290" s="10" t="inlineStr">
        <is>
          <t>PAPER INSERT</t>
        </is>
      </c>
      <c r="F3290" s="10" t="inlineStr"/>
      <c r="G3290" s="10" t="inlineStr"/>
      <c r="H3290" s="10" t="inlineStr"/>
      <c r="I3290" s="11" t="n">
        <v>2</v>
      </c>
      <c r="J3290" s="6" t="n">
        <v>15</v>
      </c>
      <c r="K3290" s="7">
        <f>IF(I3290="","",I3290*(1+J3290/100))</f>
        <v/>
      </c>
      <c r="L3290" s="12" t="inlineStr"/>
      <c r="M3290" s="8">
        <f>IF(OR(L3290="",K3290="",L3290=0),"",
  (L3290-K3290)/L3290*100)</f>
        <v/>
      </c>
      <c r="N3290" s="13" t="n">
        <v>3000</v>
      </c>
      <c r="O3290" s="10" t="inlineStr"/>
      <c r="P3290" s="10" t="inlineStr"/>
      <c r="Q3290" s="10" t="inlineStr"/>
      <c r="R3290" s="10" t="inlineStr">
        <is>
          <t>2026-03-12</t>
        </is>
      </c>
      <c r="S3290" s="10" t="inlineStr"/>
    </row>
    <row r="3291">
      <c r="A3291" s="3" t="inlineStr">
        <is>
          <t>F03863</t>
        </is>
      </c>
      <c r="B3291" s="4" t="inlineStr">
        <is>
          <t>F03863</t>
        </is>
      </c>
      <c r="C3291" s="4" t="inlineStr"/>
      <c r="D3291" s="4" t="inlineStr"/>
      <c r="E3291" s="3" t="inlineStr">
        <is>
          <t>LED STRIP LIGHT 15CM 1.5W   WALL PANEL</t>
        </is>
      </c>
      <c r="F3291" s="4" t="inlineStr"/>
      <c r="G3291" s="4" t="inlineStr"/>
      <c r="H3291" s="4" t="inlineStr"/>
      <c r="I3291" s="5" t="n">
        <v>47.95</v>
      </c>
      <c r="J3291" s="6" t="n">
        <v>15</v>
      </c>
      <c r="K3291" s="7">
        <f>IF(I3291="","",I3291*(1+J3291/100))</f>
        <v/>
      </c>
      <c r="L3291" s="12" t="inlineStr"/>
      <c r="M3291" s="8">
        <f>IF(OR(L3291="",K3291="",L3291=0),"",
  (L3291-K3291)/L3291*100)</f>
        <v/>
      </c>
      <c r="N3291" s="14" t="n">
        <v>7</v>
      </c>
      <c r="O3291" s="4" t="inlineStr"/>
      <c r="P3291" s="4" t="inlineStr"/>
      <c r="Q3291" s="4" t="inlineStr"/>
      <c r="R3291" s="4" t="inlineStr">
        <is>
          <t>2026-03-12</t>
        </is>
      </c>
      <c r="S3291" s="4" t="inlineStr"/>
    </row>
    <row r="3292">
      <c r="A3292" s="10" t="inlineStr">
        <is>
          <t>F03864</t>
        </is>
      </c>
      <c r="B3292" s="10" t="inlineStr">
        <is>
          <t>F03864</t>
        </is>
      </c>
      <c r="C3292" s="10" t="inlineStr"/>
      <c r="D3292" s="10" t="inlineStr"/>
      <c r="E3292" s="10" t="inlineStr">
        <is>
          <t>LED STRIP LIGHT 30CM 3W   WALL PANEL</t>
        </is>
      </c>
      <c r="F3292" s="10" t="inlineStr"/>
      <c r="G3292" s="10" t="inlineStr"/>
      <c r="H3292" s="10" t="inlineStr"/>
      <c r="I3292" s="11" t="n">
        <v>59.95</v>
      </c>
      <c r="J3292" s="6" t="n">
        <v>15</v>
      </c>
      <c r="K3292" s="7">
        <f>IF(I3292="","",I3292*(1+J3292/100))</f>
        <v/>
      </c>
      <c r="L3292" s="12" t="inlineStr"/>
      <c r="M3292" s="8">
        <f>IF(OR(L3292="",K3292="",L3292=0),"",
  (L3292-K3292)/L3292*100)</f>
        <v/>
      </c>
      <c r="N3292" s="13" t="n">
        <v>1</v>
      </c>
      <c r="O3292" s="10" t="inlineStr"/>
      <c r="P3292" s="10" t="inlineStr"/>
      <c r="Q3292" s="10" t="inlineStr"/>
      <c r="R3292" s="10" t="inlineStr">
        <is>
          <t>2026-03-12</t>
        </is>
      </c>
      <c r="S3292" s="10" t="inlineStr"/>
    </row>
    <row r="3293">
      <c r="A3293" s="3" t="inlineStr">
        <is>
          <t>F03865</t>
        </is>
      </c>
      <c r="B3293" s="4" t="inlineStr">
        <is>
          <t>F03865</t>
        </is>
      </c>
      <c r="C3293" s="4" t="inlineStr"/>
      <c r="D3293" s="4" t="inlineStr"/>
      <c r="E3293" s="3" t="inlineStr">
        <is>
          <t>LED STRIP LIGHT 45CM 4W  WALL PANEL</t>
        </is>
      </c>
      <c r="F3293" s="4" t="inlineStr"/>
      <c r="G3293" s="4" t="inlineStr"/>
      <c r="H3293" s="4" t="inlineStr"/>
      <c r="I3293" s="5" t="n">
        <v>95</v>
      </c>
      <c r="J3293" s="6" t="n">
        <v>15</v>
      </c>
      <c r="K3293" s="7">
        <f>IF(I3293="","",I3293*(1+J3293/100))</f>
        <v/>
      </c>
      <c r="L3293" s="12" t="inlineStr"/>
      <c r="M3293" s="8">
        <f>IF(OR(L3293="",K3293="",L3293=0),"",
  (L3293-K3293)/L3293*100)</f>
        <v/>
      </c>
      <c r="N3293" s="14" t="n">
        <v>42</v>
      </c>
      <c r="O3293" s="4" t="inlineStr"/>
      <c r="P3293" s="4" t="inlineStr"/>
      <c r="Q3293" s="4" t="inlineStr"/>
      <c r="R3293" s="4" t="inlineStr">
        <is>
          <t>2026-03-12</t>
        </is>
      </c>
      <c r="S3293" s="4" t="inlineStr"/>
    </row>
    <row r="3294">
      <c r="A3294" s="10" t="inlineStr">
        <is>
          <t>F03866</t>
        </is>
      </c>
      <c r="B3294" s="10" t="inlineStr">
        <is>
          <t>F03866</t>
        </is>
      </c>
      <c r="C3294" s="10" t="inlineStr"/>
      <c r="D3294" s="10" t="inlineStr"/>
      <c r="E3294" s="10" t="inlineStr">
        <is>
          <t>LED LIGHT 45CM</t>
        </is>
      </c>
      <c r="F3294" s="10" t="inlineStr"/>
      <c r="G3294" s="10" t="inlineStr"/>
      <c r="H3294" s="10" t="inlineStr"/>
      <c r="I3294" s="11" t="n">
        <v>2</v>
      </c>
      <c r="J3294" s="6" t="n">
        <v>15</v>
      </c>
      <c r="K3294" s="7">
        <f>IF(I3294="","",I3294*(1+J3294/100))</f>
        <v/>
      </c>
      <c r="L3294" s="12" t="inlineStr"/>
      <c r="M3294" s="8">
        <f>IF(OR(L3294="",K3294="",L3294=0),"",
  (L3294-K3294)/L3294*100)</f>
        <v/>
      </c>
      <c r="N3294" s="9" t="inlineStr"/>
      <c r="O3294" s="10" t="inlineStr"/>
      <c r="P3294" s="10" t="inlineStr"/>
      <c r="Q3294" s="10" t="inlineStr"/>
      <c r="R3294" s="10" t="inlineStr">
        <is>
          <t>2026-03-12</t>
        </is>
      </c>
      <c r="S3294" s="10" t="inlineStr"/>
    </row>
    <row r="3295">
      <c r="A3295" s="3" t="inlineStr">
        <is>
          <t>F03867</t>
        </is>
      </c>
      <c r="B3295" s="4" t="inlineStr">
        <is>
          <t>F03867</t>
        </is>
      </c>
      <c r="C3295" s="4" t="inlineStr"/>
      <c r="D3295" s="4" t="inlineStr"/>
      <c r="E3295" s="3" t="inlineStr">
        <is>
          <t>LED STRIP LIGHT 60CM 6W   WALL PANEL</t>
        </is>
      </c>
      <c r="F3295" s="4" t="inlineStr"/>
      <c r="G3295" s="4" t="inlineStr"/>
      <c r="H3295" s="4" t="inlineStr"/>
      <c r="I3295" s="5" t="n">
        <v>139</v>
      </c>
      <c r="J3295" s="6" t="n">
        <v>15</v>
      </c>
      <c r="K3295" s="7">
        <f>IF(I3295="","",I3295*(1+J3295/100))</f>
        <v/>
      </c>
      <c r="L3295" s="12" t="inlineStr"/>
      <c r="M3295" s="8">
        <f>IF(OR(L3295="",K3295="",L3295=0),"",
  (L3295-K3295)/L3295*100)</f>
        <v/>
      </c>
      <c r="N3295" s="9" t="inlineStr"/>
      <c r="O3295" s="4" t="inlineStr"/>
      <c r="P3295" s="4" t="inlineStr"/>
      <c r="Q3295" s="4" t="inlineStr"/>
      <c r="R3295" s="4" t="inlineStr">
        <is>
          <t>2026-03-12</t>
        </is>
      </c>
      <c r="S3295" s="4" t="inlineStr"/>
    </row>
    <row r="3296">
      <c r="A3296" s="10" t="inlineStr">
        <is>
          <t>F03868</t>
        </is>
      </c>
      <c r="B3296" s="10" t="inlineStr">
        <is>
          <t>F03868</t>
        </is>
      </c>
      <c r="C3296" s="10" t="inlineStr"/>
      <c r="D3296" s="10" t="inlineStr"/>
      <c r="E3296" s="10" t="inlineStr">
        <is>
          <t>LED STRIP LIGHT 75CM 9W  WALL PANEL</t>
        </is>
      </c>
      <c r="F3296" s="10" t="inlineStr"/>
      <c r="G3296" s="10" t="inlineStr"/>
      <c r="H3296" s="10" t="inlineStr"/>
      <c r="I3296" s="11" t="n">
        <v>189</v>
      </c>
      <c r="J3296" s="6" t="n">
        <v>15</v>
      </c>
      <c r="K3296" s="7">
        <f>IF(I3296="","",I3296*(1+J3296/100))</f>
        <v/>
      </c>
      <c r="L3296" s="12" t="inlineStr"/>
      <c r="M3296" s="8">
        <f>IF(OR(L3296="",K3296="",L3296=0),"",
  (L3296-K3296)/L3296*100)</f>
        <v/>
      </c>
      <c r="N3296" s="13" t="n">
        <v>54</v>
      </c>
      <c r="O3296" s="10" t="inlineStr"/>
      <c r="P3296" s="10" t="inlineStr"/>
      <c r="Q3296" s="10" t="inlineStr"/>
      <c r="R3296" s="10" t="inlineStr">
        <is>
          <t>2026-03-12</t>
        </is>
      </c>
      <c r="S3296" s="10" t="inlineStr"/>
    </row>
    <row r="3297">
      <c r="A3297" s="3" t="inlineStr">
        <is>
          <t>F03869</t>
        </is>
      </c>
      <c r="B3297" s="4" t="inlineStr">
        <is>
          <t>F03869</t>
        </is>
      </c>
      <c r="C3297" s="4" t="inlineStr"/>
      <c r="D3297" s="4" t="inlineStr"/>
      <c r="E3297" s="3" t="inlineStr">
        <is>
          <t>LED STRIP LIGHT 90CM 12W WALL PANEL</t>
        </is>
      </c>
      <c r="F3297" s="4" t="inlineStr"/>
      <c r="G3297" s="4" t="inlineStr"/>
      <c r="H3297" s="4" t="inlineStr"/>
      <c r="I3297" s="5" t="n">
        <v>229</v>
      </c>
      <c r="J3297" s="6" t="n">
        <v>15</v>
      </c>
      <c r="K3297" s="7">
        <f>IF(I3297="","",I3297*(1+J3297/100))</f>
        <v/>
      </c>
      <c r="L3297" s="12" t="inlineStr"/>
      <c r="M3297" s="8">
        <f>IF(OR(L3297="",K3297="",L3297=0),"",
  (L3297-K3297)/L3297*100)</f>
        <v/>
      </c>
      <c r="N3297" s="14" t="n">
        <v>43</v>
      </c>
      <c r="O3297" s="4" t="inlineStr"/>
      <c r="P3297" s="4" t="inlineStr"/>
      <c r="Q3297" s="4" t="inlineStr"/>
      <c r="R3297" s="4" t="inlineStr">
        <is>
          <t>2026-03-12</t>
        </is>
      </c>
      <c r="S3297" s="4" t="inlineStr"/>
    </row>
    <row r="3298">
      <c r="A3298" s="10" t="inlineStr">
        <is>
          <t>F03870</t>
        </is>
      </c>
      <c r="B3298" s="10" t="inlineStr">
        <is>
          <t>F03870</t>
        </is>
      </c>
      <c r="C3298" s="10" t="inlineStr"/>
      <c r="D3298" s="10" t="inlineStr"/>
      <c r="E3298" s="10" t="inlineStr">
        <is>
          <t>LED STRIP LIGHT 150CM 18W WALL PANEL</t>
        </is>
      </c>
      <c r="F3298" s="10" t="inlineStr"/>
      <c r="G3298" s="10" t="inlineStr"/>
      <c r="H3298" s="10" t="inlineStr"/>
      <c r="I3298" s="11" t="n">
        <v>269</v>
      </c>
      <c r="J3298" s="6" t="n">
        <v>15</v>
      </c>
      <c r="K3298" s="7">
        <f>IF(I3298="","",I3298*(1+J3298/100))</f>
        <v/>
      </c>
      <c r="L3298" s="12" t="inlineStr"/>
      <c r="M3298" s="8">
        <f>IF(OR(L3298="",K3298="",L3298=0),"",
  (L3298-K3298)/L3298*100)</f>
        <v/>
      </c>
      <c r="N3298" s="9" t="inlineStr"/>
      <c r="O3298" s="10" t="inlineStr"/>
      <c r="P3298" s="10" t="inlineStr"/>
      <c r="Q3298" s="10" t="inlineStr"/>
      <c r="R3298" s="10" t="inlineStr">
        <is>
          <t>2026-03-12</t>
        </is>
      </c>
      <c r="S3298" s="10" t="inlineStr"/>
    </row>
    <row r="3299">
      <c r="A3299" s="3" t="inlineStr">
        <is>
          <t>F03871</t>
        </is>
      </c>
      <c r="B3299" s="4" t="inlineStr">
        <is>
          <t>F03871</t>
        </is>
      </c>
      <c r="C3299" s="4" t="inlineStr"/>
      <c r="D3299" s="4" t="inlineStr"/>
      <c r="E3299" s="3" t="inlineStr">
        <is>
          <t>WALL PANEL MONTE CARLO NATURAL LOOSE</t>
        </is>
      </c>
      <c r="F3299" s="4" t="inlineStr"/>
      <c r="G3299" s="4" t="inlineStr"/>
      <c r="H3299" s="4" t="inlineStr"/>
      <c r="I3299" s="5" t="n">
        <v>119</v>
      </c>
      <c r="J3299" s="6" t="n">
        <v>15</v>
      </c>
      <c r="K3299" s="7">
        <f>IF(I3299="","",I3299*(1+J3299/100))</f>
        <v/>
      </c>
      <c r="L3299" s="12" t="inlineStr"/>
      <c r="M3299" s="8">
        <f>IF(OR(L3299="",K3299="",L3299=0),"",
  (L3299-K3299)/L3299*100)</f>
        <v/>
      </c>
      <c r="N3299" s="9" t="inlineStr"/>
      <c r="O3299" s="4" t="inlineStr"/>
      <c r="P3299" s="4" t="inlineStr"/>
      <c r="Q3299" s="4" t="inlineStr"/>
      <c r="R3299" s="4" t="inlineStr">
        <is>
          <t>2026-03-12</t>
        </is>
      </c>
      <c r="S3299" s="4" t="inlineStr"/>
    </row>
    <row r="3300">
      <c r="A3300" s="10" t="inlineStr">
        <is>
          <t>F03872</t>
        </is>
      </c>
      <c r="B3300" s="10" t="inlineStr">
        <is>
          <t>F03872</t>
        </is>
      </c>
      <c r="C3300" s="10" t="inlineStr"/>
      <c r="D3300" s="10" t="inlineStr"/>
      <c r="E3300" s="10" t="inlineStr">
        <is>
          <t>TABLE STEEL 1.8M</t>
        </is>
      </c>
      <c r="F3300" s="10" t="inlineStr"/>
      <c r="G3300" s="10" t="inlineStr"/>
      <c r="H3300" s="10" t="inlineStr"/>
      <c r="I3300" s="11" t="n">
        <v>565.22</v>
      </c>
      <c r="J3300" s="6" t="n">
        <v>15</v>
      </c>
      <c r="K3300" s="7">
        <f>IF(I3300="","",I3300*(1+J3300/100))</f>
        <v/>
      </c>
      <c r="L3300" s="12" t="inlineStr"/>
      <c r="M3300" s="8">
        <f>IF(OR(L3300="",K3300="",L3300=0),"",
  (L3300-K3300)/L3300*100)</f>
        <v/>
      </c>
      <c r="N3300" s="9" t="inlineStr"/>
      <c r="O3300" s="10" t="inlineStr"/>
      <c r="P3300" s="10" t="inlineStr"/>
      <c r="Q3300" s="10" t="inlineStr"/>
      <c r="R3300" s="10" t="inlineStr">
        <is>
          <t>2026-03-12</t>
        </is>
      </c>
      <c r="S3300" s="10" t="inlineStr"/>
    </row>
    <row r="3301">
      <c r="A3301" s="3" t="inlineStr">
        <is>
          <t>F03873</t>
        </is>
      </c>
      <c r="B3301" s="4" t="inlineStr">
        <is>
          <t>F03873</t>
        </is>
      </c>
      <c r="C3301" s="4" t="inlineStr"/>
      <c r="D3301" s="4" t="inlineStr"/>
      <c r="E3301" s="3" t="inlineStr">
        <is>
          <t>WALL PANEL MONTE CARLO CHAMPAGN LOOSE</t>
        </is>
      </c>
      <c r="F3301" s="4" t="inlineStr"/>
      <c r="G3301" s="4" t="inlineStr"/>
      <c r="H3301" s="4" t="inlineStr"/>
      <c r="I3301" s="5" t="n">
        <v>149</v>
      </c>
      <c r="J3301" s="6" t="n">
        <v>15</v>
      </c>
      <c r="K3301" s="7">
        <f>IF(I3301="","",I3301*(1+J3301/100))</f>
        <v/>
      </c>
      <c r="L3301" s="12" t="inlineStr"/>
      <c r="M3301" s="8">
        <f>IF(OR(L3301="",K3301="",L3301=0),"",
  (L3301-K3301)/L3301*100)</f>
        <v/>
      </c>
      <c r="N3301" s="9" t="inlineStr"/>
      <c r="O3301" s="4" t="inlineStr"/>
      <c r="P3301" s="4" t="inlineStr"/>
      <c r="Q3301" s="4" t="inlineStr"/>
      <c r="R3301" s="4" t="inlineStr">
        <is>
          <t>2026-03-12</t>
        </is>
      </c>
      <c r="S3301" s="4" t="inlineStr"/>
    </row>
    <row r="3302">
      <c r="A3302" s="10" t="inlineStr">
        <is>
          <t>F03874</t>
        </is>
      </c>
      <c r="B3302" s="10" t="inlineStr">
        <is>
          <t>F03874</t>
        </is>
      </c>
      <c r="C3302" s="10" t="inlineStr"/>
      <c r="D3302" s="10" t="inlineStr"/>
      <c r="E3302" s="10" t="inlineStr">
        <is>
          <t>WALL PANEL MONTE CARLO GREY/BLAK LOOSE</t>
        </is>
      </c>
      <c r="F3302" s="10" t="inlineStr"/>
      <c r="G3302" s="10" t="inlineStr"/>
      <c r="H3302" s="10" t="inlineStr"/>
      <c r="I3302" s="11" t="n">
        <v>129</v>
      </c>
      <c r="J3302" s="6" t="n">
        <v>15</v>
      </c>
      <c r="K3302" s="7">
        <f>IF(I3302="","",I3302*(1+J3302/100))</f>
        <v/>
      </c>
      <c r="L3302" s="12" t="inlineStr"/>
      <c r="M3302" s="8">
        <f>IF(OR(L3302="",K3302="",L3302=0),"",
  (L3302-K3302)/L3302*100)</f>
        <v/>
      </c>
      <c r="N3302" s="9" t="inlineStr"/>
      <c r="O3302" s="10" t="inlineStr"/>
      <c r="P3302" s="10" t="inlineStr"/>
      <c r="Q3302" s="10" t="inlineStr"/>
      <c r="R3302" s="10" t="inlineStr">
        <is>
          <t>2026-03-12</t>
        </is>
      </c>
      <c r="S3302" s="10" t="inlineStr"/>
    </row>
    <row r="3303">
      <c r="A3303" s="3" t="inlineStr">
        <is>
          <t>F03875</t>
        </is>
      </c>
      <c r="B3303" s="4" t="inlineStr">
        <is>
          <t>F03875</t>
        </is>
      </c>
      <c r="C3303" s="4" t="inlineStr"/>
      <c r="D3303" s="4" t="inlineStr"/>
      <c r="E3303" s="3" t="inlineStr">
        <is>
          <t>WALL PANEL MONTE CARLO WOOD LOOSE</t>
        </is>
      </c>
      <c r="F3303" s="4" t="inlineStr"/>
      <c r="G3303" s="4" t="inlineStr"/>
      <c r="H3303" s="4" t="inlineStr"/>
      <c r="I3303" s="5" t="n">
        <v>129</v>
      </c>
      <c r="J3303" s="6" t="n">
        <v>15</v>
      </c>
      <c r="K3303" s="7">
        <f>IF(I3303="","",I3303*(1+J3303/100))</f>
        <v/>
      </c>
      <c r="L3303" s="12" t="inlineStr"/>
      <c r="M3303" s="8">
        <f>IF(OR(L3303="",K3303="",L3303=0),"",
  (L3303-K3303)/L3303*100)</f>
        <v/>
      </c>
      <c r="N3303" s="9" t="inlineStr"/>
      <c r="O3303" s="4" t="inlineStr"/>
      <c r="P3303" s="4" t="inlineStr"/>
      <c r="Q3303" s="4" t="inlineStr"/>
      <c r="R3303" s="4" t="inlineStr">
        <is>
          <t>2026-03-12</t>
        </is>
      </c>
      <c r="S3303" s="4" t="inlineStr"/>
    </row>
    <row r="3304">
      <c r="A3304" s="10" t="inlineStr">
        <is>
          <t>F03876</t>
        </is>
      </c>
      <c r="B3304" s="10" t="inlineStr">
        <is>
          <t>F03876</t>
        </is>
      </c>
      <c r="C3304" s="10" t="inlineStr"/>
      <c r="D3304" s="10" t="inlineStr"/>
      <c r="E3304" s="10" t="inlineStr">
        <is>
          <t>WALL PANEL CASABLANCA ANGEL LOOSE</t>
        </is>
      </c>
      <c r="F3304" s="10" t="inlineStr"/>
      <c r="G3304" s="10" t="inlineStr"/>
      <c r="H3304" s="10" t="inlineStr"/>
      <c r="I3304" s="11" t="n">
        <v>109</v>
      </c>
      <c r="J3304" s="6" t="n">
        <v>15</v>
      </c>
      <c r="K3304" s="7">
        <f>IF(I3304="","",I3304*(1+J3304/100))</f>
        <v/>
      </c>
      <c r="L3304" s="12" t="inlineStr"/>
      <c r="M3304" s="8">
        <f>IF(OR(L3304="",K3304="",L3304=0),"",
  (L3304-K3304)/L3304*100)</f>
        <v/>
      </c>
      <c r="N3304" s="9" t="inlineStr"/>
      <c r="O3304" s="10" t="inlineStr"/>
      <c r="P3304" s="10" t="inlineStr"/>
      <c r="Q3304" s="10" t="inlineStr"/>
      <c r="R3304" s="10" t="inlineStr">
        <is>
          <t>2026-03-12</t>
        </is>
      </c>
      <c r="S3304" s="10" t="inlineStr"/>
    </row>
    <row r="3305">
      <c r="A3305" s="3" t="inlineStr">
        <is>
          <t>F03877</t>
        </is>
      </c>
      <c r="B3305" s="4" t="inlineStr">
        <is>
          <t>F03877</t>
        </is>
      </c>
      <c r="C3305" s="4" t="inlineStr"/>
      <c r="D3305" s="4" t="inlineStr"/>
      <c r="E3305" s="3" t="inlineStr">
        <is>
          <t>WALL PANEL CASABLANCA GOLD LOOSE</t>
        </is>
      </c>
      <c r="F3305" s="4" t="inlineStr"/>
      <c r="G3305" s="4" t="inlineStr"/>
      <c r="H3305" s="4" t="inlineStr"/>
      <c r="I3305" s="5" t="n">
        <v>109</v>
      </c>
      <c r="J3305" s="6" t="n">
        <v>15</v>
      </c>
      <c r="K3305" s="7">
        <f>IF(I3305="","",I3305*(1+J3305/100))</f>
        <v/>
      </c>
      <c r="L3305" s="12" t="inlineStr"/>
      <c r="M3305" s="8">
        <f>IF(OR(L3305="",K3305="",L3305=0),"",
  (L3305-K3305)/L3305*100)</f>
        <v/>
      </c>
      <c r="N3305" s="9" t="inlineStr"/>
      <c r="O3305" s="4" t="inlineStr"/>
      <c r="P3305" s="4" t="inlineStr"/>
      <c r="Q3305" s="4" t="inlineStr"/>
      <c r="R3305" s="4" t="inlineStr">
        <is>
          <t>2026-03-12</t>
        </is>
      </c>
      <c r="S3305" s="4" t="inlineStr"/>
    </row>
    <row r="3306">
      <c r="A3306" s="10" t="inlineStr">
        <is>
          <t>F03878</t>
        </is>
      </c>
      <c r="B3306" s="10" t="inlineStr">
        <is>
          <t>F03878</t>
        </is>
      </c>
      <c r="C3306" s="10" t="inlineStr"/>
      <c r="D3306" s="10" t="inlineStr"/>
      <c r="E3306" s="10" t="inlineStr">
        <is>
          <t>WALL PANEL CASABLANCA GREY SMOKE LOOSE</t>
        </is>
      </c>
      <c r="F3306" s="10" t="inlineStr"/>
      <c r="G3306" s="10" t="inlineStr"/>
      <c r="H3306" s="10" t="inlineStr"/>
      <c r="I3306" s="11" t="n">
        <v>109</v>
      </c>
      <c r="J3306" s="6" t="n">
        <v>15</v>
      </c>
      <c r="K3306" s="7">
        <f>IF(I3306="","",I3306*(1+J3306/100))</f>
        <v/>
      </c>
      <c r="L3306" s="12" t="inlineStr"/>
      <c r="M3306" s="8">
        <f>IF(OR(L3306="",K3306="",L3306=0),"",
  (L3306-K3306)/L3306*100)</f>
        <v/>
      </c>
      <c r="N3306" s="9" t="inlineStr"/>
      <c r="O3306" s="10" t="inlineStr"/>
      <c r="P3306" s="10" t="inlineStr"/>
      <c r="Q3306" s="10" t="inlineStr"/>
      <c r="R3306" s="10" t="inlineStr">
        <is>
          <t>2026-03-12</t>
        </is>
      </c>
      <c r="S3306" s="10" t="inlineStr"/>
    </row>
    <row r="3307">
      <c r="A3307" s="3" t="inlineStr">
        <is>
          <t>F03879</t>
        </is>
      </c>
      <c r="B3307" s="4" t="inlineStr">
        <is>
          <t>F03879</t>
        </is>
      </c>
      <c r="C3307" s="4" t="inlineStr"/>
      <c r="D3307" s="4" t="inlineStr"/>
      <c r="E3307" s="3" t="inlineStr">
        <is>
          <t>WALL PANEL CASABLANCA MOCHA LOOSE</t>
        </is>
      </c>
      <c r="F3307" s="4" t="inlineStr"/>
      <c r="G3307" s="4" t="inlineStr"/>
      <c r="H3307" s="4" t="inlineStr"/>
      <c r="I3307" s="5" t="n">
        <v>109</v>
      </c>
      <c r="J3307" s="6" t="n">
        <v>15</v>
      </c>
      <c r="K3307" s="7">
        <f>IF(I3307="","",I3307*(1+J3307/100))</f>
        <v/>
      </c>
      <c r="L3307" s="12" t="inlineStr"/>
      <c r="M3307" s="8">
        <f>IF(OR(L3307="",K3307="",L3307=0),"",
  (L3307-K3307)/L3307*100)</f>
        <v/>
      </c>
      <c r="N3307" s="9" t="inlineStr"/>
      <c r="O3307" s="4" t="inlineStr"/>
      <c r="P3307" s="4" t="inlineStr"/>
      <c r="Q3307" s="4" t="inlineStr"/>
      <c r="R3307" s="4" t="inlineStr">
        <is>
          <t>2026-03-12</t>
        </is>
      </c>
      <c r="S3307" s="4" t="inlineStr"/>
    </row>
    <row r="3308">
      <c r="A3308" s="10" t="inlineStr">
        <is>
          <t>F03880</t>
        </is>
      </c>
      <c r="B3308" s="10" t="inlineStr">
        <is>
          <t>F03880</t>
        </is>
      </c>
      <c r="C3308" s="10" t="inlineStr"/>
      <c r="D3308" s="10" t="inlineStr"/>
      <c r="E3308" s="10" t="inlineStr">
        <is>
          <t>SHELF PAINT TRAY SET STAND+BASKETS</t>
        </is>
      </c>
      <c r="F3308" s="10" t="inlineStr"/>
      <c r="G3308" s="10" t="inlineStr"/>
      <c r="H3308" s="10" t="inlineStr"/>
      <c r="I3308" s="11" t="n">
        <v>3500</v>
      </c>
      <c r="J3308" s="6" t="n">
        <v>15</v>
      </c>
      <c r="K3308" s="7">
        <f>IF(I3308="","",I3308*(1+J3308/100))</f>
        <v/>
      </c>
      <c r="L3308" s="12" t="inlineStr"/>
      <c r="M3308" s="8">
        <f>IF(OR(L3308="",K3308="",L3308=0),"",
  (L3308-K3308)/L3308*100)</f>
        <v/>
      </c>
      <c r="N3308" s="13" t="n">
        <v>34</v>
      </c>
      <c r="O3308" s="10" t="inlineStr"/>
      <c r="P3308" s="10" t="inlineStr"/>
      <c r="Q3308" s="10" t="inlineStr"/>
      <c r="R3308" s="10" t="inlineStr">
        <is>
          <t>2026-03-12</t>
        </is>
      </c>
      <c r="S3308" s="10" t="inlineStr"/>
    </row>
    <row r="3309">
      <c r="A3309" s="3" t="inlineStr">
        <is>
          <t>F03881</t>
        </is>
      </c>
      <c r="B3309" s="4" t="inlineStr">
        <is>
          <t>F03881</t>
        </is>
      </c>
      <c r="C3309" s="4" t="inlineStr"/>
      <c r="D3309" s="4" t="inlineStr"/>
      <c r="E3309" s="3" t="inlineStr">
        <is>
          <t>SHELF + STAND FOR TOOL ALCO PEGBOARD</t>
        </is>
      </c>
      <c r="F3309" s="4" t="inlineStr"/>
      <c r="G3309" s="4" t="inlineStr"/>
      <c r="H3309" s="4" t="inlineStr"/>
      <c r="I3309" s="5" t="n">
        <v>2500</v>
      </c>
      <c r="J3309" s="6" t="n">
        <v>15</v>
      </c>
      <c r="K3309" s="7">
        <f>IF(I3309="","",I3309*(1+J3309/100))</f>
        <v/>
      </c>
      <c r="L3309" s="12" t="inlineStr"/>
      <c r="M3309" s="8">
        <f>IF(OR(L3309="",K3309="",L3309=0),"",
  (L3309-K3309)/L3309*100)</f>
        <v/>
      </c>
      <c r="N3309" s="14" t="n">
        <v>3</v>
      </c>
      <c r="O3309" s="4" t="inlineStr"/>
      <c r="P3309" s="4" t="inlineStr"/>
      <c r="Q3309" s="4" t="inlineStr"/>
      <c r="R3309" s="4" t="inlineStr">
        <is>
          <t>2026-03-12</t>
        </is>
      </c>
      <c r="S3309" s="4" t="inlineStr"/>
    </row>
    <row r="3310">
      <c r="A3310" s="10" t="inlineStr">
        <is>
          <t>F03882</t>
        </is>
      </c>
      <c r="B3310" s="10" t="inlineStr">
        <is>
          <t>F03882</t>
        </is>
      </c>
      <c r="C3310" s="10" t="inlineStr"/>
      <c r="D3310" s="10" t="inlineStr"/>
      <c r="E3310" s="10" t="inlineStr">
        <is>
          <t>SINGLE HOOK</t>
        </is>
      </c>
      <c r="F3310" s="10" t="inlineStr"/>
      <c r="G3310" s="10" t="inlineStr"/>
      <c r="H3310" s="10" t="inlineStr"/>
      <c r="I3310" s="11" t="n">
        <v>6</v>
      </c>
      <c r="J3310" s="6" t="n">
        <v>15</v>
      </c>
      <c r="K3310" s="7">
        <f>IF(I3310="","",I3310*(1+J3310/100))</f>
        <v/>
      </c>
      <c r="L3310" s="12" t="inlineStr"/>
      <c r="M3310" s="8">
        <f>IF(OR(L3310="",K3310="",L3310=0),"",
  (L3310-K3310)/L3310*100)</f>
        <v/>
      </c>
      <c r="N3310" s="13" t="n">
        <v>2640</v>
      </c>
      <c r="O3310" s="10" t="inlineStr"/>
      <c r="P3310" s="10" t="inlineStr"/>
      <c r="Q3310" s="10" t="inlineStr"/>
      <c r="R3310" s="10" t="inlineStr">
        <is>
          <t>2026-03-12</t>
        </is>
      </c>
      <c r="S3310" s="10" t="inlineStr"/>
    </row>
    <row r="3311">
      <c r="A3311" s="3" t="inlineStr">
        <is>
          <t>F03883</t>
        </is>
      </c>
      <c r="B3311" s="4" t="inlineStr">
        <is>
          <t>F03883</t>
        </is>
      </c>
      <c r="C3311" s="4" t="inlineStr"/>
      <c r="D3311" s="4" t="inlineStr"/>
      <c r="E3311" s="3" t="inlineStr">
        <is>
          <t>PLASTIC PVC ROLL</t>
        </is>
      </c>
      <c r="F3311" s="4" t="inlineStr"/>
      <c r="G3311" s="4" t="inlineStr"/>
      <c r="H3311" s="4" t="inlineStr"/>
      <c r="I3311" s="5" t="n">
        <v>2</v>
      </c>
      <c r="J3311" s="6" t="n">
        <v>15</v>
      </c>
      <c r="K3311" s="7">
        <f>IF(I3311="","",I3311*(1+J3311/100))</f>
        <v/>
      </c>
      <c r="L3311" s="12" t="inlineStr"/>
      <c r="M3311" s="8">
        <f>IF(OR(L3311="",K3311="",L3311=0),"",
  (L3311-K3311)/L3311*100)</f>
        <v/>
      </c>
      <c r="N3311" s="14" t="n">
        <v>1</v>
      </c>
      <c r="O3311" s="4" t="inlineStr"/>
      <c r="P3311" s="4" t="inlineStr"/>
      <c r="Q3311" s="4" t="inlineStr"/>
      <c r="R3311" s="4" t="inlineStr">
        <is>
          <t>2026-03-12</t>
        </is>
      </c>
      <c r="S3311" s="4" t="inlineStr"/>
    </row>
    <row r="3312">
      <c r="A3312" s="10" t="inlineStr">
        <is>
          <t>F03884</t>
        </is>
      </c>
      <c r="B3312" s="10" t="inlineStr">
        <is>
          <t>F03884</t>
        </is>
      </c>
      <c r="C3312" s="10" t="inlineStr"/>
      <c r="D3312" s="10" t="inlineStr">
        <is>
          <t>6009705655226</t>
        </is>
      </c>
      <c r="E3312" s="10" t="inlineStr">
        <is>
          <t>PAINT TRAY SET ALCO 7PC VALUE PACK</t>
        </is>
      </c>
      <c r="F3312" s="10" t="inlineStr"/>
      <c r="G3312" s="10" t="inlineStr"/>
      <c r="H3312" s="10" t="inlineStr"/>
      <c r="I3312" s="11" t="n">
        <v>49.95</v>
      </c>
      <c r="J3312" s="6" t="n">
        <v>15</v>
      </c>
      <c r="K3312" s="7">
        <f>IF(I3312="","",I3312*(1+J3312/100))</f>
        <v/>
      </c>
      <c r="L3312" s="12" t="inlineStr"/>
      <c r="M3312" s="8">
        <f>IF(OR(L3312="",K3312="",L3312=0),"",
  (L3312-K3312)/L3312*100)</f>
        <v/>
      </c>
      <c r="N3312" s="9" t="inlineStr"/>
      <c r="O3312" s="10" t="inlineStr"/>
      <c r="P3312" s="10" t="inlineStr"/>
      <c r="Q3312" s="10" t="inlineStr"/>
      <c r="R3312" s="10" t="inlineStr">
        <is>
          <t>2026-03-12</t>
        </is>
      </c>
      <c r="S3312" s="10" t="inlineStr"/>
    </row>
    <row r="3313">
      <c r="A3313" s="3" t="inlineStr">
        <is>
          <t>F03886</t>
        </is>
      </c>
      <c r="B3313" s="4" t="inlineStr">
        <is>
          <t>F03886</t>
        </is>
      </c>
      <c r="C3313" s="4" t="inlineStr"/>
      <c r="D3313" s="4" t="inlineStr"/>
      <c r="E3313" s="3" t="inlineStr">
        <is>
          <t>BRAAI UTILITY SET 4PCS CH305 CNT</t>
        </is>
      </c>
      <c r="F3313" s="4" t="inlineStr"/>
      <c r="G3313" s="4" t="inlineStr"/>
      <c r="H3313" s="4" t="inlineStr"/>
      <c r="I3313" s="5" t="n">
        <v>155</v>
      </c>
      <c r="J3313" s="6" t="n">
        <v>15</v>
      </c>
      <c r="K3313" s="7">
        <f>IF(I3313="","",I3313*(1+J3313/100))</f>
        <v/>
      </c>
      <c r="L3313" s="12" t="inlineStr"/>
      <c r="M3313" s="8">
        <f>IF(OR(L3313="",K3313="",L3313=0),"",
  (L3313-K3313)/L3313*100)</f>
        <v/>
      </c>
      <c r="N3313" s="14" t="n">
        <v>5</v>
      </c>
      <c r="O3313" s="4" t="inlineStr"/>
      <c r="P3313" s="4" t="inlineStr"/>
      <c r="Q3313" s="4" t="inlineStr"/>
      <c r="R3313" s="4" t="inlineStr">
        <is>
          <t>2026-03-12</t>
        </is>
      </c>
      <c r="S3313" s="4" t="inlineStr"/>
    </row>
    <row r="3314">
      <c r="A3314" s="10" t="inlineStr">
        <is>
          <t>F03887</t>
        </is>
      </c>
      <c r="B3314" s="10" t="inlineStr">
        <is>
          <t>F03887</t>
        </is>
      </c>
      <c r="C3314" s="10" t="inlineStr"/>
      <c r="D3314" s="10" t="inlineStr"/>
      <c r="E3314" s="10" t="inlineStr">
        <is>
          <t>DOWNLIGHT KIT 5W GOLD 3PC - SWIVEL</t>
        </is>
      </c>
      <c r="F3314" s="10" t="inlineStr"/>
      <c r="G3314" s="10" t="inlineStr"/>
      <c r="H3314" s="10" t="inlineStr"/>
      <c r="I3314" s="11" t="n">
        <v>50</v>
      </c>
      <c r="J3314" s="6" t="n">
        <v>15</v>
      </c>
      <c r="K3314" s="7">
        <f>IF(I3314="","",I3314*(1+J3314/100))</f>
        <v/>
      </c>
      <c r="L3314" s="12" t="inlineStr"/>
      <c r="M3314" s="8">
        <f>IF(OR(L3314="",K3314="",L3314=0),"",
  (L3314-K3314)/L3314*100)</f>
        <v/>
      </c>
      <c r="N3314" s="13" t="n">
        <v>100</v>
      </c>
      <c r="O3314" s="10" t="inlineStr"/>
      <c r="P3314" s="10" t="inlineStr"/>
      <c r="Q3314" s="10" t="inlineStr"/>
      <c r="R3314" s="10" t="inlineStr">
        <is>
          <t>2026-03-12</t>
        </is>
      </c>
      <c r="S3314" s="10" t="inlineStr"/>
    </row>
    <row r="3315">
      <c r="A3315" s="3" t="inlineStr">
        <is>
          <t>F03888</t>
        </is>
      </c>
      <c r="B3315" s="4" t="inlineStr">
        <is>
          <t>F03888</t>
        </is>
      </c>
      <c r="C3315" s="4" t="inlineStr"/>
      <c r="D3315" s="4" t="inlineStr"/>
      <c r="E3315" s="3" t="inlineStr">
        <is>
          <t>DOWNLIGHT KIT 5W WHITE 3PC - SWIVEL</t>
        </is>
      </c>
      <c r="F3315" s="4" t="inlineStr"/>
      <c r="G3315" s="4" t="inlineStr"/>
      <c r="H3315" s="4" t="inlineStr"/>
      <c r="I3315" s="5" t="n">
        <v>50</v>
      </c>
      <c r="J3315" s="6" t="n">
        <v>15</v>
      </c>
      <c r="K3315" s="7">
        <f>IF(I3315="","",I3315*(1+J3315/100))</f>
        <v/>
      </c>
      <c r="L3315" s="12" t="inlineStr"/>
      <c r="M3315" s="8">
        <f>IF(OR(L3315="",K3315="",L3315=0),"",
  (L3315-K3315)/L3315*100)</f>
        <v/>
      </c>
      <c r="N3315" s="14" t="n">
        <v>100</v>
      </c>
      <c r="O3315" s="4" t="inlineStr"/>
      <c r="P3315" s="4" t="inlineStr"/>
      <c r="Q3315" s="4" t="inlineStr"/>
      <c r="R3315" s="4" t="inlineStr">
        <is>
          <t>2026-03-12</t>
        </is>
      </c>
      <c r="S3315" s="4" t="inlineStr"/>
    </row>
    <row r="3316">
      <c r="A3316" s="10" t="inlineStr">
        <is>
          <t>F03889</t>
        </is>
      </c>
      <c r="B3316" s="10" t="inlineStr">
        <is>
          <t>F03889</t>
        </is>
      </c>
      <c r="C3316" s="10" t="inlineStr"/>
      <c r="D3316" s="10" t="inlineStr"/>
      <c r="E3316" s="10" t="inlineStr">
        <is>
          <t>DOWNLIGHT KIT 5W GUN METAL 3PC - SWIVEL</t>
        </is>
      </c>
      <c r="F3316" s="10" t="inlineStr"/>
      <c r="G3316" s="10" t="inlineStr"/>
      <c r="H3316" s="10" t="inlineStr"/>
      <c r="I3316" s="11" t="n">
        <v>50</v>
      </c>
      <c r="J3316" s="6" t="n">
        <v>15</v>
      </c>
      <c r="K3316" s="7">
        <f>IF(I3316="","",I3316*(1+J3316/100))</f>
        <v/>
      </c>
      <c r="L3316" s="12" t="inlineStr"/>
      <c r="M3316" s="8">
        <f>IF(OR(L3316="",K3316="",L3316=0),"",
  (L3316-K3316)/L3316*100)</f>
        <v/>
      </c>
      <c r="N3316" s="13" t="n">
        <v>100</v>
      </c>
      <c r="O3316" s="10" t="inlineStr"/>
      <c r="P3316" s="10" t="inlineStr"/>
      <c r="Q3316" s="10" t="inlineStr"/>
      <c r="R3316" s="10" t="inlineStr">
        <is>
          <t>2026-03-12</t>
        </is>
      </c>
      <c r="S3316" s="10" t="inlineStr"/>
    </row>
    <row r="3317">
      <c r="A3317" s="3" t="inlineStr">
        <is>
          <t>F03890</t>
        </is>
      </c>
      <c r="B3317" s="4" t="inlineStr">
        <is>
          <t>F03890</t>
        </is>
      </c>
      <c r="C3317" s="4" t="inlineStr"/>
      <c r="D3317" s="4" t="inlineStr"/>
      <c r="E3317" s="3" t="inlineStr">
        <is>
          <t>DOWNLIGHT KIT 5W GOLD 3PC - FIXED</t>
        </is>
      </c>
      <c r="F3317" s="4" t="inlineStr"/>
      <c r="G3317" s="4" t="inlineStr"/>
      <c r="H3317" s="4" t="inlineStr"/>
      <c r="I3317" s="5" t="n">
        <v>23.95</v>
      </c>
      <c r="J3317" s="6" t="n">
        <v>15</v>
      </c>
      <c r="K3317" s="7">
        <f>IF(I3317="","",I3317*(1+J3317/100))</f>
        <v/>
      </c>
      <c r="L3317" s="12" t="inlineStr"/>
      <c r="M3317" s="8">
        <f>IF(OR(L3317="",K3317="",L3317=0),"",
  (L3317-K3317)/L3317*100)</f>
        <v/>
      </c>
      <c r="N3317" s="14" t="n">
        <v>5</v>
      </c>
      <c r="O3317" s="4" t="inlineStr"/>
      <c r="P3317" s="4" t="inlineStr"/>
      <c r="Q3317" s="4" t="inlineStr"/>
      <c r="R3317" s="4" t="inlineStr">
        <is>
          <t>2026-03-12</t>
        </is>
      </c>
      <c r="S3317" s="4" t="inlineStr"/>
    </row>
    <row r="3318">
      <c r="A3318" s="10" t="inlineStr">
        <is>
          <t>F03891</t>
        </is>
      </c>
      <c r="B3318" s="10" t="inlineStr">
        <is>
          <t>F03891</t>
        </is>
      </c>
      <c r="C3318" s="10" t="inlineStr"/>
      <c r="D3318" s="10" t="inlineStr"/>
      <c r="E3318" s="10" t="inlineStr">
        <is>
          <t>DOWNLIGHT KIT 5W WHITE 3PC - FIXED</t>
        </is>
      </c>
      <c r="F3318" s="10" t="inlineStr"/>
      <c r="G3318" s="10" t="inlineStr"/>
      <c r="H3318" s="10" t="inlineStr"/>
      <c r="I3318" s="11" t="n">
        <v>34</v>
      </c>
      <c r="J3318" s="6" t="n">
        <v>15</v>
      </c>
      <c r="K3318" s="7">
        <f>IF(I3318="","",I3318*(1+J3318/100))</f>
        <v/>
      </c>
      <c r="L3318" s="12" t="inlineStr"/>
      <c r="M3318" s="8">
        <f>IF(OR(L3318="",K3318="",L3318=0),"",
  (L3318-K3318)/L3318*100)</f>
        <v/>
      </c>
      <c r="N3318" s="13" t="n">
        <v>40</v>
      </c>
      <c r="O3318" s="10" t="inlineStr"/>
      <c r="P3318" s="10" t="inlineStr"/>
      <c r="Q3318" s="10" t="inlineStr"/>
      <c r="R3318" s="10" t="inlineStr">
        <is>
          <t>2026-03-12</t>
        </is>
      </c>
      <c r="S3318" s="10" t="inlineStr"/>
    </row>
    <row r="3319">
      <c r="A3319" s="3" t="inlineStr">
        <is>
          <t>F03892</t>
        </is>
      </c>
      <c r="B3319" s="4" t="inlineStr">
        <is>
          <t>F03892</t>
        </is>
      </c>
      <c r="C3319" s="4" t="inlineStr"/>
      <c r="D3319" s="4" t="inlineStr"/>
      <c r="E3319" s="3" t="inlineStr">
        <is>
          <t>DOWNLIGHT KIT 5W GUN METAL 3PC - FIXED</t>
        </is>
      </c>
      <c r="F3319" s="4" t="inlineStr"/>
      <c r="G3319" s="4" t="inlineStr"/>
      <c r="H3319" s="4" t="inlineStr"/>
      <c r="I3319" s="5" t="n">
        <v>23.95</v>
      </c>
      <c r="J3319" s="6" t="n">
        <v>15</v>
      </c>
      <c r="K3319" s="7">
        <f>IF(I3319="","",I3319*(1+J3319/100))</f>
        <v/>
      </c>
      <c r="L3319" s="12" t="inlineStr"/>
      <c r="M3319" s="8">
        <f>IF(OR(L3319="",K3319="",L3319=0),"",
  (L3319-K3319)/L3319*100)</f>
        <v/>
      </c>
      <c r="N3319" s="9" t="inlineStr"/>
      <c r="O3319" s="4" t="inlineStr"/>
      <c r="P3319" s="4" t="inlineStr"/>
      <c r="Q3319" s="4" t="inlineStr"/>
      <c r="R3319" s="4" t="inlineStr">
        <is>
          <t>2026-03-12</t>
        </is>
      </c>
      <c r="S3319" s="4" t="inlineStr"/>
    </row>
    <row r="3320">
      <c r="A3320" s="10" t="inlineStr">
        <is>
          <t>F03893</t>
        </is>
      </c>
      <c r="B3320" s="10" t="inlineStr">
        <is>
          <t>F03893</t>
        </is>
      </c>
      <c r="C3320" s="10" t="inlineStr"/>
      <c r="D3320" s="10" t="inlineStr">
        <is>
          <t>6009705655240</t>
        </is>
      </c>
      <c r="E3320" s="10" t="inlineStr">
        <is>
          <t>PLATE WHITE SQ 9"</t>
        </is>
      </c>
      <c r="F3320" s="10" t="inlineStr"/>
      <c r="G3320" s="10" t="inlineStr"/>
      <c r="H3320" s="10" t="inlineStr"/>
      <c r="I3320" s="11" t="n">
        <v>3</v>
      </c>
      <c r="J3320" s="6" t="n">
        <v>15</v>
      </c>
      <c r="K3320" s="7">
        <f>IF(I3320="","",I3320*(1+J3320/100))</f>
        <v/>
      </c>
      <c r="L3320" s="12" t="inlineStr"/>
      <c r="M3320" s="8">
        <f>IF(OR(L3320="",K3320="",L3320=0),"",
  (L3320-K3320)/L3320*100)</f>
        <v/>
      </c>
      <c r="N3320" s="9" t="inlineStr"/>
      <c r="O3320" s="10" t="inlineStr"/>
      <c r="P3320" s="10" t="inlineStr"/>
      <c r="Q3320" s="10" t="inlineStr"/>
      <c r="R3320" s="10" t="inlineStr">
        <is>
          <t>2026-03-12</t>
        </is>
      </c>
      <c r="S3320" s="10" t="inlineStr"/>
    </row>
    <row r="3321">
      <c r="A3321" s="3" t="inlineStr">
        <is>
          <t>F03894</t>
        </is>
      </c>
      <c r="B3321" s="4" t="inlineStr">
        <is>
          <t>F03894</t>
        </is>
      </c>
      <c r="C3321" s="4" t="inlineStr"/>
      <c r="D3321" s="4" t="inlineStr">
        <is>
          <t>6009705655257</t>
        </is>
      </c>
      <c r="E3321" s="3" t="inlineStr">
        <is>
          <t>EDGING U PROFILE SILVER 2CMX3M</t>
        </is>
      </c>
      <c r="F3321" s="4" t="inlineStr"/>
      <c r="G3321" s="4" t="inlineStr"/>
      <c r="H3321" s="4" t="inlineStr"/>
      <c r="I3321" s="5" t="n">
        <v>23</v>
      </c>
      <c r="J3321" s="6" t="n">
        <v>15</v>
      </c>
      <c r="K3321" s="7">
        <f>IF(I3321="","",I3321*(1+J3321/100))</f>
        <v/>
      </c>
      <c r="L3321" s="12" t="inlineStr"/>
      <c r="M3321" s="8">
        <f>IF(OR(L3321="",K3321="",L3321=0),"",
  (L3321-K3321)/L3321*100)</f>
        <v/>
      </c>
      <c r="N3321" s="9" t="inlineStr"/>
      <c r="O3321" s="4" t="inlineStr"/>
      <c r="P3321" s="4" t="inlineStr"/>
      <c r="Q3321" s="4" t="inlineStr"/>
      <c r="R3321" s="4" t="inlineStr">
        <is>
          <t>2026-03-12</t>
        </is>
      </c>
      <c r="S3321" s="4" t="inlineStr"/>
    </row>
    <row r="3322">
      <c r="A3322" s="10" t="inlineStr">
        <is>
          <t>F03895</t>
        </is>
      </c>
      <c r="B3322" s="10" t="inlineStr">
        <is>
          <t>F03895</t>
        </is>
      </c>
      <c r="C3322" s="10" t="inlineStr"/>
      <c r="D3322" s="10" t="inlineStr">
        <is>
          <t>6009705655264</t>
        </is>
      </c>
      <c r="E3322" s="10" t="inlineStr">
        <is>
          <t>EDGING U PROFILE BLACK 2CMX3M</t>
        </is>
      </c>
      <c r="F3322" s="10" t="inlineStr"/>
      <c r="G3322" s="10" t="inlineStr"/>
      <c r="H3322" s="10" t="inlineStr"/>
      <c r="I3322" s="11" t="n">
        <v>22</v>
      </c>
      <c r="J3322" s="6" t="n">
        <v>15</v>
      </c>
      <c r="K3322" s="7">
        <f>IF(I3322="","",I3322*(1+J3322/100))</f>
        <v/>
      </c>
      <c r="L3322" s="12" t="inlineStr"/>
      <c r="M3322" s="8">
        <f>IF(OR(L3322="",K3322="",L3322=0),"",
  (L3322-K3322)/L3322*100)</f>
        <v/>
      </c>
      <c r="N3322" s="9" t="inlineStr"/>
      <c r="O3322" s="10" t="inlineStr"/>
      <c r="P3322" s="10" t="inlineStr"/>
      <c r="Q3322" s="10" t="inlineStr"/>
      <c r="R3322" s="10" t="inlineStr">
        <is>
          <t>2026-03-12</t>
        </is>
      </c>
      <c r="S3322" s="10" t="inlineStr"/>
    </row>
    <row r="3323">
      <c r="A3323" s="3" t="inlineStr">
        <is>
          <t>F03896</t>
        </is>
      </c>
      <c r="B3323" s="4" t="inlineStr">
        <is>
          <t>F03896</t>
        </is>
      </c>
      <c r="C3323" s="4" t="inlineStr"/>
      <c r="D3323" s="4" t="inlineStr">
        <is>
          <t>6009705655271</t>
        </is>
      </c>
      <c r="E3323" s="3" t="inlineStr">
        <is>
          <t>WALL P BLOCK D ARTE 3D WHITE</t>
        </is>
      </c>
      <c r="F3323" s="4" t="inlineStr"/>
      <c r="G3323" s="4" t="inlineStr"/>
      <c r="H3323" s="4" t="inlineStr"/>
      <c r="I3323" s="5" t="n">
        <v>33</v>
      </c>
      <c r="J3323" s="6" t="n">
        <v>15</v>
      </c>
      <c r="K3323" s="7">
        <f>IF(I3323="","",I3323*(1+J3323/100))</f>
        <v/>
      </c>
      <c r="L3323" s="12" t="inlineStr"/>
      <c r="M3323" s="8">
        <f>IF(OR(L3323="",K3323="",L3323=0),"",
  (L3323-K3323)/L3323*100)</f>
        <v/>
      </c>
      <c r="N3323" s="9" t="inlineStr"/>
      <c r="O3323" s="4" t="inlineStr"/>
      <c r="P3323" s="4" t="inlineStr"/>
      <c r="Q3323" s="4" t="inlineStr"/>
      <c r="R3323" s="4" t="inlineStr">
        <is>
          <t>2026-03-12</t>
        </is>
      </c>
      <c r="S3323" s="4" t="inlineStr"/>
    </row>
    <row r="3324">
      <c r="A3324" s="10" t="inlineStr">
        <is>
          <t>F03897</t>
        </is>
      </c>
      <c r="B3324" s="10" t="inlineStr">
        <is>
          <t>F03897</t>
        </is>
      </c>
      <c r="C3324" s="10" t="inlineStr"/>
      <c r="D3324" s="10" t="inlineStr">
        <is>
          <t>6009705655288</t>
        </is>
      </c>
      <c r="E3324" s="10" t="inlineStr">
        <is>
          <t>WALL P BLOCK D ARTE WHITE D137 WAVE</t>
        </is>
      </c>
      <c r="F3324" s="10" t="inlineStr"/>
      <c r="G3324" s="10" t="inlineStr"/>
      <c r="H3324" s="10" t="inlineStr"/>
      <c r="I3324" s="11" t="n">
        <v>33</v>
      </c>
      <c r="J3324" s="6" t="n">
        <v>15</v>
      </c>
      <c r="K3324" s="7">
        <f>IF(I3324="","",I3324*(1+J3324/100))</f>
        <v/>
      </c>
      <c r="L3324" s="12" t="inlineStr"/>
      <c r="M3324" s="8">
        <f>IF(OR(L3324="",K3324="",L3324=0),"",
  (L3324-K3324)/L3324*100)</f>
        <v/>
      </c>
      <c r="N3324" s="9" t="inlineStr"/>
      <c r="O3324" s="10" t="inlineStr"/>
      <c r="P3324" s="10" t="inlineStr"/>
      <c r="Q3324" s="10" t="inlineStr"/>
      <c r="R3324" s="10" t="inlineStr">
        <is>
          <t>2026-03-12</t>
        </is>
      </c>
      <c r="S3324" s="10" t="inlineStr"/>
    </row>
    <row r="3325">
      <c r="A3325" s="3" t="inlineStr">
        <is>
          <t>F03898</t>
        </is>
      </c>
      <c r="B3325" s="4" t="inlineStr">
        <is>
          <t>F03898</t>
        </is>
      </c>
      <c r="C3325" s="4" t="inlineStr"/>
      <c r="D3325" s="4" t="inlineStr">
        <is>
          <t>6009705655295</t>
        </is>
      </c>
      <c r="E3325" s="3" t="inlineStr">
        <is>
          <t>WALL P BLOCK D ARTE WHITE D131 DAIMOND</t>
        </is>
      </c>
      <c r="F3325" s="4" t="inlineStr"/>
      <c r="G3325" s="4" t="inlineStr"/>
      <c r="H3325" s="4" t="inlineStr"/>
      <c r="I3325" s="5" t="n">
        <v>232</v>
      </c>
      <c r="J3325" s="6" t="n">
        <v>15</v>
      </c>
      <c r="K3325" s="7">
        <f>IF(I3325="","",I3325*(1+J3325/100))</f>
        <v/>
      </c>
      <c r="L3325" s="12" t="inlineStr"/>
      <c r="M3325" s="8">
        <f>IF(OR(L3325="",K3325="",L3325=0),"",
  (L3325-K3325)/L3325*100)</f>
        <v/>
      </c>
      <c r="N3325" s="9" t="inlineStr"/>
      <c r="O3325" s="4" t="inlineStr"/>
      <c r="P3325" s="4" t="inlineStr"/>
      <c r="Q3325" s="4" t="inlineStr"/>
      <c r="R3325" s="4" t="inlineStr">
        <is>
          <t>2026-03-12</t>
        </is>
      </c>
      <c r="S3325" s="4" t="inlineStr"/>
    </row>
    <row r="3326">
      <c r="A3326" s="10" t="inlineStr">
        <is>
          <t>F03899</t>
        </is>
      </c>
      <c r="B3326" s="10" t="inlineStr">
        <is>
          <t>F03899</t>
        </is>
      </c>
      <c r="C3326" s="10" t="inlineStr"/>
      <c r="D3326" s="10" t="inlineStr">
        <is>
          <t>6009705655301</t>
        </is>
      </c>
      <c r="E3326" s="10" t="inlineStr">
        <is>
          <t>WALL P BLOCK D ARTE WHITE D150</t>
        </is>
      </c>
      <c r="F3326" s="10" t="inlineStr"/>
      <c r="G3326" s="10" t="inlineStr"/>
      <c r="H3326" s="10" t="inlineStr"/>
      <c r="I3326" s="11" t="n">
        <v>33</v>
      </c>
      <c r="J3326" s="6" t="n">
        <v>15</v>
      </c>
      <c r="K3326" s="7">
        <f>IF(I3326="","",I3326*(1+J3326/100))</f>
        <v/>
      </c>
      <c r="L3326" s="12" t="inlineStr"/>
      <c r="M3326" s="8">
        <f>IF(OR(L3326="",K3326="",L3326=0),"",
  (L3326-K3326)/L3326*100)</f>
        <v/>
      </c>
      <c r="N3326" s="9" t="inlineStr"/>
      <c r="O3326" s="10" t="inlineStr"/>
      <c r="P3326" s="10" t="inlineStr"/>
      <c r="Q3326" s="10" t="inlineStr"/>
      <c r="R3326" s="10" t="inlineStr">
        <is>
          <t>2026-03-12</t>
        </is>
      </c>
      <c r="S3326" s="10" t="inlineStr"/>
    </row>
    <row r="3327">
      <c r="A3327" s="3" t="inlineStr">
        <is>
          <t>F03900</t>
        </is>
      </c>
      <c r="B3327" s="4" t="inlineStr">
        <is>
          <t>F03900</t>
        </is>
      </c>
      <c r="C3327" s="4" t="inlineStr"/>
      <c r="D3327" s="4" t="inlineStr">
        <is>
          <t>6009705655318</t>
        </is>
      </c>
      <c r="E3327" s="3" t="inlineStr">
        <is>
          <t>WALL P BLOCK D ARTE WHITE D144</t>
        </is>
      </c>
      <c r="F3327" s="4" t="inlineStr"/>
      <c r="G3327" s="4" t="inlineStr"/>
      <c r="H3327" s="4" t="inlineStr"/>
      <c r="I3327" s="5" t="n">
        <v>33</v>
      </c>
      <c r="J3327" s="6" t="n">
        <v>15</v>
      </c>
      <c r="K3327" s="7">
        <f>IF(I3327="","",I3327*(1+J3327/100))</f>
        <v/>
      </c>
      <c r="L3327" s="12" t="inlineStr"/>
      <c r="M3327" s="8">
        <f>IF(OR(L3327="",K3327="",L3327=0),"",
  (L3327-K3327)/L3327*100)</f>
        <v/>
      </c>
      <c r="N3327" s="9" t="inlineStr"/>
      <c r="O3327" s="4" t="inlineStr"/>
      <c r="P3327" s="4" t="inlineStr"/>
      <c r="Q3327" s="4" t="inlineStr"/>
      <c r="R3327" s="4" t="inlineStr">
        <is>
          <t>2026-03-12</t>
        </is>
      </c>
      <c r="S3327" s="4" t="inlineStr"/>
    </row>
    <row r="3328">
      <c r="A3328" s="10" t="inlineStr">
        <is>
          <t>F03901</t>
        </is>
      </c>
      <c r="B3328" s="10" t="inlineStr">
        <is>
          <t>F03901</t>
        </is>
      </c>
      <c r="C3328" s="10" t="inlineStr"/>
      <c r="D3328" s="10" t="inlineStr">
        <is>
          <t>6009705655325</t>
        </is>
      </c>
      <c r="E3328" s="10" t="inlineStr">
        <is>
          <t>WALL P BLOCK D ARTE WHITE D149</t>
        </is>
      </c>
      <c r="F3328" s="10" t="inlineStr"/>
      <c r="G3328" s="10" t="inlineStr"/>
      <c r="H3328" s="10" t="inlineStr"/>
      <c r="I3328" s="11" t="n">
        <v>33</v>
      </c>
      <c r="J3328" s="6" t="n">
        <v>15</v>
      </c>
      <c r="K3328" s="7">
        <f>IF(I3328="","",I3328*(1+J3328/100))</f>
        <v/>
      </c>
      <c r="L3328" s="12" t="inlineStr"/>
      <c r="M3328" s="8">
        <f>IF(OR(L3328="",K3328="",L3328=0),"",
  (L3328-K3328)/L3328*100)</f>
        <v/>
      </c>
      <c r="N3328" s="9" t="inlineStr"/>
      <c r="O3328" s="10" t="inlineStr"/>
      <c r="P3328" s="10" t="inlineStr"/>
      <c r="Q3328" s="10" t="inlineStr"/>
      <c r="R3328" s="10" t="inlineStr">
        <is>
          <t>2026-03-12</t>
        </is>
      </c>
      <c r="S3328" s="10" t="inlineStr"/>
    </row>
    <row r="3329">
      <c r="A3329" s="3" t="inlineStr">
        <is>
          <t>F03902</t>
        </is>
      </c>
      <c r="B3329" s="4" t="inlineStr">
        <is>
          <t>F03902</t>
        </is>
      </c>
      <c r="C3329" s="4" t="inlineStr"/>
      <c r="D3329" s="4" t="inlineStr">
        <is>
          <t>6009705655332</t>
        </is>
      </c>
      <c r="E3329" s="3" t="inlineStr">
        <is>
          <t>PVC ROLL SELF STICK PANDA GREY 1.2X3M</t>
        </is>
      </c>
      <c r="F3329" s="4" t="inlineStr"/>
      <c r="G3329" s="4" t="inlineStr"/>
      <c r="H3329" s="4" t="inlineStr"/>
      <c r="I3329" s="5" t="n">
        <v>3</v>
      </c>
      <c r="J3329" s="6" t="n">
        <v>15</v>
      </c>
      <c r="K3329" s="7">
        <f>IF(I3329="","",I3329*(1+J3329/100))</f>
        <v/>
      </c>
      <c r="L3329" s="12" t="inlineStr"/>
      <c r="M3329" s="8">
        <f>IF(OR(L3329="",K3329="",L3329=0),"",
  (L3329-K3329)/L3329*100)</f>
        <v/>
      </c>
      <c r="N3329" s="9" t="inlineStr"/>
      <c r="O3329" s="4" t="inlineStr"/>
      <c r="P3329" s="4" t="inlineStr"/>
      <c r="Q3329" s="4" t="inlineStr"/>
      <c r="R3329" s="4" t="inlineStr">
        <is>
          <t>2026-03-12</t>
        </is>
      </c>
      <c r="S3329" s="4" t="inlineStr"/>
    </row>
    <row r="3330">
      <c r="A3330" s="10" t="inlineStr">
        <is>
          <t>F03903</t>
        </is>
      </c>
      <c r="B3330" s="10" t="inlineStr">
        <is>
          <t>F03903</t>
        </is>
      </c>
      <c r="C3330" s="10" t="inlineStr"/>
      <c r="D3330" s="10" t="inlineStr">
        <is>
          <t>6009705655349</t>
        </is>
      </c>
      <c r="E3330" s="10" t="inlineStr">
        <is>
          <t>PVC ROLL SELF STICK MAPLE WOOD 1.2X3M</t>
        </is>
      </c>
      <c r="F3330" s="10" t="inlineStr"/>
      <c r="G3330" s="10" t="inlineStr"/>
      <c r="H3330" s="10" t="inlineStr"/>
      <c r="I3330" s="11" t="n">
        <v>4</v>
      </c>
      <c r="J3330" s="6" t="n">
        <v>15</v>
      </c>
      <c r="K3330" s="7">
        <f>IF(I3330="","",I3330*(1+J3330/100))</f>
        <v/>
      </c>
      <c r="L3330" s="12" t="inlineStr"/>
      <c r="M3330" s="8">
        <f>IF(OR(L3330="",K3330="",L3330=0),"",
  (L3330-K3330)/L3330*100)</f>
        <v/>
      </c>
      <c r="N3330" s="9" t="inlineStr"/>
      <c r="O3330" s="10" t="inlineStr"/>
      <c r="P3330" s="10" t="inlineStr"/>
      <c r="Q3330" s="10" t="inlineStr"/>
      <c r="R3330" s="10" t="inlineStr">
        <is>
          <t>2026-03-12</t>
        </is>
      </c>
      <c r="S3330" s="10" t="inlineStr"/>
    </row>
    <row r="3331">
      <c r="A3331" s="3" t="inlineStr">
        <is>
          <t>F03904</t>
        </is>
      </c>
      <c r="B3331" s="4" t="inlineStr">
        <is>
          <t>F03904</t>
        </is>
      </c>
      <c r="C3331" s="4" t="inlineStr"/>
      <c r="D3331" s="4" t="inlineStr">
        <is>
          <t>6009705655356</t>
        </is>
      </c>
      <c r="E3331" s="3" t="inlineStr">
        <is>
          <t>PVC ROLL SELF STICK CREMA NUDE 1.2X3M</t>
        </is>
      </c>
      <c r="F3331" s="4" t="inlineStr"/>
      <c r="G3331" s="4" t="inlineStr"/>
      <c r="H3331" s="4" t="inlineStr"/>
      <c r="I3331" s="5" t="n">
        <v>4</v>
      </c>
      <c r="J3331" s="6" t="n">
        <v>15</v>
      </c>
      <c r="K3331" s="7">
        <f>IF(I3331="","",I3331*(1+J3331/100))</f>
        <v/>
      </c>
      <c r="L3331" s="12" t="inlineStr"/>
      <c r="M3331" s="8">
        <f>IF(OR(L3331="",K3331="",L3331=0),"",
  (L3331-K3331)/L3331*100)</f>
        <v/>
      </c>
      <c r="N3331" s="9" t="inlineStr"/>
      <c r="O3331" s="4" t="inlineStr"/>
      <c r="P3331" s="4" t="inlineStr"/>
      <c r="Q3331" s="4" t="inlineStr"/>
      <c r="R3331" s="4" t="inlineStr">
        <is>
          <t>2026-03-12</t>
        </is>
      </c>
      <c r="S3331" s="4" t="inlineStr"/>
    </row>
    <row r="3332">
      <c r="A3332" s="10" t="inlineStr">
        <is>
          <t>F03905</t>
        </is>
      </c>
      <c r="B3332" s="10" t="inlineStr">
        <is>
          <t>F03905</t>
        </is>
      </c>
      <c r="C3332" s="10" t="inlineStr"/>
      <c r="D3332" s="10" t="inlineStr">
        <is>
          <t>6009705655363</t>
        </is>
      </c>
      <c r="E3332" s="10" t="inlineStr">
        <is>
          <t>PVC ROLL SELF STICK LIGHT GREY 1.2X3M</t>
        </is>
      </c>
      <c r="F3332" s="10" t="inlineStr"/>
      <c r="G3332" s="10" t="inlineStr"/>
      <c r="H3332" s="10" t="inlineStr"/>
      <c r="I3332" s="11" t="n">
        <v>3</v>
      </c>
      <c r="J3332" s="6" t="n">
        <v>15</v>
      </c>
      <c r="K3332" s="7">
        <f>IF(I3332="","",I3332*(1+J3332/100))</f>
        <v/>
      </c>
      <c r="L3332" s="12" t="inlineStr"/>
      <c r="M3332" s="8">
        <f>IF(OR(L3332="",K3332="",L3332=0),"",
  (L3332-K3332)/L3332*100)</f>
        <v/>
      </c>
      <c r="N3332" s="9" t="inlineStr"/>
      <c r="O3332" s="10" t="inlineStr"/>
      <c r="P3332" s="10" t="inlineStr"/>
      <c r="Q3332" s="10" t="inlineStr"/>
      <c r="R3332" s="10" t="inlineStr">
        <is>
          <t>2026-03-12</t>
        </is>
      </c>
      <c r="S3332" s="10" t="inlineStr"/>
    </row>
    <row r="3333">
      <c r="A3333" s="3" t="inlineStr">
        <is>
          <t>F03906</t>
        </is>
      </c>
      <c r="B3333" s="4" t="inlineStr">
        <is>
          <t>F03906</t>
        </is>
      </c>
      <c r="C3333" s="4" t="inlineStr"/>
      <c r="D3333" s="4" t="inlineStr">
        <is>
          <t>6009705655370</t>
        </is>
      </c>
      <c r="E3333" s="3" t="inlineStr">
        <is>
          <t>PVC ROLL SELF STICK MAJESTIC NERO 1.2X3M</t>
        </is>
      </c>
      <c r="F3333" s="4" t="inlineStr"/>
      <c r="G3333" s="4" t="inlineStr"/>
      <c r="H3333" s="4" t="inlineStr"/>
      <c r="I3333" s="5" t="n">
        <v>44</v>
      </c>
      <c r="J3333" s="6" t="n">
        <v>15</v>
      </c>
      <c r="K3333" s="7">
        <f>IF(I3333="","",I3333*(1+J3333/100))</f>
        <v/>
      </c>
      <c r="L3333" s="12" t="inlineStr"/>
      <c r="M3333" s="8">
        <f>IF(OR(L3333="",K3333="",L3333=0),"",
  (L3333-K3333)/L3333*100)</f>
        <v/>
      </c>
      <c r="N3333" s="9" t="inlineStr"/>
      <c r="O3333" s="4" t="inlineStr"/>
      <c r="P3333" s="4" t="inlineStr"/>
      <c r="Q3333" s="4" t="inlineStr"/>
      <c r="R3333" s="4" t="inlineStr">
        <is>
          <t>2026-03-12</t>
        </is>
      </c>
      <c r="S3333" s="4" t="inlineStr"/>
    </row>
    <row r="3334">
      <c r="A3334" s="10" t="inlineStr">
        <is>
          <t>F03907</t>
        </is>
      </c>
      <c r="B3334" s="10" t="inlineStr">
        <is>
          <t>F03907</t>
        </is>
      </c>
      <c r="C3334" s="10" t="inlineStr"/>
      <c r="D3334" s="10" t="inlineStr">
        <is>
          <t>6009705655387</t>
        </is>
      </c>
      <c r="E3334" s="10" t="inlineStr">
        <is>
          <t>PVC ROLL SELF STICK DARK WOOD 1.2X3M</t>
        </is>
      </c>
      <c r="F3334" s="10" t="inlineStr"/>
      <c r="G3334" s="10" t="inlineStr"/>
      <c r="H3334" s="10" t="inlineStr"/>
      <c r="I3334" s="11" t="n">
        <v>55</v>
      </c>
      <c r="J3334" s="6" t="n">
        <v>15</v>
      </c>
      <c r="K3334" s="7">
        <f>IF(I3334="","",I3334*(1+J3334/100))</f>
        <v/>
      </c>
      <c r="L3334" s="12" t="inlineStr"/>
      <c r="M3334" s="8">
        <f>IF(OR(L3334="",K3334="",L3334=0),"",
  (L3334-K3334)/L3334*100)</f>
        <v/>
      </c>
      <c r="N3334" s="9" t="inlineStr"/>
      <c r="O3334" s="10" t="inlineStr"/>
      <c r="P3334" s="10" t="inlineStr"/>
      <c r="Q3334" s="10" t="inlineStr"/>
      <c r="R3334" s="10" t="inlineStr">
        <is>
          <t>2026-03-12</t>
        </is>
      </c>
      <c r="S3334" s="10" t="inlineStr"/>
    </row>
    <row r="3335">
      <c r="A3335" s="3" t="inlineStr">
        <is>
          <t>F03908</t>
        </is>
      </c>
      <c r="B3335" s="4" t="inlineStr">
        <is>
          <t>F03908</t>
        </is>
      </c>
      <c r="C3335" s="4" t="inlineStr"/>
      <c r="D3335" s="4" t="inlineStr">
        <is>
          <t>6009705655394</t>
        </is>
      </c>
      <c r="E3335" s="3" t="inlineStr">
        <is>
          <t>PVC ROLL SELF STICK JAKARTA MARBLE 1.2X3</t>
        </is>
      </c>
      <c r="F3335" s="4" t="inlineStr"/>
      <c r="G3335" s="4" t="inlineStr"/>
      <c r="H3335" s="4" t="inlineStr"/>
      <c r="I3335" s="5" t="n">
        <v>33</v>
      </c>
      <c r="J3335" s="6" t="n">
        <v>15</v>
      </c>
      <c r="K3335" s="7">
        <f>IF(I3335="","",I3335*(1+J3335/100))</f>
        <v/>
      </c>
      <c r="L3335" s="12" t="inlineStr"/>
      <c r="M3335" s="8">
        <f>IF(OR(L3335="",K3335="",L3335=0),"",
  (L3335-K3335)/L3335*100)</f>
        <v/>
      </c>
      <c r="N3335" s="9" t="inlineStr"/>
      <c r="O3335" s="4" t="inlineStr"/>
      <c r="P3335" s="4" t="inlineStr"/>
      <c r="Q3335" s="4" t="inlineStr"/>
      <c r="R3335" s="4" t="inlineStr">
        <is>
          <t>2026-03-12</t>
        </is>
      </c>
      <c r="S3335" s="4" t="inlineStr"/>
    </row>
    <row r="3336">
      <c r="A3336" s="10" t="inlineStr">
        <is>
          <t>F03909</t>
        </is>
      </c>
      <c r="B3336" s="10" t="inlineStr">
        <is>
          <t>F03909</t>
        </is>
      </c>
      <c r="C3336" s="10" t="inlineStr"/>
      <c r="D3336" s="10" t="inlineStr">
        <is>
          <t>6009705655400</t>
        </is>
      </c>
      <c r="E3336" s="10" t="inlineStr">
        <is>
          <t>PU STONE GREY B001</t>
        </is>
      </c>
      <c r="F3336" s="10" t="inlineStr"/>
      <c r="G3336" s="10" t="inlineStr"/>
      <c r="H3336" s="10" t="inlineStr"/>
      <c r="I3336" s="11" t="n">
        <v>4</v>
      </c>
      <c r="J3336" s="6" t="n">
        <v>15</v>
      </c>
      <c r="K3336" s="7">
        <f>IF(I3336="","",I3336*(1+J3336/100))</f>
        <v/>
      </c>
      <c r="L3336" s="12" t="inlineStr"/>
      <c r="M3336" s="8">
        <f>IF(OR(L3336="",K3336="",L3336=0),"",
  (L3336-K3336)/L3336*100)</f>
        <v/>
      </c>
      <c r="N3336" s="9" t="inlineStr"/>
      <c r="O3336" s="10" t="inlineStr"/>
      <c r="P3336" s="10" t="inlineStr"/>
      <c r="Q3336" s="10" t="inlineStr"/>
      <c r="R3336" s="10" t="inlineStr">
        <is>
          <t>2026-03-12</t>
        </is>
      </c>
      <c r="S3336" s="10" t="inlineStr"/>
    </row>
    <row r="3337">
      <c r="A3337" s="3" t="inlineStr">
        <is>
          <t>F03910</t>
        </is>
      </c>
      <c r="B3337" s="4" t="inlineStr">
        <is>
          <t>F03910</t>
        </is>
      </c>
      <c r="C3337" s="4" t="inlineStr"/>
      <c r="D3337" s="4" t="inlineStr">
        <is>
          <t>6009705655417</t>
        </is>
      </c>
      <c r="E3337" s="3" t="inlineStr">
        <is>
          <t>PU STONE B002</t>
        </is>
      </c>
      <c r="F3337" s="4" t="inlineStr"/>
      <c r="G3337" s="4" t="inlineStr"/>
      <c r="H3337" s="4" t="inlineStr"/>
      <c r="I3337" s="5" t="n">
        <v>33</v>
      </c>
      <c r="J3337" s="6" t="n">
        <v>15</v>
      </c>
      <c r="K3337" s="7">
        <f>IF(I3337="","",I3337*(1+J3337/100))</f>
        <v/>
      </c>
      <c r="L3337" s="12" t="inlineStr"/>
      <c r="M3337" s="8">
        <f>IF(OR(L3337="",K3337="",L3337=0),"",
  (L3337-K3337)/L3337*100)</f>
        <v/>
      </c>
      <c r="N3337" s="9" t="inlineStr"/>
      <c r="O3337" s="4" t="inlineStr"/>
      <c r="P3337" s="4" t="inlineStr"/>
      <c r="Q3337" s="4" t="inlineStr"/>
      <c r="R3337" s="4" t="inlineStr">
        <is>
          <t>2026-03-12</t>
        </is>
      </c>
      <c r="S3337" s="4" t="inlineStr"/>
    </row>
    <row r="3338">
      <c r="A3338" s="10" t="inlineStr">
        <is>
          <t>F03911</t>
        </is>
      </c>
      <c r="B3338" s="10" t="inlineStr">
        <is>
          <t>F03911</t>
        </is>
      </c>
      <c r="C3338" s="10" t="inlineStr"/>
      <c r="D3338" s="10" t="inlineStr">
        <is>
          <t>6009705655424</t>
        </is>
      </c>
      <c r="E3338" s="10" t="inlineStr">
        <is>
          <t>PU STONE CREAM B004</t>
        </is>
      </c>
      <c r="F3338" s="10" t="inlineStr"/>
      <c r="G3338" s="10" t="inlineStr"/>
      <c r="H3338" s="10" t="inlineStr"/>
      <c r="I3338" s="11" t="n">
        <v>55</v>
      </c>
      <c r="J3338" s="6" t="n">
        <v>15</v>
      </c>
      <c r="K3338" s="7">
        <f>IF(I3338="","",I3338*(1+J3338/100))</f>
        <v/>
      </c>
      <c r="L3338" s="12" t="inlineStr"/>
      <c r="M3338" s="8">
        <f>IF(OR(L3338="",K3338="",L3338=0),"",
  (L3338-K3338)/L3338*100)</f>
        <v/>
      </c>
      <c r="N3338" s="9" t="inlineStr"/>
      <c r="O3338" s="10" t="inlineStr"/>
      <c r="P3338" s="10" t="inlineStr"/>
      <c r="Q3338" s="10" t="inlineStr"/>
      <c r="R3338" s="10" t="inlineStr">
        <is>
          <t>2026-03-12</t>
        </is>
      </c>
      <c r="S3338" s="10" t="inlineStr"/>
    </row>
    <row r="3339">
      <c r="A3339" s="3" t="inlineStr">
        <is>
          <t>F03912</t>
        </is>
      </c>
      <c r="B3339" s="4" t="inlineStr">
        <is>
          <t>F03912</t>
        </is>
      </c>
      <c r="C3339" s="4" t="inlineStr"/>
      <c r="D3339" s="4" t="inlineStr">
        <is>
          <t>6009705655431</t>
        </is>
      </c>
      <c r="E3339" s="3" t="inlineStr">
        <is>
          <t>PU STONE LIGHT B005</t>
        </is>
      </c>
      <c r="F3339" s="4" t="inlineStr"/>
      <c r="G3339" s="4" t="inlineStr"/>
      <c r="H3339" s="4" t="inlineStr"/>
      <c r="I3339" s="5" t="n">
        <v>3</v>
      </c>
      <c r="J3339" s="6" t="n">
        <v>15</v>
      </c>
      <c r="K3339" s="7">
        <f>IF(I3339="","",I3339*(1+J3339/100))</f>
        <v/>
      </c>
      <c r="L3339" s="12" t="inlineStr"/>
      <c r="M3339" s="8">
        <f>IF(OR(L3339="",K3339="",L3339=0),"",
  (L3339-K3339)/L3339*100)</f>
        <v/>
      </c>
      <c r="N3339" s="9" t="inlineStr"/>
      <c r="O3339" s="4" t="inlineStr"/>
      <c r="P3339" s="4" t="inlineStr"/>
      <c r="Q3339" s="4" t="inlineStr"/>
      <c r="R3339" s="4" t="inlineStr">
        <is>
          <t>2026-03-12</t>
        </is>
      </c>
      <c r="S3339" s="4" t="inlineStr"/>
    </row>
    <row r="3340">
      <c r="A3340" s="10" t="inlineStr">
        <is>
          <t>F03913</t>
        </is>
      </c>
      <c r="B3340" s="10" t="inlineStr">
        <is>
          <t>F03913</t>
        </is>
      </c>
      <c r="C3340" s="10" t="inlineStr"/>
      <c r="D3340" s="10" t="inlineStr">
        <is>
          <t>6009705655448</t>
        </is>
      </c>
      <c r="E3340" s="10" t="inlineStr">
        <is>
          <t>PU STONE</t>
        </is>
      </c>
      <c r="F3340" s="10" t="inlineStr"/>
      <c r="G3340" s="10" t="inlineStr"/>
      <c r="H3340" s="10" t="inlineStr"/>
      <c r="I3340" s="11" t="n">
        <v>4</v>
      </c>
      <c r="J3340" s="6" t="n">
        <v>15</v>
      </c>
      <c r="K3340" s="7">
        <f>IF(I3340="","",I3340*(1+J3340/100))</f>
        <v/>
      </c>
      <c r="L3340" s="12" t="inlineStr"/>
      <c r="M3340" s="8">
        <f>IF(OR(L3340="",K3340="",L3340=0),"",
  (L3340-K3340)/L3340*100)</f>
        <v/>
      </c>
      <c r="N3340" s="9" t="inlineStr"/>
      <c r="O3340" s="10" t="inlineStr"/>
      <c r="P3340" s="10" t="inlineStr"/>
      <c r="Q3340" s="10" t="inlineStr"/>
      <c r="R3340" s="10" t="inlineStr">
        <is>
          <t>2026-03-12</t>
        </is>
      </c>
      <c r="S3340" s="10" t="inlineStr"/>
    </row>
    <row r="3341">
      <c r="A3341" s="3" t="inlineStr">
        <is>
          <t>F03914</t>
        </is>
      </c>
      <c r="B3341" s="4" t="inlineStr">
        <is>
          <t>F03914</t>
        </is>
      </c>
      <c r="C3341" s="4" t="inlineStr"/>
      <c r="D3341" s="4" t="inlineStr">
        <is>
          <t>6009705655455</t>
        </is>
      </c>
      <c r="E3341" s="3" t="inlineStr">
        <is>
          <t>PU STONE</t>
        </is>
      </c>
      <c r="F3341" s="4" t="inlineStr"/>
      <c r="G3341" s="4" t="inlineStr"/>
      <c r="H3341" s="4" t="inlineStr"/>
      <c r="I3341" s="5" t="n">
        <v>55</v>
      </c>
      <c r="J3341" s="6" t="n">
        <v>15</v>
      </c>
      <c r="K3341" s="7">
        <f>IF(I3341="","",I3341*(1+J3341/100))</f>
        <v/>
      </c>
      <c r="L3341" s="12" t="inlineStr"/>
      <c r="M3341" s="8">
        <f>IF(OR(L3341="",K3341="",L3341=0),"",
  (L3341-K3341)/L3341*100)</f>
        <v/>
      </c>
      <c r="N3341" s="9" t="inlineStr"/>
      <c r="O3341" s="4" t="inlineStr"/>
      <c r="P3341" s="4" t="inlineStr"/>
      <c r="Q3341" s="4" t="inlineStr"/>
      <c r="R3341" s="4" t="inlineStr">
        <is>
          <t>2026-03-12</t>
        </is>
      </c>
      <c r="S3341" s="4" t="inlineStr"/>
    </row>
    <row r="3342">
      <c r="A3342" s="10" t="inlineStr">
        <is>
          <t>F03915</t>
        </is>
      </c>
      <c r="B3342" s="10" t="inlineStr">
        <is>
          <t>F03915</t>
        </is>
      </c>
      <c r="C3342" s="10" t="inlineStr"/>
      <c r="D3342" s="10" t="inlineStr">
        <is>
          <t>6009705655462</t>
        </is>
      </c>
      <c r="E3342" s="10" t="inlineStr">
        <is>
          <t>PU STONE</t>
        </is>
      </c>
      <c r="F3342" s="10" t="inlineStr"/>
      <c r="G3342" s="10" t="inlineStr"/>
      <c r="H3342" s="10" t="inlineStr"/>
      <c r="I3342" s="11" t="n">
        <v>5</v>
      </c>
      <c r="J3342" s="6" t="n">
        <v>15</v>
      </c>
      <c r="K3342" s="7">
        <f>IF(I3342="","",I3342*(1+J3342/100))</f>
        <v/>
      </c>
      <c r="L3342" s="12" t="inlineStr"/>
      <c r="M3342" s="8">
        <f>IF(OR(L3342="",K3342="",L3342=0),"",
  (L3342-K3342)/L3342*100)</f>
        <v/>
      </c>
      <c r="N3342" s="9" t="inlineStr"/>
      <c r="O3342" s="10" t="inlineStr"/>
      <c r="P3342" s="10" t="inlineStr"/>
      <c r="Q3342" s="10" t="inlineStr"/>
      <c r="R3342" s="10" t="inlineStr">
        <is>
          <t>2026-03-12</t>
        </is>
      </c>
      <c r="S3342" s="10" t="inlineStr"/>
    </row>
    <row r="3343">
      <c r="A3343" s="3" t="inlineStr">
        <is>
          <t>F03916</t>
        </is>
      </c>
      <c r="B3343" s="4" t="inlineStr">
        <is>
          <t>F03916</t>
        </is>
      </c>
      <c r="C3343" s="4" t="inlineStr"/>
      <c r="D3343" s="4" t="inlineStr">
        <is>
          <t>6009705655479</t>
        </is>
      </c>
      <c r="E3343" s="3" t="inlineStr">
        <is>
          <t>PU STONE</t>
        </is>
      </c>
      <c r="F3343" s="4" t="inlineStr"/>
      <c r="G3343" s="4" t="inlineStr"/>
      <c r="H3343" s="4" t="inlineStr"/>
      <c r="I3343" s="5" t="n">
        <v>5</v>
      </c>
      <c r="J3343" s="6" t="n">
        <v>15</v>
      </c>
      <c r="K3343" s="7">
        <f>IF(I3343="","",I3343*(1+J3343/100))</f>
        <v/>
      </c>
      <c r="L3343" s="12" t="inlineStr"/>
      <c r="M3343" s="8">
        <f>IF(OR(L3343="",K3343="",L3343=0),"",
  (L3343-K3343)/L3343*100)</f>
        <v/>
      </c>
      <c r="N3343" s="9" t="inlineStr"/>
      <c r="O3343" s="4" t="inlineStr"/>
      <c r="P3343" s="4" t="inlineStr"/>
      <c r="Q3343" s="4" t="inlineStr"/>
      <c r="R3343" s="4" t="inlineStr">
        <is>
          <t>2026-03-12</t>
        </is>
      </c>
      <c r="S3343" s="4" t="inlineStr"/>
    </row>
    <row r="3344">
      <c r="A3344" s="10" t="inlineStr">
        <is>
          <t>F03917</t>
        </is>
      </c>
      <c r="B3344" s="10" t="inlineStr">
        <is>
          <t>F03917</t>
        </is>
      </c>
      <c r="C3344" s="10" t="inlineStr"/>
      <c r="D3344" s="10" t="inlineStr">
        <is>
          <t>6009705655486</t>
        </is>
      </c>
      <c r="E3344" s="10" t="inlineStr">
        <is>
          <t>PU STONE</t>
        </is>
      </c>
      <c r="F3344" s="10" t="inlineStr"/>
      <c r="G3344" s="10" t="inlineStr"/>
      <c r="H3344" s="10" t="inlineStr"/>
      <c r="I3344" s="11" t="n">
        <v>5</v>
      </c>
      <c r="J3344" s="6" t="n">
        <v>15</v>
      </c>
      <c r="K3344" s="7">
        <f>IF(I3344="","",I3344*(1+J3344/100))</f>
        <v/>
      </c>
      <c r="L3344" s="12" t="inlineStr"/>
      <c r="M3344" s="8">
        <f>IF(OR(L3344="",K3344="",L3344=0),"",
  (L3344-K3344)/L3344*100)</f>
        <v/>
      </c>
      <c r="N3344" s="9" t="inlineStr"/>
      <c r="O3344" s="10" t="inlineStr"/>
      <c r="P3344" s="10" t="inlineStr"/>
      <c r="Q3344" s="10" t="inlineStr"/>
      <c r="R3344" s="10" t="inlineStr">
        <is>
          <t>2026-03-12</t>
        </is>
      </c>
      <c r="S3344" s="10" t="inlineStr"/>
    </row>
    <row r="3345">
      <c r="A3345" s="3" t="inlineStr">
        <is>
          <t>F03918</t>
        </is>
      </c>
      <c r="B3345" s="4" t="inlineStr">
        <is>
          <t>F03918</t>
        </is>
      </c>
      <c r="C3345" s="4" t="inlineStr"/>
      <c r="D3345" s="4" t="inlineStr">
        <is>
          <t>6009705655493</t>
        </is>
      </c>
      <c r="E3345" s="3" t="inlineStr">
        <is>
          <t>PU STONE</t>
        </is>
      </c>
      <c r="F3345" s="4" t="inlineStr"/>
      <c r="G3345" s="4" t="inlineStr"/>
      <c r="H3345" s="4" t="inlineStr"/>
      <c r="I3345" s="5" t="n">
        <v>55</v>
      </c>
      <c r="J3345" s="6" t="n">
        <v>15</v>
      </c>
      <c r="K3345" s="7">
        <f>IF(I3345="","",I3345*(1+J3345/100))</f>
        <v/>
      </c>
      <c r="L3345" s="12" t="inlineStr"/>
      <c r="M3345" s="8">
        <f>IF(OR(L3345="",K3345="",L3345=0),"",
  (L3345-K3345)/L3345*100)</f>
        <v/>
      </c>
      <c r="N3345" s="9" t="inlineStr"/>
      <c r="O3345" s="4" t="inlineStr"/>
      <c r="P3345" s="4" t="inlineStr"/>
      <c r="Q3345" s="4" t="inlineStr"/>
      <c r="R3345" s="4" t="inlineStr">
        <is>
          <t>2026-03-12</t>
        </is>
      </c>
      <c r="S3345" s="4" t="inlineStr"/>
    </row>
    <row r="3346">
      <c r="A3346" s="10" t="inlineStr">
        <is>
          <t>F03919</t>
        </is>
      </c>
      <c r="B3346" s="10" t="inlineStr">
        <is>
          <t>F03919</t>
        </is>
      </c>
      <c r="C3346" s="10" t="inlineStr"/>
      <c r="D3346" s="10" t="inlineStr">
        <is>
          <t>6009705655509</t>
        </is>
      </c>
      <c r="E3346" s="10" t="inlineStr">
        <is>
          <t>LADDER HOUSEWIFE  6 STEP105-6</t>
        </is>
      </c>
      <c r="F3346" s="10" t="inlineStr"/>
      <c r="G3346" s="10" t="inlineStr"/>
      <c r="H3346" s="10" t="inlineStr"/>
      <c r="I3346" s="11" t="n">
        <v>44</v>
      </c>
      <c r="J3346" s="6" t="n">
        <v>15</v>
      </c>
      <c r="K3346" s="7">
        <f>IF(I3346="","",I3346*(1+J3346/100))</f>
        <v/>
      </c>
      <c r="L3346" s="12" t="inlineStr"/>
      <c r="M3346" s="8">
        <f>IF(OR(L3346="",K3346="",L3346=0),"",
  (L3346-K3346)/L3346*100)</f>
        <v/>
      </c>
      <c r="N3346" s="9" t="inlineStr"/>
      <c r="O3346" s="10" t="inlineStr"/>
      <c r="P3346" s="10" t="inlineStr"/>
      <c r="Q3346" s="10" t="inlineStr"/>
      <c r="R3346" s="10" t="inlineStr">
        <is>
          <t>2026-03-12</t>
        </is>
      </c>
      <c r="S3346" s="10" t="inlineStr"/>
    </row>
    <row r="3347">
      <c r="A3347" s="3" t="inlineStr">
        <is>
          <t>F03920</t>
        </is>
      </c>
      <c r="B3347" s="4" t="inlineStr">
        <is>
          <t>F03920</t>
        </is>
      </c>
      <c r="C3347" s="4" t="inlineStr"/>
      <c r="D3347" s="4" t="inlineStr">
        <is>
          <t>6009705655554</t>
        </is>
      </c>
      <c r="E3347" s="3" t="inlineStr">
        <is>
          <t>HAMMER MED LASHER HEAVY DUTY</t>
        </is>
      </c>
      <c r="F3347" s="4" t="inlineStr"/>
      <c r="G3347" s="4" t="inlineStr"/>
      <c r="H3347" s="4" t="inlineStr"/>
      <c r="I3347" s="5" t="n">
        <v>5</v>
      </c>
      <c r="J3347" s="6" t="n">
        <v>15</v>
      </c>
      <c r="K3347" s="7">
        <f>IF(I3347="","",I3347*(1+J3347/100))</f>
        <v/>
      </c>
      <c r="L3347" s="12" t="inlineStr"/>
      <c r="M3347" s="8">
        <f>IF(OR(L3347="",K3347="",L3347=0),"",
  (L3347-K3347)/L3347*100)</f>
        <v/>
      </c>
      <c r="N3347" s="9" t="inlineStr"/>
      <c r="O3347" s="4" t="inlineStr"/>
      <c r="P3347" s="4" t="inlineStr"/>
      <c r="Q3347" s="4" t="inlineStr"/>
      <c r="R3347" s="4" t="inlineStr">
        <is>
          <t>2026-03-12</t>
        </is>
      </c>
      <c r="S3347" s="4" t="inlineStr"/>
    </row>
    <row r="3348">
      <c r="A3348" s="10" t="inlineStr">
        <is>
          <t>F03921</t>
        </is>
      </c>
      <c r="B3348" s="10" t="inlineStr">
        <is>
          <t>F03921</t>
        </is>
      </c>
      <c r="C3348" s="10" t="inlineStr"/>
      <c r="D3348" s="10" t="inlineStr">
        <is>
          <t>6009705655561</t>
        </is>
      </c>
      <c r="E3348" s="10" t="inlineStr">
        <is>
          <t>HAMMER 20OZ</t>
        </is>
      </c>
      <c r="F3348" s="10" t="inlineStr"/>
      <c r="G3348" s="10" t="inlineStr"/>
      <c r="H3348" s="10" t="inlineStr"/>
      <c r="I3348" s="11" t="n">
        <v>5</v>
      </c>
      <c r="J3348" s="6" t="n">
        <v>15</v>
      </c>
      <c r="K3348" s="7">
        <f>IF(I3348="","",I3348*(1+J3348/100))</f>
        <v/>
      </c>
      <c r="L3348" s="12" t="inlineStr"/>
      <c r="M3348" s="8">
        <f>IF(OR(L3348="",K3348="",L3348=0),"",
  (L3348-K3348)/L3348*100)</f>
        <v/>
      </c>
      <c r="N3348" s="9" t="inlineStr"/>
      <c r="O3348" s="10" t="inlineStr"/>
      <c r="P3348" s="10" t="inlineStr"/>
      <c r="Q3348" s="10" t="inlineStr"/>
      <c r="R3348" s="10" t="inlineStr">
        <is>
          <t>2026-03-12</t>
        </is>
      </c>
      <c r="S3348" s="10" t="inlineStr"/>
    </row>
    <row r="3349">
      <c r="A3349" s="3" t="inlineStr">
        <is>
          <t>F03922</t>
        </is>
      </c>
      <c r="B3349" s="4" t="inlineStr">
        <is>
          <t>F03922</t>
        </is>
      </c>
      <c r="C3349" s="4" t="inlineStr"/>
      <c r="D3349" s="4" t="inlineStr">
        <is>
          <t>6009705655516</t>
        </is>
      </c>
      <c r="E3349" s="3" t="inlineStr">
        <is>
          <t>DIVIDER WPC WHITE MARBLE 2.9MX10CMX5CM</t>
        </is>
      </c>
      <c r="F3349" s="4" t="inlineStr"/>
      <c r="G3349" s="4" t="inlineStr"/>
      <c r="H3349" s="4" t="inlineStr"/>
      <c r="I3349" s="5" t="n">
        <v>33</v>
      </c>
      <c r="J3349" s="6" t="n">
        <v>15</v>
      </c>
      <c r="K3349" s="7">
        <f>IF(I3349="","",I3349*(1+J3349/100))</f>
        <v/>
      </c>
      <c r="L3349" s="12" t="inlineStr"/>
      <c r="M3349" s="8">
        <f>IF(OR(L3349="",K3349="",L3349=0),"",
  (L3349-K3349)/L3349*100)</f>
        <v/>
      </c>
      <c r="N3349" s="9" t="inlineStr"/>
      <c r="O3349" s="4" t="inlineStr"/>
      <c r="P3349" s="4" t="inlineStr"/>
      <c r="Q3349" s="4" t="inlineStr"/>
      <c r="R3349" s="4" t="inlineStr">
        <is>
          <t>2026-03-12</t>
        </is>
      </c>
      <c r="S3349" s="4" t="inlineStr"/>
    </row>
    <row r="3350">
      <c r="A3350" s="10" t="inlineStr">
        <is>
          <t>F03923</t>
        </is>
      </c>
      <c r="B3350" s="10" t="inlineStr">
        <is>
          <t>F03923</t>
        </is>
      </c>
      <c r="C3350" s="10" t="inlineStr"/>
      <c r="D3350" s="10" t="inlineStr">
        <is>
          <t>6009705655523</t>
        </is>
      </c>
      <c r="E3350" s="10" t="inlineStr">
        <is>
          <t>DIVIDER WPC BEIGE WOOD 2.9MX10CMX5CM</t>
        </is>
      </c>
      <c r="F3350" s="10" t="inlineStr"/>
      <c r="G3350" s="10" t="inlineStr"/>
      <c r="H3350" s="10" t="inlineStr"/>
      <c r="I3350" s="11" t="n">
        <v>444</v>
      </c>
      <c r="J3350" s="6" t="n">
        <v>15</v>
      </c>
      <c r="K3350" s="7">
        <f>IF(I3350="","",I3350*(1+J3350/100))</f>
        <v/>
      </c>
      <c r="L3350" s="12" t="inlineStr"/>
      <c r="M3350" s="8">
        <f>IF(OR(L3350="",K3350="",L3350=0),"",
  (L3350-K3350)/L3350*100)</f>
        <v/>
      </c>
      <c r="N3350" s="9" t="inlineStr"/>
      <c r="O3350" s="10" t="inlineStr"/>
      <c r="P3350" s="10" t="inlineStr"/>
      <c r="Q3350" s="10" t="inlineStr"/>
      <c r="R3350" s="10" t="inlineStr">
        <is>
          <t>2026-03-12</t>
        </is>
      </c>
      <c r="S3350" s="10" t="inlineStr"/>
    </row>
    <row r="3351">
      <c r="A3351" s="3" t="inlineStr">
        <is>
          <t>F03924</t>
        </is>
      </c>
      <c r="B3351" s="4" t="inlineStr">
        <is>
          <t>F03924</t>
        </is>
      </c>
      <c r="C3351" s="4" t="inlineStr"/>
      <c r="D3351" s="4" t="inlineStr">
        <is>
          <t>6009705655530</t>
        </is>
      </c>
      <c r="E3351" s="3" t="inlineStr">
        <is>
          <t>STAND 21.5''</t>
        </is>
      </c>
      <c r="F3351" s="4" t="inlineStr"/>
      <c r="G3351" s="4" t="inlineStr"/>
      <c r="H3351" s="4" t="inlineStr"/>
      <c r="I3351" s="5" t="n">
        <v>5</v>
      </c>
      <c r="J3351" s="6" t="n">
        <v>15</v>
      </c>
      <c r="K3351" s="7">
        <f>IF(I3351="","",I3351*(1+J3351/100))</f>
        <v/>
      </c>
      <c r="L3351" s="12" t="inlineStr"/>
      <c r="M3351" s="8">
        <f>IF(OR(L3351="",K3351="",L3351=0),"",
  (L3351-K3351)/L3351*100)</f>
        <v/>
      </c>
      <c r="N3351" s="9" t="inlineStr"/>
      <c r="O3351" s="4" t="inlineStr"/>
      <c r="P3351" s="4" t="inlineStr"/>
      <c r="Q3351" s="4" t="inlineStr"/>
      <c r="R3351" s="4" t="inlineStr">
        <is>
          <t>2026-03-12</t>
        </is>
      </c>
      <c r="S3351" s="4" t="inlineStr"/>
    </row>
    <row r="3352">
      <c r="A3352" s="10" t="inlineStr">
        <is>
          <t>F03925</t>
        </is>
      </c>
      <c r="B3352" s="10" t="inlineStr">
        <is>
          <t>F03925</t>
        </is>
      </c>
      <c r="C3352" s="10" t="inlineStr"/>
      <c r="D3352" s="10" t="inlineStr">
        <is>
          <t>6009705655547</t>
        </is>
      </c>
      <c r="E3352" s="10" t="inlineStr">
        <is>
          <t>STAND 27''</t>
        </is>
      </c>
      <c r="F3352" s="10" t="inlineStr"/>
      <c r="G3352" s="10" t="inlineStr"/>
      <c r="H3352" s="10" t="inlineStr"/>
      <c r="I3352" s="11" t="n">
        <v>4</v>
      </c>
      <c r="J3352" s="6" t="n">
        <v>15</v>
      </c>
      <c r="K3352" s="7">
        <f>IF(I3352="","",I3352*(1+J3352/100))</f>
        <v/>
      </c>
      <c r="L3352" s="12" t="inlineStr"/>
      <c r="M3352" s="8">
        <f>IF(OR(L3352="",K3352="",L3352=0),"",
  (L3352-K3352)/L3352*100)</f>
        <v/>
      </c>
      <c r="N3352" s="9" t="inlineStr"/>
      <c r="O3352" s="10" t="inlineStr"/>
      <c r="P3352" s="10" t="inlineStr"/>
      <c r="Q3352" s="10" t="inlineStr"/>
      <c r="R3352" s="10" t="inlineStr">
        <is>
          <t>2026-03-12</t>
        </is>
      </c>
      <c r="S3352" s="10" t="inlineStr"/>
    </row>
    <row r="3353">
      <c r="A3353" s="3" t="inlineStr">
        <is>
          <t>F03926</t>
        </is>
      </c>
      <c r="B3353" s="4" t="inlineStr">
        <is>
          <t>F03926</t>
        </is>
      </c>
      <c r="C3353" s="4" t="inlineStr"/>
      <c r="D3353" s="4" t="inlineStr"/>
      <c r="E3353" s="3" t="inlineStr">
        <is>
          <t>WPC 3D SINGLE ENDING FLUTE WENGE LOOSE</t>
        </is>
      </c>
      <c r="F3353" s="4" t="inlineStr"/>
      <c r="G3353" s="4" t="inlineStr"/>
      <c r="H3353" s="4" t="inlineStr"/>
      <c r="I3353" s="5" t="n">
        <v>11</v>
      </c>
      <c r="J3353" s="6" t="n">
        <v>15</v>
      </c>
      <c r="K3353" s="7">
        <f>IF(I3353="","",I3353*(1+J3353/100))</f>
        <v/>
      </c>
      <c r="L3353" s="12" t="inlineStr"/>
      <c r="M3353" s="8">
        <f>IF(OR(L3353="",K3353="",L3353=0),"",
  (L3353-K3353)/L3353*100)</f>
        <v/>
      </c>
      <c r="N3353" s="9" t="inlineStr"/>
      <c r="O3353" s="4" t="inlineStr"/>
      <c r="P3353" s="4" t="inlineStr"/>
      <c r="Q3353" s="4" t="inlineStr"/>
      <c r="R3353" s="4" t="inlineStr">
        <is>
          <t>2026-03-12</t>
        </is>
      </c>
      <c r="S3353" s="4" t="inlineStr"/>
    </row>
    <row r="3354">
      <c r="A3354" s="10" t="inlineStr">
        <is>
          <t>F03927</t>
        </is>
      </c>
      <c r="B3354" s="10" t="inlineStr">
        <is>
          <t>F03927</t>
        </is>
      </c>
      <c r="C3354" s="10" t="inlineStr"/>
      <c r="D3354" s="10" t="inlineStr">
        <is>
          <t>6009705655585</t>
        </is>
      </c>
      <c r="E3354" s="10" t="inlineStr">
        <is>
          <t>STAIN REMOVER</t>
        </is>
      </c>
      <c r="F3354" s="10" t="inlineStr"/>
      <c r="G3354" s="10" t="inlineStr"/>
      <c r="H3354" s="10" t="inlineStr"/>
      <c r="I3354" s="11" t="n">
        <v>3</v>
      </c>
      <c r="J3354" s="6" t="n">
        <v>15</v>
      </c>
      <c r="K3354" s="7">
        <f>IF(I3354="","",I3354*(1+J3354/100))</f>
        <v/>
      </c>
      <c r="L3354" s="12" t="inlineStr"/>
      <c r="M3354" s="8">
        <f>IF(OR(L3354="",K3354="",L3354=0),"",
  (L3354-K3354)/L3354*100)</f>
        <v/>
      </c>
      <c r="N3354" s="9" t="inlineStr"/>
      <c r="O3354" s="10" t="inlineStr"/>
      <c r="P3354" s="10" t="inlineStr"/>
      <c r="Q3354" s="10" t="inlineStr"/>
      <c r="R3354" s="10" t="inlineStr">
        <is>
          <t>2026-03-12</t>
        </is>
      </c>
      <c r="S3354" s="10" t="inlineStr"/>
    </row>
    <row r="3355">
      <c r="A3355" s="3" t="inlineStr">
        <is>
          <t>F03928</t>
        </is>
      </c>
      <c r="B3355" s="4" t="inlineStr">
        <is>
          <t>F03928</t>
        </is>
      </c>
      <c r="C3355" s="4" t="inlineStr"/>
      <c r="D3355" s="4" t="inlineStr">
        <is>
          <t>6009705655592</t>
        </is>
      </c>
      <c r="E3355" s="3" t="inlineStr">
        <is>
          <t>STAIN REMOVER</t>
        </is>
      </c>
      <c r="F3355" s="4" t="inlineStr"/>
      <c r="G3355" s="4" t="inlineStr"/>
      <c r="H3355" s="4" t="inlineStr"/>
      <c r="I3355" s="5" t="n">
        <v>2</v>
      </c>
      <c r="J3355" s="6" t="n">
        <v>15</v>
      </c>
      <c r="K3355" s="7">
        <f>IF(I3355="","",I3355*(1+J3355/100))</f>
        <v/>
      </c>
      <c r="L3355" s="12" t="inlineStr"/>
      <c r="M3355" s="8">
        <f>IF(OR(L3355="",K3355="",L3355=0),"",
  (L3355-K3355)/L3355*100)</f>
        <v/>
      </c>
      <c r="N3355" s="9" t="inlineStr"/>
      <c r="O3355" s="4" t="inlineStr"/>
      <c r="P3355" s="4" t="inlineStr"/>
      <c r="Q3355" s="4" t="inlineStr"/>
      <c r="R3355" s="4" t="inlineStr">
        <is>
          <t>2026-03-12</t>
        </is>
      </c>
      <c r="S3355" s="4" t="inlineStr"/>
    </row>
    <row r="3356">
      <c r="A3356" s="10" t="inlineStr">
        <is>
          <t>F03929</t>
        </is>
      </c>
      <c r="B3356" s="10" t="inlineStr">
        <is>
          <t>F03929</t>
        </is>
      </c>
      <c r="C3356" s="10" t="inlineStr"/>
      <c r="D3356" s="10" t="inlineStr">
        <is>
          <t>6009705655608</t>
        </is>
      </c>
      <c r="E3356" s="10" t="inlineStr">
        <is>
          <t>PLATE WHITE FINE BONE CHINA</t>
        </is>
      </c>
      <c r="F3356" s="10" t="inlineStr"/>
      <c r="G3356" s="10" t="inlineStr"/>
      <c r="H3356" s="10" t="inlineStr"/>
      <c r="I3356" s="11" t="n">
        <v>5</v>
      </c>
      <c r="J3356" s="6" t="n">
        <v>15</v>
      </c>
      <c r="K3356" s="7">
        <f>IF(I3356="","",I3356*(1+J3356/100))</f>
        <v/>
      </c>
      <c r="L3356" s="12" t="inlineStr"/>
      <c r="M3356" s="8">
        <f>IF(OR(L3356="",K3356="",L3356=0),"",
  (L3356-K3356)/L3356*100)</f>
        <v/>
      </c>
      <c r="N3356" s="9" t="inlineStr"/>
      <c r="O3356" s="10" t="inlineStr"/>
      <c r="P3356" s="10" t="inlineStr"/>
      <c r="Q3356" s="10" t="inlineStr"/>
      <c r="R3356" s="10" t="inlineStr">
        <is>
          <t>2026-03-12</t>
        </is>
      </c>
      <c r="S3356" s="10" t="inlineStr"/>
    </row>
    <row r="3357">
      <c r="A3357" s="3" t="inlineStr">
        <is>
          <t>F03930</t>
        </is>
      </c>
      <c r="B3357" s="4" t="inlineStr">
        <is>
          <t>F03930</t>
        </is>
      </c>
      <c r="C3357" s="4" t="inlineStr"/>
      <c r="D3357" s="4" t="inlineStr">
        <is>
          <t>6009705655615</t>
        </is>
      </c>
      <c r="E3357" s="3" t="inlineStr">
        <is>
          <t>MUG 14OZ MATT SOLID</t>
        </is>
      </c>
      <c r="F3357" s="4" t="inlineStr"/>
      <c r="G3357" s="4" t="inlineStr"/>
      <c r="H3357" s="4" t="inlineStr"/>
      <c r="I3357" s="5" t="n">
        <v>0.09</v>
      </c>
      <c r="J3357" s="6" t="n">
        <v>15</v>
      </c>
      <c r="K3357" s="7">
        <f>IF(I3357="","",I3357*(1+J3357/100))</f>
        <v/>
      </c>
      <c r="L3357" s="12" t="inlineStr"/>
      <c r="M3357" s="8">
        <f>IF(OR(L3357="",K3357="",L3357=0),"",
  (L3357-K3357)/L3357*100)</f>
        <v/>
      </c>
      <c r="N3357" s="9" t="inlineStr"/>
      <c r="O3357" s="4" t="inlineStr"/>
      <c r="P3357" s="4" t="inlineStr"/>
      <c r="Q3357" s="4" t="inlineStr"/>
      <c r="R3357" s="4" t="inlineStr">
        <is>
          <t>2026-03-12</t>
        </is>
      </c>
      <c r="S3357" s="4" t="inlineStr"/>
    </row>
    <row r="3358">
      <c r="A3358" s="10" t="inlineStr">
        <is>
          <t>F03931</t>
        </is>
      </c>
      <c r="B3358" s="10" t="inlineStr">
        <is>
          <t>F03931</t>
        </is>
      </c>
      <c r="C3358" s="10" t="inlineStr"/>
      <c r="D3358" s="10" t="inlineStr">
        <is>
          <t>6009705655639</t>
        </is>
      </c>
      <c r="E3358" s="10" t="inlineStr">
        <is>
          <t>WPC PANEL STRIWOOD MAPLE 0.245X0.125X2.9</t>
        </is>
      </c>
      <c r="F3358" s="10" t="inlineStr"/>
      <c r="G3358" s="10" t="inlineStr"/>
      <c r="H3358" s="10" t="inlineStr"/>
      <c r="I3358" s="11" t="n">
        <v>3</v>
      </c>
      <c r="J3358" s="6" t="n">
        <v>15</v>
      </c>
      <c r="K3358" s="7">
        <f>IF(I3358="","",I3358*(1+J3358/100))</f>
        <v/>
      </c>
      <c r="L3358" s="12" t="inlineStr"/>
      <c r="M3358" s="8">
        <f>IF(OR(L3358="",K3358="",L3358=0),"",
  (L3358-K3358)/L3358*100)</f>
        <v/>
      </c>
      <c r="N3358" s="9" t="inlineStr"/>
      <c r="O3358" s="10" t="inlineStr"/>
      <c r="P3358" s="10" t="inlineStr"/>
      <c r="Q3358" s="10" t="inlineStr"/>
      <c r="R3358" s="10" t="inlineStr">
        <is>
          <t>2026-03-12</t>
        </is>
      </c>
      <c r="S3358" s="10" t="inlineStr"/>
    </row>
    <row r="3359">
      <c r="A3359" s="3" t="inlineStr">
        <is>
          <t>F03932</t>
        </is>
      </c>
      <c r="B3359" s="4" t="inlineStr">
        <is>
          <t>F03932</t>
        </is>
      </c>
      <c r="C3359" s="4" t="inlineStr"/>
      <c r="D3359" s="4" t="inlineStr">
        <is>
          <t>6009705655646</t>
        </is>
      </c>
      <c r="E3359" s="3" t="inlineStr">
        <is>
          <t>WPC PANEL STRIWOOD OAK 0.245X0.125X2.93</t>
        </is>
      </c>
      <c r="F3359" s="4" t="inlineStr"/>
      <c r="G3359" s="4" t="inlineStr"/>
      <c r="H3359" s="4" t="inlineStr"/>
      <c r="I3359" s="5" t="n">
        <v>3</v>
      </c>
      <c r="J3359" s="6" t="n">
        <v>15</v>
      </c>
      <c r="K3359" s="7">
        <f>IF(I3359="","",I3359*(1+J3359/100))</f>
        <v/>
      </c>
      <c r="L3359" s="12" t="inlineStr"/>
      <c r="M3359" s="8">
        <f>IF(OR(L3359="",K3359="",L3359=0),"",
  (L3359-K3359)/L3359*100)</f>
        <v/>
      </c>
      <c r="N3359" s="9" t="inlineStr"/>
      <c r="O3359" s="4" t="inlineStr"/>
      <c r="P3359" s="4" t="inlineStr"/>
      <c r="Q3359" s="4" t="inlineStr"/>
      <c r="R3359" s="4" t="inlineStr">
        <is>
          <t>2026-03-12</t>
        </is>
      </c>
      <c r="S3359" s="4" t="inlineStr"/>
    </row>
    <row r="3360">
      <c r="A3360" s="10" t="inlineStr">
        <is>
          <t>F03933</t>
        </is>
      </c>
      <c r="B3360" s="10" t="inlineStr">
        <is>
          <t>F03933</t>
        </is>
      </c>
      <c r="C3360" s="10" t="inlineStr"/>
      <c r="D3360" s="10" t="inlineStr">
        <is>
          <t>6009705655653</t>
        </is>
      </c>
      <c r="E3360" s="10" t="inlineStr">
        <is>
          <t>WPC PANEL AURA WALNUT 0.245X0.125X2.9</t>
        </is>
      </c>
      <c r="F3360" s="10" t="inlineStr"/>
      <c r="G3360" s="10" t="inlineStr"/>
      <c r="H3360" s="10" t="inlineStr"/>
      <c r="I3360" s="11" t="n">
        <v>3</v>
      </c>
      <c r="J3360" s="6" t="n">
        <v>15</v>
      </c>
      <c r="K3360" s="7">
        <f>IF(I3360="","",I3360*(1+J3360/100))</f>
        <v/>
      </c>
      <c r="L3360" s="12" t="inlineStr"/>
      <c r="M3360" s="8">
        <f>IF(OR(L3360="",K3360="",L3360=0),"",
  (L3360-K3360)/L3360*100)</f>
        <v/>
      </c>
      <c r="N3360" s="9" t="inlineStr"/>
      <c r="O3360" s="10" t="inlineStr"/>
      <c r="P3360" s="10" t="inlineStr"/>
      <c r="Q3360" s="10" t="inlineStr"/>
      <c r="R3360" s="10" t="inlineStr">
        <is>
          <t>2026-03-12</t>
        </is>
      </c>
      <c r="S3360" s="10" t="inlineStr"/>
    </row>
    <row r="3361">
      <c r="A3361" s="3" t="inlineStr">
        <is>
          <t>F03934</t>
        </is>
      </c>
      <c r="B3361" s="4" t="inlineStr">
        <is>
          <t>F03934</t>
        </is>
      </c>
      <c r="C3361" s="4" t="inlineStr"/>
      <c r="D3361" s="4" t="inlineStr">
        <is>
          <t>6009705655660</t>
        </is>
      </c>
      <c r="E3361" s="3" t="inlineStr">
        <is>
          <t>WPC PANEL AURA LIGHT OAK 0.245X0.125X2.9</t>
        </is>
      </c>
      <c r="F3361" s="4" t="inlineStr"/>
      <c r="G3361" s="4" t="inlineStr"/>
      <c r="H3361" s="4" t="inlineStr"/>
      <c r="I3361" s="5" t="n">
        <v>3</v>
      </c>
      <c r="J3361" s="6" t="n">
        <v>15</v>
      </c>
      <c r="K3361" s="7">
        <f>IF(I3361="","",I3361*(1+J3361/100))</f>
        <v/>
      </c>
      <c r="L3361" s="12" t="inlineStr"/>
      <c r="M3361" s="8">
        <f>IF(OR(L3361="",K3361="",L3361=0),"",
  (L3361-K3361)/L3361*100)</f>
        <v/>
      </c>
      <c r="N3361" s="9" t="inlineStr"/>
      <c r="O3361" s="4" t="inlineStr"/>
      <c r="P3361" s="4" t="inlineStr"/>
      <c r="Q3361" s="4" t="inlineStr"/>
      <c r="R3361" s="4" t="inlineStr">
        <is>
          <t>2026-03-12</t>
        </is>
      </c>
      <c r="S3361" s="4" t="inlineStr"/>
    </row>
    <row r="3362">
      <c r="A3362" s="10" t="inlineStr">
        <is>
          <t>F03935</t>
        </is>
      </c>
      <c r="B3362" s="10" t="inlineStr">
        <is>
          <t>F03935</t>
        </is>
      </c>
      <c r="C3362" s="10" t="inlineStr"/>
      <c r="D3362" s="10" t="inlineStr">
        <is>
          <t>6009705655677</t>
        </is>
      </c>
      <c r="E3362" s="10" t="inlineStr">
        <is>
          <t>WPC PANEL AURA MARBLE 0.245X0.125X2.9</t>
        </is>
      </c>
      <c r="F3362" s="10" t="inlineStr"/>
      <c r="G3362" s="10" t="inlineStr"/>
      <c r="H3362" s="10" t="inlineStr"/>
      <c r="I3362" s="11" t="n">
        <v>4</v>
      </c>
      <c r="J3362" s="6" t="n">
        <v>15</v>
      </c>
      <c r="K3362" s="7">
        <f>IF(I3362="","",I3362*(1+J3362/100))</f>
        <v/>
      </c>
      <c r="L3362" s="12" t="inlineStr"/>
      <c r="M3362" s="8">
        <f>IF(OR(L3362="",K3362="",L3362=0),"",
  (L3362-K3362)/L3362*100)</f>
        <v/>
      </c>
      <c r="N3362" s="9" t="inlineStr"/>
      <c r="O3362" s="10" t="inlineStr"/>
      <c r="P3362" s="10" t="inlineStr"/>
      <c r="Q3362" s="10" t="inlineStr"/>
      <c r="R3362" s="10" t="inlineStr">
        <is>
          <t>2026-03-12</t>
        </is>
      </c>
      <c r="S3362" s="10" t="inlineStr"/>
    </row>
    <row r="3363">
      <c r="A3363" s="3" t="inlineStr">
        <is>
          <t>F03936</t>
        </is>
      </c>
      <c r="B3363" s="4" t="inlineStr">
        <is>
          <t>F03936</t>
        </is>
      </c>
      <c r="C3363" s="4" t="inlineStr"/>
      <c r="D3363" s="4" t="inlineStr">
        <is>
          <t>6009705655684</t>
        </is>
      </c>
      <c r="E3363" s="3" t="inlineStr">
        <is>
          <t>WPC PANEL SUNDAE BEST 0.245X0.125X2.9</t>
        </is>
      </c>
      <c r="F3363" s="4" t="inlineStr"/>
      <c r="G3363" s="4" t="inlineStr"/>
      <c r="H3363" s="4" t="inlineStr"/>
      <c r="I3363" s="5" t="n">
        <v>30</v>
      </c>
      <c r="J3363" s="6" t="n">
        <v>15</v>
      </c>
      <c r="K3363" s="7">
        <f>IF(I3363="","",I3363*(1+J3363/100))</f>
        <v/>
      </c>
      <c r="L3363" s="12" t="inlineStr"/>
      <c r="M3363" s="8">
        <f>IF(OR(L3363="",K3363="",L3363=0),"",
  (L3363-K3363)/L3363*100)</f>
        <v/>
      </c>
      <c r="N3363" s="9" t="inlineStr"/>
      <c r="O3363" s="4" t="inlineStr"/>
      <c r="P3363" s="4" t="inlineStr"/>
      <c r="Q3363" s="4" t="inlineStr"/>
      <c r="R3363" s="4" t="inlineStr">
        <is>
          <t>2026-03-12</t>
        </is>
      </c>
      <c r="S3363" s="4" t="inlineStr"/>
    </row>
    <row r="3364">
      <c r="A3364" s="10" t="inlineStr">
        <is>
          <t>F03937</t>
        </is>
      </c>
      <c r="B3364" s="10" t="inlineStr">
        <is>
          <t>F03937</t>
        </is>
      </c>
      <c r="C3364" s="10" t="inlineStr"/>
      <c r="D3364" s="10" t="inlineStr">
        <is>
          <t>6009705655691</t>
        </is>
      </c>
      <c r="E3364" s="10" t="inlineStr">
        <is>
          <t>BAMBOO CHARCOAL BOARD WENGE 1220X2.7X5MM</t>
        </is>
      </c>
      <c r="F3364" s="10" t="inlineStr"/>
      <c r="G3364" s="10" t="inlineStr"/>
      <c r="H3364" s="10" t="inlineStr"/>
      <c r="I3364" s="11" t="n">
        <v>4</v>
      </c>
      <c r="J3364" s="6" t="n">
        <v>15</v>
      </c>
      <c r="K3364" s="7">
        <f>IF(I3364="","",I3364*(1+J3364/100))</f>
        <v/>
      </c>
      <c r="L3364" s="12" t="inlineStr"/>
      <c r="M3364" s="8">
        <f>IF(OR(L3364="",K3364="",L3364=0),"",
  (L3364-K3364)/L3364*100)</f>
        <v/>
      </c>
      <c r="N3364" s="9" t="inlineStr"/>
      <c r="O3364" s="10" t="inlineStr"/>
      <c r="P3364" s="10" t="inlineStr"/>
      <c r="Q3364" s="10" t="inlineStr"/>
      <c r="R3364" s="10" t="inlineStr">
        <is>
          <t>2026-03-12</t>
        </is>
      </c>
      <c r="S3364" s="10" t="inlineStr"/>
    </row>
    <row r="3365">
      <c r="A3365" s="3" t="inlineStr">
        <is>
          <t>F03938</t>
        </is>
      </c>
      <c r="B3365" s="4" t="inlineStr">
        <is>
          <t>F03938</t>
        </is>
      </c>
      <c r="C3365" s="4" t="inlineStr"/>
      <c r="D3365" s="4" t="inlineStr">
        <is>
          <t>6009705655707</t>
        </is>
      </c>
      <c r="E3365" s="3" t="inlineStr">
        <is>
          <t>BAMBOO CHARCOAL BOARD TEAK 1220X2.7X5MM</t>
        </is>
      </c>
      <c r="F3365" s="4" t="inlineStr"/>
      <c r="G3365" s="4" t="inlineStr"/>
      <c r="H3365" s="4" t="inlineStr"/>
      <c r="I3365" s="5" t="n">
        <v>4</v>
      </c>
      <c r="J3365" s="6" t="n">
        <v>15</v>
      </c>
      <c r="K3365" s="7">
        <f>IF(I3365="","",I3365*(1+J3365/100))</f>
        <v/>
      </c>
      <c r="L3365" s="12" t="inlineStr"/>
      <c r="M3365" s="8">
        <f>IF(OR(L3365="",K3365="",L3365=0),"",
  (L3365-K3365)/L3365*100)</f>
        <v/>
      </c>
      <c r="N3365" s="9" t="inlineStr"/>
      <c r="O3365" s="4" t="inlineStr"/>
      <c r="P3365" s="4" t="inlineStr"/>
      <c r="Q3365" s="4" t="inlineStr"/>
      <c r="R3365" s="4" t="inlineStr">
        <is>
          <t>2026-03-12</t>
        </is>
      </c>
      <c r="S3365" s="4" t="inlineStr"/>
    </row>
    <row r="3366">
      <c r="A3366" s="10" t="inlineStr">
        <is>
          <t>F03939</t>
        </is>
      </c>
      <c r="B3366" s="10" t="inlineStr">
        <is>
          <t>F03939</t>
        </is>
      </c>
      <c r="C3366" s="10" t="inlineStr"/>
      <c r="D3366" s="10" t="inlineStr">
        <is>
          <t>6009705655714</t>
        </is>
      </c>
      <c r="E3366" s="10" t="inlineStr">
        <is>
          <t>BAMBOO CHARCOAL BOARD GREY 1220X2.7X5MM</t>
        </is>
      </c>
      <c r="F3366" s="10" t="inlineStr"/>
      <c r="G3366" s="10" t="inlineStr"/>
      <c r="H3366" s="10" t="inlineStr"/>
      <c r="I3366" s="11" t="n">
        <v>4</v>
      </c>
      <c r="J3366" s="6" t="n">
        <v>15</v>
      </c>
      <c r="K3366" s="7">
        <f>IF(I3366="","",I3366*(1+J3366/100))</f>
        <v/>
      </c>
      <c r="L3366" s="12" t="inlineStr"/>
      <c r="M3366" s="8">
        <f>IF(OR(L3366="",K3366="",L3366=0),"",
  (L3366-K3366)/L3366*100)</f>
        <v/>
      </c>
      <c r="N3366" s="9" t="inlineStr"/>
      <c r="O3366" s="10" t="inlineStr"/>
      <c r="P3366" s="10" t="inlineStr"/>
      <c r="Q3366" s="10" t="inlineStr"/>
      <c r="R3366" s="10" t="inlineStr">
        <is>
          <t>2026-03-12</t>
        </is>
      </c>
      <c r="S3366" s="10" t="inlineStr"/>
    </row>
    <row r="3367">
      <c r="A3367" s="3" t="inlineStr">
        <is>
          <t>F03940</t>
        </is>
      </c>
      <c r="B3367" s="4" t="inlineStr">
        <is>
          <t>F03940</t>
        </is>
      </c>
      <c r="C3367" s="4" t="inlineStr"/>
      <c r="D3367" s="4" t="inlineStr">
        <is>
          <t>6009705655721</t>
        </is>
      </c>
      <c r="E3367" s="3" t="inlineStr">
        <is>
          <t>BAMBOO CHARCOAL BOARD WOOD 1220X2.7X5MM</t>
        </is>
      </c>
      <c r="F3367" s="4" t="inlineStr"/>
      <c r="G3367" s="4" t="inlineStr"/>
      <c r="H3367" s="4" t="inlineStr"/>
      <c r="I3367" s="5" t="n">
        <v>4</v>
      </c>
      <c r="J3367" s="6" t="n">
        <v>15</v>
      </c>
      <c r="K3367" s="7">
        <f>IF(I3367="","",I3367*(1+J3367/100))</f>
        <v/>
      </c>
      <c r="L3367" s="12" t="inlineStr"/>
      <c r="M3367" s="8">
        <f>IF(OR(L3367="",K3367="",L3367=0),"",
  (L3367-K3367)/L3367*100)</f>
        <v/>
      </c>
      <c r="N3367" s="9" t="inlineStr"/>
      <c r="O3367" s="4" t="inlineStr"/>
      <c r="P3367" s="4" t="inlineStr"/>
      <c r="Q3367" s="4" t="inlineStr"/>
      <c r="R3367" s="4" t="inlineStr">
        <is>
          <t>2026-03-12</t>
        </is>
      </c>
      <c r="S3367" s="4" t="inlineStr"/>
    </row>
    <row r="3368">
      <c r="A3368" s="10" t="inlineStr">
        <is>
          <t>F03941</t>
        </is>
      </c>
      <c r="B3368" s="10" t="inlineStr">
        <is>
          <t>F03941</t>
        </is>
      </c>
      <c r="C3368" s="10" t="inlineStr"/>
      <c r="D3368" s="10" t="inlineStr">
        <is>
          <t>6009705655738</t>
        </is>
      </c>
      <c r="E3368" s="10" t="inlineStr">
        <is>
          <t>BAMBOO CHARCOAL BOARD  1220X2.7X5MM</t>
        </is>
      </c>
      <c r="F3368" s="10" t="inlineStr"/>
      <c r="G3368" s="10" t="inlineStr"/>
      <c r="H3368" s="10" t="inlineStr"/>
      <c r="I3368" s="11" t="n">
        <v>3</v>
      </c>
      <c r="J3368" s="6" t="n">
        <v>15</v>
      </c>
      <c r="K3368" s="7">
        <f>IF(I3368="","",I3368*(1+J3368/100))</f>
        <v/>
      </c>
      <c r="L3368" s="12" t="inlineStr"/>
      <c r="M3368" s="8">
        <f>IF(OR(L3368="",K3368="",L3368=0),"",
  (L3368-K3368)/L3368*100)</f>
        <v/>
      </c>
      <c r="N3368" s="9" t="inlineStr"/>
      <c r="O3368" s="10" t="inlineStr"/>
      <c r="P3368" s="10" t="inlineStr"/>
      <c r="Q3368" s="10" t="inlineStr"/>
      <c r="R3368" s="10" t="inlineStr">
        <is>
          <t>2026-03-12</t>
        </is>
      </c>
      <c r="S3368" s="10" t="inlineStr"/>
    </row>
    <row r="3369">
      <c r="A3369" s="3" t="inlineStr">
        <is>
          <t>F03942</t>
        </is>
      </c>
      <c r="B3369" s="4" t="inlineStr">
        <is>
          <t>F03942</t>
        </is>
      </c>
      <c r="C3369" s="4" t="inlineStr"/>
      <c r="D3369" s="4" t="inlineStr">
        <is>
          <t>6009705655745</t>
        </is>
      </c>
      <c r="E3369" s="3" t="inlineStr">
        <is>
          <t>BAMBOO CHARCOAL BOARD  1220X2.7X5MM</t>
        </is>
      </c>
      <c r="F3369" s="4" t="inlineStr"/>
      <c r="G3369" s="4" t="inlineStr"/>
      <c r="H3369" s="4" t="inlineStr"/>
      <c r="I3369" s="5" t="n">
        <v>3</v>
      </c>
      <c r="J3369" s="6" t="n">
        <v>15</v>
      </c>
      <c r="K3369" s="7">
        <f>IF(I3369="","",I3369*(1+J3369/100))</f>
        <v/>
      </c>
      <c r="L3369" s="12" t="inlineStr"/>
      <c r="M3369" s="8">
        <f>IF(OR(L3369="",K3369="",L3369=0),"",
  (L3369-K3369)/L3369*100)</f>
        <v/>
      </c>
      <c r="N3369" s="9" t="inlineStr"/>
      <c r="O3369" s="4" t="inlineStr"/>
      <c r="P3369" s="4" t="inlineStr"/>
      <c r="Q3369" s="4" t="inlineStr"/>
      <c r="R3369" s="4" t="inlineStr">
        <is>
          <t>2026-03-12</t>
        </is>
      </c>
      <c r="S3369" s="4" t="inlineStr"/>
    </row>
    <row r="3370">
      <c r="A3370" s="10" t="inlineStr">
        <is>
          <t>F03943</t>
        </is>
      </c>
      <c r="B3370" s="10" t="inlineStr">
        <is>
          <t>F03943</t>
        </is>
      </c>
      <c r="C3370" s="10" t="inlineStr"/>
      <c r="D3370" s="10" t="inlineStr">
        <is>
          <t>6009705655752</t>
        </is>
      </c>
      <c r="E3370" s="10" t="inlineStr">
        <is>
          <t>BAMBOO CHARCOAL BOARD  1220X2.7X5MM</t>
        </is>
      </c>
      <c r="F3370" s="10" t="inlineStr"/>
      <c r="G3370" s="10" t="inlineStr"/>
      <c r="H3370" s="10" t="inlineStr"/>
      <c r="I3370" s="11" t="n">
        <v>7</v>
      </c>
      <c r="J3370" s="6" t="n">
        <v>15</v>
      </c>
      <c r="K3370" s="7">
        <f>IF(I3370="","",I3370*(1+J3370/100))</f>
        <v/>
      </c>
      <c r="L3370" s="12" t="inlineStr"/>
      <c r="M3370" s="8">
        <f>IF(OR(L3370="",K3370="",L3370=0),"",
  (L3370-K3370)/L3370*100)</f>
        <v/>
      </c>
      <c r="N3370" s="9" t="inlineStr"/>
      <c r="O3370" s="10" t="inlineStr"/>
      <c r="P3370" s="10" t="inlineStr"/>
      <c r="Q3370" s="10" t="inlineStr"/>
      <c r="R3370" s="10" t="inlineStr">
        <is>
          <t>2026-03-12</t>
        </is>
      </c>
      <c r="S3370" s="10" t="inlineStr"/>
    </row>
    <row r="3371">
      <c r="A3371" s="3" t="inlineStr">
        <is>
          <t>F03944</t>
        </is>
      </c>
      <c r="B3371" s="4" t="inlineStr">
        <is>
          <t>F03944</t>
        </is>
      </c>
      <c r="C3371" s="4" t="inlineStr"/>
      <c r="D3371" s="4" t="inlineStr">
        <is>
          <t>6009705655769</t>
        </is>
      </c>
      <c r="E3371" s="3" t="inlineStr">
        <is>
          <t>BAMBOO CHARCOAL BOARD  1220X2.7X5MM</t>
        </is>
      </c>
      <c r="F3371" s="4" t="inlineStr"/>
      <c r="G3371" s="4" t="inlineStr"/>
      <c r="H3371" s="4" t="inlineStr"/>
      <c r="I3371" s="5" t="n">
        <v>9</v>
      </c>
      <c r="J3371" s="6" t="n">
        <v>15</v>
      </c>
      <c r="K3371" s="7">
        <f>IF(I3371="","",I3371*(1+J3371/100))</f>
        <v/>
      </c>
      <c r="L3371" s="12" t="inlineStr"/>
      <c r="M3371" s="8">
        <f>IF(OR(L3371="",K3371="",L3371=0),"",
  (L3371-K3371)/L3371*100)</f>
        <v/>
      </c>
      <c r="N3371" s="9" t="inlineStr"/>
      <c r="O3371" s="4" t="inlineStr"/>
      <c r="P3371" s="4" t="inlineStr"/>
      <c r="Q3371" s="4" t="inlineStr"/>
      <c r="R3371" s="4" t="inlineStr">
        <is>
          <t>2026-03-12</t>
        </is>
      </c>
      <c r="S3371" s="4" t="inlineStr"/>
    </row>
    <row r="3372">
      <c r="A3372" s="10" t="inlineStr">
        <is>
          <t>F03945</t>
        </is>
      </c>
      <c r="B3372" s="10" t="inlineStr">
        <is>
          <t>F03945</t>
        </is>
      </c>
      <c r="C3372" s="10" t="inlineStr"/>
      <c r="D3372" s="10" t="inlineStr">
        <is>
          <t>6009705655776</t>
        </is>
      </c>
      <c r="E3372" s="10" t="inlineStr">
        <is>
          <t>BAMBOO CHARCOAL BOARD  1220X2.7X5MM</t>
        </is>
      </c>
      <c r="F3372" s="10" t="inlineStr"/>
      <c r="G3372" s="10" t="inlineStr"/>
      <c r="H3372" s="10" t="inlineStr"/>
      <c r="I3372" s="11" t="n">
        <v>5</v>
      </c>
      <c r="J3372" s="6" t="n">
        <v>15</v>
      </c>
      <c r="K3372" s="7">
        <f>IF(I3372="","",I3372*(1+J3372/100))</f>
        <v/>
      </c>
      <c r="L3372" s="12" t="inlineStr"/>
      <c r="M3372" s="8">
        <f>IF(OR(L3372="",K3372="",L3372=0),"",
  (L3372-K3372)/L3372*100)</f>
        <v/>
      </c>
      <c r="N3372" s="9" t="inlineStr"/>
      <c r="O3372" s="10" t="inlineStr"/>
      <c r="P3372" s="10" t="inlineStr"/>
      <c r="Q3372" s="10" t="inlineStr"/>
      <c r="R3372" s="10" t="inlineStr">
        <is>
          <t>2026-03-12</t>
        </is>
      </c>
      <c r="S3372" s="10" t="inlineStr"/>
    </row>
    <row r="3373">
      <c r="A3373" s="3" t="inlineStr">
        <is>
          <t>F03946</t>
        </is>
      </c>
      <c r="B3373" s="4" t="inlineStr">
        <is>
          <t>F03946</t>
        </is>
      </c>
      <c r="C3373" s="4" t="inlineStr"/>
      <c r="D3373" s="4" t="inlineStr">
        <is>
          <t>6009705655783</t>
        </is>
      </c>
      <c r="E3373" s="3" t="inlineStr">
        <is>
          <t>BAMBOO CHARCOAL BOARD SATIN BLACK</t>
        </is>
      </c>
      <c r="F3373" s="4" t="inlineStr"/>
      <c r="G3373" s="4" t="inlineStr"/>
      <c r="H3373" s="4" t="inlineStr"/>
      <c r="I3373" s="5" t="n">
        <v>4</v>
      </c>
      <c r="J3373" s="6" t="n">
        <v>15</v>
      </c>
      <c r="K3373" s="7">
        <f>IF(I3373="","",I3373*(1+J3373/100))</f>
        <v/>
      </c>
      <c r="L3373" s="12" t="inlineStr"/>
      <c r="M3373" s="8">
        <f>IF(OR(L3373="",K3373="",L3373=0),"",
  (L3373-K3373)/L3373*100)</f>
        <v/>
      </c>
      <c r="N3373" s="9" t="inlineStr"/>
      <c r="O3373" s="4" t="inlineStr"/>
      <c r="P3373" s="4" t="inlineStr"/>
      <c r="Q3373" s="4" t="inlineStr"/>
      <c r="R3373" s="4" t="inlineStr">
        <is>
          <t>2026-03-12</t>
        </is>
      </c>
      <c r="S3373" s="4" t="inlineStr"/>
    </row>
    <row r="3374">
      <c r="A3374" s="10" t="inlineStr">
        <is>
          <t>F03947</t>
        </is>
      </c>
      <c r="B3374" s="10" t="inlineStr">
        <is>
          <t>F03947</t>
        </is>
      </c>
      <c r="C3374" s="10" t="inlineStr"/>
      <c r="D3374" s="10" t="inlineStr">
        <is>
          <t>6009705655790</t>
        </is>
      </c>
      <c r="E3374" s="10" t="inlineStr">
        <is>
          <t>PVC ROLL SELF STICK WHITE MARBLE 1.2X3M</t>
        </is>
      </c>
      <c r="F3374" s="10" t="inlineStr"/>
      <c r="G3374" s="10" t="inlineStr"/>
      <c r="H3374" s="10" t="inlineStr"/>
      <c r="I3374" s="11" t="n">
        <v>3</v>
      </c>
      <c r="J3374" s="6" t="n">
        <v>15</v>
      </c>
      <c r="K3374" s="7">
        <f>IF(I3374="","",I3374*(1+J3374/100))</f>
        <v/>
      </c>
      <c r="L3374" s="12" t="inlineStr"/>
      <c r="M3374" s="8">
        <f>IF(OR(L3374="",K3374="",L3374=0),"",
  (L3374-K3374)/L3374*100)</f>
        <v/>
      </c>
      <c r="N3374" s="9" t="inlineStr"/>
      <c r="O3374" s="10" t="inlineStr"/>
      <c r="P3374" s="10" t="inlineStr"/>
      <c r="Q3374" s="10" t="inlineStr"/>
      <c r="R3374" s="10" t="inlineStr">
        <is>
          <t>2026-03-12</t>
        </is>
      </c>
      <c r="S3374" s="10" t="inlineStr"/>
    </row>
    <row r="3375">
      <c r="A3375" s="3" t="inlineStr">
        <is>
          <t>F03948</t>
        </is>
      </c>
      <c r="B3375" s="4" t="inlineStr">
        <is>
          <t>F03948</t>
        </is>
      </c>
      <c r="C3375" s="4" t="inlineStr"/>
      <c r="D3375" s="4" t="inlineStr">
        <is>
          <t>6009705655806</t>
        </is>
      </c>
      <c r="E3375" s="3" t="inlineStr">
        <is>
          <t>PVC ROLL SELF STICK STERLING SILV 0.6X3M</t>
        </is>
      </c>
      <c r="F3375" s="4" t="inlineStr"/>
      <c r="G3375" s="4" t="inlineStr"/>
      <c r="H3375" s="4" t="inlineStr"/>
      <c r="I3375" s="5" t="n">
        <v>3</v>
      </c>
      <c r="J3375" s="6" t="n">
        <v>15</v>
      </c>
      <c r="K3375" s="7">
        <f>IF(I3375="","",I3375*(1+J3375/100))</f>
        <v/>
      </c>
      <c r="L3375" s="12" t="inlineStr"/>
      <c r="M3375" s="8">
        <f>IF(OR(L3375="",K3375="",L3375=0),"",
  (L3375-K3375)/L3375*100)</f>
        <v/>
      </c>
      <c r="N3375" s="9" t="inlineStr"/>
      <c r="O3375" s="4" t="inlineStr"/>
      <c r="P3375" s="4" t="inlineStr"/>
      <c r="Q3375" s="4" t="inlineStr"/>
      <c r="R3375" s="4" t="inlineStr">
        <is>
          <t>2026-03-12</t>
        </is>
      </c>
      <c r="S3375" s="4" t="inlineStr"/>
    </row>
    <row r="3376">
      <c r="A3376" s="10" t="inlineStr">
        <is>
          <t>F03949</t>
        </is>
      </c>
      <c r="B3376" s="10" t="inlineStr">
        <is>
          <t>F03949</t>
        </is>
      </c>
      <c r="C3376" s="10" t="inlineStr"/>
      <c r="D3376" s="10" t="inlineStr">
        <is>
          <t>6009705655813</t>
        </is>
      </c>
      <c r="E3376" s="10" t="inlineStr">
        <is>
          <t>PVC ROLL SELFSTICK STERLIN SHADOW 0.6X3M</t>
        </is>
      </c>
      <c r="F3376" s="10" t="inlineStr"/>
      <c r="G3376" s="10" t="inlineStr"/>
      <c r="H3376" s="10" t="inlineStr"/>
      <c r="I3376" s="11" t="n">
        <v>3</v>
      </c>
      <c r="J3376" s="6" t="n">
        <v>15</v>
      </c>
      <c r="K3376" s="7">
        <f>IF(I3376="","",I3376*(1+J3376/100))</f>
        <v/>
      </c>
      <c r="L3376" s="12" t="inlineStr"/>
      <c r="M3376" s="8">
        <f>IF(OR(L3376="",K3376="",L3376=0),"",
  (L3376-K3376)/L3376*100)</f>
        <v/>
      </c>
      <c r="N3376" s="9" t="inlineStr"/>
      <c r="O3376" s="10" t="inlineStr"/>
      <c r="P3376" s="10" t="inlineStr"/>
      <c r="Q3376" s="10" t="inlineStr"/>
      <c r="R3376" s="10" t="inlineStr">
        <is>
          <t>2026-03-12</t>
        </is>
      </c>
      <c r="S3376" s="10" t="inlineStr"/>
    </row>
    <row r="3377">
      <c r="A3377" s="3" t="inlineStr">
        <is>
          <t>F03950</t>
        </is>
      </c>
      <c r="B3377" s="4" t="inlineStr">
        <is>
          <t>F03950</t>
        </is>
      </c>
      <c r="C3377" s="4" t="inlineStr"/>
      <c r="D3377" s="4" t="inlineStr">
        <is>
          <t>6009705655820</t>
        </is>
      </c>
      <c r="E3377" s="3" t="inlineStr">
        <is>
          <t>PVC ROLL SELF STICK MODERN BLK 10CMX5M</t>
        </is>
      </c>
      <c r="F3377" s="4" t="inlineStr"/>
      <c r="G3377" s="4" t="inlineStr"/>
      <c r="H3377" s="4" t="inlineStr"/>
      <c r="I3377" s="5" t="n">
        <v>4</v>
      </c>
      <c r="J3377" s="6" t="n">
        <v>15</v>
      </c>
      <c r="K3377" s="7">
        <f>IF(I3377="","",I3377*(1+J3377/100))</f>
        <v/>
      </c>
      <c r="L3377" s="12" t="inlineStr"/>
      <c r="M3377" s="8">
        <f>IF(OR(L3377="",K3377="",L3377=0),"",
  (L3377-K3377)/L3377*100)</f>
        <v/>
      </c>
      <c r="N3377" s="9" t="inlineStr"/>
      <c r="O3377" s="4" t="inlineStr"/>
      <c r="P3377" s="4" t="inlineStr"/>
      <c r="Q3377" s="4" t="inlineStr"/>
      <c r="R3377" s="4" t="inlineStr">
        <is>
          <t>2026-03-12</t>
        </is>
      </c>
      <c r="S3377" s="4" t="inlineStr"/>
    </row>
    <row r="3378">
      <c r="A3378" s="10" t="inlineStr">
        <is>
          <t>F03951</t>
        </is>
      </c>
      <c r="B3378" s="10" t="inlineStr">
        <is>
          <t>F03951</t>
        </is>
      </c>
      <c r="C3378" s="10" t="inlineStr"/>
      <c r="D3378" s="10" t="inlineStr">
        <is>
          <t>6009705655837</t>
        </is>
      </c>
      <c r="E3378" s="10" t="inlineStr">
        <is>
          <t>PVC ROLL SELF STICK MODERN SILVER10CMX5M</t>
        </is>
      </c>
      <c r="F3378" s="10" t="inlineStr"/>
      <c r="G3378" s="10" t="inlineStr"/>
      <c r="H3378" s="10" t="inlineStr"/>
      <c r="I3378" s="11" t="n">
        <v>3</v>
      </c>
      <c r="J3378" s="6" t="n">
        <v>15</v>
      </c>
      <c r="K3378" s="7">
        <f>IF(I3378="","",I3378*(1+J3378/100))</f>
        <v/>
      </c>
      <c r="L3378" s="12" t="inlineStr"/>
      <c r="M3378" s="8">
        <f>IF(OR(L3378="",K3378="",L3378=0),"",
  (L3378-K3378)/L3378*100)</f>
        <v/>
      </c>
      <c r="N3378" s="9" t="inlineStr"/>
      <c r="O3378" s="10" t="inlineStr"/>
      <c r="P3378" s="10" t="inlineStr"/>
      <c r="Q3378" s="10" t="inlineStr"/>
      <c r="R3378" s="10" t="inlineStr">
        <is>
          <t>2026-03-12</t>
        </is>
      </c>
      <c r="S3378" s="10" t="inlineStr"/>
    </row>
    <row r="3379">
      <c r="A3379" s="3" t="inlineStr">
        <is>
          <t>F03952</t>
        </is>
      </c>
      <c r="B3379" s="4" t="inlineStr">
        <is>
          <t>F03952</t>
        </is>
      </c>
      <c r="C3379" s="4" t="inlineStr"/>
      <c r="D3379" s="4" t="inlineStr">
        <is>
          <t>6009705655844</t>
        </is>
      </c>
      <c r="E3379" s="3" t="inlineStr">
        <is>
          <t>PVC ROLL SELF STICK MODERN GOLD10CMX5M</t>
        </is>
      </c>
      <c r="F3379" s="4" t="inlineStr"/>
      <c r="G3379" s="4" t="inlineStr"/>
      <c r="H3379" s="4" t="inlineStr"/>
      <c r="I3379" s="5" t="n">
        <v>3</v>
      </c>
      <c r="J3379" s="6" t="n">
        <v>15</v>
      </c>
      <c r="K3379" s="7">
        <f>IF(I3379="","",I3379*(1+J3379/100))</f>
        <v/>
      </c>
      <c r="L3379" s="12" t="inlineStr"/>
      <c r="M3379" s="8">
        <f>IF(OR(L3379="",K3379="",L3379=0),"",
  (L3379-K3379)/L3379*100)</f>
        <v/>
      </c>
      <c r="N3379" s="9" t="inlineStr"/>
      <c r="O3379" s="4" t="inlineStr"/>
      <c r="P3379" s="4" t="inlineStr"/>
      <c r="Q3379" s="4" t="inlineStr"/>
      <c r="R3379" s="4" t="inlineStr">
        <is>
          <t>2026-03-12</t>
        </is>
      </c>
      <c r="S3379" s="4" t="inlineStr"/>
    </row>
    <row r="3380">
      <c r="A3380" s="10" t="inlineStr">
        <is>
          <t>F03953</t>
        </is>
      </c>
      <c r="B3380" s="10" t="inlineStr">
        <is>
          <t>F03953</t>
        </is>
      </c>
      <c r="C3380" s="10" t="inlineStr"/>
      <c r="D3380" s="10" t="inlineStr">
        <is>
          <t>6009705655851</t>
        </is>
      </c>
      <c r="E3380" s="10" t="inlineStr">
        <is>
          <t>PVC ROLL SELF STICK MODERN ONYX10CMX5M</t>
        </is>
      </c>
      <c r="F3380" s="10" t="inlineStr"/>
      <c r="G3380" s="10" t="inlineStr"/>
      <c r="H3380" s="10" t="inlineStr"/>
      <c r="I3380" s="11" t="n">
        <v>4</v>
      </c>
      <c r="J3380" s="6" t="n">
        <v>15</v>
      </c>
      <c r="K3380" s="7">
        <f>IF(I3380="","",I3380*(1+J3380/100))</f>
        <v/>
      </c>
      <c r="L3380" s="12" t="inlineStr"/>
      <c r="M3380" s="8">
        <f>IF(OR(L3380="",K3380="",L3380=0),"",
  (L3380-K3380)/L3380*100)</f>
        <v/>
      </c>
      <c r="N3380" s="9" t="inlineStr"/>
      <c r="O3380" s="10" t="inlineStr"/>
      <c r="P3380" s="10" t="inlineStr"/>
      <c r="Q3380" s="10" t="inlineStr"/>
      <c r="R3380" s="10" t="inlineStr">
        <is>
          <t>2026-03-12</t>
        </is>
      </c>
      <c r="S3380" s="10" t="inlineStr"/>
    </row>
    <row r="3381">
      <c r="A3381" s="3" t="inlineStr">
        <is>
          <t>F03954</t>
        </is>
      </c>
      <c r="B3381" s="4" t="inlineStr">
        <is>
          <t>F03954</t>
        </is>
      </c>
      <c r="C3381" s="4" t="inlineStr"/>
      <c r="D3381" s="4" t="inlineStr">
        <is>
          <t>6009705655868</t>
        </is>
      </c>
      <c r="E3381" s="3" t="inlineStr">
        <is>
          <t>PVC ROLL SELF STICK ANGEL FLOWER 0.6X3M</t>
        </is>
      </c>
      <c r="F3381" s="4" t="inlineStr"/>
      <c r="G3381" s="4" t="inlineStr"/>
      <c r="H3381" s="4" t="inlineStr"/>
      <c r="I3381" s="5" t="n">
        <v>4</v>
      </c>
      <c r="J3381" s="6" t="n">
        <v>15</v>
      </c>
      <c r="K3381" s="7">
        <f>IF(I3381="","",I3381*(1+J3381/100))</f>
        <v/>
      </c>
      <c r="L3381" s="12" t="inlineStr"/>
      <c r="M3381" s="8">
        <f>IF(OR(L3381="",K3381="",L3381=0),"",
  (L3381-K3381)/L3381*100)</f>
        <v/>
      </c>
      <c r="N3381" s="9" t="inlineStr"/>
      <c r="O3381" s="4" t="inlineStr"/>
      <c r="P3381" s="4" t="inlineStr"/>
      <c r="Q3381" s="4" t="inlineStr"/>
      <c r="R3381" s="4" t="inlineStr">
        <is>
          <t>2026-03-12</t>
        </is>
      </c>
      <c r="S3381" s="4" t="inlineStr"/>
    </row>
    <row r="3382">
      <c r="A3382" s="10" t="inlineStr">
        <is>
          <t>F03955</t>
        </is>
      </c>
      <c r="B3382" s="10" t="inlineStr">
        <is>
          <t>F03955</t>
        </is>
      </c>
      <c r="C3382" s="10" t="inlineStr"/>
      <c r="D3382" s="10" t="inlineStr">
        <is>
          <t>6009705655875</t>
        </is>
      </c>
      <c r="E3382" s="10" t="inlineStr">
        <is>
          <t>PVC ROLL SELF STICK SLATE FLOWER 0.6X3M</t>
        </is>
      </c>
      <c r="F3382" s="10" t="inlineStr"/>
      <c r="G3382" s="10" t="inlineStr"/>
      <c r="H3382" s="10" t="inlineStr"/>
      <c r="I3382" s="11" t="n">
        <v>4</v>
      </c>
      <c r="J3382" s="6" t="n">
        <v>15</v>
      </c>
      <c r="K3382" s="7">
        <f>IF(I3382="","",I3382*(1+J3382/100))</f>
        <v/>
      </c>
      <c r="L3382" s="12" t="inlineStr"/>
      <c r="M3382" s="8">
        <f>IF(OR(L3382="",K3382="",L3382=0),"",
  (L3382-K3382)/L3382*100)</f>
        <v/>
      </c>
      <c r="N3382" s="9" t="inlineStr"/>
      <c r="O3382" s="10" t="inlineStr"/>
      <c r="P3382" s="10" t="inlineStr"/>
      <c r="Q3382" s="10" t="inlineStr"/>
      <c r="R3382" s="10" t="inlineStr">
        <is>
          <t>2026-03-12</t>
        </is>
      </c>
      <c r="S3382" s="10" t="inlineStr"/>
    </row>
    <row r="3383">
      <c r="A3383" s="3" t="inlineStr">
        <is>
          <t>F03956</t>
        </is>
      </c>
      <c r="B3383" s="4" t="inlineStr">
        <is>
          <t>F03956</t>
        </is>
      </c>
      <c r="C3383" s="4" t="inlineStr"/>
      <c r="D3383" s="4" t="inlineStr">
        <is>
          <t>6009705655882</t>
        </is>
      </c>
      <c r="E3383" s="3" t="inlineStr">
        <is>
          <t>PVC ROLL SELFSTICK CASHMERE FLOWR 0.6X3M</t>
        </is>
      </c>
      <c r="F3383" s="4" t="inlineStr"/>
      <c r="G3383" s="4" t="inlineStr"/>
      <c r="H3383" s="4" t="inlineStr"/>
      <c r="I3383" s="5" t="n">
        <v>4</v>
      </c>
      <c r="J3383" s="6" t="n">
        <v>15</v>
      </c>
      <c r="K3383" s="7">
        <f>IF(I3383="","",I3383*(1+J3383/100))</f>
        <v/>
      </c>
      <c r="L3383" s="12" t="inlineStr"/>
      <c r="M3383" s="8">
        <f>IF(OR(L3383="",K3383="",L3383=0),"",
  (L3383-K3383)/L3383*100)</f>
        <v/>
      </c>
      <c r="N3383" s="9" t="inlineStr"/>
      <c r="O3383" s="4" t="inlineStr"/>
      <c r="P3383" s="4" t="inlineStr"/>
      <c r="Q3383" s="4" t="inlineStr"/>
      <c r="R3383" s="4" t="inlineStr">
        <is>
          <t>2026-03-12</t>
        </is>
      </c>
      <c r="S3383" s="4" t="inlineStr"/>
    </row>
    <row r="3384">
      <c r="A3384" s="10" t="inlineStr">
        <is>
          <t>F03957</t>
        </is>
      </c>
      <c r="B3384" s="10" t="inlineStr">
        <is>
          <t>F03957</t>
        </is>
      </c>
      <c r="C3384" s="10" t="inlineStr"/>
      <c r="D3384" s="10" t="inlineStr">
        <is>
          <t>6009705655899</t>
        </is>
      </c>
      <c r="E3384" s="10" t="inlineStr">
        <is>
          <t>PVC ROLL SELF STICK ONYX FLOWER 0.6X3M</t>
        </is>
      </c>
      <c r="F3384" s="10" t="inlineStr"/>
      <c r="G3384" s="10" t="inlineStr"/>
      <c r="H3384" s="10" t="inlineStr"/>
      <c r="I3384" s="11" t="n">
        <v>4</v>
      </c>
      <c r="J3384" s="6" t="n">
        <v>15</v>
      </c>
      <c r="K3384" s="7">
        <f>IF(I3384="","",I3384*(1+J3384/100))</f>
        <v/>
      </c>
      <c r="L3384" s="12" t="inlineStr"/>
      <c r="M3384" s="8">
        <f>IF(OR(L3384="",K3384="",L3384=0),"",
  (L3384-K3384)/L3384*100)</f>
        <v/>
      </c>
      <c r="N3384" s="9" t="inlineStr"/>
      <c r="O3384" s="10" t="inlineStr"/>
      <c r="P3384" s="10" t="inlineStr"/>
      <c r="Q3384" s="10" t="inlineStr"/>
      <c r="R3384" s="10" t="inlineStr">
        <is>
          <t>2026-03-12</t>
        </is>
      </c>
      <c r="S3384" s="10" t="inlineStr"/>
    </row>
    <row r="3385">
      <c r="A3385" s="3" t="inlineStr">
        <is>
          <t>F03958</t>
        </is>
      </c>
      <c r="B3385" s="4" t="inlineStr">
        <is>
          <t>F03958</t>
        </is>
      </c>
      <c r="C3385" s="4" t="inlineStr"/>
      <c r="D3385" s="4" t="inlineStr">
        <is>
          <t>6009705655905</t>
        </is>
      </c>
      <c r="E3385" s="3" t="inlineStr">
        <is>
          <t>PVC ROLL SELF STICK ANGEL WEAVE 0.6X3M</t>
        </is>
      </c>
      <c r="F3385" s="4" t="inlineStr"/>
      <c r="G3385" s="4" t="inlineStr"/>
      <c r="H3385" s="4" t="inlineStr"/>
      <c r="I3385" s="5" t="n">
        <v>5</v>
      </c>
      <c r="J3385" s="6" t="n">
        <v>15</v>
      </c>
      <c r="K3385" s="7">
        <f>IF(I3385="","",I3385*(1+J3385/100))</f>
        <v/>
      </c>
      <c r="L3385" s="12" t="inlineStr"/>
      <c r="M3385" s="8">
        <f>IF(OR(L3385="",K3385="",L3385=0),"",
  (L3385-K3385)/L3385*100)</f>
        <v/>
      </c>
      <c r="N3385" s="9" t="inlineStr"/>
      <c r="O3385" s="4" t="inlineStr"/>
      <c r="P3385" s="4" t="inlineStr"/>
      <c r="Q3385" s="4" t="inlineStr"/>
      <c r="R3385" s="4" t="inlineStr">
        <is>
          <t>2026-03-12</t>
        </is>
      </c>
      <c r="S3385" s="4" t="inlineStr"/>
    </row>
    <row r="3386">
      <c r="A3386" s="10" t="inlineStr">
        <is>
          <t>F03959</t>
        </is>
      </c>
      <c r="B3386" s="10" t="inlineStr">
        <is>
          <t>F03959</t>
        </is>
      </c>
      <c r="C3386" s="10" t="inlineStr"/>
      <c r="D3386" s="10" t="inlineStr">
        <is>
          <t>6009705655912</t>
        </is>
      </c>
      <c r="E3386" s="10" t="inlineStr">
        <is>
          <t>PVC ROLL SELF STICK SLATE WEAVE 0.6X3M</t>
        </is>
      </c>
      <c r="F3386" s="10" t="inlineStr"/>
      <c r="G3386" s="10" t="inlineStr"/>
      <c r="H3386" s="10" t="inlineStr"/>
      <c r="I3386" s="11" t="n">
        <v>4</v>
      </c>
      <c r="J3386" s="6" t="n">
        <v>15</v>
      </c>
      <c r="K3386" s="7">
        <f>IF(I3386="","",I3386*(1+J3386/100))</f>
        <v/>
      </c>
      <c r="L3386" s="12" t="inlineStr"/>
      <c r="M3386" s="8">
        <f>IF(OR(L3386="",K3386="",L3386=0),"",
  (L3386-K3386)/L3386*100)</f>
        <v/>
      </c>
      <c r="N3386" s="9" t="inlineStr"/>
      <c r="O3386" s="10" t="inlineStr"/>
      <c r="P3386" s="10" t="inlineStr"/>
      <c r="Q3386" s="10" t="inlineStr"/>
      <c r="R3386" s="10" t="inlineStr">
        <is>
          <t>2026-03-12</t>
        </is>
      </c>
      <c r="S3386" s="10" t="inlineStr"/>
    </row>
    <row r="3387">
      <c r="A3387" s="3" t="inlineStr">
        <is>
          <t>F03960</t>
        </is>
      </c>
      <c r="B3387" s="4" t="inlineStr">
        <is>
          <t>F03960</t>
        </is>
      </c>
      <c r="C3387" s="4" t="inlineStr"/>
      <c r="D3387" s="4" t="inlineStr">
        <is>
          <t>6009705655929</t>
        </is>
      </c>
      <c r="E3387" s="3" t="inlineStr">
        <is>
          <t>PVC ROLL SELFSTICK CASHMERE WEAVE 0.6X3M</t>
        </is>
      </c>
      <c r="F3387" s="4" t="inlineStr"/>
      <c r="G3387" s="4" t="inlineStr"/>
      <c r="H3387" s="4" t="inlineStr"/>
      <c r="I3387" s="5" t="n">
        <v>4</v>
      </c>
      <c r="J3387" s="6" t="n">
        <v>15</v>
      </c>
      <c r="K3387" s="7">
        <f>IF(I3387="","",I3387*(1+J3387/100))</f>
        <v/>
      </c>
      <c r="L3387" s="12" t="inlineStr"/>
      <c r="M3387" s="8">
        <f>IF(OR(L3387="",K3387="",L3387=0),"",
  (L3387-K3387)/L3387*100)</f>
        <v/>
      </c>
      <c r="N3387" s="9" t="inlineStr"/>
      <c r="O3387" s="4" t="inlineStr"/>
      <c r="P3387" s="4" t="inlineStr"/>
      <c r="Q3387" s="4" t="inlineStr"/>
      <c r="R3387" s="4" t="inlineStr">
        <is>
          <t>2026-03-12</t>
        </is>
      </c>
      <c r="S3387" s="4" t="inlineStr"/>
    </row>
    <row r="3388">
      <c r="A3388" s="10" t="inlineStr">
        <is>
          <t>F03961</t>
        </is>
      </c>
      <c r="B3388" s="10" t="inlineStr">
        <is>
          <t>F03961</t>
        </is>
      </c>
      <c r="C3388" s="10" t="inlineStr"/>
      <c r="D3388" s="10" t="inlineStr">
        <is>
          <t>6009705655936</t>
        </is>
      </c>
      <c r="E3388" s="10" t="inlineStr">
        <is>
          <t>PVC ROLL SELF STICK ONYX WEAVE 0.6X3M</t>
        </is>
      </c>
      <c r="F3388" s="10" t="inlineStr"/>
      <c r="G3388" s="10" t="inlineStr"/>
      <c r="H3388" s="10" t="inlineStr"/>
      <c r="I3388" s="11" t="n">
        <v>5</v>
      </c>
      <c r="J3388" s="6" t="n">
        <v>15</v>
      </c>
      <c r="K3388" s="7">
        <f>IF(I3388="","",I3388*(1+J3388/100))</f>
        <v/>
      </c>
      <c r="L3388" s="12" t="inlineStr"/>
      <c r="M3388" s="8">
        <f>IF(OR(L3388="",K3388="",L3388=0),"",
  (L3388-K3388)/L3388*100)</f>
        <v/>
      </c>
      <c r="N3388" s="9" t="inlineStr"/>
      <c r="O3388" s="10" t="inlineStr"/>
      <c r="P3388" s="10" t="inlineStr"/>
      <c r="Q3388" s="10" t="inlineStr"/>
      <c r="R3388" s="10" t="inlineStr">
        <is>
          <t>2026-03-12</t>
        </is>
      </c>
      <c r="S3388" s="10" t="inlineStr"/>
    </row>
    <row r="3389">
      <c r="A3389" s="3" t="inlineStr">
        <is>
          <t>F03962</t>
        </is>
      </c>
      <c r="B3389" s="4" t="inlineStr">
        <is>
          <t>F03962</t>
        </is>
      </c>
      <c r="C3389" s="4" t="inlineStr"/>
      <c r="D3389" s="4" t="inlineStr">
        <is>
          <t>6009705655950</t>
        </is>
      </c>
      <c r="E3389" s="3" t="inlineStr">
        <is>
          <t>PLATE 10.5'' MOONLIGHT ASSORTED COLORS</t>
        </is>
      </c>
      <c r="F3389" s="4" t="inlineStr"/>
      <c r="G3389" s="4" t="inlineStr"/>
      <c r="H3389" s="4" t="inlineStr"/>
      <c r="I3389" s="5" t="n">
        <v>4</v>
      </c>
      <c r="J3389" s="6" t="n">
        <v>15</v>
      </c>
      <c r="K3389" s="7">
        <f>IF(I3389="","",I3389*(1+J3389/100))</f>
        <v/>
      </c>
      <c r="L3389" s="12" t="inlineStr"/>
      <c r="M3389" s="8">
        <f>IF(OR(L3389="",K3389="",L3389=0),"",
  (L3389-K3389)/L3389*100)</f>
        <v/>
      </c>
      <c r="N3389" s="9" t="inlineStr"/>
      <c r="O3389" s="4" t="inlineStr"/>
      <c r="P3389" s="4" t="inlineStr"/>
      <c r="Q3389" s="4" t="inlineStr"/>
      <c r="R3389" s="4" t="inlineStr">
        <is>
          <t>2026-03-12</t>
        </is>
      </c>
      <c r="S3389" s="4" t="inlineStr"/>
    </row>
    <row r="3390">
      <c r="A3390" s="10" t="inlineStr">
        <is>
          <t>F03963</t>
        </is>
      </c>
      <c r="B3390" s="10" t="inlineStr">
        <is>
          <t>F03963</t>
        </is>
      </c>
      <c r="C3390" s="10" t="inlineStr"/>
      <c r="D3390" s="10" t="inlineStr">
        <is>
          <t>6009705655974</t>
        </is>
      </c>
      <c r="E3390" s="10" t="inlineStr">
        <is>
          <t>BOWL 6'' GLAZED ASSORTED COLORS</t>
        </is>
      </c>
      <c r="F3390" s="10" t="inlineStr"/>
      <c r="G3390" s="10" t="inlineStr"/>
      <c r="H3390" s="10" t="inlineStr"/>
      <c r="I3390" s="11" t="n">
        <v>5</v>
      </c>
      <c r="J3390" s="6" t="n">
        <v>15</v>
      </c>
      <c r="K3390" s="7">
        <f>IF(I3390="","",I3390*(1+J3390/100))</f>
        <v/>
      </c>
      <c r="L3390" s="12" t="inlineStr"/>
      <c r="M3390" s="8">
        <f>IF(OR(L3390="",K3390="",L3390=0),"",
  (L3390-K3390)/L3390*100)</f>
        <v/>
      </c>
      <c r="N3390" s="9" t="inlineStr"/>
      <c r="O3390" s="10" t="inlineStr"/>
      <c r="P3390" s="10" t="inlineStr"/>
      <c r="Q3390" s="10" t="inlineStr"/>
      <c r="R3390" s="10" t="inlineStr">
        <is>
          <t>2026-03-12</t>
        </is>
      </c>
      <c r="S3390" s="10" t="inlineStr"/>
    </row>
    <row r="3391">
      <c r="A3391" s="3" t="inlineStr">
        <is>
          <t>F03964</t>
        </is>
      </c>
      <c r="B3391" s="4" t="inlineStr">
        <is>
          <t>F03964</t>
        </is>
      </c>
      <c r="C3391" s="4" t="inlineStr"/>
      <c r="D3391" s="4" t="inlineStr">
        <is>
          <t>6009714545238</t>
        </is>
      </c>
      <c r="E3391" s="3" t="inlineStr">
        <is>
          <t>LUNCH BOX &amp; WATER BOTTLE COMBO RECT 1.5L</t>
        </is>
      </c>
      <c r="F3391" s="4" t="inlineStr"/>
      <c r="G3391" s="4" t="inlineStr"/>
      <c r="H3391" s="4" t="inlineStr"/>
      <c r="I3391" s="5" t="n">
        <v>22.5</v>
      </c>
      <c r="J3391" s="6" t="n">
        <v>15</v>
      </c>
      <c r="K3391" s="7">
        <f>IF(I3391="","",I3391*(1+J3391/100))</f>
        <v/>
      </c>
      <c r="L3391" s="12" t="inlineStr"/>
      <c r="M3391" s="8">
        <f>IF(OR(L3391="",K3391="",L3391=0),"",
  (L3391-K3391)/L3391*100)</f>
        <v/>
      </c>
      <c r="N3391" s="14" t="n">
        <v>354</v>
      </c>
      <c r="O3391" s="4" t="inlineStr"/>
      <c r="P3391" s="4" t="inlineStr"/>
      <c r="Q3391" s="4" t="inlineStr"/>
      <c r="R3391" s="4" t="inlineStr">
        <is>
          <t>2026-03-12</t>
        </is>
      </c>
      <c r="S3391" s="4" t="inlineStr"/>
    </row>
    <row r="3392">
      <c r="A3392" s="10" t="inlineStr">
        <is>
          <t>F03965</t>
        </is>
      </c>
      <c r="B3392" s="10" t="inlineStr">
        <is>
          <t>F03965</t>
        </is>
      </c>
      <c r="C3392" s="10" t="inlineStr"/>
      <c r="D3392" s="10" t="inlineStr">
        <is>
          <t>6009714545245</t>
        </is>
      </c>
      <c r="E3392" s="10" t="inlineStr">
        <is>
          <t>LUNCH BOX &amp; WATER BOTTLE COMBO SQR 1,0L</t>
        </is>
      </c>
      <c r="F3392" s="10" t="inlineStr"/>
      <c r="G3392" s="10" t="inlineStr"/>
      <c r="H3392" s="10" t="inlineStr"/>
      <c r="I3392" s="11" t="n">
        <v>22.5</v>
      </c>
      <c r="J3392" s="6" t="n">
        <v>15</v>
      </c>
      <c r="K3392" s="7">
        <f>IF(I3392="","",I3392*(1+J3392/100))</f>
        <v/>
      </c>
      <c r="L3392" s="12" t="inlineStr"/>
      <c r="M3392" s="8">
        <f>IF(OR(L3392="",K3392="",L3392=0),"",
  (L3392-K3392)/L3392*100)</f>
        <v/>
      </c>
      <c r="N3392" s="13" t="n">
        <v>359</v>
      </c>
      <c r="O3392" s="10" t="inlineStr"/>
      <c r="P3392" s="10" t="inlineStr"/>
      <c r="Q3392" s="10" t="inlineStr"/>
      <c r="R3392" s="10" t="inlineStr">
        <is>
          <t>2026-03-12</t>
        </is>
      </c>
      <c r="S3392" s="10" t="inlineStr"/>
    </row>
    <row r="3393">
      <c r="A3393" s="3" t="inlineStr">
        <is>
          <t>F03966</t>
        </is>
      </c>
      <c r="B3393" s="4" t="inlineStr">
        <is>
          <t>F03966</t>
        </is>
      </c>
      <c r="C3393" s="4" t="inlineStr"/>
      <c r="D3393" s="4" t="inlineStr"/>
      <c r="E3393" s="3" t="inlineStr">
        <is>
          <t>SHADE NET BLACK 40% 3MTRX50MTR</t>
        </is>
      </c>
      <c r="F3393" s="4" t="inlineStr"/>
      <c r="G3393" s="4" t="inlineStr"/>
      <c r="H3393" s="4" t="inlineStr"/>
      <c r="I3393" s="5" t="n">
        <v>1395</v>
      </c>
      <c r="J3393" s="6" t="n">
        <v>15</v>
      </c>
      <c r="K3393" s="7">
        <f>IF(I3393="","",I3393*(1+J3393/100))</f>
        <v/>
      </c>
      <c r="L3393" s="12" t="inlineStr"/>
      <c r="M3393" s="8">
        <f>IF(OR(L3393="",K3393="",L3393=0),"",
  (L3393-K3393)/L3393*100)</f>
        <v/>
      </c>
      <c r="N3393" s="9" t="inlineStr"/>
      <c r="O3393" s="4" t="inlineStr"/>
      <c r="P3393" s="4" t="inlineStr"/>
      <c r="Q3393" s="4" t="inlineStr"/>
      <c r="R3393" s="4" t="inlineStr">
        <is>
          <t>2026-03-12</t>
        </is>
      </c>
      <c r="S3393" s="4" t="inlineStr"/>
    </row>
    <row r="3394">
      <c r="A3394" s="10" t="inlineStr">
        <is>
          <t>F03967</t>
        </is>
      </c>
      <c r="B3394" s="10" t="inlineStr">
        <is>
          <t>F03967</t>
        </is>
      </c>
      <c r="C3394" s="10" t="inlineStr"/>
      <c r="D3394" s="10" t="inlineStr">
        <is>
          <t>6009705656001</t>
        </is>
      </c>
      <c r="E3394" s="10" t="inlineStr">
        <is>
          <t>DOOR PVC FOLDING NEW H2.03MXW0.85M</t>
        </is>
      </c>
      <c r="F3394" s="10" t="inlineStr"/>
      <c r="G3394" s="10" t="inlineStr"/>
      <c r="H3394" s="10" t="inlineStr"/>
      <c r="I3394" s="11" t="n">
        <v>45</v>
      </c>
      <c r="J3394" s="6" t="n">
        <v>15</v>
      </c>
      <c r="K3394" s="7">
        <f>IF(I3394="","",I3394*(1+J3394/100))</f>
        <v/>
      </c>
      <c r="L3394" s="12" t="inlineStr"/>
      <c r="M3394" s="8">
        <f>IF(OR(L3394="",K3394="",L3394=0),"",
  (L3394-K3394)/L3394*100)</f>
        <v/>
      </c>
      <c r="N3394" s="9" t="inlineStr"/>
      <c r="O3394" s="10" t="inlineStr"/>
      <c r="P3394" s="10" t="inlineStr"/>
      <c r="Q3394" s="10" t="inlineStr"/>
      <c r="R3394" s="10" t="inlineStr">
        <is>
          <t>2026-03-12</t>
        </is>
      </c>
      <c r="S3394" s="10" t="inlineStr"/>
    </row>
    <row r="3395">
      <c r="A3395" s="3" t="inlineStr">
        <is>
          <t>F03968</t>
        </is>
      </c>
      <c r="B3395" s="4" t="inlineStr">
        <is>
          <t>F03968</t>
        </is>
      </c>
      <c r="C3395" s="4" t="inlineStr"/>
      <c r="D3395" s="4" t="inlineStr">
        <is>
          <t>6009705656018</t>
        </is>
      </c>
      <c r="E3395" s="3" t="inlineStr">
        <is>
          <t>DOOR PVC FOLDING NEW H2.03MXW0.85M</t>
        </is>
      </c>
      <c r="F3395" s="4" t="inlineStr"/>
      <c r="G3395" s="4" t="inlineStr"/>
      <c r="H3395" s="4" t="inlineStr"/>
      <c r="I3395" s="5" t="n">
        <v>3</v>
      </c>
      <c r="J3395" s="6" t="n">
        <v>15</v>
      </c>
      <c r="K3395" s="7">
        <f>IF(I3395="","",I3395*(1+J3395/100))</f>
        <v/>
      </c>
      <c r="L3395" s="12" t="inlineStr"/>
      <c r="M3395" s="8">
        <f>IF(OR(L3395="",K3395="",L3395=0),"",
  (L3395-K3395)/L3395*100)</f>
        <v/>
      </c>
      <c r="N3395" s="9" t="inlineStr"/>
      <c r="O3395" s="4" t="inlineStr"/>
      <c r="P3395" s="4" t="inlineStr"/>
      <c r="Q3395" s="4" t="inlineStr"/>
      <c r="R3395" s="4" t="inlineStr">
        <is>
          <t>2026-03-12</t>
        </is>
      </c>
      <c r="S3395" s="4" t="inlineStr"/>
    </row>
    <row r="3396">
      <c r="A3396" s="10" t="inlineStr">
        <is>
          <t>F03969</t>
        </is>
      </c>
      <c r="B3396" s="10" t="inlineStr">
        <is>
          <t>F03969</t>
        </is>
      </c>
      <c r="C3396" s="10" t="inlineStr"/>
      <c r="D3396" s="10" t="inlineStr">
        <is>
          <t>6009705656025</t>
        </is>
      </c>
      <c r="E3396" s="10" t="inlineStr">
        <is>
          <t>DOOR PVC FOLDING NEW H2.03MXW0.85M</t>
        </is>
      </c>
      <c r="F3396" s="10" t="inlineStr"/>
      <c r="G3396" s="10" t="inlineStr"/>
      <c r="H3396" s="10" t="inlineStr"/>
      <c r="I3396" s="11" t="n">
        <v>4</v>
      </c>
      <c r="J3396" s="6" t="n">
        <v>15</v>
      </c>
      <c r="K3396" s="7">
        <f>IF(I3396="","",I3396*(1+J3396/100))</f>
        <v/>
      </c>
      <c r="L3396" s="12" t="inlineStr"/>
      <c r="M3396" s="8">
        <f>IF(OR(L3396="",K3396="",L3396=0),"",
  (L3396-K3396)/L3396*100)</f>
        <v/>
      </c>
      <c r="N3396" s="9" t="inlineStr"/>
      <c r="O3396" s="10" t="inlineStr"/>
      <c r="P3396" s="10" t="inlineStr"/>
      <c r="Q3396" s="10" t="inlineStr"/>
      <c r="R3396" s="10" t="inlineStr">
        <is>
          <t>2026-03-12</t>
        </is>
      </c>
      <c r="S3396" s="10" t="inlineStr"/>
    </row>
    <row r="3397">
      <c r="A3397" s="3" t="inlineStr">
        <is>
          <t>F03970</t>
        </is>
      </c>
      <c r="B3397" s="4" t="inlineStr">
        <is>
          <t>F03970</t>
        </is>
      </c>
      <c r="C3397" s="4" t="inlineStr"/>
      <c r="D3397" s="4" t="inlineStr">
        <is>
          <t>6009705656032</t>
        </is>
      </c>
      <c r="E3397" s="3" t="inlineStr">
        <is>
          <t>DOOR PVC FOLDING NEW H2.03MXW0.85M</t>
        </is>
      </c>
      <c r="F3397" s="4" t="inlineStr"/>
      <c r="G3397" s="4" t="inlineStr"/>
      <c r="H3397" s="4" t="inlineStr"/>
      <c r="I3397" s="5" t="n">
        <v>4</v>
      </c>
      <c r="J3397" s="6" t="n">
        <v>15</v>
      </c>
      <c r="K3397" s="7">
        <f>IF(I3397="","",I3397*(1+J3397/100))</f>
        <v/>
      </c>
      <c r="L3397" s="12" t="inlineStr"/>
      <c r="M3397" s="8">
        <f>IF(OR(L3397="",K3397="",L3397=0),"",
  (L3397-K3397)/L3397*100)</f>
        <v/>
      </c>
      <c r="N3397" s="9" t="inlineStr"/>
      <c r="O3397" s="4" t="inlineStr"/>
      <c r="P3397" s="4" t="inlineStr"/>
      <c r="Q3397" s="4" t="inlineStr"/>
      <c r="R3397" s="4" t="inlineStr">
        <is>
          <t>2026-03-12</t>
        </is>
      </c>
      <c r="S3397" s="4" t="inlineStr"/>
    </row>
    <row r="3398">
      <c r="A3398" s="10" t="inlineStr">
        <is>
          <t>F03971</t>
        </is>
      </c>
      <c r="B3398" s="10" t="inlineStr">
        <is>
          <t>F03971</t>
        </is>
      </c>
      <c r="C3398" s="10" t="inlineStr"/>
      <c r="D3398" s="10" t="inlineStr"/>
      <c r="E3398" s="10" t="inlineStr">
        <is>
          <t>DECKING WPC 5.8M SILV GR/ROSE WD CO EXTR</t>
        </is>
      </c>
      <c r="F3398" s="10" t="inlineStr"/>
      <c r="G3398" s="10" t="inlineStr"/>
      <c r="H3398" s="10" t="inlineStr"/>
      <c r="I3398" s="11" t="n">
        <v>490</v>
      </c>
      <c r="J3398" s="6" t="n">
        <v>15</v>
      </c>
      <c r="K3398" s="7">
        <f>IF(I3398="","",I3398*(1+J3398/100))</f>
        <v/>
      </c>
      <c r="L3398" s="12" t="inlineStr"/>
      <c r="M3398" s="8">
        <f>IF(OR(L3398="",K3398="",L3398=0),"",
  (L3398-K3398)/L3398*100)</f>
        <v/>
      </c>
      <c r="N3398" s="9" t="inlineStr"/>
      <c r="O3398" s="10" t="inlineStr"/>
      <c r="P3398" s="10" t="inlineStr"/>
      <c r="Q3398" s="10" t="inlineStr"/>
      <c r="R3398" s="10" t="inlineStr">
        <is>
          <t>2026-03-12</t>
        </is>
      </c>
      <c r="S3398" s="10" t="inlineStr"/>
    </row>
    <row r="3399">
      <c r="A3399" s="3" t="inlineStr">
        <is>
          <t>F03972</t>
        </is>
      </c>
      <c r="B3399" s="4" t="inlineStr">
        <is>
          <t>F03972</t>
        </is>
      </c>
      <c r="C3399" s="4" t="inlineStr"/>
      <c r="D3399" s="4" t="inlineStr"/>
      <c r="E3399" s="3" t="inlineStr">
        <is>
          <t>BRUSHWARE STAND</t>
        </is>
      </c>
      <c r="F3399" s="4" t="inlineStr"/>
      <c r="G3399" s="4" t="inlineStr"/>
      <c r="H3399" s="4" t="inlineStr"/>
      <c r="I3399" s="5" t="n">
        <v>0.01</v>
      </c>
      <c r="J3399" s="6" t="n">
        <v>15</v>
      </c>
      <c r="K3399" s="7">
        <f>IF(I3399="","",I3399*(1+J3399/100))</f>
        <v/>
      </c>
      <c r="L3399" s="12" t="inlineStr"/>
      <c r="M3399" s="8">
        <f>IF(OR(L3399="",K3399="",L3399=0),"",
  (L3399-K3399)/L3399*100)</f>
        <v/>
      </c>
      <c r="N3399" s="9" t="inlineStr"/>
      <c r="O3399" s="4" t="inlineStr"/>
      <c r="P3399" s="4" t="inlineStr"/>
      <c r="Q3399" s="4" t="inlineStr"/>
      <c r="R3399" s="4" t="inlineStr">
        <is>
          <t>2026-03-12</t>
        </is>
      </c>
      <c r="S3399" s="4" t="inlineStr"/>
    </row>
    <row r="3400">
      <c r="A3400" s="10" t="inlineStr">
        <is>
          <t>F03973</t>
        </is>
      </c>
      <c r="B3400" s="10" t="inlineStr">
        <is>
          <t>F03973</t>
        </is>
      </c>
      <c r="C3400" s="10" t="inlineStr"/>
      <c r="D3400" s="10" t="inlineStr">
        <is>
          <t>6009705656063</t>
        </is>
      </c>
      <c r="E3400" s="10" t="inlineStr">
        <is>
          <t>ROPE 5MM X 30M NYLON</t>
        </is>
      </c>
      <c r="F3400" s="10" t="inlineStr"/>
      <c r="G3400" s="10" t="inlineStr"/>
      <c r="H3400" s="10" t="inlineStr"/>
      <c r="I3400" s="11" t="n">
        <v>3</v>
      </c>
      <c r="J3400" s="6" t="n">
        <v>15</v>
      </c>
      <c r="K3400" s="7">
        <f>IF(I3400="","",I3400*(1+J3400/100))</f>
        <v/>
      </c>
      <c r="L3400" s="12" t="inlineStr"/>
      <c r="M3400" s="8">
        <f>IF(OR(L3400="",K3400="",L3400=0),"",
  (L3400-K3400)/L3400*100)</f>
        <v/>
      </c>
      <c r="N3400" s="9" t="inlineStr"/>
      <c r="O3400" s="10" t="inlineStr"/>
      <c r="P3400" s="10" t="inlineStr"/>
      <c r="Q3400" s="10" t="inlineStr"/>
      <c r="R3400" s="10" t="inlineStr">
        <is>
          <t>2026-03-12</t>
        </is>
      </c>
      <c r="S3400" s="10" t="inlineStr"/>
    </row>
    <row r="3401">
      <c r="A3401" s="3" t="inlineStr">
        <is>
          <t>F03974</t>
        </is>
      </c>
      <c r="B3401" s="4" t="inlineStr">
        <is>
          <t>F03974</t>
        </is>
      </c>
      <c r="C3401" s="4" t="inlineStr"/>
      <c r="D3401" s="4" t="inlineStr">
        <is>
          <t>6009705656070</t>
        </is>
      </c>
      <c r="E3401" s="3" t="inlineStr">
        <is>
          <t>ROPE 7MM X 5M NYLON</t>
        </is>
      </c>
      <c r="F3401" s="4" t="inlineStr"/>
      <c r="G3401" s="4" t="inlineStr"/>
      <c r="H3401" s="4" t="inlineStr"/>
      <c r="I3401" s="5" t="n">
        <v>3</v>
      </c>
      <c r="J3401" s="6" t="n">
        <v>15</v>
      </c>
      <c r="K3401" s="7">
        <f>IF(I3401="","",I3401*(1+J3401/100))</f>
        <v/>
      </c>
      <c r="L3401" s="12" t="inlineStr"/>
      <c r="M3401" s="8">
        <f>IF(OR(L3401="",K3401="",L3401=0),"",
  (L3401-K3401)/L3401*100)</f>
        <v/>
      </c>
      <c r="N3401" s="9" t="inlineStr"/>
      <c r="O3401" s="4" t="inlineStr"/>
      <c r="P3401" s="4" t="inlineStr"/>
      <c r="Q3401" s="4" t="inlineStr"/>
      <c r="R3401" s="4" t="inlineStr">
        <is>
          <t>2026-03-12</t>
        </is>
      </c>
      <c r="S3401" s="4" t="inlineStr"/>
    </row>
    <row r="3402">
      <c r="A3402" s="10" t="inlineStr">
        <is>
          <t>F03975</t>
        </is>
      </c>
      <c r="B3402" s="10" t="inlineStr">
        <is>
          <t>F03975</t>
        </is>
      </c>
      <c r="C3402" s="10" t="inlineStr"/>
      <c r="D3402" s="10" t="inlineStr">
        <is>
          <t>6009705656087</t>
        </is>
      </c>
      <c r="E3402" s="10" t="inlineStr">
        <is>
          <t>ROPE 7MM X 30M NYLON</t>
        </is>
      </c>
      <c r="F3402" s="10" t="inlineStr"/>
      <c r="G3402" s="10" t="inlineStr"/>
      <c r="H3402" s="10" t="inlineStr"/>
      <c r="I3402" s="11" t="n">
        <v>56</v>
      </c>
      <c r="J3402" s="6" t="n">
        <v>15</v>
      </c>
      <c r="K3402" s="7">
        <f>IF(I3402="","",I3402*(1+J3402/100))</f>
        <v/>
      </c>
      <c r="L3402" s="12" t="inlineStr"/>
      <c r="M3402" s="8">
        <f>IF(OR(L3402="",K3402="",L3402=0),"",
  (L3402-K3402)/L3402*100)</f>
        <v/>
      </c>
      <c r="N3402" s="9" t="inlineStr"/>
      <c r="O3402" s="10" t="inlineStr"/>
      <c r="P3402" s="10" t="inlineStr"/>
      <c r="Q3402" s="10" t="inlineStr"/>
      <c r="R3402" s="10" t="inlineStr">
        <is>
          <t>2026-03-12</t>
        </is>
      </c>
      <c r="S3402" s="10" t="inlineStr"/>
    </row>
    <row r="3403">
      <c r="A3403" s="3" t="inlineStr">
        <is>
          <t>F03976</t>
        </is>
      </c>
      <c r="B3403" s="4" t="inlineStr">
        <is>
          <t>F03976</t>
        </is>
      </c>
      <c r="C3403" s="4" t="inlineStr"/>
      <c r="D3403" s="4" t="inlineStr">
        <is>
          <t>6009705656094</t>
        </is>
      </c>
      <c r="E3403" s="3" t="inlineStr">
        <is>
          <t>ROPE 10MM X 15M NYLON</t>
        </is>
      </c>
      <c r="F3403" s="4" t="inlineStr"/>
      <c r="G3403" s="4" t="inlineStr"/>
      <c r="H3403" s="4" t="inlineStr"/>
      <c r="I3403" s="5" t="n">
        <v>45</v>
      </c>
      <c r="J3403" s="6" t="n">
        <v>15</v>
      </c>
      <c r="K3403" s="7">
        <f>IF(I3403="","",I3403*(1+J3403/100))</f>
        <v/>
      </c>
      <c r="L3403" s="12" t="inlineStr"/>
      <c r="M3403" s="8">
        <f>IF(OR(L3403="",K3403="",L3403=0),"",
  (L3403-K3403)/L3403*100)</f>
        <v/>
      </c>
      <c r="N3403" s="9" t="inlineStr"/>
      <c r="O3403" s="4" t="inlineStr"/>
      <c r="P3403" s="4" t="inlineStr"/>
      <c r="Q3403" s="4" t="inlineStr"/>
      <c r="R3403" s="4" t="inlineStr">
        <is>
          <t>2026-03-12</t>
        </is>
      </c>
      <c r="S3403" s="4" t="inlineStr"/>
    </row>
    <row r="3404">
      <c r="A3404" s="10" t="inlineStr">
        <is>
          <t>F03978</t>
        </is>
      </c>
      <c r="B3404" s="10" t="inlineStr">
        <is>
          <t>F03978</t>
        </is>
      </c>
      <c r="C3404" s="10" t="inlineStr"/>
      <c r="D3404" s="10" t="inlineStr">
        <is>
          <t>6009705656100</t>
        </is>
      </c>
      <c r="E3404" s="10" t="inlineStr">
        <is>
          <t>DOOR PVC FOLDING MARBLE NEROH2.03MXW0.85</t>
        </is>
      </c>
      <c r="F3404" s="10" t="inlineStr"/>
      <c r="G3404" s="10" t="inlineStr"/>
      <c r="H3404" s="10" t="inlineStr"/>
      <c r="I3404" s="11" t="n">
        <v>5</v>
      </c>
      <c r="J3404" s="6" t="n">
        <v>15</v>
      </c>
      <c r="K3404" s="7">
        <f>IF(I3404="","",I3404*(1+J3404/100))</f>
        <v/>
      </c>
      <c r="L3404" s="12" t="inlineStr"/>
      <c r="M3404" s="8">
        <f>IF(OR(L3404="",K3404="",L3404=0),"",
  (L3404-K3404)/L3404*100)</f>
        <v/>
      </c>
      <c r="N3404" s="9" t="inlineStr"/>
      <c r="O3404" s="10" t="inlineStr"/>
      <c r="P3404" s="10" t="inlineStr"/>
      <c r="Q3404" s="10" t="inlineStr"/>
      <c r="R3404" s="10" t="inlineStr">
        <is>
          <t>2026-03-12</t>
        </is>
      </c>
      <c r="S3404" s="10" t="inlineStr"/>
    </row>
    <row r="3405">
      <c r="A3405" s="3" t="inlineStr">
        <is>
          <t>F03979</t>
        </is>
      </c>
      <c r="B3405" s="4" t="inlineStr">
        <is>
          <t>F03979</t>
        </is>
      </c>
      <c r="C3405" s="4" t="inlineStr"/>
      <c r="D3405" s="4" t="inlineStr">
        <is>
          <t>6009705656117</t>
        </is>
      </c>
      <c r="E3405" s="3" t="inlineStr">
        <is>
          <t>DOOR PVC FOLDING TASSY BROWNH2.03MXW0.85</t>
        </is>
      </c>
      <c r="F3405" s="4" t="inlineStr"/>
      <c r="G3405" s="4" t="inlineStr"/>
      <c r="H3405" s="4" t="inlineStr"/>
      <c r="I3405" s="5" t="n">
        <v>5</v>
      </c>
      <c r="J3405" s="6" t="n">
        <v>15</v>
      </c>
      <c r="K3405" s="7">
        <f>IF(I3405="","",I3405*(1+J3405/100))</f>
        <v/>
      </c>
      <c r="L3405" s="12" t="inlineStr"/>
      <c r="M3405" s="8">
        <f>IF(OR(L3405="",K3405="",L3405=0),"",
  (L3405-K3405)/L3405*100)</f>
        <v/>
      </c>
      <c r="N3405" s="9" t="inlineStr"/>
      <c r="O3405" s="4" t="inlineStr"/>
      <c r="P3405" s="4" t="inlineStr"/>
      <c r="Q3405" s="4" t="inlineStr"/>
      <c r="R3405" s="4" t="inlineStr">
        <is>
          <t>2026-03-12</t>
        </is>
      </c>
      <c r="S3405" s="4" t="inlineStr"/>
    </row>
    <row r="3406">
      <c r="A3406" s="10" t="inlineStr">
        <is>
          <t>F03980</t>
        </is>
      </c>
      <c r="B3406" s="10" t="inlineStr">
        <is>
          <t>F03980</t>
        </is>
      </c>
      <c r="C3406" s="10" t="inlineStr"/>
      <c r="D3406" s="10" t="inlineStr">
        <is>
          <t>6009705656131</t>
        </is>
      </c>
      <c r="E3406" s="10" t="inlineStr">
        <is>
          <t>BOWL 6''SOLID COLORS GLOSS GREY/BLK</t>
        </is>
      </c>
      <c r="F3406" s="10" t="inlineStr"/>
      <c r="G3406" s="10" t="inlineStr"/>
      <c r="H3406" s="10" t="inlineStr"/>
      <c r="I3406" s="11" t="n">
        <v>6</v>
      </c>
      <c r="J3406" s="6" t="n">
        <v>15</v>
      </c>
      <c r="K3406" s="7">
        <f>IF(I3406="","",I3406*(1+J3406/100))</f>
        <v/>
      </c>
      <c r="L3406" s="12" t="inlineStr"/>
      <c r="M3406" s="8">
        <f>IF(OR(L3406="",K3406="",L3406=0),"",
  (L3406-K3406)/L3406*100)</f>
        <v/>
      </c>
      <c r="N3406" s="9" t="inlineStr"/>
      <c r="O3406" s="10" t="inlineStr"/>
      <c r="P3406" s="10" t="inlineStr"/>
      <c r="Q3406" s="10" t="inlineStr"/>
      <c r="R3406" s="10" t="inlineStr">
        <is>
          <t>2026-03-12</t>
        </is>
      </c>
      <c r="S3406" s="10" t="inlineStr"/>
    </row>
    <row r="3407">
      <c r="A3407" s="3" t="inlineStr">
        <is>
          <t>F03981</t>
        </is>
      </c>
      <c r="B3407" s="4" t="inlineStr">
        <is>
          <t>F03981</t>
        </is>
      </c>
      <c r="C3407" s="4" t="inlineStr"/>
      <c r="D3407" s="4" t="inlineStr">
        <is>
          <t>6009705656148</t>
        </is>
      </c>
      <c r="E3407" s="3" t="inlineStr">
        <is>
          <t>MUG 14OZ DOLID COLR GLOSS GREY/BLK</t>
        </is>
      </c>
      <c r="F3407" s="4" t="inlineStr"/>
      <c r="G3407" s="4" t="inlineStr"/>
      <c r="H3407" s="4" t="inlineStr"/>
      <c r="I3407" s="5" t="n">
        <v>8</v>
      </c>
      <c r="J3407" s="6" t="n">
        <v>15</v>
      </c>
      <c r="K3407" s="7">
        <f>IF(I3407="","",I3407*(1+J3407/100))</f>
        <v/>
      </c>
      <c r="L3407" s="12" t="inlineStr"/>
      <c r="M3407" s="8">
        <f>IF(OR(L3407="",K3407="",L3407=0),"",
  (L3407-K3407)/L3407*100)</f>
        <v/>
      </c>
      <c r="N3407" s="9" t="inlineStr"/>
      <c r="O3407" s="4" t="inlineStr"/>
      <c r="P3407" s="4" t="inlineStr"/>
      <c r="Q3407" s="4" t="inlineStr"/>
      <c r="R3407" s="4" t="inlineStr">
        <is>
          <t>2026-03-12</t>
        </is>
      </c>
      <c r="S3407" s="4" t="inlineStr"/>
    </row>
    <row r="3408">
      <c r="A3408" s="10" t="inlineStr">
        <is>
          <t>F03982</t>
        </is>
      </c>
      <c r="B3408" s="10" t="inlineStr">
        <is>
          <t>F03982</t>
        </is>
      </c>
      <c r="C3408" s="10" t="inlineStr"/>
      <c r="D3408" s="10" t="inlineStr">
        <is>
          <t>6009705656155</t>
        </is>
      </c>
      <c r="E3408" s="10" t="inlineStr">
        <is>
          <t>PLATE SIDE 7.5'' SOLID COLOR  GREY/BLK</t>
        </is>
      </c>
      <c r="F3408" s="10" t="inlineStr"/>
      <c r="G3408" s="10" t="inlineStr"/>
      <c r="H3408" s="10" t="inlineStr"/>
      <c r="I3408" s="11" t="n">
        <v>5</v>
      </c>
      <c r="J3408" s="6" t="n">
        <v>15</v>
      </c>
      <c r="K3408" s="7">
        <f>IF(I3408="","",I3408*(1+J3408/100))</f>
        <v/>
      </c>
      <c r="L3408" s="12" t="inlineStr"/>
      <c r="M3408" s="8">
        <f>IF(OR(L3408="",K3408="",L3408=0),"",
  (L3408-K3408)/L3408*100)</f>
        <v/>
      </c>
      <c r="N3408" s="9" t="inlineStr"/>
      <c r="O3408" s="10" t="inlineStr"/>
      <c r="P3408" s="10" t="inlineStr"/>
      <c r="Q3408" s="10" t="inlineStr"/>
      <c r="R3408" s="10" t="inlineStr">
        <is>
          <t>2026-03-12</t>
        </is>
      </c>
      <c r="S3408" s="10" t="inlineStr"/>
    </row>
    <row r="3409">
      <c r="A3409" s="3" t="inlineStr">
        <is>
          <t>F03983</t>
        </is>
      </c>
      <c r="B3409" s="4" t="inlineStr">
        <is>
          <t>F03983</t>
        </is>
      </c>
      <c r="C3409" s="4" t="inlineStr"/>
      <c r="D3409" s="4" t="inlineStr"/>
      <c r="E3409" s="3" t="inlineStr">
        <is>
          <t>DECKING  PLASTIC CLIPS+SCREWS 8MM 10PK</t>
        </is>
      </c>
      <c r="F3409" s="4" t="inlineStr"/>
      <c r="G3409" s="4" t="inlineStr"/>
      <c r="H3409" s="4" t="inlineStr"/>
      <c r="I3409" s="5" t="n">
        <v>80</v>
      </c>
      <c r="J3409" s="6" t="n">
        <v>15</v>
      </c>
      <c r="K3409" s="7">
        <f>IF(I3409="","",I3409*(1+J3409/100))</f>
        <v/>
      </c>
      <c r="L3409" s="12" t="inlineStr"/>
      <c r="M3409" s="8">
        <f>IF(OR(L3409="",K3409="",L3409=0),"",
  (L3409-K3409)/L3409*100)</f>
        <v/>
      </c>
      <c r="N3409" s="9" t="inlineStr"/>
      <c r="O3409" s="4" t="inlineStr"/>
      <c r="P3409" s="4" t="inlineStr"/>
      <c r="Q3409" s="4" t="inlineStr"/>
      <c r="R3409" s="4" t="inlineStr">
        <is>
          <t>2026-03-12</t>
        </is>
      </c>
      <c r="S3409" s="4" t="inlineStr"/>
    </row>
    <row r="3410">
      <c r="A3410" s="10" t="inlineStr">
        <is>
          <t>F03984</t>
        </is>
      </c>
      <c r="B3410" s="10" t="inlineStr">
        <is>
          <t>F03984</t>
        </is>
      </c>
      <c r="C3410" s="10" t="inlineStr"/>
      <c r="D3410" s="10" t="inlineStr"/>
      <c r="E3410" s="10" t="inlineStr">
        <is>
          <t>DECKING  PLASTIC CLIPS+SCREWS 8MM LOOSE</t>
        </is>
      </c>
      <c r="F3410" s="10" t="inlineStr"/>
      <c r="G3410" s="10" t="inlineStr"/>
      <c r="H3410" s="10" t="inlineStr"/>
      <c r="I3410" s="11" t="n">
        <v>8</v>
      </c>
      <c r="J3410" s="6" t="n">
        <v>15</v>
      </c>
      <c r="K3410" s="7">
        <f>IF(I3410="","",I3410*(1+J3410/100))</f>
        <v/>
      </c>
      <c r="L3410" s="12" t="inlineStr"/>
      <c r="M3410" s="8">
        <f>IF(OR(L3410="",K3410="",L3410=0),"",
  (L3410-K3410)/L3410*100)</f>
        <v/>
      </c>
      <c r="N3410" s="9" t="inlineStr"/>
      <c r="O3410" s="10" t="inlineStr"/>
      <c r="P3410" s="10" t="inlineStr"/>
      <c r="Q3410" s="10" t="inlineStr"/>
      <c r="R3410" s="10" t="inlineStr">
        <is>
          <t>2026-03-12</t>
        </is>
      </c>
      <c r="S3410" s="10" t="inlineStr"/>
    </row>
    <row r="3411">
      <c r="A3411" s="3" t="inlineStr">
        <is>
          <t>F03985</t>
        </is>
      </c>
      <c r="B3411" s="4" t="inlineStr">
        <is>
          <t>F03985</t>
        </is>
      </c>
      <c r="C3411" s="4" t="inlineStr"/>
      <c r="D3411" s="4" t="inlineStr">
        <is>
          <t>6009705656186</t>
        </is>
      </c>
      <c r="E3411" s="3" t="inlineStr">
        <is>
          <t>DOG COLLAR 3X50CM</t>
        </is>
      </c>
      <c r="F3411" s="4" t="inlineStr"/>
      <c r="G3411" s="4" t="inlineStr"/>
      <c r="H3411" s="4" t="inlineStr"/>
      <c r="I3411" s="5" t="n">
        <v>5</v>
      </c>
      <c r="J3411" s="6" t="n">
        <v>15</v>
      </c>
      <c r="K3411" s="7">
        <f>IF(I3411="","",I3411*(1+J3411/100))</f>
        <v/>
      </c>
      <c r="L3411" s="12" t="inlineStr"/>
      <c r="M3411" s="8">
        <f>IF(OR(L3411="",K3411="",L3411=0),"",
  (L3411-K3411)/L3411*100)</f>
        <v/>
      </c>
      <c r="N3411" s="9" t="inlineStr"/>
      <c r="O3411" s="4" t="inlineStr"/>
      <c r="P3411" s="4" t="inlineStr"/>
      <c r="Q3411" s="4" t="inlineStr"/>
      <c r="R3411" s="4" t="inlineStr">
        <is>
          <t>2026-03-12</t>
        </is>
      </c>
      <c r="S3411" s="4" t="inlineStr"/>
    </row>
    <row r="3412">
      <c r="A3412" s="10" t="inlineStr">
        <is>
          <t>F03986</t>
        </is>
      </c>
      <c r="B3412" s="10" t="inlineStr">
        <is>
          <t>F03986</t>
        </is>
      </c>
      <c r="C3412" s="10" t="inlineStr"/>
      <c r="D3412" s="10" t="inlineStr">
        <is>
          <t>6009705656193</t>
        </is>
      </c>
      <c r="E3412" s="10" t="inlineStr">
        <is>
          <t>DOG COLLAR 4X60CM</t>
        </is>
      </c>
      <c r="F3412" s="10" t="inlineStr"/>
      <c r="G3412" s="10" t="inlineStr"/>
      <c r="H3412" s="10" t="inlineStr"/>
      <c r="I3412" s="11" t="n">
        <v>5</v>
      </c>
      <c r="J3412" s="6" t="n">
        <v>15</v>
      </c>
      <c r="K3412" s="7">
        <f>IF(I3412="","",I3412*(1+J3412/100))</f>
        <v/>
      </c>
      <c r="L3412" s="12" t="inlineStr"/>
      <c r="M3412" s="8">
        <f>IF(OR(L3412="",K3412="",L3412=0),"",
  (L3412-K3412)/L3412*100)</f>
        <v/>
      </c>
      <c r="N3412" s="9" t="inlineStr"/>
      <c r="O3412" s="10" t="inlineStr"/>
      <c r="P3412" s="10" t="inlineStr"/>
      <c r="Q3412" s="10" t="inlineStr"/>
      <c r="R3412" s="10" t="inlineStr">
        <is>
          <t>2026-03-12</t>
        </is>
      </c>
      <c r="S3412" s="10" t="inlineStr"/>
    </row>
    <row r="3413">
      <c r="A3413" s="3" t="inlineStr">
        <is>
          <t>H0001</t>
        </is>
      </c>
      <c r="B3413" s="4" t="inlineStr">
        <is>
          <t>H0001</t>
        </is>
      </c>
      <c r="C3413" s="4" t="inlineStr"/>
      <c r="D3413" s="4" t="inlineStr"/>
      <c r="E3413" s="3" t="inlineStr">
        <is>
          <t>HU102-1 ACRYLIC DISPLAY BOX</t>
        </is>
      </c>
      <c r="F3413" s="4" t="inlineStr"/>
      <c r="G3413" s="4" t="inlineStr"/>
      <c r="H3413" s="4" t="inlineStr"/>
      <c r="I3413" s="5" t="n">
        <v>390</v>
      </c>
      <c r="J3413" s="6" t="n">
        <v>15</v>
      </c>
      <c r="K3413" s="7">
        <f>IF(I3413="","",I3413*(1+J3413/100))</f>
        <v/>
      </c>
      <c r="L3413" s="12" t="inlineStr"/>
      <c r="M3413" s="8">
        <f>IF(OR(L3413="",K3413="",L3413=0),"",
  (L3413-K3413)/L3413*100)</f>
        <v/>
      </c>
      <c r="N3413" s="9" t="inlineStr"/>
      <c r="O3413" s="4" t="inlineStr"/>
      <c r="P3413" s="4" t="inlineStr"/>
      <c r="Q3413" s="4" t="inlineStr"/>
      <c r="R3413" s="4" t="inlineStr">
        <is>
          <t>2026-03-12</t>
        </is>
      </c>
      <c r="S3413" s="4" t="inlineStr"/>
    </row>
    <row r="3414">
      <c r="A3414" s="10" t="inlineStr">
        <is>
          <t>H0002</t>
        </is>
      </c>
      <c r="B3414" s="10" t="inlineStr">
        <is>
          <t>H0002</t>
        </is>
      </c>
      <c r="C3414" s="10" t="inlineStr"/>
      <c r="D3414" s="10" t="inlineStr"/>
      <c r="E3414" s="10" t="inlineStr">
        <is>
          <t>HU102-2 ACRYLIC DISPLAY BOX</t>
        </is>
      </c>
      <c r="F3414" s="10" t="inlineStr"/>
      <c r="G3414" s="10" t="inlineStr"/>
      <c r="H3414" s="10" t="inlineStr"/>
      <c r="I3414" s="11" t="n">
        <v>250</v>
      </c>
      <c r="J3414" s="6" t="n">
        <v>15</v>
      </c>
      <c r="K3414" s="7">
        <f>IF(I3414="","",I3414*(1+J3414/100))</f>
        <v/>
      </c>
      <c r="L3414" s="12" t="inlineStr"/>
      <c r="M3414" s="8">
        <f>IF(OR(L3414="",K3414="",L3414=0),"",
  (L3414-K3414)/L3414*100)</f>
        <v/>
      </c>
      <c r="N3414" s="9" t="inlineStr"/>
      <c r="O3414" s="10" t="inlineStr"/>
      <c r="P3414" s="10" t="inlineStr"/>
      <c r="Q3414" s="10" t="inlineStr"/>
      <c r="R3414" s="10" t="inlineStr">
        <is>
          <t>2026-03-12</t>
        </is>
      </c>
      <c r="S3414" s="10" t="inlineStr"/>
    </row>
    <row r="3415">
      <c r="A3415" s="3" t="inlineStr">
        <is>
          <t>H0003</t>
        </is>
      </c>
      <c r="B3415" s="4" t="inlineStr">
        <is>
          <t>H0003</t>
        </is>
      </c>
      <c r="C3415" s="4" t="inlineStr"/>
      <c r="D3415" s="4" t="inlineStr"/>
      <c r="E3415" s="3" t="inlineStr">
        <is>
          <t>HU102-3 ACRYLIC DISPLAY BOX</t>
        </is>
      </c>
      <c r="F3415" s="4" t="inlineStr"/>
      <c r="G3415" s="4" t="inlineStr"/>
      <c r="H3415" s="4" t="inlineStr"/>
      <c r="I3415" s="5" t="n">
        <v>200</v>
      </c>
      <c r="J3415" s="6" t="n">
        <v>15</v>
      </c>
      <c r="K3415" s="7">
        <f>IF(I3415="","",I3415*(1+J3415/100))</f>
        <v/>
      </c>
      <c r="L3415" s="12" t="inlineStr"/>
      <c r="M3415" s="8">
        <f>IF(OR(L3415="",K3415="",L3415=0),"",
  (L3415-K3415)/L3415*100)</f>
        <v/>
      </c>
      <c r="N3415" s="9" t="inlineStr"/>
      <c r="O3415" s="4" t="inlineStr"/>
      <c r="P3415" s="4" t="inlineStr"/>
      <c r="Q3415" s="4" t="inlineStr"/>
      <c r="R3415" s="4" t="inlineStr">
        <is>
          <t>2026-03-12</t>
        </is>
      </c>
      <c r="S3415" s="4" t="inlineStr"/>
    </row>
    <row r="3416">
      <c r="A3416" s="10" t="inlineStr">
        <is>
          <t>H0004</t>
        </is>
      </c>
      <c r="B3416" s="10" t="inlineStr">
        <is>
          <t>H0004</t>
        </is>
      </c>
      <c r="C3416" s="10" t="inlineStr"/>
      <c r="D3416" s="10" t="inlineStr"/>
      <c r="E3416" s="10" t="inlineStr">
        <is>
          <t>HU102-4 ACRYLIC DISPLAY BOX</t>
        </is>
      </c>
      <c r="F3416" s="10" t="inlineStr"/>
      <c r="G3416" s="10" t="inlineStr"/>
      <c r="H3416" s="10" t="inlineStr"/>
      <c r="I3416" s="11" t="n">
        <v>200</v>
      </c>
      <c r="J3416" s="6" t="n">
        <v>15</v>
      </c>
      <c r="K3416" s="7">
        <f>IF(I3416="","",I3416*(1+J3416/100))</f>
        <v/>
      </c>
      <c r="L3416" s="12" t="inlineStr"/>
      <c r="M3416" s="8">
        <f>IF(OR(L3416="",K3416="",L3416=0),"",
  (L3416-K3416)/L3416*100)</f>
        <v/>
      </c>
      <c r="N3416" s="9" t="inlineStr"/>
      <c r="O3416" s="10" t="inlineStr"/>
      <c r="P3416" s="10" t="inlineStr"/>
      <c r="Q3416" s="10" t="inlineStr"/>
      <c r="R3416" s="10" t="inlineStr">
        <is>
          <t>2026-03-12</t>
        </is>
      </c>
      <c r="S3416" s="10" t="inlineStr"/>
    </row>
    <row r="3417">
      <c r="A3417" s="3" t="inlineStr">
        <is>
          <t>H0005</t>
        </is>
      </c>
      <c r="B3417" s="4" t="inlineStr">
        <is>
          <t>H0005</t>
        </is>
      </c>
      <c r="C3417" s="4" t="inlineStr"/>
      <c r="D3417" s="4" t="inlineStr"/>
      <c r="E3417" s="3" t="inlineStr">
        <is>
          <t>HU102-6 ACRYLIC DISPLAY BOX</t>
        </is>
      </c>
      <c r="F3417" s="4" t="inlineStr"/>
      <c r="G3417" s="4" t="inlineStr"/>
      <c r="H3417" s="4" t="inlineStr"/>
      <c r="I3417" s="5" t="n">
        <v>200</v>
      </c>
      <c r="J3417" s="6" t="n">
        <v>15</v>
      </c>
      <c r="K3417" s="7">
        <f>IF(I3417="","",I3417*(1+J3417/100))</f>
        <v/>
      </c>
      <c r="L3417" s="12" t="inlineStr"/>
      <c r="M3417" s="8">
        <f>IF(OR(L3417="",K3417="",L3417=0),"",
  (L3417-K3417)/L3417*100)</f>
        <v/>
      </c>
      <c r="N3417" s="9" t="inlineStr"/>
      <c r="O3417" s="4" t="inlineStr"/>
      <c r="P3417" s="4" t="inlineStr"/>
      <c r="Q3417" s="4" t="inlineStr"/>
      <c r="R3417" s="4" t="inlineStr">
        <is>
          <t>2026-03-12</t>
        </is>
      </c>
      <c r="S3417" s="4" t="inlineStr"/>
    </row>
    <row r="3418">
      <c r="A3418" s="10" t="inlineStr">
        <is>
          <t>H0006</t>
        </is>
      </c>
      <c r="B3418" s="10" t="inlineStr">
        <is>
          <t>H0006</t>
        </is>
      </c>
      <c r="C3418" s="10" t="inlineStr"/>
      <c r="D3418" s="10" t="inlineStr"/>
      <c r="E3418" s="10" t="inlineStr">
        <is>
          <t>HU102-7 ACRYLIC DISPLAY BOX</t>
        </is>
      </c>
      <c r="F3418" s="10" t="inlineStr"/>
      <c r="G3418" s="10" t="inlineStr"/>
      <c r="H3418" s="10" t="inlineStr"/>
      <c r="I3418" s="11" t="n">
        <v>150</v>
      </c>
      <c r="J3418" s="6" t="n">
        <v>15</v>
      </c>
      <c r="K3418" s="7">
        <f>IF(I3418="","",I3418*(1+J3418/100))</f>
        <v/>
      </c>
      <c r="L3418" s="12" t="inlineStr"/>
      <c r="M3418" s="8">
        <f>IF(OR(L3418="",K3418="",L3418=0),"",
  (L3418-K3418)/L3418*100)</f>
        <v/>
      </c>
      <c r="N3418" s="9" t="inlineStr"/>
      <c r="O3418" s="10" t="inlineStr"/>
      <c r="P3418" s="10" t="inlineStr"/>
      <c r="Q3418" s="10" t="inlineStr"/>
      <c r="R3418" s="10" t="inlineStr">
        <is>
          <t>2026-03-12</t>
        </is>
      </c>
      <c r="S3418" s="10" t="inlineStr"/>
    </row>
    <row r="3419">
      <c r="A3419" s="3" t="inlineStr">
        <is>
          <t>H0007</t>
        </is>
      </c>
      <c r="B3419" s="4" t="inlineStr">
        <is>
          <t>H0007</t>
        </is>
      </c>
      <c r="C3419" s="4" t="inlineStr"/>
      <c r="D3419" s="4" t="inlineStr"/>
      <c r="E3419" s="3" t="inlineStr">
        <is>
          <t>HU102-8 ACRYLIC DISPLAY BOX</t>
        </is>
      </c>
      <c r="F3419" s="4" t="inlineStr"/>
      <c r="G3419" s="4" t="inlineStr"/>
      <c r="H3419" s="4" t="inlineStr"/>
      <c r="I3419" s="5" t="n">
        <v>300</v>
      </c>
      <c r="J3419" s="6" t="n">
        <v>15</v>
      </c>
      <c r="K3419" s="7">
        <f>IF(I3419="","",I3419*(1+J3419/100))</f>
        <v/>
      </c>
      <c r="L3419" s="12" t="inlineStr"/>
      <c r="M3419" s="8">
        <f>IF(OR(L3419="",K3419="",L3419=0),"",
  (L3419-K3419)/L3419*100)</f>
        <v/>
      </c>
      <c r="N3419" s="9" t="inlineStr"/>
      <c r="O3419" s="4" t="inlineStr"/>
      <c r="P3419" s="4" t="inlineStr"/>
      <c r="Q3419" s="4" t="inlineStr"/>
      <c r="R3419" s="4" t="inlineStr">
        <is>
          <t>2026-03-12</t>
        </is>
      </c>
      <c r="S3419" s="4" t="inlineStr"/>
    </row>
    <row r="3420">
      <c r="A3420" s="10" t="inlineStr">
        <is>
          <t>H0008</t>
        </is>
      </c>
      <c r="B3420" s="10" t="inlineStr">
        <is>
          <t>H0008</t>
        </is>
      </c>
      <c r="C3420" s="10" t="inlineStr"/>
      <c r="D3420" s="10" t="inlineStr"/>
      <c r="E3420" s="10" t="inlineStr">
        <is>
          <t>HU102-1 ARTIFICIAL FLOWER</t>
        </is>
      </c>
      <c r="F3420" s="10" t="inlineStr"/>
      <c r="G3420" s="10" t="inlineStr"/>
      <c r="H3420" s="10" t="inlineStr"/>
      <c r="I3420" s="11" t="n">
        <v>2</v>
      </c>
      <c r="J3420" s="6" t="n">
        <v>15</v>
      </c>
      <c r="K3420" s="7">
        <f>IF(I3420="","",I3420*(1+J3420/100))</f>
        <v/>
      </c>
      <c r="L3420" s="12" t="inlineStr"/>
      <c r="M3420" s="8">
        <f>IF(OR(L3420="",K3420="",L3420=0),"",
  (L3420-K3420)/L3420*100)</f>
        <v/>
      </c>
      <c r="N3420" s="9" t="inlineStr"/>
      <c r="O3420" s="10" t="inlineStr"/>
      <c r="P3420" s="10" t="inlineStr"/>
      <c r="Q3420" s="10" t="inlineStr"/>
      <c r="R3420" s="10" t="inlineStr">
        <is>
          <t>2026-03-12</t>
        </is>
      </c>
      <c r="S3420" s="10" t="inlineStr"/>
    </row>
    <row r="3421">
      <c r="A3421" s="3" t="inlineStr">
        <is>
          <t>H0009</t>
        </is>
      </c>
      <c r="B3421" s="4" t="inlineStr">
        <is>
          <t>H0009</t>
        </is>
      </c>
      <c r="C3421" s="4" t="inlineStr"/>
      <c r="D3421" s="4" t="inlineStr"/>
      <c r="E3421" s="3" t="inlineStr">
        <is>
          <t>HU104-2 ARTIFICIAL FLOWER</t>
        </is>
      </c>
      <c r="F3421" s="4" t="inlineStr"/>
      <c r="G3421" s="4" t="inlineStr"/>
      <c r="H3421" s="4" t="inlineStr"/>
      <c r="I3421" s="5" t="n">
        <v>2</v>
      </c>
      <c r="J3421" s="6" t="n">
        <v>15</v>
      </c>
      <c r="K3421" s="7">
        <f>IF(I3421="","",I3421*(1+J3421/100))</f>
        <v/>
      </c>
      <c r="L3421" s="12" t="inlineStr"/>
      <c r="M3421" s="8">
        <f>IF(OR(L3421="",K3421="",L3421=0),"",
  (L3421-K3421)/L3421*100)</f>
        <v/>
      </c>
      <c r="N3421" s="9" t="inlineStr"/>
      <c r="O3421" s="4" t="inlineStr"/>
      <c r="P3421" s="4" t="inlineStr"/>
      <c r="Q3421" s="4" t="inlineStr"/>
      <c r="R3421" s="4" t="inlineStr">
        <is>
          <t>2026-03-12</t>
        </is>
      </c>
      <c r="S3421" s="4" t="inlineStr"/>
    </row>
    <row r="3422">
      <c r="A3422" s="10" t="inlineStr">
        <is>
          <t>H0010</t>
        </is>
      </c>
      <c r="B3422" s="10" t="inlineStr">
        <is>
          <t>H0010</t>
        </is>
      </c>
      <c r="C3422" s="10" t="inlineStr"/>
      <c r="D3422" s="10" t="inlineStr"/>
      <c r="E3422" s="10" t="inlineStr">
        <is>
          <t>HU104-3 ARTIFICIAL FLOWER</t>
        </is>
      </c>
      <c r="F3422" s="10" t="inlineStr"/>
      <c r="G3422" s="10" t="inlineStr"/>
      <c r="H3422" s="10" t="inlineStr"/>
      <c r="I3422" s="11" t="n">
        <v>30</v>
      </c>
      <c r="J3422" s="6" t="n">
        <v>15</v>
      </c>
      <c r="K3422" s="7">
        <f>IF(I3422="","",I3422*(1+J3422/100))</f>
        <v/>
      </c>
      <c r="L3422" s="12" t="inlineStr"/>
      <c r="M3422" s="8">
        <f>IF(OR(L3422="",K3422="",L3422=0),"",
  (L3422-K3422)/L3422*100)</f>
        <v/>
      </c>
      <c r="N3422" s="9" t="inlineStr"/>
      <c r="O3422" s="10" t="inlineStr"/>
      <c r="P3422" s="10" t="inlineStr"/>
      <c r="Q3422" s="10" t="inlineStr"/>
      <c r="R3422" s="10" t="inlineStr">
        <is>
          <t>2026-03-12</t>
        </is>
      </c>
      <c r="S3422" s="10" t="inlineStr"/>
    </row>
    <row r="3423">
      <c r="A3423" s="3" t="inlineStr">
        <is>
          <t>H0011</t>
        </is>
      </c>
      <c r="B3423" s="4" t="inlineStr">
        <is>
          <t>H0011</t>
        </is>
      </c>
      <c r="C3423" s="4" t="inlineStr"/>
      <c r="D3423" s="4" t="inlineStr"/>
      <c r="E3423" s="3" t="inlineStr">
        <is>
          <t>HU104-4 ARTIFICIAL FLOWER</t>
        </is>
      </c>
      <c r="F3423" s="4" t="inlineStr"/>
      <c r="G3423" s="4" t="inlineStr"/>
      <c r="H3423" s="4" t="inlineStr"/>
      <c r="I3423" s="5" t="n">
        <v>30</v>
      </c>
      <c r="J3423" s="6" t="n">
        <v>15</v>
      </c>
      <c r="K3423" s="7">
        <f>IF(I3423="","",I3423*(1+J3423/100))</f>
        <v/>
      </c>
      <c r="L3423" s="12" t="inlineStr"/>
      <c r="M3423" s="8">
        <f>IF(OR(L3423="",K3423="",L3423=0),"",
  (L3423-K3423)/L3423*100)</f>
        <v/>
      </c>
      <c r="N3423" s="9" t="inlineStr"/>
      <c r="O3423" s="4" t="inlineStr"/>
      <c r="P3423" s="4" t="inlineStr"/>
      <c r="Q3423" s="4" t="inlineStr"/>
      <c r="R3423" s="4" t="inlineStr">
        <is>
          <t>2026-03-12</t>
        </is>
      </c>
      <c r="S3423" s="4" t="inlineStr"/>
    </row>
    <row r="3424">
      <c r="A3424" s="10" t="inlineStr">
        <is>
          <t>H0012</t>
        </is>
      </c>
      <c r="B3424" s="10" t="inlineStr">
        <is>
          <t>H0012</t>
        </is>
      </c>
      <c r="C3424" s="10" t="inlineStr"/>
      <c r="D3424" s="10" t="inlineStr"/>
      <c r="E3424" s="10" t="inlineStr">
        <is>
          <t>HU104-5 ARTIFICIAL FLOWER</t>
        </is>
      </c>
      <c r="F3424" s="10" t="inlineStr"/>
      <c r="G3424" s="10" t="inlineStr"/>
      <c r="H3424" s="10" t="inlineStr"/>
      <c r="I3424" s="11" t="n">
        <v>239</v>
      </c>
      <c r="J3424" s="6" t="n">
        <v>15</v>
      </c>
      <c r="K3424" s="7">
        <f>IF(I3424="","",I3424*(1+J3424/100))</f>
        <v/>
      </c>
      <c r="L3424" s="12" t="inlineStr"/>
      <c r="M3424" s="8">
        <f>IF(OR(L3424="",K3424="",L3424=0),"",
  (L3424-K3424)/L3424*100)</f>
        <v/>
      </c>
      <c r="N3424" s="9" t="inlineStr"/>
      <c r="O3424" s="10" t="inlineStr"/>
      <c r="P3424" s="10" t="inlineStr"/>
      <c r="Q3424" s="10" t="inlineStr"/>
      <c r="R3424" s="10" t="inlineStr">
        <is>
          <t>2026-03-12</t>
        </is>
      </c>
      <c r="S3424" s="10" t="inlineStr"/>
    </row>
    <row r="3425">
      <c r="A3425" s="3" t="inlineStr">
        <is>
          <t>H0013</t>
        </is>
      </c>
      <c r="B3425" s="4" t="inlineStr">
        <is>
          <t>H0013</t>
        </is>
      </c>
      <c r="C3425" s="4" t="inlineStr"/>
      <c r="D3425" s="4" t="inlineStr"/>
      <c r="E3425" s="3" t="inlineStr">
        <is>
          <t>HU104-6 ARTIFICIAL FLOWER</t>
        </is>
      </c>
      <c r="F3425" s="4" t="inlineStr"/>
      <c r="G3425" s="4" t="inlineStr"/>
      <c r="H3425" s="4" t="inlineStr"/>
      <c r="I3425" s="5" t="n">
        <v>30</v>
      </c>
      <c r="J3425" s="6" t="n">
        <v>15</v>
      </c>
      <c r="K3425" s="7">
        <f>IF(I3425="","",I3425*(1+J3425/100))</f>
        <v/>
      </c>
      <c r="L3425" s="12" t="inlineStr"/>
      <c r="M3425" s="8">
        <f>IF(OR(L3425="",K3425="",L3425=0),"",
  (L3425-K3425)/L3425*100)</f>
        <v/>
      </c>
      <c r="N3425" s="9" t="inlineStr"/>
      <c r="O3425" s="4" t="inlineStr"/>
      <c r="P3425" s="4" t="inlineStr"/>
      <c r="Q3425" s="4" t="inlineStr"/>
      <c r="R3425" s="4" t="inlineStr">
        <is>
          <t>2026-03-12</t>
        </is>
      </c>
      <c r="S3425" s="4" t="inlineStr"/>
    </row>
    <row r="3426">
      <c r="A3426" s="10" t="inlineStr">
        <is>
          <t>H0014</t>
        </is>
      </c>
      <c r="B3426" s="10" t="inlineStr">
        <is>
          <t>H0014</t>
        </is>
      </c>
      <c r="C3426" s="10" t="inlineStr"/>
      <c r="D3426" s="10" t="inlineStr"/>
      <c r="E3426" s="10" t="inlineStr">
        <is>
          <t>HU104-7 ARTIFICIAL FLOWER</t>
        </is>
      </c>
      <c r="F3426" s="10" t="inlineStr"/>
      <c r="G3426" s="10" t="inlineStr"/>
      <c r="H3426" s="10" t="inlineStr"/>
      <c r="I3426" s="11" t="n">
        <v>150</v>
      </c>
      <c r="J3426" s="6" t="n">
        <v>15</v>
      </c>
      <c r="K3426" s="7">
        <f>IF(I3426="","",I3426*(1+J3426/100))</f>
        <v/>
      </c>
      <c r="L3426" s="12" t="inlineStr"/>
      <c r="M3426" s="8">
        <f>IF(OR(L3426="",K3426="",L3426=0),"",
  (L3426-K3426)/L3426*100)</f>
        <v/>
      </c>
      <c r="N3426" s="9" t="inlineStr"/>
      <c r="O3426" s="10" t="inlineStr"/>
      <c r="P3426" s="10" t="inlineStr"/>
      <c r="Q3426" s="10" t="inlineStr"/>
      <c r="R3426" s="10" t="inlineStr">
        <is>
          <t>2026-03-12</t>
        </is>
      </c>
      <c r="S3426" s="10" t="inlineStr"/>
    </row>
    <row r="3427">
      <c r="A3427" s="3" t="inlineStr">
        <is>
          <t>H0015</t>
        </is>
      </c>
      <c r="B3427" s="4" t="inlineStr">
        <is>
          <t>H0015</t>
        </is>
      </c>
      <c r="C3427" s="4" t="inlineStr"/>
      <c r="D3427" s="4" t="inlineStr"/>
      <c r="E3427" s="3" t="inlineStr">
        <is>
          <t>HU104-8 ARTIFICIAL FLOWER</t>
        </is>
      </c>
      <c r="F3427" s="4" t="inlineStr"/>
      <c r="G3427" s="4" t="inlineStr"/>
      <c r="H3427" s="4" t="inlineStr"/>
      <c r="I3427" s="5" t="n">
        <v>200</v>
      </c>
      <c r="J3427" s="6" t="n">
        <v>15</v>
      </c>
      <c r="K3427" s="7">
        <f>IF(I3427="","",I3427*(1+J3427/100))</f>
        <v/>
      </c>
      <c r="L3427" s="12" t="inlineStr"/>
      <c r="M3427" s="8">
        <f>IF(OR(L3427="",K3427="",L3427=0),"",
  (L3427-K3427)/L3427*100)</f>
        <v/>
      </c>
      <c r="N3427" s="9" t="inlineStr"/>
      <c r="O3427" s="4" t="inlineStr"/>
      <c r="P3427" s="4" t="inlineStr"/>
      <c r="Q3427" s="4" t="inlineStr"/>
      <c r="R3427" s="4" t="inlineStr">
        <is>
          <t>2026-03-12</t>
        </is>
      </c>
      <c r="S3427" s="4" t="inlineStr"/>
    </row>
    <row r="3428">
      <c r="A3428" s="10" t="inlineStr">
        <is>
          <t>H0016</t>
        </is>
      </c>
      <c r="B3428" s="10" t="inlineStr">
        <is>
          <t>H0016</t>
        </is>
      </c>
      <c r="C3428" s="10" t="inlineStr"/>
      <c r="D3428" s="10" t="inlineStr"/>
      <c r="E3428" s="10" t="inlineStr">
        <is>
          <t>HU108-1 ACRYLIC T/C/S BOX</t>
        </is>
      </c>
      <c r="F3428" s="10" t="inlineStr"/>
      <c r="G3428" s="10" t="inlineStr"/>
      <c r="H3428" s="10" t="inlineStr"/>
      <c r="I3428" s="11" t="n">
        <v>400</v>
      </c>
      <c r="J3428" s="6" t="n">
        <v>15</v>
      </c>
      <c r="K3428" s="7">
        <f>IF(I3428="","",I3428*(1+J3428/100))</f>
        <v/>
      </c>
      <c r="L3428" s="12" t="inlineStr"/>
      <c r="M3428" s="8">
        <f>IF(OR(L3428="",K3428="",L3428=0),"",
  (L3428-K3428)/L3428*100)</f>
        <v/>
      </c>
      <c r="N3428" s="9" t="inlineStr"/>
      <c r="O3428" s="10" t="inlineStr"/>
      <c r="P3428" s="10" t="inlineStr"/>
      <c r="Q3428" s="10" t="inlineStr"/>
      <c r="R3428" s="10" t="inlineStr">
        <is>
          <t>2026-03-12</t>
        </is>
      </c>
      <c r="S3428" s="10" t="inlineStr"/>
    </row>
    <row r="3429">
      <c r="A3429" s="3" t="inlineStr">
        <is>
          <t>H0017</t>
        </is>
      </c>
      <c r="B3429" s="4" t="inlineStr">
        <is>
          <t>H0017</t>
        </is>
      </c>
      <c r="C3429" s="4" t="inlineStr"/>
      <c r="D3429" s="4" t="inlineStr"/>
      <c r="E3429" s="3" t="inlineStr">
        <is>
          <t>HU108-2 ACRYLIC VANITY BOX</t>
        </is>
      </c>
      <c r="F3429" s="4" t="inlineStr"/>
      <c r="G3429" s="4" t="inlineStr"/>
      <c r="H3429" s="4" t="inlineStr"/>
      <c r="I3429" s="5" t="n">
        <v>150</v>
      </c>
      <c r="J3429" s="6" t="n">
        <v>15</v>
      </c>
      <c r="K3429" s="7">
        <f>IF(I3429="","",I3429*(1+J3429/100))</f>
        <v/>
      </c>
      <c r="L3429" s="12" t="inlineStr"/>
      <c r="M3429" s="8">
        <f>IF(OR(L3429="",K3429="",L3429=0),"",
  (L3429-K3429)/L3429*100)</f>
        <v/>
      </c>
      <c r="N3429" s="9" t="inlineStr"/>
      <c r="O3429" s="4" t="inlineStr"/>
      <c r="P3429" s="4" t="inlineStr"/>
      <c r="Q3429" s="4" t="inlineStr"/>
      <c r="R3429" s="4" t="inlineStr">
        <is>
          <t>2026-03-12</t>
        </is>
      </c>
      <c r="S3429" s="4" t="inlineStr"/>
    </row>
    <row r="3430">
      <c r="A3430" s="10" t="inlineStr">
        <is>
          <t>H0018</t>
        </is>
      </c>
      <c r="B3430" s="10" t="inlineStr">
        <is>
          <t>H0018</t>
        </is>
      </c>
      <c r="C3430" s="10" t="inlineStr"/>
      <c r="D3430" s="10" t="inlineStr"/>
      <c r="E3430" s="10" t="inlineStr">
        <is>
          <t>HU108-3 ACRYLIC VANITY BOX</t>
        </is>
      </c>
      <c r="F3430" s="10" t="inlineStr"/>
      <c r="G3430" s="10" t="inlineStr"/>
      <c r="H3430" s="10" t="inlineStr"/>
      <c r="I3430" s="11" t="n">
        <v>200</v>
      </c>
      <c r="J3430" s="6" t="n">
        <v>15</v>
      </c>
      <c r="K3430" s="7">
        <f>IF(I3430="","",I3430*(1+J3430/100))</f>
        <v/>
      </c>
      <c r="L3430" s="12" t="inlineStr"/>
      <c r="M3430" s="8">
        <f>IF(OR(L3430="",K3430="",L3430=0),"",
  (L3430-K3430)/L3430*100)</f>
        <v/>
      </c>
      <c r="N3430" s="9" t="inlineStr"/>
      <c r="O3430" s="10" t="inlineStr"/>
      <c r="P3430" s="10" t="inlineStr"/>
      <c r="Q3430" s="10" t="inlineStr"/>
      <c r="R3430" s="10" t="inlineStr">
        <is>
          <t>2026-03-12</t>
        </is>
      </c>
      <c r="S3430" s="10" t="inlineStr"/>
    </row>
    <row r="3431">
      <c r="A3431" s="3" t="inlineStr">
        <is>
          <t>H0019</t>
        </is>
      </c>
      <c r="B3431" s="4" t="inlineStr">
        <is>
          <t>H0019</t>
        </is>
      </c>
      <c r="C3431" s="4" t="inlineStr"/>
      <c r="D3431" s="4" t="inlineStr"/>
      <c r="E3431" s="3" t="inlineStr">
        <is>
          <t>HU108-4 GLASS/MIRROR TRAY</t>
        </is>
      </c>
      <c r="F3431" s="4" t="inlineStr"/>
      <c r="G3431" s="4" t="inlineStr"/>
      <c r="H3431" s="4" t="inlineStr"/>
      <c r="I3431" s="5" t="n">
        <v>160</v>
      </c>
      <c r="J3431" s="6" t="n">
        <v>15</v>
      </c>
      <c r="K3431" s="7">
        <f>IF(I3431="","",I3431*(1+J3431/100))</f>
        <v/>
      </c>
      <c r="L3431" s="12" t="inlineStr"/>
      <c r="M3431" s="8">
        <f>IF(OR(L3431="",K3431="",L3431=0),"",
  (L3431-K3431)/L3431*100)</f>
        <v/>
      </c>
      <c r="N3431" s="9" t="inlineStr"/>
      <c r="O3431" s="4" t="inlineStr"/>
      <c r="P3431" s="4" t="inlineStr"/>
      <c r="Q3431" s="4" t="inlineStr"/>
      <c r="R3431" s="4" t="inlineStr">
        <is>
          <t>2026-03-12</t>
        </is>
      </c>
      <c r="S3431" s="4" t="inlineStr"/>
    </row>
    <row r="3432">
      <c r="A3432" s="10" t="inlineStr">
        <is>
          <t>H0020</t>
        </is>
      </c>
      <c r="B3432" s="10" t="inlineStr">
        <is>
          <t>H0020</t>
        </is>
      </c>
      <c r="C3432" s="10" t="inlineStr"/>
      <c r="D3432" s="10" t="inlineStr"/>
      <c r="E3432" s="10" t="inlineStr">
        <is>
          <t>HU108-5</t>
        </is>
      </c>
      <c r="F3432" s="10" t="inlineStr"/>
      <c r="G3432" s="10" t="inlineStr"/>
      <c r="H3432" s="10" t="inlineStr"/>
      <c r="I3432" s="11" t="n">
        <v>130</v>
      </c>
      <c r="J3432" s="6" t="n">
        <v>15</v>
      </c>
      <c r="K3432" s="7">
        <f>IF(I3432="","",I3432*(1+J3432/100))</f>
        <v/>
      </c>
      <c r="L3432" s="12" t="inlineStr"/>
      <c r="M3432" s="8">
        <f>IF(OR(L3432="",K3432="",L3432=0),"",
  (L3432-K3432)/L3432*100)</f>
        <v/>
      </c>
      <c r="N3432" s="9" t="inlineStr"/>
      <c r="O3432" s="10" t="inlineStr"/>
      <c r="P3432" s="10" t="inlineStr"/>
      <c r="Q3432" s="10" t="inlineStr"/>
      <c r="R3432" s="10" t="inlineStr">
        <is>
          <t>2026-03-12</t>
        </is>
      </c>
      <c r="S3432" s="10" t="inlineStr"/>
    </row>
    <row r="3433">
      <c r="A3433" s="3" t="inlineStr">
        <is>
          <t>H0021</t>
        </is>
      </c>
      <c r="B3433" s="4" t="inlineStr">
        <is>
          <t>H0021</t>
        </is>
      </c>
      <c r="C3433" s="4" t="inlineStr"/>
      <c r="D3433" s="4" t="inlineStr"/>
      <c r="E3433" s="3" t="inlineStr">
        <is>
          <t>HU108-6 GLASS MIRROR BOX</t>
        </is>
      </c>
      <c r="F3433" s="4" t="inlineStr"/>
      <c r="G3433" s="4" t="inlineStr"/>
      <c r="H3433" s="4" t="inlineStr"/>
      <c r="I3433" s="5" t="n">
        <v>300</v>
      </c>
      <c r="J3433" s="6" t="n">
        <v>15</v>
      </c>
      <c r="K3433" s="7">
        <f>IF(I3433="","",I3433*(1+J3433/100))</f>
        <v/>
      </c>
      <c r="L3433" s="12" t="inlineStr"/>
      <c r="M3433" s="8">
        <f>IF(OR(L3433="",K3433="",L3433=0),"",
  (L3433-K3433)/L3433*100)</f>
        <v/>
      </c>
      <c r="N3433" s="9" t="inlineStr"/>
      <c r="O3433" s="4" t="inlineStr"/>
      <c r="P3433" s="4" t="inlineStr"/>
      <c r="Q3433" s="4" t="inlineStr"/>
      <c r="R3433" s="4" t="inlineStr">
        <is>
          <t>2026-03-12</t>
        </is>
      </c>
      <c r="S3433" s="4" t="inlineStr"/>
    </row>
    <row r="3434">
      <c r="A3434" s="10" t="inlineStr">
        <is>
          <t>H0022</t>
        </is>
      </c>
      <c r="B3434" s="10" t="inlineStr">
        <is>
          <t>H0022</t>
        </is>
      </c>
      <c r="C3434" s="10" t="inlineStr"/>
      <c r="D3434" s="10" t="inlineStr"/>
      <c r="E3434" s="10" t="inlineStr">
        <is>
          <t>HU108-7 INCENSE BURNER</t>
        </is>
      </c>
      <c r="F3434" s="10" t="inlineStr"/>
      <c r="G3434" s="10" t="inlineStr"/>
      <c r="H3434" s="10" t="inlineStr"/>
      <c r="I3434" s="11" t="n">
        <v>200</v>
      </c>
      <c r="J3434" s="6" t="n">
        <v>15</v>
      </c>
      <c r="K3434" s="7">
        <f>IF(I3434="","",I3434*(1+J3434/100))</f>
        <v/>
      </c>
      <c r="L3434" s="12" t="inlineStr"/>
      <c r="M3434" s="8">
        <f>IF(OR(L3434="",K3434="",L3434=0),"",
  (L3434-K3434)/L3434*100)</f>
        <v/>
      </c>
      <c r="N3434" s="9" t="inlineStr"/>
      <c r="O3434" s="10" t="inlineStr"/>
      <c r="P3434" s="10" t="inlineStr"/>
      <c r="Q3434" s="10" t="inlineStr"/>
      <c r="R3434" s="10" t="inlineStr">
        <is>
          <t>2026-03-12</t>
        </is>
      </c>
      <c r="S3434" s="10" t="inlineStr"/>
    </row>
    <row r="3435">
      <c r="A3435" s="3" t="inlineStr">
        <is>
          <t>H0023</t>
        </is>
      </c>
      <c r="B3435" s="4" t="inlineStr">
        <is>
          <t>H0023</t>
        </is>
      </c>
      <c r="C3435" s="4" t="inlineStr"/>
      <c r="D3435" s="4" t="inlineStr"/>
      <c r="E3435" s="3" t="inlineStr">
        <is>
          <t>HU108-8 INCENSE BURNER</t>
        </is>
      </c>
      <c r="F3435" s="4" t="inlineStr"/>
      <c r="G3435" s="4" t="inlineStr"/>
      <c r="H3435" s="4" t="inlineStr"/>
      <c r="I3435" s="5" t="n">
        <v>200</v>
      </c>
      <c r="J3435" s="6" t="n">
        <v>15</v>
      </c>
      <c r="K3435" s="7">
        <f>IF(I3435="","",I3435*(1+J3435/100))</f>
        <v/>
      </c>
      <c r="L3435" s="12" t="inlineStr"/>
      <c r="M3435" s="8">
        <f>IF(OR(L3435="",K3435="",L3435=0),"",
  (L3435-K3435)/L3435*100)</f>
        <v/>
      </c>
      <c r="N3435" s="9" t="inlineStr"/>
      <c r="O3435" s="4" t="inlineStr"/>
      <c r="P3435" s="4" t="inlineStr"/>
      <c r="Q3435" s="4" t="inlineStr"/>
      <c r="R3435" s="4" t="inlineStr">
        <is>
          <t>2026-03-12</t>
        </is>
      </c>
      <c r="S3435" s="4" t="inlineStr"/>
    </row>
    <row r="3436">
      <c r="A3436" s="10" t="inlineStr">
        <is>
          <t>H0024</t>
        </is>
      </c>
      <c r="B3436" s="10" t="inlineStr">
        <is>
          <t>H0024</t>
        </is>
      </c>
      <c r="C3436" s="10" t="inlineStr"/>
      <c r="D3436" s="10" t="inlineStr"/>
      <c r="E3436" s="10" t="inlineStr">
        <is>
          <t>HU108-9 INCENSE BURNER</t>
        </is>
      </c>
      <c r="F3436" s="10" t="inlineStr"/>
      <c r="G3436" s="10" t="inlineStr"/>
      <c r="H3436" s="10" t="inlineStr"/>
      <c r="I3436" s="11" t="n">
        <v>300</v>
      </c>
      <c r="J3436" s="6" t="n">
        <v>15</v>
      </c>
      <c r="K3436" s="7">
        <f>IF(I3436="","",I3436*(1+J3436/100))</f>
        <v/>
      </c>
      <c r="L3436" s="12" t="inlineStr"/>
      <c r="M3436" s="8">
        <f>IF(OR(L3436="",K3436="",L3436=0),"",
  (L3436-K3436)/L3436*100)</f>
        <v/>
      </c>
      <c r="N3436" s="9" t="inlineStr"/>
      <c r="O3436" s="10" t="inlineStr"/>
      <c r="P3436" s="10" t="inlineStr"/>
      <c r="Q3436" s="10" t="inlineStr"/>
      <c r="R3436" s="10" t="inlineStr">
        <is>
          <t>2026-03-12</t>
        </is>
      </c>
      <c r="S3436" s="10" t="inlineStr"/>
    </row>
    <row r="3437">
      <c r="A3437" s="3" t="inlineStr">
        <is>
          <t>H0025</t>
        </is>
      </c>
      <c r="B3437" s="4" t="inlineStr">
        <is>
          <t>H0025</t>
        </is>
      </c>
      <c r="C3437" s="4" t="inlineStr"/>
      <c r="D3437" s="4" t="inlineStr"/>
      <c r="E3437" s="3" t="inlineStr">
        <is>
          <t>HU108-10 INCENSE BURNER</t>
        </is>
      </c>
      <c r="F3437" s="4" t="inlineStr"/>
      <c r="G3437" s="4" t="inlineStr"/>
      <c r="H3437" s="4" t="inlineStr"/>
      <c r="I3437" s="5" t="n">
        <v>300</v>
      </c>
      <c r="J3437" s="6" t="n">
        <v>15</v>
      </c>
      <c r="K3437" s="7">
        <f>IF(I3437="","",I3437*(1+J3437/100))</f>
        <v/>
      </c>
      <c r="L3437" s="12" t="inlineStr"/>
      <c r="M3437" s="8">
        <f>IF(OR(L3437="",K3437="",L3437=0),"",
  (L3437-K3437)/L3437*100)</f>
        <v/>
      </c>
      <c r="N3437" s="9" t="inlineStr"/>
      <c r="O3437" s="4" t="inlineStr"/>
      <c r="P3437" s="4" t="inlineStr"/>
      <c r="Q3437" s="4" t="inlineStr"/>
      <c r="R3437" s="4" t="inlineStr">
        <is>
          <t>2026-03-12</t>
        </is>
      </c>
      <c r="S3437" s="4" t="inlineStr"/>
    </row>
    <row r="3438">
      <c r="A3438" s="10" t="inlineStr">
        <is>
          <t>H0026</t>
        </is>
      </c>
      <c r="B3438" s="10" t="inlineStr">
        <is>
          <t>H0026</t>
        </is>
      </c>
      <c r="C3438" s="10" t="inlineStr"/>
      <c r="D3438" s="10" t="inlineStr"/>
      <c r="E3438" s="10" t="inlineStr">
        <is>
          <t>HU108-11 TISSUE BOX</t>
        </is>
      </c>
      <c r="F3438" s="10" t="inlineStr"/>
      <c r="G3438" s="10" t="inlineStr"/>
      <c r="H3438" s="10" t="inlineStr"/>
      <c r="I3438" s="11" t="n">
        <v>200</v>
      </c>
      <c r="J3438" s="6" t="n">
        <v>15</v>
      </c>
      <c r="K3438" s="7">
        <f>IF(I3438="","",I3438*(1+J3438/100))</f>
        <v/>
      </c>
      <c r="L3438" s="12" t="inlineStr"/>
      <c r="M3438" s="8">
        <f>IF(OR(L3438="",K3438="",L3438=0),"",
  (L3438-K3438)/L3438*100)</f>
        <v/>
      </c>
      <c r="N3438" s="9" t="inlineStr"/>
      <c r="O3438" s="10" t="inlineStr"/>
      <c r="P3438" s="10" t="inlineStr"/>
      <c r="Q3438" s="10" t="inlineStr"/>
      <c r="R3438" s="10" t="inlineStr">
        <is>
          <t>2026-03-12</t>
        </is>
      </c>
      <c r="S3438" s="10" t="inlineStr"/>
    </row>
    <row r="3439">
      <c r="A3439" s="3" t="inlineStr">
        <is>
          <t>H0027</t>
        </is>
      </c>
      <c r="B3439" s="4" t="inlineStr">
        <is>
          <t>H0027</t>
        </is>
      </c>
      <c r="C3439" s="4" t="inlineStr"/>
      <c r="D3439" s="4" t="inlineStr"/>
      <c r="E3439" s="3" t="inlineStr">
        <is>
          <t>HU108-12 TISSUE BOX</t>
        </is>
      </c>
      <c r="F3439" s="4" t="inlineStr"/>
      <c r="G3439" s="4" t="inlineStr"/>
      <c r="H3439" s="4" t="inlineStr"/>
      <c r="I3439" s="5" t="n">
        <v>200</v>
      </c>
      <c r="J3439" s="6" t="n">
        <v>15</v>
      </c>
      <c r="K3439" s="7">
        <f>IF(I3439="","",I3439*(1+J3439/100))</f>
        <v/>
      </c>
      <c r="L3439" s="12" t="inlineStr"/>
      <c r="M3439" s="8">
        <f>IF(OR(L3439="",K3439="",L3439=0),"",
  (L3439-K3439)/L3439*100)</f>
        <v/>
      </c>
      <c r="N3439" s="9" t="inlineStr"/>
      <c r="O3439" s="4" t="inlineStr"/>
      <c r="P3439" s="4" t="inlineStr"/>
      <c r="Q3439" s="4" t="inlineStr"/>
      <c r="R3439" s="4" t="inlineStr">
        <is>
          <t>2026-03-12</t>
        </is>
      </c>
      <c r="S3439" s="4" t="inlineStr"/>
    </row>
    <row r="3440">
      <c r="A3440" s="10" t="inlineStr">
        <is>
          <t>H0028</t>
        </is>
      </c>
      <c r="B3440" s="10" t="inlineStr">
        <is>
          <t>H0028</t>
        </is>
      </c>
      <c r="C3440" s="10" t="inlineStr"/>
      <c r="D3440" s="10" t="inlineStr"/>
      <c r="E3440" s="10" t="inlineStr">
        <is>
          <t>HU108-13 TISSUE BOX</t>
        </is>
      </c>
      <c r="F3440" s="10" t="inlineStr"/>
      <c r="G3440" s="10" t="inlineStr"/>
      <c r="H3440" s="10" t="inlineStr"/>
      <c r="I3440" s="11" t="n">
        <v>200</v>
      </c>
      <c r="J3440" s="6" t="n">
        <v>15</v>
      </c>
      <c r="K3440" s="7">
        <f>IF(I3440="","",I3440*(1+J3440/100))</f>
        <v/>
      </c>
      <c r="L3440" s="12" t="inlineStr"/>
      <c r="M3440" s="8">
        <f>IF(OR(L3440="",K3440="",L3440=0),"",
  (L3440-K3440)/L3440*100)</f>
        <v/>
      </c>
      <c r="N3440" s="9" t="inlineStr"/>
      <c r="O3440" s="10" t="inlineStr"/>
      <c r="P3440" s="10" t="inlineStr"/>
      <c r="Q3440" s="10" t="inlineStr"/>
      <c r="R3440" s="10" t="inlineStr">
        <is>
          <t>2026-03-12</t>
        </is>
      </c>
      <c r="S3440" s="10" t="inlineStr"/>
    </row>
    <row r="3441">
      <c r="A3441" s="3" t="inlineStr">
        <is>
          <t>H0029</t>
        </is>
      </c>
      <c r="B3441" s="4" t="inlineStr">
        <is>
          <t>H0029</t>
        </is>
      </c>
      <c r="C3441" s="4" t="inlineStr"/>
      <c r="D3441" s="4" t="inlineStr"/>
      <c r="E3441" s="3" t="inlineStr">
        <is>
          <t>HU108-14 MIRROR DISPLAY BOX</t>
        </is>
      </c>
      <c r="F3441" s="4" t="inlineStr"/>
      <c r="G3441" s="4" t="inlineStr"/>
      <c r="H3441" s="4" t="inlineStr"/>
      <c r="I3441" s="5" t="n">
        <v>300</v>
      </c>
      <c r="J3441" s="6" t="n">
        <v>15</v>
      </c>
      <c r="K3441" s="7">
        <f>IF(I3441="","",I3441*(1+J3441/100))</f>
        <v/>
      </c>
      <c r="L3441" s="12" t="inlineStr"/>
      <c r="M3441" s="8">
        <f>IF(OR(L3441="",K3441="",L3441=0),"",
  (L3441-K3441)/L3441*100)</f>
        <v/>
      </c>
      <c r="N3441" s="9" t="inlineStr"/>
      <c r="O3441" s="4" t="inlineStr"/>
      <c r="P3441" s="4" t="inlineStr"/>
      <c r="Q3441" s="4" t="inlineStr"/>
      <c r="R3441" s="4" t="inlineStr">
        <is>
          <t>2026-03-12</t>
        </is>
      </c>
      <c r="S3441" s="4" t="inlineStr"/>
    </row>
    <row r="3442">
      <c r="A3442" s="10" t="inlineStr">
        <is>
          <t>H0030</t>
        </is>
      </c>
      <c r="B3442" s="10" t="inlineStr">
        <is>
          <t>H0030</t>
        </is>
      </c>
      <c r="C3442" s="10" t="inlineStr"/>
      <c r="D3442" s="10" t="inlineStr"/>
      <c r="E3442" s="10" t="inlineStr">
        <is>
          <t>HU103-1 MIRROR TRAY SET</t>
        </is>
      </c>
      <c r="F3442" s="10" t="inlineStr"/>
      <c r="G3442" s="10" t="inlineStr"/>
      <c r="H3442" s="10" t="inlineStr"/>
      <c r="I3442" s="11" t="n">
        <v>90</v>
      </c>
      <c r="J3442" s="6" t="n">
        <v>15</v>
      </c>
      <c r="K3442" s="7">
        <f>IF(I3442="","",I3442*(1+J3442/100))</f>
        <v/>
      </c>
      <c r="L3442" s="12" t="inlineStr"/>
      <c r="M3442" s="8">
        <f>IF(OR(L3442="",K3442="",L3442=0),"",
  (L3442-K3442)/L3442*100)</f>
        <v/>
      </c>
      <c r="N3442" s="9" t="inlineStr"/>
      <c r="O3442" s="10" t="inlineStr"/>
      <c r="P3442" s="10" t="inlineStr"/>
      <c r="Q3442" s="10" t="inlineStr"/>
      <c r="R3442" s="10" t="inlineStr">
        <is>
          <t>2026-03-12</t>
        </is>
      </c>
      <c r="S3442" s="10" t="inlineStr"/>
    </row>
    <row r="3443">
      <c r="A3443" s="3" t="inlineStr">
        <is>
          <t>H0031</t>
        </is>
      </c>
      <c r="B3443" s="4" t="inlineStr">
        <is>
          <t>H0031</t>
        </is>
      </c>
      <c r="C3443" s="4" t="inlineStr"/>
      <c r="D3443" s="4" t="inlineStr"/>
      <c r="E3443" s="3" t="inlineStr">
        <is>
          <t>HU103-2 MIRROR TRAY SET</t>
        </is>
      </c>
      <c r="F3443" s="4" t="inlineStr"/>
      <c r="G3443" s="4" t="inlineStr"/>
      <c r="H3443" s="4" t="inlineStr"/>
      <c r="I3443" s="5" t="n">
        <v>90</v>
      </c>
      <c r="J3443" s="6" t="n">
        <v>15</v>
      </c>
      <c r="K3443" s="7">
        <f>IF(I3443="","",I3443*(1+J3443/100))</f>
        <v/>
      </c>
      <c r="L3443" s="12" t="inlineStr"/>
      <c r="M3443" s="8">
        <f>IF(OR(L3443="",K3443="",L3443=0),"",
  (L3443-K3443)/L3443*100)</f>
        <v/>
      </c>
      <c r="N3443" s="9" t="inlineStr"/>
      <c r="O3443" s="4" t="inlineStr"/>
      <c r="P3443" s="4" t="inlineStr"/>
      <c r="Q3443" s="4" t="inlineStr"/>
      <c r="R3443" s="4" t="inlineStr">
        <is>
          <t>2026-03-12</t>
        </is>
      </c>
      <c r="S3443" s="4" t="inlineStr"/>
    </row>
    <row r="3444">
      <c r="A3444" s="10" t="inlineStr">
        <is>
          <t>H0032</t>
        </is>
      </c>
      <c r="B3444" s="10" t="inlineStr">
        <is>
          <t>H0032</t>
        </is>
      </c>
      <c r="C3444" s="10" t="inlineStr"/>
      <c r="D3444" s="10" t="inlineStr"/>
      <c r="E3444" s="10" t="inlineStr">
        <is>
          <t>HU103-3 GLASS SUGAR SET</t>
        </is>
      </c>
      <c r="F3444" s="10" t="inlineStr"/>
      <c r="G3444" s="10" t="inlineStr"/>
      <c r="H3444" s="10" t="inlineStr"/>
      <c r="I3444" s="11" t="n">
        <v>40</v>
      </c>
      <c r="J3444" s="6" t="n">
        <v>15</v>
      </c>
      <c r="K3444" s="7">
        <f>IF(I3444="","",I3444*(1+J3444/100))</f>
        <v/>
      </c>
      <c r="L3444" s="12" t="inlineStr"/>
      <c r="M3444" s="8">
        <f>IF(OR(L3444="",K3444="",L3444=0),"",
  (L3444-K3444)/L3444*100)</f>
        <v/>
      </c>
      <c r="N3444" s="9" t="inlineStr"/>
      <c r="O3444" s="10" t="inlineStr"/>
      <c r="P3444" s="10" t="inlineStr"/>
      <c r="Q3444" s="10" t="inlineStr"/>
      <c r="R3444" s="10" t="inlineStr">
        <is>
          <t>2026-03-12</t>
        </is>
      </c>
      <c r="S3444" s="10" t="inlineStr"/>
    </row>
    <row r="3445">
      <c r="A3445" s="3" t="inlineStr">
        <is>
          <t>H0033</t>
        </is>
      </c>
      <c r="B3445" s="4" t="inlineStr">
        <is>
          <t>H0033</t>
        </is>
      </c>
      <c r="C3445" s="4" t="inlineStr"/>
      <c r="D3445" s="4" t="inlineStr"/>
      <c r="E3445" s="3" t="inlineStr">
        <is>
          <t>HU103-4 MIRROR TRAY SET</t>
        </is>
      </c>
      <c r="F3445" s="4" t="inlineStr"/>
      <c r="G3445" s="4" t="inlineStr"/>
      <c r="H3445" s="4" t="inlineStr"/>
      <c r="I3445" s="5" t="n">
        <v>100</v>
      </c>
      <c r="J3445" s="6" t="n">
        <v>15</v>
      </c>
      <c r="K3445" s="7">
        <f>IF(I3445="","",I3445*(1+J3445/100))</f>
        <v/>
      </c>
      <c r="L3445" s="12" t="inlineStr"/>
      <c r="M3445" s="8">
        <f>IF(OR(L3445="",K3445="",L3445=0),"",
  (L3445-K3445)/L3445*100)</f>
        <v/>
      </c>
      <c r="N3445" s="9" t="inlineStr"/>
      <c r="O3445" s="4" t="inlineStr"/>
      <c r="P3445" s="4" t="inlineStr"/>
      <c r="Q3445" s="4" t="inlineStr"/>
      <c r="R3445" s="4" t="inlineStr">
        <is>
          <t>2026-03-12</t>
        </is>
      </c>
      <c r="S3445" s="4" t="inlineStr"/>
    </row>
    <row r="3446">
      <c r="A3446" s="10" t="inlineStr">
        <is>
          <t>H0034</t>
        </is>
      </c>
      <c r="B3446" s="10" t="inlineStr">
        <is>
          <t>H0034</t>
        </is>
      </c>
      <c r="C3446" s="10" t="inlineStr"/>
      <c r="D3446" s="10" t="inlineStr"/>
      <c r="E3446" s="10" t="inlineStr">
        <is>
          <t>CHIFFON SCARVES</t>
        </is>
      </c>
      <c r="F3446" s="10" t="inlineStr"/>
      <c r="G3446" s="10" t="inlineStr"/>
      <c r="H3446" s="10" t="inlineStr"/>
      <c r="I3446" s="11" t="n">
        <v>50</v>
      </c>
      <c r="J3446" s="6" t="n">
        <v>15</v>
      </c>
      <c r="K3446" s="7">
        <f>IF(I3446="","",I3446*(1+J3446/100))</f>
        <v/>
      </c>
      <c r="L3446" s="12" t="inlineStr"/>
      <c r="M3446" s="8">
        <f>IF(OR(L3446="",K3446="",L3446=0),"",
  (L3446-K3446)/L3446*100)</f>
        <v/>
      </c>
      <c r="N3446" s="9" t="inlineStr"/>
      <c r="O3446" s="10" t="inlineStr"/>
      <c r="P3446" s="10" t="inlineStr"/>
      <c r="Q3446" s="10" t="inlineStr"/>
      <c r="R3446" s="10" t="inlineStr">
        <is>
          <t>2026-03-12</t>
        </is>
      </c>
      <c r="S3446" s="10" t="inlineStr"/>
    </row>
    <row r="3447">
      <c r="A3447" s="3" t="inlineStr">
        <is>
          <t>H0035</t>
        </is>
      </c>
      <c r="B3447" s="4" t="inlineStr">
        <is>
          <t>H0035</t>
        </is>
      </c>
      <c r="C3447" s="4" t="inlineStr"/>
      <c r="D3447" s="4" t="inlineStr"/>
      <c r="E3447" s="3" t="inlineStr">
        <is>
          <t>CHIFFON SCARVES</t>
        </is>
      </c>
      <c r="F3447" s="4" t="inlineStr"/>
      <c r="G3447" s="4" t="inlineStr"/>
      <c r="H3447" s="4" t="inlineStr"/>
      <c r="I3447" s="5" t="n">
        <v>50</v>
      </c>
      <c r="J3447" s="6" t="n">
        <v>15</v>
      </c>
      <c r="K3447" s="7">
        <f>IF(I3447="","",I3447*(1+J3447/100))</f>
        <v/>
      </c>
      <c r="L3447" s="12" t="inlineStr"/>
      <c r="M3447" s="8">
        <f>IF(OR(L3447="",K3447="",L3447=0),"",
  (L3447-K3447)/L3447*100)</f>
        <v/>
      </c>
      <c r="N3447" s="9" t="inlineStr"/>
      <c r="O3447" s="4" t="inlineStr"/>
      <c r="P3447" s="4" t="inlineStr"/>
      <c r="Q3447" s="4" t="inlineStr"/>
      <c r="R3447" s="4" t="inlineStr">
        <is>
          <t>2026-03-12</t>
        </is>
      </c>
      <c r="S3447" s="4" t="inlineStr"/>
    </row>
    <row r="3448">
      <c r="A3448" s="10" t="inlineStr">
        <is>
          <t>H0036</t>
        </is>
      </c>
      <c r="B3448" s="10" t="inlineStr">
        <is>
          <t>H0036</t>
        </is>
      </c>
      <c r="C3448" s="10" t="inlineStr"/>
      <c r="D3448" s="10" t="inlineStr"/>
      <c r="E3448" s="10" t="inlineStr">
        <is>
          <t>CHIFFON SCARVES</t>
        </is>
      </c>
      <c r="F3448" s="10" t="inlineStr"/>
      <c r="G3448" s="10" t="inlineStr"/>
      <c r="H3448" s="10" t="inlineStr"/>
      <c r="I3448" s="11" t="n">
        <v>50</v>
      </c>
      <c r="J3448" s="6" t="n">
        <v>15</v>
      </c>
      <c r="K3448" s="7">
        <f>IF(I3448="","",I3448*(1+J3448/100))</f>
        <v/>
      </c>
      <c r="L3448" s="12" t="inlineStr"/>
      <c r="M3448" s="8">
        <f>IF(OR(L3448="",K3448="",L3448=0),"",
  (L3448-K3448)/L3448*100)</f>
        <v/>
      </c>
      <c r="N3448" s="9" t="inlineStr"/>
      <c r="O3448" s="10" t="inlineStr"/>
      <c r="P3448" s="10" t="inlineStr"/>
      <c r="Q3448" s="10" t="inlineStr"/>
      <c r="R3448" s="10" t="inlineStr">
        <is>
          <t>2026-03-12</t>
        </is>
      </c>
      <c r="S3448" s="10" t="inlineStr"/>
    </row>
    <row r="3449">
      <c r="A3449" s="3" t="inlineStr">
        <is>
          <t>H0037</t>
        </is>
      </c>
      <c r="B3449" s="4" t="inlineStr">
        <is>
          <t>H0037</t>
        </is>
      </c>
      <c r="C3449" s="4" t="inlineStr"/>
      <c r="D3449" s="4" t="inlineStr"/>
      <c r="E3449" s="3" t="inlineStr">
        <is>
          <t>CHFFON SCARVES</t>
        </is>
      </c>
      <c r="F3449" s="4" t="inlineStr"/>
      <c r="G3449" s="4" t="inlineStr"/>
      <c r="H3449" s="4" t="inlineStr"/>
      <c r="I3449" s="5" t="n">
        <v>50</v>
      </c>
      <c r="J3449" s="6" t="n">
        <v>15</v>
      </c>
      <c r="K3449" s="7">
        <f>IF(I3449="","",I3449*(1+J3449/100))</f>
        <v/>
      </c>
      <c r="L3449" s="12" t="inlineStr"/>
      <c r="M3449" s="8">
        <f>IF(OR(L3449="",K3449="",L3449=0),"",
  (L3449-K3449)/L3449*100)</f>
        <v/>
      </c>
      <c r="N3449" s="9" t="inlineStr"/>
      <c r="O3449" s="4" t="inlineStr"/>
      <c r="P3449" s="4" t="inlineStr"/>
      <c r="Q3449" s="4" t="inlineStr"/>
      <c r="R3449" s="4" t="inlineStr">
        <is>
          <t>2026-03-12</t>
        </is>
      </c>
      <c r="S3449" s="4" t="inlineStr"/>
    </row>
    <row r="3450">
      <c r="A3450" s="10" t="inlineStr">
        <is>
          <t>H0038</t>
        </is>
      </c>
      <c r="B3450" s="10" t="inlineStr">
        <is>
          <t>H0038</t>
        </is>
      </c>
      <c r="C3450" s="10" t="inlineStr"/>
      <c r="D3450" s="10" t="inlineStr"/>
      <c r="E3450" s="10" t="inlineStr">
        <is>
          <t>CHIFFON SCARVES</t>
        </is>
      </c>
      <c r="F3450" s="10" t="inlineStr"/>
      <c r="G3450" s="10" t="inlineStr"/>
      <c r="H3450" s="10" t="inlineStr"/>
      <c r="I3450" s="11" t="n">
        <v>50</v>
      </c>
      <c r="J3450" s="6" t="n">
        <v>15</v>
      </c>
      <c r="K3450" s="7">
        <f>IF(I3450="","",I3450*(1+J3450/100))</f>
        <v/>
      </c>
      <c r="L3450" s="12" t="inlineStr"/>
      <c r="M3450" s="8">
        <f>IF(OR(L3450="",K3450="",L3450=0),"",
  (L3450-K3450)/L3450*100)</f>
        <v/>
      </c>
      <c r="N3450" s="9" t="inlineStr"/>
      <c r="O3450" s="10" t="inlineStr"/>
      <c r="P3450" s="10" t="inlineStr"/>
      <c r="Q3450" s="10" t="inlineStr"/>
      <c r="R3450" s="10" t="inlineStr">
        <is>
          <t>2026-03-12</t>
        </is>
      </c>
      <c r="S3450" s="10" t="inlineStr"/>
    </row>
    <row r="3451">
      <c r="A3451" s="3" t="inlineStr">
        <is>
          <t>H0039</t>
        </is>
      </c>
      <c r="B3451" s="4" t="inlineStr">
        <is>
          <t>H0039</t>
        </is>
      </c>
      <c r="C3451" s="4" t="inlineStr"/>
      <c r="D3451" s="4" t="inlineStr"/>
      <c r="E3451" s="3" t="inlineStr">
        <is>
          <t>CHIFFON SCARVES</t>
        </is>
      </c>
      <c r="F3451" s="4" t="inlineStr"/>
      <c r="G3451" s="4" t="inlineStr"/>
      <c r="H3451" s="4" t="inlineStr"/>
      <c r="I3451" s="5" t="n">
        <v>50</v>
      </c>
      <c r="J3451" s="6" t="n">
        <v>15</v>
      </c>
      <c r="K3451" s="7">
        <f>IF(I3451="","",I3451*(1+J3451/100))</f>
        <v/>
      </c>
      <c r="L3451" s="12" t="inlineStr"/>
      <c r="M3451" s="8">
        <f>IF(OR(L3451="",K3451="",L3451=0),"",
  (L3451-K3451)/L3451*100)</f>
        <v/>
      </c>
      <c r="N3451" s="9" t="inlineStr"/>
      <c r="O3451" s="4" t="inlineStr"/>
      <c r="P3451" s="4" t="inlineStr"/>
      <c r="Q3451" s="4" t="inlineStr"/>
      <c r="R3451" s="4" t="inlineStr">
        <is>
          <t>2026-03-12</t>
        </is>
      </c>
      <c r="S3451" s="4" t="inlineStr"/>
    </row>
    <row r="3452">
      <c r="A3452" s="10" t="inlineStr">
        <is>
          <t>H0040</t>
        </is>
      </c>
      <c r="B3452" s="10" t="inlineStr">
        <is>
          <t>H0040</t>
        </is>
      </c>
      <c r="C3452" s="10" t="inlineStr"/>
      <c r="D3452" s="10" t="inlineStr"/>
      <c r="E3452" s="10" t="inlineStr">
        <is>
          <t>CHIFFON SCARVES</t>
        </is>
      </c>
      <c r="F3452" s="10" t="inlineStr"/>
      <c r="G3452" s="10" t="inlineStr"/>
      <c r="H3452" s="10" t="inlineStr"/>
      <c r="I3452" s="11" t="n">
        <v>50</v>
      </c>
      <c r="J3452" s="6" t="n">
        <v>15</v>
      </c>
      <c r="K3452" s="7">
        <f>IF(I3452="","",I3452*(1+J3452/100))</f>
        <v/>
      </c>
      <c r="L3452" s="12" t="inlineStr"/>
      <c r="M3452" s="8">
        <f>IF(OR(L3452="",K3452="",L3452=0),"",
  (L3452-K3452)/L3452*100)</f>
        <v/>
      </c>
      <c r="N3452" s="9" t="inlineStr"/>
      <c r="O3452" s="10" t="inlineStr"/>
      <c r="P3452" s="10" t="inlineStr"/>
      <c r="Q3452" s="10" t="inlineStr"/>
      <c r="R3452" s="10" t="inlineStr">
        <is>
          <t>2026-03-12</t>
        </is>
      </c>
      <c r="S3452" s="10" t="inlineStr"/>
    </row>
    <row r="3453">
      <c r="A3453" s="3" t="inlineStr">
        <is>
          <t>H0041</t>
        </is>
      </c>
      <c r="B3453" s="4" t="inlineStr">
        <is>
          <t>H0041</t>
        </is>
      </c>
      <c r="C3453" s="4" t="inlineStr"/>
      <c r="D3453" s="4" t="inlineStr"/>
      <c r="E3453" s="3" t="inlineStr">
        <is>
          <t>CHIFFON SCAVES</t>
        </is>
      </c>
      <c r="F3453" s="4" t="inlineStr"/>
      <c r="G3453" s="4" t="inlineStr"/>
      <c r="H3453" s="4" t="inlineStr"/>
      <c r="I3453" s="5" t="n">
        <v>50</v>
      </c>
      <c r="J3453" s="6" t="n">
        <v>15</v>
      </c>
      <c r="K3453" s="7">
        <f>IF(I3453="","",I3453*(1+J3453/100))</f>
        <v/>
      </c>
      <c r="L3453" s="12" t="inlineStr"/>
      <c r="M3453" s="8">
        <f>IF(OR(L3453="",K3453="",L3453=0),"",
  (L3453-K3453)/L3453*100)</f>
        <v/>
      </c>
      <c r="N3453" s="9" t="inlineStr"/>
      <c r="O3453" s="4" t="inlineStr"/>
      <c r="P3453" s="4" t="inlineStr"/>
      <c r="Q3453" s="4" t="inlineStr"/>
      <c r="R3453" s="4" t="inlineStr">
        <is>
          <t>2026-03-12</t>
        </is>
      </c>
      <c r="S3453" s="4" t="inlineStr"/>
    </row>
    <row r="3454">
      <c r="A3454" s="10" t="inlineStr">
        <is>
          <t>H0042</t>
        </is>
      </c>
      <c r="B3454" s="10" t="inlineStr">
        <is>
          <t>H0042</t>
        </is>
      </c>
      <c r="C3454" s="10" t="inlineStr"/>
      <c r="D3454" s="10" t="inlineStr"/>
      <c r="E3454" s="10" t="inlineStr">
        <is>
          <t>CHIFFON SCARVES</t>
        </is>
      </c>
      <c r="F3454" s="10" t="inlineStr"/>
      <c r="G3454" s="10" t="inlineStr"/>
      <c r="H3454" s="10" t="inlineStr"/>
      <c r="I3454" s="11" t="n">
        <v>50</v>
      </c>
      <c r="J3454" s="6" t="n">
        <v>15</v>
      </c>
      <c r="K3454" s="7">
        <f>IF(I3454="","",I3454*(1+J3454/100))</f>
        <v/>
      </c>
      <c r="L3454" s="12" t="inlineStr"/>
      <c r="M3454" s="8">
        <f>IF(OR(L3454="",K3454="",L3454=0),"",
  (L3454-K3454)/L3454*100)</f>
        <v/>
      </c>
      <c r="N3454" s="9" t="inlineStr"/>
      <c r="O3454" s="10" t="inlineStr"/>
      <c r="P3454" s="10" t="inlineStr"/>
      <c r="Q3454" s="10" t="inlineStr"/>
      <c r="R3454" s="10" t="inlineStr">
        <is>
          <t>2026-03-12</t>
        </is>
      </c>
      <c r="S3454" s="10" t="inlineStr"/>
    </row>
    <row r="3455">
      <c r="A3455" s="3" t="inlineStr">
        <is>
          <t>H0043</t>
        </is>
      </c>
      <c r="B3455" s="4" t="inlineStr">
        <is>
          <t>H0043</t>
        </is>
      </c>
      <c r="C3455" s="4" t="inlineStr"/>
      <c r="D3455" s="4" t="inlineStr"/>
      <c r="E3455" s="3" t="inlineStr">
        <is>
          <t>CHIFFON SCARVES</t>
        </is>
      </c>
      <c r="F3455" s="4" t="inlineStr"/>
      <c r="G3455" s="4" t="inlineStr"/>
      <c r="H3455" s="4" t="inlineStr"/>
      <c r="I3455" s="5" t="n">
        <v>50</v>
      </c>
      <c r="J3455" s="6" t="n">
        <v>15</v>
      </c>
      <c r="K3455" s="7">
        <f>IF(I3455="","",I3455*(1+J3455/100))</f>
        <v/>
      </c>
      <c r="L3455" s="12" t="inlineStr"/>
      <c r="M3455" s="8">
        <f>IF(OR(L3455="",K3455="",L3455=0),"",
  (L3455-K3455)/L3455*100)</f>
        <v/>
      </c>
      <c r="N3455" s="9" t="inlineStr"/>
      <c r="O3455" s="4" t="inlineStr"/>
      <c r="P3455" s="4" t="inlineStr"/>
      <c r="Q3455" s="4" t="inlineStr"/>
      <c r="R3455" s="4" t="inlineStr">
        <is>
          <t>2026-03-12</t>
        </is>
      </c>
      <c r="S3455" s="4" t="inlineStr"/>
    </row>
    <row r="3456">
      <c r="A3456" s="10" t="inlineStr">
        <is>
          <t>H0044</t>
        </is>
      </c>
      <c r="B3456" s="10" t="inlineStr">
        <is>
          <t>H0044</t>
        </is>
      </c>
      <c r="C3456" s="10" t="inlineStr"/>
      <c r="D3456" s="10" t="inlineStr"/>
      <c r="E3456" s="10" t="inlineStr">
        <is>
          <t>CHIFFON SCARVES</t>
        </is>
      </c>
      <c r="F3456" s="10" t="inlineStr"/>
      <c r="G3456" s="10" t="inlineStr"/>
      <c r="H3456" s="10" t="inlineStr"/>
      <c r="I3456" s="11" t="n">
        <v>50</v>
      </c>
      <c r="J3456" s="6" t="n">
        <v>15</v>
      </c>
      <c r="K3456" s="7">
        <f>IF(I3456="","",I3456*(1+J3456/100))</f>
        <v/>
      </c>
      <c r="L3456" s="12" t="inlineStr"/>
      <c r="M3456" s="8">
        <f>IF(OR(L3456="",K3456="",L3456=0),"",
  (L3456-K3456)/L3456*100)</f>
        <v/>
      </c>
      <c r="N3456" s="9" t="inlineStr"/>
      <c r="O3456" s="10" t="inlineStr"/>
      <c r="P3456" s="10" t="inlineStr"/>
      <c r="Q3456" s="10" t="inlineStr"/>
      <c r="R3456" s="10" t="inlineStr">
        <is>
          <t>2026-03-12</t>
        </is>
      </c>
      <c r="S3456" s="10" t="inlineStr"/>
    </row>
    <row r="3457">
      <c r="A3457" s="3" t="inlineStr">
        <is>
          <t>H0045</t>
        </is>
      </c>
      <c r="B3457" s="4" t="inlineStr">
        <is>
          <t>H0045</t>
        </is>
      </c>
      <c r="C3457" s="4" t="inlineStr"/>
      <c r="D3457" s="4" t="inlineStr"/>
      <c r="E3457" s="3" t="inlineStr">
        <is>
          <t>CHIFFON SCARVES</t>
        </is>
      </c>
      <c r="F3457" s="4" t="inlineStr"/>
      <c r="G3457" s="4" t="inlineStr"/>
      <c r="H3457" s="4" t="inlineStr"/>
      <c r="I3457" s="5" t="n">
        <v>50</v>
      </c>
      <c r="J3457" s="6" t="n">
        <v>15</v>
      </c>
      <c r="K3457" s="7">
        <f>IF(I3457="","",I3457*(1+J3457/100))</f>
        <v/>
      </c>
      <c r="L3457" s="12" t="inlineStr"/>
      <c r="M3457" s="8">
        <f>IF(OR(L3457="",K3457="",L3457=0),"",
  (L3457-K3457)/L3457*100)</f>
        <v/>
      </c>
      <c r="N3457" s="9" t="inlineStr"/>
      <c r="O3457" s="4" t="inlineStr"/>
      <c r="P3457" s="4" t="inlineStr"/>
      <c r="Q3457" s="4" t="inlineStr"/>
      <c r="R3457" s="4" t="inlineStr">
        <is>
          <t>2026-03-12</t>
        </is>
      </c>
      <c r="S3457" s="4" t="inlineStr"/>
    </row>
    <row r="3458">
      <c r="A3458" s="10" t="inlineStr">
        <is>
          <t>H0046</t>
        </is>
      </c>
      <c r="B3458" s="10" t="inlineStr">
        <is>
          <t>H0046</t>
        </is>
      </c>
      <c r="C3458" s="10" t="inlineStr"/>
      <c r="D3458" s="10" t="inlineStr"/>
      <c r="E3458" s="10" t="inlineStr">
        <is>
          <t>CHIFFIN SCARVES</t>
        </is>
      </c>
      <c r="F3458" s="10" t="inlineStr"/>
      <c r="G3458" s="10" t="inlineStr"/>
      <c r="H3458" s="10" t="inlineStr"/>
      <c r="I3458" s="11" t="n">
        <v>50</v>
      </c>
      <c r="J3458" s="6" t="n">
        <v>15</v>
      </c>
      <c r="K3458" s="7">
        <f>IF(I3458="","",I3458*(1+J3458/100))</f>
        <v/>
      </c>
      <c r="L3458" s="12" t="inlineStr"/>
      <c r="M3458" s="8">
        <f>IF(OR(L3458="",K3458="",L3458=0),"",
  (L3458-K3458)/L3458*100)</f>
        <v/>
      </c>
      <c r="N3458" s="9" t="inlineStr"/>
      <c r="O3458" s="10" t="inlineStr"/>
      <c r="P3458" s="10" t="inlineStr"/>
      <c r="Q3458" s="10" t="inlineStr"/>
      <c r="R3458" s="10" t="inlineStr">
        <is>
          <t>2026-03-12</t>
        </is>
      </c>
      <c r="S3458" s="10" t="inlineStr"/>
    </row>
    <row r="3459">
      <c r="A3459" s="3" t="inlineStr">
        <is>
          <t>H0047</t>
        </is>
      </c>
      <c r="B3459" s="4" t="inlineStr">
        <is>
          <t>H0047</t>
        </is>
      </c>
      <c r="C3459" s="4" t="inlineStr"/>
      <c r="D3459" s="4" t="inlineStr"/>
      <c r="E3459" s="3" t="inlineStr">
        <is>
          <t>CHIFFON SCARVES</t>
        </is>
      </c>
      <c r="F3459" s="4" t="inlineStr"/>
      <c r="G3459" s="4" t="inlineStr"/>
      <c r="H3459" s="4" t="inlineStr"/>
      <c r="I3459" s="5" t="n">
        <v>50</v>
      </c>
      <c r="J3459" s="6" t="n">
        <v>15</v>
      </c>
      <c r="K3459" s="7">
        <f>IF(I3459="","",I3459*(1+J3459/100))</f>
        <v/>
      </c>
      <c r="L3459" s="12" t="inlineStr"/>
      <c r="M3459" s="8">
        <f>IF(OR(L3459="",K3459="",L3459=0),"",
  (L3459-K3459)/L3459*100)</f>
        <v/>
      </c>
      <c r="N3459" s="9" t="inlineStr"/>
      <c r="O3459" s="4" t="inlineStr"/>
      <c r="P3459" s="4" t="inlineStr"/>
      <c r="Q3459" s="4" t="inlineStr"/>
      <c r="R3459" s="4" t="inlineStr">
        <is>
          <t>2026-03-12</t>
        </is>
      </c>
      <c r="S3459" s="4" t="inlineStr"/>
    </row>
    <row r="3460">
      <c r="A3460" s="10" t="inlineStr">
        <is>
          <t>H0048</t>
        </is>
      </c>
      <c r="B3460" s="10" t="inlineStr">
        <is>
          <t>H0048</t>
        </is>
      </c>
      <c r="C3460" s="10" t="inlineStr"/>
      <c r="D3460" s="10" t="inlineStr"/>
      <c r="E3460" s="10" t="inlineStr">
        <is>
          <t>CHIFFON SCARVES</t>
        </is>
      </c>
      <c r="F3460" s="10" t="inlineStr"/>
      <c r="G3460" s="10" t="inlineStr"/>
      <c r="H3460" s="10" t="inlineStr"/>
      <c r="I3460" s="11" t="n">
        <v>50</v>
      </c>
      <c r="J3460" s="6" t="n">
        <v>15</v>
      </c>
      <c r="K3460" s="7">
        <f>IF(I3460="","",I3460*(1+J3460/100))</f>
        <v/>
      </c>
      <c r="L3460" s="12" t="inlineStr"/>
      <c r="M3460" s="8">
        <f>IF(OR(L3460="",K3460="",L3460=0),"",
  (L3460-K3460)/L3460*100)</f>
        <v/>
      </c>
      <c r="N3460" s="9" t="inlineStr"/>
      <c r="O3460" s="10" t="inlineStr"/>
      <c r="P3460" s="10" t="inlineStr"/>
      <c r="Q3460" s="10" t="inlineStr"/>
      <c r="R3460" s="10" t="inlineStr">
        <is>
          <t>2026-03-12</t>
        </is>
      </c>
      <c r="S3460" s="10" t="inlineStr"/>
    </row>
    <row r="3461">
      <c r="A3461" s="3" t="inlineStr">
        <is>
          <t>H0049</t>
        </is>
      </c>
      <c r="B3461" s="4" t="inlineStr">
        <is>
          <t>H0049</t>
        </is>
      </c>
      <c r="C3461" s="4" t="inlineStr"/>
      <c r="D3461" s="4" t="inlineStr"/>
      <c r="E3461" s="3" t="inlineStr">
        <is>
          <t>CHIFFON SCARVES</t>
        </is>
      </c>
      <c r="F3461" s="4" t="inlineStr"/>
      <c r="G3461" s="4" t="inlineStr"/>
      <c r="H3461" s="4" t="inlineStr"/>
      <c r="I3461" s="5" t="n">
        <v>50</v>
      </c>
      <c r="J3461" s="6" t="n">
        <v>15</v>
      </c>
      <c r="K3461" s="7">
        <f>IF(I3461="","",I3461*(1+J3461/100))</f>
        <v/>
      </c>
      <c r="L3461" s="12" t="inlineStr"/>
      <c r="M3461" s="8">
        <f>IF(OR(L3461="",K3461="",L3461=0),"",
  (L3461-K3461)/L3461*100)</f>
        <v/>
      </c>
      <c r="N3461" s="9" t="inlineStr"/>
      <c r="O3461" s="4" t="inlineStr"/>
      <c r="P3461" s="4" t="inlineStr"/>
      <c r="Q3461" s="4" t="inlineStr"/>
      <c r="R3461" s="4" t="inlineStr">
        <is>
          <t>2026-03-12</t>
        </is>
      </c>
      <c r="S3461" s="4" t="inlineStr"/>
    </row>
    <row r="3462">
      <c r="A3462" s="10" t="inlineStr">
        <is>
          <t>H0050</t>
        </is>
      </c>
      <c r="B3462" s="10" t="inlineStr">
        <is>
          <t>H0050</t>
        </is>
      </c>
      <c r="C3462" s="10" t="inlineStr"/>
      <c r="D3462" s="10" t="inlineStr"/>
      <c r="E3462" s="10" t="inlineStr">
        <is>
          <t>CHIFFON SCARVES</t>
        </is>
      </c>
      <c r="F3462" s="10" t="inlineStr"/>
      <c r="G3462" s="10" t="inlineStr"/>
      <c r="H3462" s="10" t="inlineStr"/>
      <c r="I3462" s="11" t="n">
        <v>50</v>
      </c>
      <c r="J3462" s="6" t="n">
        <v>15</v>
      </c>
      <c r="K3462" s="7">
        <f>IF(I3462="","",I3462*(1+J3462/100))</f>
        <v/>
      </c>
      <c r="L3462" s="12" t="inlineStr"/>
      <c r="M3462" s="8">
        <f>IF(OR(L3462="",K3462="",L3462=0),"",
  (L3462-K3462)/L3462*100)</f>
        <v/>
      </c>
      <c r="N3462" s="9" t="inlineStr"/>
      <c r="O3462" s="10" t="inlineStr"/>
      <c r="P3462" s="10" t="inlineStr"/>
      <c r="Q3462" s="10" t="inlineStr"/>
      <c r="R3462" s="10" t="inlineStr">
        <is>
          <t>2026-03-12</t>
        </is>
      </c>
      <c r="S3462" s="10" t="inlineStr"/>
    </row>
    <row r="3463">
      <c r="A3463" s="3" t="inlineStr">
        <is>
          <t>H0051</t>
        </is>
      </c>
      <c r="B3463" s="4" t="inlineStr">
        <is>
          <t>H0051</t>
        </is>
      </c>
      <c r="C3463" s="4" t="inlineStr"/>
      <c r="D3463" s="4" t="inlineStr"/>
      <c r="E3463" s="3" t="inlineStr">
        <is>
          <t>CHIFFON SCARVES</t>
        </is>
      </c>
      <c r="F3463" s="4" t="inlineStr"/>
      <c r="G3463" s="4" t="inlineStr"/>
      <c r="H3463" s="4" t="inlineStr"/>
      <c r="I3463" s="5" t="n">
        <v>50</v>
      </c>
      <c r="J3463" s="6" t="n">
        <v>15</v>
      </c>
      <c r="K3463" s="7">
        <f>IF(I3463="","",I3463*(1+J3463/100))</f>
        <v/>
      </c>
      <c r="L3463" s="12" t="inlineStr"/>
      <c r="M3463" s="8">
        <f>IF(OR(L3463="",K3463="",L3463=0),"",
  (L3463-K3463)/L3463*100)</f>
        <v/>
      </c>
      <c r="N3463" s="9" t="inlineStr"/>
      <c r="O3463" s="4" t="inlineStr"/>
      <c r="P3463" s="4" t="inlineStr"/>
      <c r="Q3463" s="4" t="inlineStr"/>
      <c r="R3463" s="4" t="inlineStr">
        <is>
          <t>2026-03-12</t>
        </is>
      </c>
      <c r="S3463" s="4" t="inlineStr"/>
    </row>
    <row r="3464">
      <c r="A3464" s="10" t="inlineStr">
        <is>
          <t>H0052</t>
        </is>
      </c>
      <c r="B3464" s="10" t="inlineStr">
        <is>
          <t>H0052</t>
        </is>
      </c>
      <c r="C3464" s="10" t="inlineStr"/>
      <c r="D3464" s="10" t="inlineStr"/>
      <c r="E3464" s="10" t="inlineStr">
        <is>
          <t>CHIFFON SCARVES</t>
        </is>
      </c>
      <c r="F3464" s="10" t="inlineStr"/>
      <c r="G3464" s="10" t="inlineStr"/>
      <c r="H3464" s="10" t="inlineStr"/>
      <c r="I3464" s="11" t="n">
        <v>50</v>
      </c>
      <c r="J3464" s="6" t="n">
        <v>15</v>
      </c>
      <c r="K3464" s="7">
        <f>IF(I3464="","",I3464*(1+J3464/100))</f>
        <v/>
      </c>
      <c r="L3464" s="12" t="inlineStr"/>
      <c r="M3464" s="8">
        <f>IF(OR(L3464="",K3464="",L3464=0),"",
  (L3464-K3464)/L3464*100)</f>
        <v/>
      </c>
      <c r="N3464" s="9" t="inlineStr"/>
      <c r="O3464" s="10" t="inlineStr"/>
      <c r="P3464" s="10" t="inlineStr"/>
      <c r="Q3464" s="10" t="inlineStr"/>
      <c r="R3464" s="10" t="inlineStr">
        <is>
          <t>2026-03-12</t>
        </is>
      </c>
      <c r="S3464" s="10" t="inlineStr"/>
    </row>
    <row r="3465">
      <c r="A3465" s="3" t="inlineStr">
        <is>
          <t>H0053</t>
        </is>
      </c>
      <c r="B3465" s="4" t="inlineStr">
        <is>
          <t>H0053</t>
        </is>
      </c>
      <c r="C3465" s="4" t="inlineStr"/>
      <c r="D3465" s="4" t="inlineStr"/>
      <c r="E3465" s="3" t="inlineStr">
        <is>
          <t>COLORS 20PC EACH</t>
        </is>
      </c>
      <c r="F3465" s="4" t="inlineStr"/>
      <c r="G3465" s="4" t="inlineStr"/>
      <c r="H3465" s="4" t="inlineStr"/>
      <c r="I3465" s="5" t="n">
        <v>50</v>
      </c>
      <c r="J3465" s="6" t="n">
        <v>15</v>
      </c>
      <c r="K3465" s="7">
        <f>IF(I3465="","",I3465*(1+J3465/100))</f>
        <v/>
      </c>
      <c r="L3465" s="12" t="inlineStr"/>
      <c r="M3465" s="8">
        <f>IF(OR(L3465="",K3465="",L3465=0),"",
  (L3465-K3465)/L3465*100)</f>
        <v/>
      </c>
      <c r="N3465" s="9" t="inlineStr"/>
      <c r="O3465" s="4" t="inlineStr"/>
      <c r="P3465" s="4" t="inlineStr"/>
      <c r="Q3465" s="4" t="inlineStr"/>
      <c r="R3465" s="4" t="inlineStr">
        <is>
          <t>2026-03-12</t>
        </is>
      </c>
      <c r="S3465" s="4" t="inlineStr"/>
    </row>
    <row r="3466">
      <c r="A3466" s="10" t="inlineStr">
        <is>
          <t>H0059</t>
        </is>
      </c>
      <c r="B3466" s="10" t="inlineStr">
        <is>
          <t>H0059</t>
        </is>
      </c>
      <c r="C3466" s="10" t="inlineStr"/>
      <c r="D3466" s="10" t="inlineStr"/>
      <c r="E3466" s="10" t="inlineStr">
        <is>
          <t>HU02-1 METAL WALL FRAME</t>
        </is>
      </c>
      <c r="F3466" s="10" t="inlineStr"/>
      <c r="G3466" s="10" t="inlineStr"/>
      <c r="H3466" s="10" t="inlineStr"/>
      <c r="I3466" s="11" t="n">
        <v>200</v>
      </c>
      <c r="J3466" s="6" t="n">
        <v>15</v>
      </c>
      <c r="K3466" s="7">
        <f>IF(I3466="","",I3466*(1+J3466/100))</f>
        <v/>
      </c>
      <c r="L3466" s="12" t="inlineStr"/>
      <c r="M3466" s="8">
        <f>IF(OR(L3466="",K3466="",L3466=0),"",
  (L3466-K3466)/L3466*100)</f>
        <v/>
      </c>
      <c r="N3466" s="9" t="inlineStr"/>
      <c r="O3466" s="10" t="inlineStr"/>
      <c r="P3466" s="10" t="inlineStr"/>
      <c r="Q3466" s="10" t="inlineStr"/>
      <c r="R3466" s="10" t="inlineStr">
        <is>
          <t>2026-03-12</t>
        </is>
      </c>
      <c r="S3466" s="10" t="inlineStr"/>
    </row>
    <row r="3467">
      <c r="A3467" s="3" t="inlineStr">
        <is>
          <t>H0060</t>
        </is>
      </c>
      <c r="B3467" s="4" t="inlineStr">
        <is>
          <t>H0060</t>
        </is>
      </c>
      <c r="C3467" s="4" t="inlineStr"/>
      <c r="D3467" s="4" t="inlineStr"/>
      <c r="E3467" s="3" t="inlineStr">
        <is>
          <t>HU02-2 WALL FRAME</t>
        </is>
      </c>
      <c r="F3467" s="4" t="inlineStr"/>
      <c r="G3467" s="4" t="inlineStr"/>
      <c r="H3467" s="4" t="inlineStr"/>
      <c r="I3467" s="5" t="n">
        <v>200</v>
      </c>
      <c r="J3467" s="6" t="n">
        <v>15</v>
      </c>
      <c r="K3467" s="7">
        <f>IF(I3467="","",I3467*(1+J3467/100))</f>
        <v/>
      </c>
      <c r="L3467" s="12" t="inlineStr"/>
      <c r="M3467" s="8">
        <f>IF(OR(L3467="",K3467="",L3467=0),"",
  (L3467-K3467)/L3467*100)</f>
        <v/>
      </c>
      <c r="N3467" s="9" t="inlineStr"/>
      <c r="O3467" s="4" t="inlineStr"/>
      <c r="P3467" s="4" t="inlineStr"/>
      <c r="Q3467" s="4" t="inlineStr"/>
      <c r="R3467" s="4" t="inlineStr">
        <is>
          <t>2026-03-12</t>
        </is>
      </c>
      <c r="S3467" s="4" t="inlineStr"/>
    </row>
    <row r="3468">
      <c r="A3468" s="10" t="inlineStr">
        <is>
          <t>H0061</t>
        </is>
      </c>
      <c r="B3468" s="10" t="inlineStr">
        <is>
          <t>H0061</t>
        </is>
      </c>
      <c r="C3468" s="10" t="inlineStr"/>
      <c r="D3468" s="10" t="inlineStr"/>
      <c r="E3468" s="10" t="inlineStr">
        <is>
          <t>HU02-3 WALL FRAME</t>
        </is>
      </c>
      <c r="F3468" s="10" t="inlineStr"/>
      <c r="G3468" s="10" t="inlineStr"/>
      <c r="H3468" s="10" t="inlineStr"/>
      <c r="I3468" s="11" t="n">
        <v>200</v>
      </c>
      <c r="J3468" s="6" t="n">
        <v>15</v>
      </c>
      <c r="K3468" s="7">
        <f>IF(I3468="","",I3468*(1+J3468/100))</f>
        <v/>
      </c>
      <c r="L3468" s="12" t="inlineStr"/>
      <c r="M3468" s="8">
        <f>IF(OR(L3468="",K3468="",L3468=0),"",
  (L3468-K3468)/L3468*100)</f>
        <v/>
      </c>
      <c r="N3468" s="9" t="inlineStr"/>
      <c r="O3468" s="10" t="inlineStr"/>
      <c r="P3468" s="10" t="inlineStr"/>
      <c r="Q3468" s="10" t="inlineStr"/>
      <c r="R3468" s="10" t="inlineStr">
        <is>
          <t>2026-03-12</t>
        </is>
      </c>
      <c r="S3468" s="10" t="inlineStr"/>
    </row>
    <row r="3469">
      <c r="A3469" s="3" t="inlineStr">
        <is>
          <t>H0062</t>
        </is>
      </c>
      <c r="B3469" s="4" t="inlineStr">
        <is>
          <t>H0062</t>
        </is>
      </c>
      <c r="C3469" s="4" t="inlineStr"/>
      <c r="D3469" s="4" t="inlineStr"/>
      <c r="E3469" s="3" t="inlineStr">
        <is>
          <t>HU02-4 WALL FRAME</t>
        </is>
      </c>
      <c r="F3469" s="4" t="inlineStr"/>
      <c r="G3469" s="4" t="inlineStr"/>
      <c r="H3469" s="4" t="inlineStr"/>
      <c r="I3469" s="5" t="n">
        <v>200</v>
      </c>
      <c r="J3469" s="6" t="n">
        <v>15</v>
      </c>
      <c r="K3469" s="7">
        <f>IF(I3469="","",I3469*(1+J3469/100))</f>
        <v/>
      </c>
      <c r="L3469" s="12" t="inlineStr"/>
      <c r="M3469" s="8">
        <f>IF(OR(L3469="",K3469="",L3469=0),"",
  (L3469-K3469)/L3469*100)</f>
        <v/>
      </c>
      <c r="N3469" s="9" t="inlineStr"/>
      <c r="O3469" s="4" t="inlineStr"/>
      <c r="P3469" s="4" t="inlineStr"/>
      <c r="Q3469" s="4" t="inlineStr"/>
      <c r="R3469" s="4" t="inlineStr">
        <is>
          <t>2026-03-12</t>
        </is>
      </c>
      <c r="S3469" s="4" t="inlineStr"/>
    </row>
    <row r="3470">
      <c r="A3470" s="10" t="inlineStr">
        <is>
          <t>H0063</t>
        </is>
      </c>
      <c r="B3470" s="10" t="inlineStr">
        <is>
          <t>H0063</t>
        </is>
      </c>
      <c r="C3470" s="10" t="inlineStr"/>
      <c r="D3470" s="10" t="inlineStr"/>
      <c r="E3470" s="10" t="inlineStr">
        <is>
          <t>HU02-5 WALL FRAME</t>
        </is>
      </c>
      <c r="F3470" s="10" t="inlineStr"/>
      <c r="G3470" s="10" t="inlineStr"/>
      <c r="H3470" s="10" t="inlineStr"/>
      <c r="I3470" s="11" t="n">
        <v>200</v>
      </c>
      <c r="J3470" s="6" t="n">
        <v>15</v>
      </c>
      <c r="K3470" s="7">
        <f>IF(I3470="","",I3470*(1+J3470/100))</f>
        <v/>
      </c>
      <c r="L3470" s="12" t="inlineStr"/>
      <c r="M3470" s="8">
        <f>IF(OR(L3470="",K3470="",L3470=0),"",
  (L3470-K3470)/L3470*100)</f>
        <v/>
      </c>
      <c r="N3470" s="9" t="inlineStr"/>
      <c r="O3470" s="10" t="inlineStr"/>
      <c r="P3470" s="10" t="inlineStr"/>
      <c r="Q3470" s="10" t="inlineStr"/>
      <c r="R3470" s="10" t="inlineStr">
        <is>
          <t>2026-03-12</t>
        </is>
      </c>
      <c r="S3470" s="10" t="inlineStr"/>
    </row>
    <row r="3471">
      <c r="A3471" s="3" t="inlineStr">
        <is>
          <t>H0064</t>
        </is>
      </c>
      <c r="B3471" s="4" t="inlineStr">
        <is>
          <t>H0064</t>
        </is>
      </c>
      <c r="C3471" s="4" t="inlineStr"/>
      <c r="D3471" s="4" t="inlineStr"/>
      <c r="E3471" s="3" t="inlineStr">
        <is>
          <t>HU02-6 WALL FRAME</t>
        </is>
      </c>
      <c r="F3471" s="4" t="inlineStr"/>
      <c r="G3471" s="4" t="inlineStr"/>
      <c r="H3471" s="4" t="inlineStr"/>
      <c r="I3471" s="5" t="n">
        <v>200</v>
      </c>
      <c r="J3471" s="6" t="n">
        <v>15</v>
      </c>
      <c r="K3471" s="7">
        <f>IF(I3471="","",I3471*(1+J3471/100))</f>
        <v/>
      </c>
      <c r="L3471" s="12" t="inlineStr"/>
      <c r="M3471" s="8">
        <f>IF(OR(L3471="",K3471="",L3471=0),"",
  (L3471-K3471)/L3471*100)</f>
        <v/>
      </c>
      <c r="N3471" s="9" t="inlineStr"/>
      <c r="O3471" s="4" t="inlineStr"/>
      <c r="P3471" s="4" t="inlineStr"/>
      <c r="Q3471" s="4" t="inlineStr"/>
      <c r="R3471" s="4" t="inlineStr">
        <is>
          <t>2026-03-12</t>
        </is>
      </c>
      <c r="S3471" s="4" t="inlineStr"/>
    </row>
    <row r="3472">
      <c r="A3472" s="10" t="inlineStr">
        <is>
          <t>H0065</t>
        </is>
      </c>
      <c r="B3472" s="10" t="inlineStr">
        <is>
          <t>H0065</t>
        </is>
      </c>
      <c r="C3472" s="10" t="inlineStr"/>
      <c r="D3472" s="10" t="inlineStr"/>
      <c r="E3472" s="10" t="inlineStr">
        <is>
          <t>HU02-7 WALL FRAME</t>
        </is>
      </c>
      <c r="F3472" s="10" t="inlineStr"/>
      <c r="G3472" s="10" t="inlineStr"/>
      <c r="H3472" s="10" t="inlineStr"/>
      <c r="I3472" s="11" t="n">
        <v>200</v>
      </c>
      <c r="J3472" s="6" t="n">
        <v>15</v>
      </c>
      <c r="K3472" s="7">
        <f>IF(I3472="","",I3472*(1+J3472/100))</f>
        <v/>
      </c>
      <c r="L3472" s="12" t="inlineStr"/>
      <c r="M3472" s="8">
        <f>IF(OR(L3472="",K3472="",L3472=0),"",
  (L3472-K3472)/L3472*100)</f>
        <v/>
      </c>
      <c r="N3472" s="9" t="inlineStr"/>
      <c r="O3472" s="10" t="inlineStr"/>
      <c r="P3472" s="10" t="inlineStr"/>
      <c r="Q3472" s="10" t="inlineStr"/>
      <c r="R3472" s="10" t="inlineStr">
        <is>
          <t>2026-03-12</t>
        </is>
      </c>
      <c r="S3472" s="10" t="inlineStr"/>
    </row>
    <row r="3473">
      <c r="A3473" s="3" t="inlineStr">
        <is>
          <t>H0066</t>
        </is>
      </c>
      <c r="B3473" s="4" t="inlineStr">
        <is>
          <t>H0066</t>
        </is>
      </c>
      <c r="C3473" s="4" t="inlineStr"/>
      <c r="D3473" s="4" t="inlineStr"/>
      <c r="E3473" s="3" t="inlineStr">
        <is>
          <t>HU02-8 WALL FRAME</t>
        </is>
      </c>
      <c r="F3473" s="4" t="inlineStr"/>
      <c r="G3473" s="4" t="inlineStr"/>
      <c r="H3473" s="4" t="inlineStr"/>
      <c r="I3473" s="5" t="n">
        <v>200</v>
      </c>
      <c r="J3473" s="6" t="n">
        <v>15</v>
      </c>
      <c r="K3473" s="7">
        <f>IF(I3473="","",I3473*(1+J3473/100))</f>
        <v/>
      </c>
      <c r="L3473" s="12" t="inlineStr"/>
      <c r="M3473" s="8">
        <f>IF(OR(L3473="",K3473="",L3473=0),"",
  (L3473-K3473)/L3473*100)</f>
        <v/>
      </c>
      <c r="N3473" s="9" t="inlineStr"/>
      <c r="O3473" s="4" t="inlineStr"/>
      <c r="P3473" s="4" t="inlineStr"/>
      <c r="Q3473" s="4" t="inlineStr"/>
      <c r="R3473" s="4" t="inlineStr">
        <is>
          <t>2026-03-12</t>
        </is>
      </c>
      <c r="S3473" s="4" t="inlineStr"/>
    </row>
    <row r="3474">
      <c r="A3474" s="10" t="inlineStr">
        <is>
          <t>H0067</t>
        </is>
      </c>
      <c r="B3474" s="10" t="inlineStr">
        <is>
          <t>H0067</t>
        </is>
      </c>
      <c r="C3474" s="10" t="inlineStr"/>
      <c r="D3474" s="10" t="inlineStr"/>
      <c r="E3474" s="10" t="inlineStr">
        <is>
          <t>HU02-9 WALL FRAME</t>
        </is>
      </c>
      <c r="F3474" s="10" t="inlineStr"/>
      <c r="G3474" s="10" t="inlineStr"/>
      <c r="H3474" s="10" t="inlineStr"/>
      <c r="I3474" s="11" t="n">
        <v>200</v>
      </c>
      <c r="J3474" s="6" t="n">
        <v>15</v>
      </c>
      <c r="K3474" s="7">
        <f>IF(I3474="","",I3474*(1+J3474/100))</f>
        <v/>
      </c>
      <c r="L3474" s="12" t="inlineStr"/>
      <c r="M3474" s="8">
        <f>IF(OR(L3474="",K3474="",L3474=0),"",
  (L3474-K3474)/L3474*100)</f>
        <v/>
      </c>
      <c r="N3474" s="9" t="inlineStr"/>
      <c r="O3474" s="10" t="inlineStr"/>
      <c r="P3474" s="10" t="inlineStr"/>
      <c r="Q3474" s="10" t="inlineStr"/>
      <c r="R3474" s="10" t="inlineStr">
        <is>
          <t>2026-03-12</t>
        </is>
      </c>
      <c r="S3474" s="10" t="inlineStr"/>
    </row>
    <row r="3475">
      <c r="A3475" s="3" t="inlineStr">
        <is>
          <t>H0068</t>
        </is>
      </c>
      <c r="B3475" s="4" t="inlineStr">
        <is>
          <t>H0068</t>
        </is>
      </c>
      <c r="C3475" s="4" t="inlineStr"/>
      <c r="D3475" s="4" t="inlineStr"/>
      <c r="E3475" s="3" t="inlineStr">
        <is>
          <t>HU02-10 WALL FRAME</t>
        </is>
      </c>
      <c r="F3475" s="4" t="inlineStr"/>
      <c r="G3475" s="4" t="inlineStr"/>
      <c r="H3475" s="4" t="inlineStr"/>
      <c r="I3475" s="5" t="n">
        <v>200</v>
      </c>
      <c r="J3475" s="6" t="n">
        <v>15</v>
      </c>
      <c r="K3475" s="7">
        <f>IF(I3475="","",I3475*(1+J3475/100))</f>
        <v/>
      </c>
      <c r="L3475" s="12" t="inlineStr"/>
      <c r="M3475" s="8">
        <f>IF(OR(L3475="",K3475="",L3475=0),"",
  (L3475-K3475)/L3475*100)</f>
        <v/>
      </c>
      <c r="N3475" s="9" t="inlineStr"/>
      <c r="O3475" s="4" t="inlineStr"/>
      <c r="P3475" s="4" t="inlineStr"/>
      <c r="Q3475" s="4" t="inlineStr"/>
      <c r="R3475" s="4" t="inlineStr">
        <is>
          <t>2026-03-12</t>
        </is>
      </c>
      <c r="S3475" s="4" t="inlineStr"/>
    </row>
    <row r="3476">
      <c r="A3476" s="10" t="inlineStr">
        <is>
          <t>H0069</t>
        </is>
      </c>
      <c r="B3476" s="10" t="inlineStr">
        <is>
          <t>H0069</t>
        </is>
      </c>
      <c r="C3476" s="10" t="inlineStr"/>
      <c r="D3476" s="10" t="inlineStr"/>
      <c r="E3476" s="10" t="inlineStr">
        <is>
          <t>HU02-11 WALL FRAME</t>
        </is>
      </c>
      <c r="F3476" s="10" t="inlineStr"/>
      <c r="G3476" s="10" t="inlineStr"/>
      <c r="H3476" s="10" t="inlineStr"/>
      <c r="I3476" s="11" t="n">
        <v>200</v>
      </c>
      <c r="J3476" s="6" t="n">
        <v>15</v>
      </c>
      <c r="K3476" s="7">
        <f>IF(I3476="","",I3476*(1+J3476/100))</f>
        <v/>
      </c>
      <c r="L3476" s="12" t="inlineStr"/>
      <c r="M3476" s="8">
        <f>IF(OR(L3476="",K3476="",L3476=0),"",
  (L3476-K3476)/L3476*100)</f>
        <v/>
      </c>
      <c r="N3476" s="9" t="inlineStr"/>
      <c r="O3476" s="10" t="inlineStr"/>
      <c r="P3476" s="10" t="inlineStr"/>
      <c r="Q3476" s="10" t="inlineStr"/>
      <c r="R3476" s="10" t="inlineStr">
        <is>
          <t>2026-03-12</t>
        </is>
      </c>
      <c r="S3476" s="10" t="inlineStr"/>
    </row>
    <row r="3477">
      <c r="A3477" s="3" t="inlineStr">
        <is>
          <t>H0070</t>
        </is>
      </c>
      <c r="B3477" s="4" t="inlineStr">
        <is>
          <t>H0070</t>
        </is>
      </c>
      <c r="C3477" s="4" t="inlineStr"/>
      <c r="D3477" s="4" t="inlineStr"/>
      <c r="E3477" s="3" t="inlineStr">
        <is>
          <t>HU02-12 WALL FRAME</t>
        </is>
      </c>
      <c r="F3477" s="4" t="inlineStr"/>
      <c r="G3477" s="4" t="inlineStr"/>
      <c r="H3477" s="4" t="inlineStr"/>
      <c r="I3477" s="5" t="n">
        <v>200</v>
      </c>
      <c r="J3477" s="6" t="n">
        <v>15</v>
      </c>
      <c r="K3477" s="7">
        <f>IF(I3477="","",I3477*(1+J3477/100))</f>
        <v/>
      </c>
      <c r="L3477" s="12" t="inlineStr"/>
      <c r="M3477" s="8">
        <f>IF(OR(L3477="",K3477="",L3477=0),"",
  (L3477-K3477)/L3477*100)</f>
        <v/>
      </c>
      <c r="N3477" s="9" t="inlineStr"/>
      <c r="O3477" s="4" t="inlineStr"/>
      <c r="P3477" s="4" t="inlineStr"/>
      <c r="Q3477" s="4" t="inlineStr"/>
      <c r="R3477" s="4" t="inlineStr">
        <is>
          <t>2026-03-12</t>
        </is>
      </c>
      <c r="S3477" s="4" t="inlineStr"/>
    </row>
    <row r="3478">
      <c r="A3478" s="10" t="inlineStr">
        <is>
          <t>H0071</t>
        </is>
      </c>
      <c r="B3478" s="10" t="inlineStr">
        <is>
          <t>H0071</t>
        </is>
      </c>
      <c r="C3478" s="10" t="inlineStr"/>
      <c r="D3478" s="10" t="inlineStr"/>
      <c r="E3478" s="10" t="inlineStr">
        <is>
          <t>HU02-13 WALL FRAME</t>
        </is>
      </c>
      <c r="F3478" s="10" t="inlineStr"/>
      <c r="G3478" s="10" t="inlineStr"/>
      <c r="H3478" s="10" t="inlineStr"/>
      <c r="I3478" s="11" t="n">
        <v>200</v>
      </c>
      <c r="J3478" s="6" t="n">
        <v>15</v>
      </c>
      <c r="K3478" s="7">
        <f>IF(I3478="","",I3478*(1+J3478/100))</f>
        <v/>
      </c>
      <c r="L3478" s="12" t="inlineStr"/>
      <c r="M3478" s="8">
        <f>IF(OR(L3478="",K3478="",L3478=0),"",
  (L3478-K3478)/L3478*100)</f>
        <v/>
      </c>
      <c r="N3478" s="9" t="inlineStr"/>
      <c r="O3478" s="10" t="inlineStr"/>
      <c r="P3478" s="10" t="inlineStr"/>
      <c r="Q3478" s="10" t="inlineStr"/>
      <c r="R3478" s="10" t="inlineStr">
        <is>
          <t>2026-03-12</t>
        </is>
      </c>
      <c r="S3478" s="10" t="inlineStr"/>
    </row>
    <row r="3479">
      <c r="A3479" s="3" t="inlineStr">
        <is>
          <t>H0072</t>
        </is>
      </c>
      <c r="B3479" s="4" t="inlineStr">
        <is>
          <t>H0072</t>
        </is>
      </c>
      <c r="C3479" s="4" t="inlineStr"/>
      <c r="D3479" s="4" t="inlineStr"/>
      <c r="E3479" s="3" t="inlineStr">
        <is>
          <t>HU02-14 WALL FRAME</t>
        </is>
      </c>
      <c r="F3479" s="4" t="inlineStr"/>
      <c r="G3479" s="4" t="inlineStr"/>
      <c r="H3479" s="4" t="inlineStr"/>
      <c r="I3479" s="5" t="n">
        <v>200</v>
      </c>
      <c r="J3479" s="6" t="n">
        <v>15</v>
      </c>
      <c r="K3479" s="7">
        <f>IF(I3479="","",I3479*(1+J3479/100))</f>
        <v/>
      </c>
      <c r="L3479" s="12" t="inlineStr"/>
      <c r="M3479" s="8">
        <f>IF(OR(L3479="",K3479="",L3479=0),"",
  (L3479-K3479)/L3479*100)</f>
        <v/>
      </c>
      <c r="N3479" s="9" t="inlineStr"/>
      <c r="O3479" s="4" t="inlineStr"/>
      <c r="P3479" s="4" t="inlineStr"/>
      <c r="Q3479" s="4" t="inlineStr"/>
      <c r="R3479" s="4" t="inlineStr">
        <is>
          <t>2026-03-12</t>
        </is>
      </c>
      <c r="S3479" s="4" t="inlineStr"/>
    </row>
    <row r="3480">
      <c r="A3480" s="10" t="inlineStr">
        <is>
          <t>H0073</t>
        </is>
      </c>
      <c r="B3480" s="10" t="inlineStr">
        <is>
          <t>H0073</t>
        </is>
      </c>
      <c r="C3480" s="10" t="inlineStr"/>
      <c r="D3480" s="10" t="inlineStr"/>
      <c r="E3480" s="10" t="inlineStr">
        <is>
          <t>HU02-15 WALL FRAME</t>
        </is>
      </c>
      <c r="F3480" s="10" t="inlineStr"/>
      <c r="G3480" s="10" t="inlineStr"/>
      <c r="H3480" s="10" t="inlineStr"/>
      <c r="I3480" s="11" t="n">
        <v>200</v>
      </c>
      <c r="J3480" s="6" t="n">
        <v>15</v>
      </c>
      <c r="K3480" s="7">
        <f>IF(I3480="","",I3480*(1+J3480/100))</f>
        <v/>
      </c>
      <c r="L3480" s="12" t="inlineStr"/>
      <c r="M3480" s="8">
        <f>IF(OR(L3480="",K3480="",L3480=0),"",
  (L3480-K3480)/L3480*100)</f>
        <v/>
      </c>
      <c r="N3480" s="9" t="inlineStr"/>
      <c r="O3480" s="10" t="inlineStr"/>
      <c r="P3480" s="10" t="inlineStr"/>
      <c r="Q3480" s="10" t="inlineStr"/>
      <c r="R3480" s="10" t="inlineStr">
        <is>
          <t>2026-03-12</t>
        </is>
      </c>
      <c r="S3480" s="10" t="inlineStr"/>
    </row>
    <row r="3481">
      <c r="A3481" s="3" t="inlineStr">
        <is>
          <t>H0074</t>
        </is>
      </c>
      <c r="B3481" s="4" t="inlineStr">
        <is>
          <t>H0074</t>
        </is>
      </c>
      <c r="C3481" s="4" t="inlineStr"/>
      <c r="D3481" s="4" t="inlineStr"/>
      <c r="E3481" s="3" t="inlineStr">
        <is>
          <t>HU02-16 WALL FRAME</t>
        </is>
      </c>
      <c r="F3481" s="4" t="inlineStr"/>
      <c r="G3481" s="4" t="inlineStr"/>
      <c r="H3481" s="4" t="inlineStr"/>
      <c r="I3481" s="5" t="n">
        <v>200</v>
      </c>
      <c r="J3481" s="6" t="n">
        <v>15</v>
      </c>
      <c r="K3481" s="7">
        <f>IF(I3481="","",I3481*(1+J3481/100))</f>
        <v/>
      </c>
      <c r="L3481" s="12" t="inlineStr"/>
      <c r="M3481" s="8">
        <f>IF(OR(L3481="",K3481="",L3481=0),"",
  (L3481-K3481)/L3481*100)</f>
        <v/>
      </c>
      <c r="N3481" s="9" t="inlineStr"/>
      <c r="O3481" s="4" t="inlineStr"/>
      <c r="P3481" s="4" t="inlineStr"/>
      <c r="Q3481" s="4" t="inlineStr"/>
      <c r="R3481" s="4" t="inlineStr">
        <is>
          <t>2026-03-12</t>
        </is>
      </c>
      <c r="S3481" s="4" t="inlineStr"/>
    </row>
    <row r="3482">
      <c r="A3482" s="10" t="inlineStr">
        <is>
          <t>H0075</t>
        </is>
      </c>
      <c r="B3482" s="10" t="inlineStr">
        <is>
          <t>H0075</t>
        </is>
      </c>
      <c r="C3482" s="10" t="inlineStr"/>
      <c r="D3482" s="10" t="inlineStr"/>
      <c r="E3482" s="10" t="inlineStr">
        <is>
          <t>HU02-17 WALL FRAME</t>
        </is>
      </c>
      <c r="F3482" s="10" t="inlineStr"/>
      <c r="G3482" s="10" t="inlineStr"/>
      <c r="H3482" s="10" t="inlineStr"/>
      <c r="I3482" s="11" t="n">
        <v>200</v>
      </c>
      <c r="J3482" s="6" t="n">
        <v>15</v>
      </c>
      <c r="K3482" s="7">
        <f>IF(I3482="","",I3482*(1+J3482/100))</f>
        <v/>
      </c>
      <c r="L3482" s="12" t="inlineStr"/>
      <c r="M3482" s="8">
        <f>IF(OR(L3482="",K3482="",L3482=0),"",
  (L3482-K3482)/L3482*100)</f>
        <v/>
      </c>
      <c r="N3482" s="9" t="inlineStr"/>
      <c r="O3482" s="10" t="inlineStr"/>
      <c r="P3482" s="10" t="inlineStr"/>
      <c r="Q3482" s="10" t="inlineStr"/>
      <c r="R3482" s="10" t="inlineStr">
        <is>
          <t>2026-03-12</t>
        </is>
      </c>
      <c r="S3482" s="10" t="inlineStr"/>
    </row>
    <row r="3483">
      <c r="A3483" s="3" t="inlineStr">
        <is>
          <t>H0076</t>
        </is>
      </c>
      <c r="B3483" s="4" t="inlineStr">
        <is>
          <t>H0076</t>
        </is>
      </c>
      <c r="C3483" s="4" t="inlineStr"/>
      <c r="D3483" s="4" t="inlineStr"/>
      <c r="E3483" s="3" t="inlineStr">
        <is>
          <t>HU02-18 WALL FRAME</t>
        </is>
      </c>
      <c r="F3483" s="4" t="inlineStr"/>
      <c r="G3483" s="4" t="inlineStr"/>
      <c r="H3483" s="4" t="inlineStr"/>
      <c r="I3483" s="5" t="n">
        <v>200</v>
      </c>
      <c r="J3483" s="6" t="n">
        <v>15</v>
      </c>
      <c r="K3483" s="7">
        <f>IF(I3483="","",I3483*(1+J3483/100))</f>
        <v/>
      </c>
      <c r="L3483" s="12" t="inlineStr"/>
      <c r="M3483" s="8">
        <f>IF(OR(L3483="",K3483="",L3483=0),"",
  (L3483-K3483)/L3483*100)</f>
        <v/>
      </c>
      <c r="N3483" s="9" t="inlineStr"/>
      <c r="O3483" s="4" t="inlineStr"/>
      <c r="P3483" s="4" t="inlineStr"/>
      <c r="Q3483" s="4" t="inlineStr"/>
      <c r="R3483" s="4" t="inlineStr">
        <is>
          <t>2026-03-12</t>
        </is>
      </c>
      <c r="S3483" s="4" t="inlineStr"/>
    </row>
    <row r="3484">
      <c r="A3484" s="10" t="inlineStr">
        <is>
          <t>H0077</t>
        </is>
      </c>
      <c r="B3484" s="10" t="inlineStr">
        <is>
          <t>H0077</t>
        </is>
      </c>
      <c r="C3484" s="10" t="inlineStr"/>
      <c r="D3484" s="10" t="inlineStr"/>
      <c r="E3484" s="10" t="inlineStr">
        <is>
          <t>HU02-19 WALL FRAME</t>
        </is>
      </c>
      <c r="F3484" s="10" t="inlineStr"/>
      <c r="G3484" s="10" t="inlineStr"/>
      <c r="H3484" s="10" t="inlineStr"/>
      <c r="I3484" s="11" t="n">
        <v>200</v>
      </c>
      <c r="J3484" s="6" t="n">
        <v>15</v>
      </c>
      <c r="K3484" s="7">
        <f>IF(I3484="","",I3484*(1+J3484/100))</f>
        <v/>
      </c>
      <c r="L3484" s="12" t="inlineStr"/>
      <c r="M3484" s="8">
        <f>IF(OR(L3484="",K3484="",L3484=0),"",
  (L3484-K3484)/L3484*100)</f>
        <v/>
      </c>
      <c r="N3484" s="9" t="inlineStr"/>
      <c r="O3484" s="10" t="inlineStr"/>
      <c r="P3484" s="10" t="inlineStr"/>
      <c r="Q3484" s="10" t="inlineStr"/>
      <c r="R3484" s="10" t="inlineStr">
        <is>
          <t>2026-03-12</t>
        </is>
      </c>
      <c r="S3484" s="10" t="inlineStr"/>
    </row>
    <row r="3485">
      <c r="A3485" s="3" t="inlineStr">
        <is>
          <t>H0078</t>
        </is>
      </c>
      <c r="B3485" s="4" t="inlineStr">
        <is>
          <t>H0078</t>
        </is>
      </c>
      <c r="C3485" s="4" t="inlineStr"/>
      <c r="D3485" s="4" t="inlineStr"/>
      <c r="E3485" s="3" t="inlineStr">
        <is>
          <t>METAL HANGER</t>
        </is>
      </c>
      <c r="F3485" s="4" t="inlineStr"/>
      <c r="G3485" s="4" t="inlineStr"/>
      <c r="H3485" s="4" t="inlineStr"/>
      <c r="I3485" s="5" t="n">
        <v>2</v>
      </c>
      <c r="J3485" s="6" t="n">
        <v>15</v>
      </c>
      <c r="K3485" s="7">
        <f>IF(I3485="","",I3485*(1+J3485/100))</f>
        <v/>
      </c>
      <c r="L3485" s="12" t="inlineStr"/>
      <c r="M3485" s="8">
        <f>IF(OR(L3485="",K3485="",L3485=0),"",
  (L3485-K3485)/L3485*100)</f>
        <v/>
      </c>
      <c r="N3485" s="9" t="inlineStr"/>
      <c r="O3485" s="4" t="inlineStr"/>
      <c r="P3485" s="4" t="inlineStr"/>
      <c r="Q3485" s="4" t="inlineStr"/>
      <c r="R3485" s="4" t="inlineStr">
        <is>
          <t>2026-03-12</t>
        </is>
      </c>
      <c r="S3485" s="4" t="inlineStr"/>
    </row>
    <row r="3486">
      <c r="A3486" s="10" t="inlineStr">
        <is>
          <t>H0079</t>
        </is>
      </c>
      <c r="B3486" s="10" t="inlineStr">
        <is>
          <t>H0079</t>
        </is>
      </c>
      <c r="C3486" s="10" t="inlineStr"/>
      <c r="D3486" s="10" t="inlineStr"/>
      <c r="E3486" s="10" t="inlineStr">
        <is>
          <t>METAL HANGER</t>
        </is>
      </c>
      <c r="F3486" s="10" t="inlineStr"/>
      <c r="G3486" s="10" t="inlineStr"/>
      <c r="H3486" s="10" t="inlineStr"/>
      <c r="I3486" s="11" t="n">
        <v>2</v>
      </c>
      <c r="J3486" s="6" t="n">
        <v>15</v>
      </c>
      <c r="K3486" s="7">
        <f>IF(I3486="","",I3486*(1+J3486/100))</f>
        <v/>
      </c>
      <c r="L3486" s="12" t="inlineStr"/>
      <c r="M3486" s="8">
        <f>IF(OR(L3486="",K3486="",L3486=0),"",
  (L3486-K3486)/L3486*100)</f>
        <v/>
      </c>
      <c r="N3486" s="9" t="inlineStr"/>
      <c r="O3486" s="10" t="inlineStr"/>
      <c r="P3486" s="10" t="inlineStr"/>
      <c r="Q3486" s="10" t="inlineStr"/>
      <c r="R3486" s="10" t="inlineStr">
        <is>
          <t>2026-03-12</t>
        </is>
      </c>
      <c r="S3486" s="10" t="inlineStr"/>
    </row>
    <row r="3487">
      <c r="A3487" s="3" t="inlineStr">
        <is>
          <t>H0080</t>
        </is>
      </c>
      <c r="B3487" s="4" t="inlineStr">
        <is>
          <t>H0080</t>
        </is>
      </c>
      <c r="C3487" s="4" t="inlineStr"/>
      <c r="D3487" s="4" t="inlineStr"/>
      <c r="E3487" s="3" t="inlineStr">
        <is>
          <t>METAL HANGER</t>
        </is>
      </c>
      <c r="F3487" s="4" t="inlineStr"/>
      <c r="G3487" s="4" t="inlineStr"/>
      <c r="H3487" s="4" t="inlineStr"/>
      <c r="I3487" s="5" t="n">
        <v>2</v>
      </c>
      <c r="J3487" s="6" t="n">
        <v>15</v>
      </c>
      <c r="K3487" s="7">
        <f>IF(I3487="","",I3487*(1+J3487/100))</f>
        <v/>
      </c>
      <c r="L3487" s="12" t="inlineStr"/>
      <c r="M3487" s="8">
        <f>IF(OR(L3487="",K3487="",L3487=0),"",
  (L3487-K3487)/L3487*100)</f>
        <v/>
      </c>
      <c r="N3487" s="9" t="inlineStr"/>
      <c r="O3487" s="4" t="inlineStr"/>
      <c r="P3487" s="4" t="inlineStr"/>
      <c r="Q3487" s="4" t="inlineStr"/>
      <c r="R3487" s="4" t="inlineStr">
        <is>
          <t>2026-03-12</t>
        </is>
      </c>
      <c r="S3487" s="4" t="inlineStr"/>
    </row>
    <row r="3488">
      <c r="A3488" s="10" t="inlineStr">
        <is>
          <t>H0081</t>
        </is>
      </c>
      <c r="B3488" s="10" t="inlineStr">
        <is>
          <t>H0081</t>
        </is>
      </c>
      <c r="C3488" s="10" t="inlineStr"/>
      <c r="D3488" s="10" t="inlineStr"/>
      <c r="E3488" s="10" t="inlineStr">
        <is>
          <t>METAL HANGER</t>
        </is>
      </c>
      <c r="F3488" s="10" t="inlineStr"/>
      <c r="G3488" s="10" t="inlineStr"/>
      <c r="H3488" s="10" t="inlineStr"/>
      <c r="I3488" s="11" t="n">
        <v>2</v>
      </c>
      <c r="J3488" s="6" t="n">
        <v>15</v>
      </c>
      <c r="K3488" s="7">
        <f>IF(I3488="","",I3488*(1+J3488/100))</f>
        <v/>
      </c>
      <c r="L3488" s="12" t="inlineStr"/>
      <c r="M3488" s="8">
        <f>IF(OR(L3488="",K3488="",L3488=0),"",
  (L3488-K3488)/L3488*100)</f>
        <v/>
      </c>
      <c r="N3488" s="9" t="inlineStr"/>
      <c r="O3488" s="10" t="inlineStr"/>
      <c r="P3488" s="10" t="inlineStr"/>
      <c r="Q3488" s="10" t="inlineStr"/>
      <c r="R3488" s="10" t="inlineStr">
        <is>
          <t>2026-03-12</t>
        </is>
      </c>
      <c r="S3488" s="10" t="inlineStr"/>
    </row>
    <row r="3489">
      <c r="A3489" s="3" t="inlineStr">
        <is>
          <t>H0082</t>
        </is>
      </c>
      <c r="B3489" s="4" t="inlineStr">
        <is>
          <t>H0082</t>
        </is>
      </c>
      <c r="C3489" s="4" t="inlineStr"/>
      <c r="D3489" s="4" t="inlineStr"/>
      <c r="E3489" s="3" t="inlineStr">
        <is>
          <t>METAL HANGER</t>
        </is>
      </c>
      <c r="F3489" s="4" t="inlineStr"/>
      <c r="G3489" s="4" t="inlineStr"/>
      <c r="H3489" s="4" t="inlineStr"/>
      <c r="I3489" s="5" t="n">
        <v>2</v>
      </c>
      <c r="J3489" s="6" t="n">
        <v>15</v>
      </c>
      <c r="K3489" s="7">
        <f>IF(I3489="","",I3489*(1+J3489/100))</f>
        <v/>
      </c>
      <c r="L3489" s="12" t="inlineStr"/>
      <c r="M3489" s="8">
        <f>IF(OR(L3489="",K3489="",L3489=0),"",
  (L3489-K3489)/L3489*100)</f>
        <v/>
      </c>
      <c r="N3489" s="9" t="inlineStr"/>
      <c r="O3489" s="4" t="inlineStr"/>
      <c r="P3489" s="4" t="inlineStr"/>
      <c r="Q3489" s="4" t="inlineStr"/>
      <c r="R3489" s="4" t="inlineStr">
        <is>
          <t>2026-03-12</t>
        </is>
      </c>
      <c r="S3489" s="4" t="inlineStr"/>
    </row>
    <row r="3490">
      <c r="A3490" s="10" t="inlineStr">
        <is>
          <t>H0083</t>
        </is>
      </c>
      <c r="B3490" s="10" t="inlineStr">
        <is>
          <t>H0083</t>
        </is>
      </c>
      <c r="C3490" s="10" t="inlineStr"/>
      <c r="D3490" s="10" t="inlineStr"/>
      <c r="E3490" s="10" t="inlineStr">
        <is>
          <t>METAL HANGER</t>
        </is>
      </c>
      <c r="F3490" s="10" t="inlineStr"/>
      <c r="G3490" s="10" t="inlineStr"/>
      <c r="H3490" s="10" t="inlineStr"/>
      <c r="I3490" s="11" t="n">
        <v>2</v>
      </c>
      <c r="J3490" s="6" t="n">
        <v>15</v>
      </c>
      <c r="K3490" s="7">
        <f>IF(I3490="","",I3490*(1+J3490/100))</f>
        <v/>
      </c>
      <c r="L3490" s="12" t="inlineStr"/>
      <c r="M3490" s="8">
        <f>IF(OR(L3490="",K3490="",L3490=0),"",
  (L3490-K3490)/L3490*100)</f>
        <v/>
      </c>
      <c r="N3490" s="9" t="inlineStr"/>
      <c r="O3490" s="10" t="inlineStr"/>
      <c r="P3490" s="10" t="inlineStr"/>
      <c r="Q3490" s="10" t="inlineStr"/>
      <c r="R3490" s="10" t="inlineStr">
        <is>
          <t>2026-03-12</t>
        </is>
      </c>
      <c r="S3490" s="10" t="inlineStr"/>
    </row>
    <row r="3491">
      <c r="A3491" s="3" t="inlineStr">
        <is>
          <t>H0084</t>
        </is>
      </c>
      <c r="B3491" s="4" t="inlineStr">
        <is>
          <t>H0084</t>
        </is>
      </c>
      <c r="C3491" s="4" t="inlineStr"/>
      <c r="D3491" s="4" t="inlineStr"/>
      <c r="E3491" s="3" t="inlineStr">
        <is>
          <t>METAL HANGER</t>
        </is>
      </c>
      <c r="F3491" s="4" t="inlineStr"/>
      <c r="G3491" s="4" t="inlineStr"/>
      <c r="H3491" s="4" t="inlineStr"/>
      <c r="I3491" s="5" t="n">
        <v>2</v>
      </c>
      <c r="J3491" s="6" t="n">
        <v>15</v>
      </c>
      <c r="K3491" s="7">
        <f>IF(I3491="","",I3491*(1+J3491/100))</f>
        <v/>
      </c>
      <c r="L3491" s="12" t="inlineStr"/>
      <c r="M3491" s="8">
        <f>IF(OR(L3491="",K3491="",L3491=0),"",
  (L3491-K3491)/L3491*100)</f>
        <v/>
      </c>
      <c r="N3491" s="9" t="inlineStr"/>
      <c r="O3491" s="4" t="inlineStr"/>
      <c r="P3491" s="4" t="inlineStr"/>
      <c r="Q3491" s="4" t="inlineStr"/>
      <c r="R3491" s="4" t="inlineStr">
        <is>
          <t>2026-03-12</t>
        </is>
      </c>
      <c r="S3491" s="4" t="inlineStr"/>
    </row>
    <row r="3492">
      <c r="A3492" s="10" t="inlineStr">
        <is>
          <t>H0085</t>
        </is>
      </c>
      <c r="B3492" s="10" t="inlineStr">
        <is>
          <t>H0085</t>
        </is>
      </c>
      <c r="C3492" s="10" t="inlineStr"/>
      <c r="D3492" s="10" t="inlineStr"/>
      <c r="E3492" s="10" t="inlineStr">
        <is>
          <t>METAL HANGER</t>
        </is>
      </c>
      <c r="F3492" s="10" t="inlineStr"/>
      <c r="G3492" s="10" t="inlineStr"/>
      <c r="H3492" s="10" t="inlineStr"/>
      <c r="I3492" s="11" t="n">
        <v>2</v>
      </c>
      <c r="J3492" s="6" t="n">
        <v>15</v>
      </c>
      <c r="K3492" s="7">
        <f>IF(I3492="","",I3492*(1+J3492/100))</f>
        <v/>
      </c>
      <c r="L3492" s="12" t="inlineStr"/>
      <c r="M3492" s="8">
        <f>IF(OR(L3492="",K3492="",L3492=0),"",
  (L3492-K3492)/L3492*100)</f>
        <v/>
      </c>
      <c r="N3492" s="9" t="inlineStr"/>
      <c r="O3492" s="10" t="inlineStr"/>
      <c r="P3492" s="10" t="inlineStr"/>
      <c r="Q3492" s="10" t="inlineStr"/>
      <c r="R3492" s="10" t="inlineStr">
        <is>
          <t>2026-03-12</t>
        </is>
      </c>
      <c r="S3492" s="10" t="inlineStr"/>
    </row>
    <row r="3493">
      <c r="A3493" s="3" t="inlineStr">
        <is>
          <t>H0086</t>
        </is>
      </c>
      <c r="B3493" s="4" t="inlineStr">
        <is>
          <t>H0086</t>
        </is>
      </c>
      <c r="C3493" s="4" t="inlineStr"/>
      <c r="D3493" s="4" t="inlineStr"/>
      <c r="E3493" s="3" t="inlineStr">
        <is>
          <t>METAL HANGER</t>
        </is>
      </c>
      <c r="F3493" s="4" t="inlineStr"/>
      <c r="G3493" s="4" t="inlineStr"/>
      <c r="H3493" s="4" t="inlineStr"/>
      <c r="I3493" s="5" t="n">
        <v>2</v>
      </c>
      <c r="J3493" s="6" t="n">
        <v>15</v>
      </c>
      <c r="K3493" s="7">
        <f>IF(I3493="","",I3493*(1+J3493/100))</f>
        <v/>
      </c>
      <c r="L3493" s="12" t="inlineStr"/>
      <c r="M3493" s="8">
        <f>IF(OR(L3493="",K3493="",L3493=0),"",
  (L3493-K3493)/L3493*100)</f>
        <v/>
      </c>
      <c r="N3493" s="9" t="inlineStr"/>
      <c r="O3493" s="4" t="inlineStr"/>
      <c r="P3493" s="4" t="inlineStr"/>
      <c r="Q3493" s="4" t="inlineStr"/>
      <c r="R3493" s="4" t="inlineStr">
        <is>
          <t>2026-03-12</t>
        </is>
      </c>
      <c r="S3493" s="4" t="inlineStr"/>
    </row>
    <row r="3494">
      <c r="A3494" s="10" t="inlineStr">
        <is>
          <t>H0087</t>
        </is>
      </c>
      <c r="B3494" s="10" t="inlineStr">
        <is>
          <t>H0087</t>
        </is>
      </c>
      <c r="C3494" s="10" t="inlineStr"/>
      <c r="D3494" s="10" t="inlineStr"/>
      <c r="E3494" s="10" t="inlineStr">
        <is>
          <t>METAL HANGER</t>
        </is>
      </c>
      <c r="F3494" s="10" t="inlineStr"/>
      <c r="G3494" s="10" t="inlineStr"/>
      <c r="H3494" s="10" t="inlineStr"/>
      <c r="I3494" s="11" t="n">
        <v>2</v>
      </c>
      <c r="J3494" s="6" t="n">
        <v>15</v>
      </c>
      <c r="K3494" s="7">
        <f>IF(I3494="","",I3494*(1+J3494/100))</f>
        <v/>
      </c>
      <c r="L3494" s="12" t="inlineStr"/>
      <c r="M3494" s="8">
        <f>IF(OR(L3494="",K3494="",L3494=0),"",
  (L3494-K3494)/L3494*100)</f>
        <v/>
      </c>
      <c r="N3494" s="9" t="inlineStr"/>
      <c r="O3494" s="10" t="inlineStr"/>
      <c r="P3494" s="10" t="inlineStr"/>
      <c r="Q3494" s="10" t="inlineStr"/>
      <c r="R3494" s="10" t="inlineStr">
        <is>
          <t>2026-03-12</t>
        </is>
      </c>
      <c r="S3494" s="10" t="inlineStr"/>
    </row>
    <row r="3495">
      <c r="A3495" s="3" t="inlineStr">
        <is>
          <t>H0088</t>
        </is>
      </c>
      <c r="B3495" s="4" t="inlineStr">
        <is>
          <t>H0088</t>
        </is>
      </c>
      <c r="C3495" s="4" t="inlineStr"/>
      <c r="D3495" s="4" t="inlineStr"/>
      <c r="E3495" s="3" t="inlineStr">
        <is>
          <t>ACRYLIC HANGER</t>
        </is>
      </c>
      <c r="F3495" s="4" t="inlineStr"/>
      <c r="G3495" s="4" t="inlineStr"/>
      <c r="H3495" s="4" t="inlineStr"/>
      <c r="I3495" s="5" t="n">
        <v>2</v>
      </c>
      <c r="J3495" s="6" t="n">
        <v>15</v>
      </c>
      <c r="K3495" s="7">
        <f>IF(I3495="","",I3495*(1+J3495/100))</f>
        <v/>
      </c>
      <c r="L3495" s="12" t="inlineStr"/>
      <c r="M3495" s="8">
        <f>IF(OR(L3495="",K3495="",L3495=0),"",
  (L3495-K3495)/L3495*100)</f>
        <v/>
      </c>
      <c r="N3495" s="9" t="inlineStr"/>
      <c r="O3495" s="4" t="inlineStr"/>
      <c r="P3495" s="4" t="inlineStr"/>
      <c r="Q3495" s="4" t="inlineStr"/>
      <c r="R3495" s="4" t="inlineStr">
        <is>
          <t>2026-03-12</t>
        </is>
      </c>
      <c r="S3495" s="4" t="inlineStr"/>
    </row>
    <row r="3496">
      <c r="A3496" s="10" t="inlineStr">
        <is>
          <t>H0089</t>
        </is>
      </c>
      <c r="B3496" s="10" t="inlineStr">
        <is>
          <t>H0089</t>
        </is>
      </c>
      <c r="C3496" s="10" t="inlineStr"/>
      <c r="D3496" s="10" t="inlineStr"/>
      <c r="E3496" s="10" t="inlineStr">
        <is>
          <t>PLASTIC HANGER</t>
        </is>
      </c>
      <c r="F3496" s="10" t="inlineStr"/>
      <c r="G3496" s="10" t="inlineStr"/>
      <c r="H3496" s="10" t="inlineStr"/>
      <c r="I3496" s="11" t="n">
        <v>2</v>
      </c>
      <c r="J3496" s="6" t="n">
        <v>15</v>
      </c>
      <c r="K3496" s="7">
        <f>IF(I3496="","",I3496*(1+J3496/100))</f>
        <v/>
      </c>
      <c r="L3496" s="12" t="inlineStr"/>
      <c r="M3496" s="8">
        <f>IF(OR(L3496="",K3496="",L3496=0),"",
  (L3496-K3496)/L3496*100)</f>
        <v/>
      </c>
      <c r="N3496" s="9" t="inlineStr"/>
      <c r="O3496" s="10" t="inlineStr"/>
      <c r="P3496" s="10" t="inlineStr"/>
      <c r="Q3496" s="10" t="inlineStr"/>
      <c r="R3496" s="10" t="inlineStr">
        <is>
          <t>2026-03-12</t>
        </is>
      </c>
      <c r="S3496" s="10" t="inlineStr"/>
    </row>
    <row r="3497">
      <c r="A3497" s="3" t="inlineStr">
        <is>
          <t>H0090</t>
        </is>
      </c>
      <c r="B3497" s="4" t="inlineStr">
        <is>
          <t>H0090</t>
        </is>
      </c>
      <c r="C3497" s="4" t="inlineStr"/>
      <c r="D3497" s="4" t="inlineStr"/>
      <c r="E3497" s="3" t="inlineStr">
        <is>
          <t>METAL DISPLAY STAND</t>
        </is>
      </c>
      <c r="F3497" s="4" t="inlineStr"/>
      <c r="G3497" s="4" t="inlineStr"/>
      <c r="H3497" s="4" t="inlineStr"/>
      <c r="I3497" s="5" t="n">
        <v>2</v>
      </c>
      <c r="J3497" s="6" t="n">
        <v>15</v>
      </c>
      <c r="K3497" s="7">
        <f>IF(I3497="","",I3497*(1+J3497/100))</f>
        <v/>
      </c>
      <c r="L3497" s="12" t="inlineStr"/>
      <c r="M3497" s="8">
        <f>IF(OR(L3497="",K3497="",L3497=0),"",
  (L3497-K3497)/L3497*100)</f>
        <v/>
      </c>
      <c r="N3497" s="9" t="inlineStr"/>
      <c r="O3497" s="4" t="inlineStr"/>
      <c r="P3497" s="4" t="inlineStr"/>
      <c r="Q3497" s="4" t="inlineStr"/>
      <c r="R3497" s="4" t="inlineStr">
        <is>
          <t>2026-03-12</t>
        </is>
      </c>
      <c r="S3497" s="4" t="inlineStr"/>
    </row>
    <row r="3498">
      <c r="A3498" s="10" t="inlineStr">
        <is>
          <t>H0091</t>
        </is>
      </c>
      <c r="B3498" s="10" t="inlineStr">
        <is>
          <t>H0091</t>
        </is>
      </c>
      <c r="C3498" s="10" t="inlineStr"/>
      <c r="D3498" s="10" t="inlineStr"/>
      <c r="E3498" s="10" t="inlineStr">
        <is>
          <t>METAL DISPLAY STAND</t>
        </is>
      </c>
      <c r="F3498" s="10" t="inlineStr"/>
      <c r="G3498" s="10" t="inlineStr"/>
      <c r="H3498" s="10" t="inlineStr"/>
      <c r="I3498" s="11" t="n">
        <v>2</v>
      </c>
      <c r="J3498" s="6" t="n">
        <v>15</v>
      </c>
      <c r="K3498" s="7">
        <f>IF(I3498="","",I3498*(1+J3498/100))</f>
        <v/>
      </c>
      <c r="L3498" s="12" t="inlineStr"/>
      <c r="M3498" s="8">
        <f>IF(OR(L3498="",K3498="",L3498=0),"",
  (L3498-K3498)/L3498*100)</f>
        <v/>
      </c>
      <c r="N3498" s="9" t="inlineStr"/>
      <c r="O3498" s="10" t="inlineStr"/>
      <c r="P3498" s="10" t="inlineStr"/>
      <c r="Q3498" s="10" t="inlineStr"/>
      <c r="R3498" s="10" t="inlineStr">
        <is>
          <t>2026-03-12</t>
        </is>
      </c>
      <c r="S3498" s="10" t="inlineStr"/>
    </row>
    <row r="3499">
      <c r="A3499" s="3" t="inlineStr">
        <is>
          <t>H0092</t>
        </is>
      </c>
      <c r="B3499" s="4" t="inlineStr">
        <is>
          <t>H0092</t>
        </is>
      </c>
      <c r="C3499" s="4" t="inlineStr"/>
      <c r="D3499" s="4" t="inlineStr"/>
      <c r="E3499" s="3" t="inlineStr">
        <is>
          <t>METAL DISPLAY STAND</t>
        </is>
      </c>
      <c r="F3499" s="4" t="inlineStr"/>
      <c r="G3499" s="4" t="inlineStr"/>
      <c r="H3499" s="4" t="inlineStr"/>
      <c r="I3499" s="5" t="n">
        <v>2</v>
      </c>
      <c r="J3499" s="6" t="n">
        <v>15</v>
      </c>
      <c r="K3499" s="7">
        <f>IF(I3499="","",I3499*(1+J3499/100))</f>
        <v/>
      </c>
      <c r="L3499" s="12" t="inlineStr"/>
      <c r="M3499" s="8">
        <f>IF(OR(L3499="",K3499="",L3499=0),"",
  (L3499-K3499)/L3499*100)</f>
        <v/>
      </c>
      <c r="N3499" s="9" t="inlineStr"/>
      <c r="O3499" s="4" t="inlineStr"/>
      <c r="P3499" s="4" t="inlineStr"/>
      <c r="Q3499" s="4" t="inlineStr"/>
      <c r="R3499" s="4" t="inlineStr">
        <is>
          <t>2026-03-12</t>
        </is>
      </c>
      <c r="S3499" s="4" t="inlineStr"/>
    </row>
    <row r="3500">
      <c r="A3500" s="10" t="inlineStr">
        <is>
          <t>H0093</t>
        </is>
      </c>
      <c r="B3500" s="10" t="inlineStr">
        <is>
          <t>H0093</t>
        </is>
      </c>
      <c r="C3500" s="10" t="inlineStr"/>
      <c r="D3500" s="10" t="inlineStr"/>
      <c r="E3500" s="10" t="inlineStr">
        <is>
          <t>METAL DISPLAY STAND</t>
        </is>
      </c>
      <c r="F3500" s="10" t="inlineStr"/>
      <c r="G3500" s="10" t="inlineStr"/>
      <c r="H3500" s="10" t="inlineStr"/>
      <c r="I3500" s="11" t="n">
        <v>2</v>
      </c>
      <c r="J3500" s="6" t="n">
        <v>15</v>
      </c>
      <c r="K3500" s="7">
        <f>IF(I3500="","",I3500*(1+J3500/100))</f>
        <v/>
      </c>
      <c r="L3500" s="12" t="inlineStr"/>
      <c r="M3500" s="8">
        <f>IF(OR(L3500="",K3500="",L3500=0),"",
  (L3500-K3500)/L3500*100)</f>
        <v/>
      </c>
      <c r="N3500" s="9" t="inlineStr"/>
      <c r="O3500" s="10" t="inlineStr"/>
      <c r="P3500" s="10" t="inlineStr"/>
      <c r="Q3500" s="10" t="inlineStr"/>
      <c r="R3500" s="10" t="inlineStr">
        <is>
          <t>2026-03-12</t>
        </is>
      </c>
      <c r="S3500" s="10" t="inlineStr"/>
    </row>
    <row r="3501">
      <c r="A3501" s="3" t="inlineStr">
        <is>
          <t>H0094</t>
        </is>
      </c>
      <c r="B3501" s="4" t="inlineStr">
        <is>
          <t>H0094</t>
        </is>
      </c>
      <c r="C3501" s="4" t="inlineStr"/>
      <c r="D3501" s="4" t="inlineStr"/>
      <c r="E3501" s="3" t="inlineStr">
        <is>
          <t>2 TIER CAKE STAND</t>
        </is>
      </c>
      <c r="F3501" s="4" t="inlineStr"/>
      <c r="G3501" s="4" t="inlineStr"/>
      <c r="H3501" s="4" t="inlineStr"/>
      <c r="I3501" s="5" t="n">
        <v>2</v>
      </c>
      <c r="J3501" s="6" t="n">
        <v>15</v>
      </c>
      <c r="K3501" s="7">
        <f>IF(I3501="","",I3501*(1+J3501/100))</f>
        <v/>
      </c>
      <c r="L3501" s="12" t="inlineStr"/>
      <c r="M3501" s="8">
        <f>IF(OR(L3501="",K3501="",L3501=0),"",
  (L3501-K3501)/L3501*100)</f>
        <v/>
      </c>
      <c r="N3501" s="9" t="inlineStr"/>
      <c r="O3501" s="4" t="inlineStr"/>
      <c r="P3501" s="4" t="inlineStr"/>
      <c r="Q3501" s="4" t="inlineStr"/>
      <c r="R3501" s="4" t="inlineStr">
        <is>
          <t>2026-03-12</t>
        </is>
      </c>
      <c r="S3501" s="4" t="inlineStr"/>
    </row>
    <row r="3502">
      <c r="A3502" s="10" t="inlineStr">
        <is>
          <t>H0095</t>
        </is>
      </c>
      <c r="B3502" s="10" t="inlineStr">
        <is>
          <t>H0095</t>
        </is>
      </c>
      <c r="C3502" s="10" t="inlineStr"/>
      <c r="D3502" s="10" t="inlineStr"/>
      <c r="E3502" s="10" t="inlineStr">
        <is>
          <t>2 TIER CAKE STAND</t>
        </is>
      </c>
      <c r="F3502" s="10" t="inlineStr"/>
      <c r="G3502" s="10" t="inlineStr"/>
      <c r="H3502" s="10" t="inlineStr"/>
      <c r="I3502" s="11" t="n">
        <v>2</v>
      </c>
      <c r="J3502" s="6" t="n">
        <v>15</v>
      </c>
      <c r="K3502" s="7">
        <f>IF(I3502="","",I3502*(1+J3502/100))</f>
        <v/>
      </c>
      <c r="L3502" s="12" t="inlineStr"/>
      <c r="M3502" s="8">
        <f>IF(OR(L3502="",K3502="",L3502=0),"",
  (L3502-K3502)/L3502*100)</f>
        <v/>
      </c>
      <c r="N3502" s="9" t="inlineStr"/>
      <c r="O3502" s="10" t="inlineStr"/>
      <c r="P3502" s="10" t="inlineStr"/>
      <c r="Q3502" s="10" t="inlineStr"/>
      <c r="R3502" s="10" t="inlineStr">
        <is>
          <t>2026-03-12</t>
        </is>
      </c>
      <c r="S3502" s="10" t="inlineStr"/>
    </row>
    <row r="3503">
      <c r="A3503" s="3" t="inlineStr">
        <is>
          <t>H0096</t>
        </is>
      </c>
      <c r="B3503" s="4" t="inlineStr">
        <is>
          <t>H0096</t>
        </is>
      </c>
      <c r="C3503" s="4" t="inlineStr"/>
      <c r="D3503" s="4" t="inlineStr"/>
      <c r="E3503" s="3" t="inlineStr">
        <is>
          <t>METAL TRAY MIRROR</t>
        </is>
      </c>
      <c r="F3503" s="4" t="inlineStr"/>
      <c r="G3503" s="4" t="inlineStr"/>
      <c r="H3503" s="4" t="inlineStr"/>
      <c r="I3503" s="5" t="n">
        <v>2</v>
      </c>
      <c r="J3503" s="6" t="n">
        <v>15</v>
      </c>
      <c r="K3503" s="7">
        <f>IF(I3503="","",I3503*(1+J3503/100))</f>
        <v/>
      </c>
      <c r="L3503" s="12" t="inlineStr"/>
      <c r="M3503" s="8">
        <f>IF(OR(L3503="",K3503="",L3503=0),"",
  (L3503-K3503)/L3503*100)</f>
        <v/>
      </c>
      <c r="N3503" s="9" t="inlineStr"/>
      <c r="O3503" s="4" t="inlineStr"/>
      <c r="P3503" s="4" t="inlineStr"/>
      <c r="Q3503" s="4" t="inlineStr"/>
      <c r="R3503" s="4" t="inlineStr">
        <is>
          <t>2026-03-12</t>
        </is>
      </c>
      <c r="S3503" s="4" t="inlineStr"/>
    </row>
    <row r="3504">
      <c r="A3504" s="10" t="inlineStr">
        <is>
          <t>H0097</t>
        </is>
      </c>
      <c r="B3504" s="10" t="inlineStr">
        <is>
          <t>H0097</t>
        </is>
      </c>
      <c r="C3504" s="10" t="inlineStr"/>
      <c r="D3504" s="10" t="inlineStr"/>
      <c r="E3504" s="10" t="inlineStr">
        <is>
          <t>3 TIER CAKE STAND</t>
        </is>
      </c>
      <c r="F3504" s="10" t="inlineStr"/>
      <c r="G3504" s="10" t="inlineStr"/>
      <c r="H3504" s="10" t="inlineStr"/>
      <c r="I3504" s="11" t="n">
        <v>2</v>
      </c>
      <c r="J3504" s="6" t="n">
        <v>15</v>
      </c>
      <c r="K3504" s="7">
        <f>IF(I3504="","",I3504*(1+J3504/100))</f>
        <v/>
      </c>
      <c r="L3504" s="12" t="inlineStr"/>
      <c r="M3504" s="8">
        <f>IF(OR(L3504="",K3504="",L3504=0),"",
  (L3504-K3504)/L3504*100)</f>
        <v/>
      </c>
      <c r="N3504" s="9" t="inlineStr"/>
      <c r="O3504" s="10" t="inlineStr"/>
      <c r="P3504" s="10" t="inlineStr"/>
      <c r="Q3504" s="10" t="inlineStr"/>
      <c r="R3504" s="10" t="inlineStr">
        <is>
          <t>2026-03-12</t>
        </is>
      </c>
      <c r="S3504" s="10" t="inlineStr"/>
    </row>
    <row r="3505">
      <c r="A3505" s="3" t="inlineStr">
        <is>
          <t>H0098</t>
        </is>
      </c>
      <c r="B3505" s="4" t="inlineStr">
        <is>
          <t>H0098</t>
        </is>
      </c>
      <c r="C3505" s="4" t="inlineStr"/>
      <c r="D3505" s="4" t="inlineStr"/>
      <c r="E3505" s="3" t="inlineStr">
        <is>
          <t>4 TIER CAKE STAND</t>
        </is>
      </c>
      <c r="F3505" s="4" t="inlineStr"/>
      <c r="G3505" s="4" t="inlineStr"/>
      <c r="H3505" s="4" t="inlineStr"/>
      <c r="I3505" s="5" t="n">
        <v>2</v>
      </c>
      <c r="J3505" s="6" t="n">
        <v>15</v>
      </c>
      <c r="K3505" s="7">
        <f>IF(I3505="","",I3505*(1+J3505/100))</f>
        <v/>
      </c>
      <c r="L3505" s="12" t="inlineStr"/>
      <c r="M3505" s="8">
        <f>IF(OR(L3505="",K3505="",L3505=0),"",
  (L3505-K3505)/L3505*100)</f>
        <v/>
      </c>
      <c r="N3505" s="9" t="inlineStr"/>
      <c r="O3505" s="4" t="inlineStr"/>
      <c r="P3505" s="4" t="inlineStr"/>
      <c r="Q3505" s="4" t="inlineStr"/>
      <c r="R3505" s="4" t="inlineStr">
        <is>
          <t>2026-03-12</t>
        </is>
      </c>
      <c r="S3505" s="4" t="inlineStr"/>
    </row>
    <row r="3506">
      <c r="A3506" s="10" t="inlineStr">
        <is>
          <t>H0099</t>
        </is>
      </c>
      <c r="B3506" s="10" t="inlineStr">
        <is>
          <t>H0099</t>
        </is>
      </c>
      <c r="C3506" s="10" t="inlineStr"/>
      <c r="D3506" s="10" t="inlineStr"/>
      <c r="E3506" s="10" t="inlineStr">
        <is>
          <t>5 TIER CAKE STAND</t>
        </is>
      </c>
      <c r="F3506" s="10" t="inlineStr"/>
      <c r="G3506" s="10" t="inlineStr"/>
      <c r="H3506" s="10" t="inlineStr"/>
      <c r="I3506" s="11" t="n">
        <v>2</v>
      </c>
      <c r="J3506" s="6" t="n">
        <v>15</v>
      </c>
      <c r="K3506" s="7">
        <f>IF(I3506="","",I3506*(1+J3506/100))</f>
        <v/>
      </c>
      <c r="L3506" s="12" t="inlineStr"/>
      <c r="M3506" s="8">
        <f>IF(OR(L3506="",K3506="",L3506=0),"",
  (L3506-K3506)/L3506*100)</f>
        <v/>
      </c>
      <c r="N3506" s="9" t="inlineStr"/>
      <c r="O3506" s="10" t="inlineStr"/>
      <c r="P3506" s="10" t="inlineStr"/>
      <c r="Q3506" s="10" t="inlineStr"/>
      <c r="R3506" s="10" t="inlineStr">
        <is>
          <t>2026-03-12</t>
        </is>
      </c>
      <c r="S3506" s="10" t="inlineStr"/>
    </row>
    <row r="3507">
      <c r="A3507" s="3" t="inlineStr">
        <is>
          <t>H0100</t>
        </is>
      </c>
      <c r="B3507" s="4" t="inlineStr">
        <is>
          <t>H0100</t>
        </is>
      </c>
      <c r="C3507" s="4" t="inlineStr"/>
      <c r="D3507" s="4" t="inlineStr"/>
      <c r="E3507" s="3" t="inlineStr">
        <is>
          <t>3 PC METAL GLASS TRAY</t>
        </is>
      </c>
      <c r="F3507" s="4" t="inlineStr"/>
      <c r="G3507" s="4" t="inlineStr"/>
      <c r="H3507" s="4" t="inlineStr"/>
      <c r="I3507" s="5" t="n">
        <v>2</v>
      </c>
      <c r="J3507" s="6" t="n">
        <v>15</v>
      </c>
      <c r="K3507" s="7">
        <f>IF(I3507="","",I3507*(1+J3507/100))</f>
        <v/>
      </c>
      <c r="L3507" s="12" t="inlineStr"/>
      <c r="M3507" s="8">
        <f>IF(OR(L3507="",K3507="",L3507=0),"",
  (L3507-K3507)/L3507*100)</f>
        <v/>
      </c>
      <c r="N3507" s="9" t="inlineStr"/>
      <c r="O3507" s="4" t="inlineStr"/>
      <c r="P3507" s="4" t="inlineStr"/>
      <c r="Q3507" s="4" t="inlineStr"/>
      <c r="R3507" s="4" t="inlineStr">
        <is>
          <t>2026-03-12</t>
        </is>
      </c>
      <c r="S3507" s="4" t="inlineStr"/>
    </row>
    <row r="3508">
      <c r="A3508" s="10" t="inlineStr">
        <is>
          <t>H0101</t>
        </is>
      </c>
      <c r="B3508" s="10" t="inlineStr">
        <is>
          <t>H0101</t>
        </is>
      </c>
      <c r="C3508" s="10" t="inlineStr"/>
      <c r="D3508" s="10" t="inlineStr"/>
      <c r="E3508" s="10" t="inlineStr">
        <is>
          <t>2 PC METAL GLASS TRAY</t>
        </is>
      </c>
      <c r="F3508" s="10" t="inlineStr"/>
      <c r="G3508" s="10" t="inlineStr"/>
      <c r="H3508" s="10" t="inlineStr"/>
      <c r="I3508" s="11" t="n">
        <v>2</v>
      </c>
      <c r="J3508" s="6" t="n">
        <v>15</v>
      </c>
      <c r="K3508" s="7">
        <f>IF(I3508="","",I3508*(1+J3508/100))</f>
        <v/>
      </c>
      <c r="L3508" s="12" t="inlineStr"/>
      <c r="M3508" s="8">
        <f>IF(OR(L3508="",K3508="",L3508=0),"",
  (L3508-K3508)/L3508*100)</f>
        <v/>
      </c>
      <c r="N3508" s="9" t="inlineStr"/>
      <c r="O3508" s="10" t="inlineStr"/>
      <c r="P3508" s="10" t="inlineStr"/>
      <c r="Q3508" s="10" t="inlineStr"/>
      <c r="R3508" s="10" t="inlineStr">
        <is>
          <t>2026-03-12</t>
        </is>
      </c>
      <c r="S3508" s="10" t="inlineStr"/>
    </row>
    <row r="3509">
      <c r="A3509" s="3" t="inlineStr">
        <is>
          <t>H0102</t>
        </is>
      </c>
      <c r="B3509" s="4" t="inlineStr">
        <is>
          <t>H0102</t>
        </is>
      </c>
      <c r="C3509" s="4" t="inlineStr"/>
      <c r="D3509" s="4" t="inlineStr"/>
      <c r="E3509" s="3" t="inlineStr">
        <is>
          <t>3 PC METAL GLASS TRAY</t>
        </is>
      </c>
      <c r="F3509" s="4" t="inlineStr"/>
      <c r="G3509" s="4" t="inlineStr"/>
      <c r="H3509" s="4" t="inlineStr"/>
      <c r="I3509" s="5" t="n">
        <v>2</v>
      </c>
      <c r="J3509" s="6" t="n">
        <v>15</v>
      </c>
      <c r="K3509" s="7">
        <f>IF(I3509="","",I3509*(1+J3509/100))</f>
        <v/>
      </c>
      <c r="L3509" s="12" t="inlineStr"/>
      <c r="M3509" s="8">
        <f>IF(OR(L3509="",K3509="",L3509=0),"",
  (L3509-K3509)/L3509*100)</f>
        <v/>
      </c>
      <c r="N3509" s="9" t="inlineStr"/>
      <c r="O3509" s="4" t="inlineStr"/>
      <c r="P3509" s="4" t="inlineStr"/>
      <c r="Q3509" s="4" t="inlineStr"/>
      <c r="R3509" s="4" t="inlineStr">
        <is>
          <t>2026-03-12</t>
        </is>
      </c>
      <c r="S3509" s="4" t="inlineStr"/>
    </row>
    <row r="3510">
      <c r="A3510" s="10" t="inlineStr">
        <is>
          <t>H0103</t>
        </is>
      </c>
      <c r="B3510" s="10" t="inlineStr">
        <is>
          <t>H0103</t>
        </is>
      </c>
      <c r="C3510" s="10" t="inlineStr"/>
      <c r="D3510" s="10" t="inlineStr"/>
      <c r="E3510" s="10" t="inlineStr">
        <is>
          <t>3 PC METAL GLASS TRAY</t>
        </is>
      </c>
      <c r="F3510" s="10" t="inlineStr"/>
      <c r="G3510" s="10" t="inlineStr"/>
      <c r="H3510" s="10" t="inlineStr"/>
      <c r="I3510" s="11" t="n">
        <v>2</v>
      </c>
      <c r="J3510" s="6" t="n">
        <v>15</v>
      </c>
      <c r="K3510" s="7">
        <f>IF(I3510="","",I3510*(1+J3510/100))</f>
        <v/>
      </c>
      <c r="L3510" s="12" t="inlineStr"/>
      <c r="M3510" s="8">
        <f>IF(OR(L3510="",K3510="",L3510=0),"",
  (L3510-K3510)/L3510*100)</f>
        <v/>
      </c>
      <c r="N3510" s="9" t="inlineStr"/>
      <c r="O3510" s="10" t="inlineStr"/>
      <c r="P3510" s="10" t="inlineStr"/>
      <c r="Q3510" s="10" t="inlineStr"/>
      <c r="R3510" s="10" t="inlineStr">
        <is>
          <t>2026-03-12</t>
        </is>
      </c>
      <c r="S3510" s="10" t="inlineStr"/>
    </row>
    <row r="3511">
      <c r="A3511" s="3" t="inlineStr">
        <is>
          <t>H0104</t>
        </is>
      </c>
      <c r="B3511" s="4" t="inlineStr">
        <is>
          <t>H0104</t>
        </is>
      </c>
      <c r="C3511" s="4" t="inlineStr"/>
      <c r="D3511" s="4" t="inlineStr"/>
      <c r="E3511" s="3" t="inlineStr">
        <is>
          <t>3 PC METAL GLASS TRAY</t>
        </is>
      </c>
      <c r="F3511" s="4" t="inlineStr"/>
      <c r="G3511" s="4" t="inlineStr"/>
      <c r="H3511" s="4" t="inlineStr"/>
      <c r="I3511" s="5" t="n">
        <v>2</v>
      </c>
      <c r="J3511" s="6" t="n">
        <v>15</v>
      </c>
      <c r="K3511" s="7">
        <f>IF(I3511="","",I3511*(1+J3511/100))</f>
        <v/>
      </c>
      <c r="L3511" s="12" t="inlineStr"/>
      <c r="M3511" s="8">
        <f>IF(OR(L3511="",K3511="",L3511=0),"",
  (L3511-K3511)/L3511*100)</f>
        <v/>
      </c>
      <c r="N3511" s="9" t="inlineStr"/>
      <c r="O3511" s="4" t="inlineStr"/>
      <c r="P3511" s="4" t="inlineStr"/>
      <c r="Q3511" s="4" t="inlineStr"/>
      <c r="R3511" s="4" t="inlineStr">
        <is>
          <t>2026-03-12</t>
        </is>
      </c>
      <c r="S3511" s="4" t="inlineStr"/>
    </row>
    <row r="3512">
      <c r="A3512" s="10" t="inlineStr">
        <is>
          <t>H0105</t>
        </is>
      </c>
      <c r="B3512" s="10" t="inlineStr">
        <is>
          <t>H0105</t>
        </is>
      </c>
      <c r="C3512" s="10" t="inlineStr"/>
      <c r="D3512" s="10" t="inlineStr"/>
      <c r="E3512" s="10" t="inlineStr">
        <is>
          <t>6 GLASSES WITH TRAY</t>
        </is>
      </c>
      <c r="F3512" s="10" t="inlineStr"/>
      <c r="G3512" s="10" t="inlineStr"/>
      <c r="H3512" s="10" t="inlineStr"/>
      <c r="I3512" s="11" t="n">
        <v>2</v>
      </c>
      <c r="J3512" s="6" t="n">
        <v>15</v>
      </c>
      <c r="K3512" s="7">
        <f>IF(I3512="","",I3512*(1+J3512/100))</f>
        <v/>
      </c>
      <c r="L3512" s="12" t="inlineStr"/>
      <c r="M3512" s="8">
        <f>IF(OR(L3512="",K3512="",L3512=0),"",
  (L3512-K3512)/L3512*100)</f>
        <v/>
      </c>
      <c r="N3512" s="9" t="inlineStr"/>
      <c r="O3512" s="10" t="inlineStr"/>
      <c r="P3512" s="10" t="inlineStr"/>
      <c r="Q3512" s="10" t="inlineStr"/>
      <c r="R3512" s="10" t="inlineStr">
        <is>
          <t>2026-03-12</t>
        </is>
      </c>
      <c r="S3512" s="10" t="inlineStr"/>
    </row>
    <row r="3513">
      <c r="A3513" s="3" t="inlineStr">
        <is>
          <t>H0106</t>
        </is>
      </c>
      <c r="B3513" s="4" t="inlineStr">
        <is>
          <t>H0106</t>
        </is>
      </c>
      <c r="C3513" s="4" t="inlineStr"/>
      <c r="D3513" s="4" t="inlineStr"/>
      <c r="E3513" s="3" t="inlineStr">
        <is>
          <t>4 GLASSES WITH TRAY</t>
        </is>
      </c>
      <c r="F3513" s="4" t="inlineStr"/>
      <c r="G3513" s="4" t="inlineStr"/>
      <c r="H3513" s="4" t="inlineStr"/>
      <c r="I3513" s="5" t="n">
        <v>2</v>
      </c>
      <c r="J3513" s="6" t="n">
        <v>15</v>
      </c>
      <c r="K3513" s="7">
        <f>IF(I3513="","",I3513*(1+J3513/100))</f>
        <v/>
      </c>
      <c r="L3513" s="12" t="inlineStr"/>
      <c r="M3513" s="8">
        <f>IF(OR(L3513="",K3513="",L3513=0),"",
  (L3513-K3513)/L3513*100)</f>
        <v/>
      </c>
      <c r="N3513" s="9" t="inlineStr"/>
      <c r="O3513" s="4" t="inlineStr"/>
      <c r="P3513" s="4" t="inlineStr"/>
      <c r="Q3513" s="4" t="inlineStr"/>
      <c r="R3513" s="4" t="inlineStr">
        <is>
          <t>2026-03-12</t>
        </is>
      </c>
      <c r="S3513" s="4" t="inlineStr"/>
    </row>
    <row r="3514">
      <c r="A3514" s="10" t="inlineStr">
        <is>
          <t>H0107</t>
        </is>
      </c>
      <c r="B3514" s="10" t="inlineStr">
        <is>
          <t>H0107</t>
        </is>
      </c>
      <c r="C3514" s="10" t="inlineStr"/>
      <c r="D3514" s="10" t="inlineStr"/>
      <c r="E3514" s="10" t="inlineStr">
        <is>
          <t>2 GLASSES WITH TRAY</t>
        </is>
      </c>
      <c r="F3514" s="10" t="inlineStr"/>
      <c r="G3514" s="10" t="inlineStr"/>
      <c r="H3514" s="10" t="inlineStr"/>
      <c r="I3514" s="11" t="n">
        <v>2</v>
      </c>
      <c r="J3514" s="6" t="n">
        <v>15</v>
      </c>
      <c r="K3514" s="7">
        <f>IF(I3514="","",I3514*(1+J3514/100))</f>
        <v/>
      </c>
      <c r="L3514" s="12" t="inlineStr"/>
      <c r="M3514" s="8">
        <f>IF(OR(L3514="",K3514="",L3514=0),"",
  (L3514-K3514)/L3514*100)</f>
        <v/>
      </c>
      <c r="N3514" s="9" t="inlineStr"/>
      <c r="O3514" s="10" t="inlineStr"/>
      <c r="P3514" s="10" t="inlineStr"/>
      <c r="Q3514" s="10" t="inlineStr"/>
      <c r="R3514" s="10" t="inlineStr">
        <is>
          <t>2026-03-12</t>
        </is>
      </c>
      <c r="S3514" s="10" t="inlineStr"/>
    </row>
    <row r="3515">
      <c r="A3515" s="3" t="inlineStr">
        <is>
          <t>H0108</t>
        </is>
      </c>
      <c r="B3515" s="4" t="inlineStr">
        <is>
          <t>H0108</t>
        </is>
      </c>
      <c r="C3515" s="4" t="inlineStr"/>
      <c r="D3515" s="4" t="inlineStr"/>
      <c r="E3515" s="3" t="inlineStr">
        <is>
          <t>3 PC METAL TRAY</t>
        </is>
      </c>
      <c r="F3515" s="4" t="inlineStr"/>
      <c r="G3515" s="4" t="inlineStr"/>
      <c r="H3515" s="4" t="inlineStr"/>
      <c r="I3515" s="5" t="n">
        <v>2</v>
      </c>
      <c r="J3515" s="6" t="n">
        <v>15</v>
      </c>
      <c r="K3515" s="7">
        <f>IF(I3515="","",I3515*(1+J3515/100))</f>
        <v/>
      </c>
      <c r="L3515" s="12" t="inlineStr"/>
      <c r="M3515" s="8">
        <f>IF(OR(L3515="",K3515="",L3515=0),"",
  (L3515-K3515)/L3515*100)</f>
        <v/>
      </c>
      <c r="N3515" s="9" t="inlineStr"/>
      <c r="O3515" s="4" t="inlineStr"/>
      <c r="P3515" s="4" t="inlineStr"/>
      <c r="Q3515" s="4" t="inlineStr"/>
      <c r="R3515" s="4" t="inlineStr">
        <is>
          <t>2026-03-12</t>
        </is>
      </c>
      <c r="S3515" s="4" t="inlineStr"/>
    </row>
    <row r="3516">
      <c r="A3516" s="10" t="inlineStr">
        <is>
          <t>H0109</t>
        </is>
      </c>
      <c r="B3516" s="10" t="inlineStr">
        <is>
          <t>H0109</t>
        </is>
      </c>
      <c r="C3516" s="10" t="inlineStr"/>
      <c r="D3516" s="10" t="inlineStr"/>
      <c r="E3516" s="10" t="inlineStr">
        <is>
          <t>2 TIER CAKE STAND</t>
        </is>
      </c>
      <c r="F3516" s="10" t="inlineStr"/>
      <c r="G3516" s="10" t="inlineStr"/>
      <c r="H3516" s="10" t="inlineStr"/>
      <c r="I3516" s="11" t="n">
        <v>2</v>
      </c>
      <c r="J3516" s="6" t="n">
        <v>15</v>
      </c>
      <c r="K3516" s="7">
        <f>IF(I3516="","",I3516*(1+J3516/100))</f>
        <v/>
      </c>
      <c r="L3516" s="12" t="inlineStr"/>
      <c r="M3516" s="8">
        <f>IF(OR(L3516="",K3516="",L3516=0),"",
  (L3516-K3516)/L3516*100)</f>
        <v/>
      </c>
      <c r="N3516" s="9" t="inlineStr"/>
      <c r="O3516" s="10" t="inlineStr"/>
      <c r="P3516" s="10" t="inlineStr"/>
      <c r="Q3516" s="10" t="inlineStr"/>
      <c r="R3516" s="10" t="inlineStr">
        <is>
          <t>2026-03-12</t>
        </is>
      </c>
      <c r="S3516" s="10" t="inlineStr"/>
    </row>
    <row r="3517">
      <c r="A3517" s="3" t="inlineStr">
        <is>
          <t>H0110</t>
        </is>
      </c>
      <c r="B3517" s="4" t="inlineStr">
        <is>
          <t>H0110</t>
        </is>
      </c>
      <c r="C3517" s="4" t="inlineStr"/>
      <c r="D3517" s="4" t="inlineStr"/>
      <c r="E3517" s="3" t="inlineStr">
        <is>
          <t>3 TIER CAKE STAND</t>
        </is>
      </c>
      <c r="F3517" s="4" t="inlineStr"/>
      <c r="G3517" s="4" t="inlineStr"/>
      <c r="H3517" s="4" t="inlineStr"/>
      <c r="I3517" s="5" t="n">
        <v>2</v>
      </c>
      <c r="J3517" s="6" t="n">
        <v>15</v>
      </c>
      <c r="K3517" s="7">
        <f>IF(I3517="","",I3517*(1+J3517/100))</f>
        <v/>
      </c>
      <c r="L3517" s="12" t="inlineStr"/>
      <c r="M3517" s="8">
        <f>IF(OR(L3517="",K3517="",L3517=0),"",
  (L3517-K3517)/L3517*100)</f>
        <v/>
      </c>
      <c r="N3517" s="9" t="inlineStr"/>
      <c r="O3517" s="4" t="inlineStr"/>
      <c r="P3517" s="4" t="inlineStr"/>
      <c r="Q3517" s="4" t="inlineStr"/>
      <c r="R3517" s="4" t="inlineStr">
        <is>
          <t>2026-03-12</t>
        </is>
      </c>
      <c r="S3517" s="4" t="inlineStr"/>
    </row>
    <row r="3518">
      <c r="A3518" s="10" t="inlineStr">
        <is>
          <t>H0111</t>
        </is>
      </c>
      <c r="B3518" s="10" t="inlineStr">
        <is>
          <t>H0111</t>
        </is>
      </c>
      <c r="C3518" s="10" t="inlineStr"/>
      <c r="D3518" s="10" t="inlineStr"/>
      <c r="E3518" s="10" t="inlineStr">
        <is>
          <t>2 TIER CAKE STAND</t>
        </is>
      </c>
      <c r="F3518" s="10" t="inlineStr"/>
      <c r="G3518" s="10" t="inlineStr"/>
      <c r="H3518" s="10" t="inlineStr"/>
      <c r="I3518" s="11" t="n">
        <v>2</v>
      </c>
      <c r="J3518" s="6" t="n">
        <v>15</v>
      </c>
      <c r="K3518" s="7">
        <f>IF(I3518="","",I3518*(1+J3518/100))</f>
        <v/>
      </c>
      <c r="L3518" s="12" t="inlineStr"/>
      <c r="M3518" s="8">
        <f>IF(OR(L3518="",K3518="",L3518=0),"",
  (L3518-K3518)/L3518*100)</f>
        <v/>
      </c>
      <c r="N3518" s="9" t="inlineStr"/>
      <c r="O3518" s="10" t="inlineStr"/>
      <c r="P3518" s="10" t="inlineStr"/>
      <c r="Q3518" s="10" t="inlineStr"/>
      <c r="R3518" s="10" t="inlineStr">
        <is>
          <t>2026-03-12</t>
        </is>
      </c>
      <c r="S3518" s="10" t="inlineStr"/>
    </row>
    <row r="3519">
      <c r="A3519" s="3" t="inlineStr">
        <is>
          <t>H0112</t>
        </is>
      </c>
      <c r="B3519" s="4" t="inlineStr">
        <is>
          <t>H0112</t>
        </is>
      </c>
      <c r="C3519" s="4" t="inlineStr"/>
      <c r="D3519" s="4" t="inlineStr"/>
      <c r="E3519" s="3" t="inlineStr">
        <is>
          <t>2 TIER CAKE STAND</t>
        </is>
      </c>
      <c r="F3519" s="4" t="inlineStr"/>
      <c r="G3519" s="4" t="inlineStr"/>
      <c r="H3519" s="4" t="inlineStr"/>
      <c r="I3519" s="5" t="n">
        <v>2</v>
      </c>
      <c r="J3519" s="6" t="n">
        <v>15</v>
      </c>
      <c r="K3519" s="7">
        <f>IF(I3519="","",I3519*(1+J3519/100))</f>
        <v/>
      </c>
      <c r="L3519" s="12" t="inlineStr"/>
      <c r="M3519" s="8">
        <f>IF(OR(L3519="",K3519="",L3519=0),"",
  (L3519-K3519)/L3519*100)</f>
        <v/>
      </c>
      <c r="N3519" s="9" t="inlineStr"/>
      <c r="O3519" s="4" t="inlineStr"/>
      <c r="P3519" s="4" t="inlineStr"/>
      <c r="Q3519" s="4" t="inlineStr"/>
      <c r="R3519" s="4" t="inlineStr">
        <is>
          <t>2026-03-12</t>
        </is>
      </c>
      <c r="S3519" s="4" t="inlineStr"/>
    </row>
    <row r="3520">
      <c r="A3520" s="10" t="inlineStr">
        <is>
          <t>H0113</t>
        </is>
      </c>
      <c r="B3520" s="10" t="inlineStr">
        <is>
          <t>H0113</t>
        </is>
      </c>
      <c r="C3520" s="10" t="inlineStr"/>
      <c r="D3520" s="10" t="inlineStr"/>
      <c r="E3520" s="10" t="inlineStr">
        <is>
          <t>4 PC CAKE METAL STAND</t>
        </is>
      </c>
      <c r="F3520" s="10" t="inlineStr"/>
      <c r="G3520" s="10" t="inlineStr"/>
      <c r="H3520" s="10" t="inlineStr"/>
      <c r="I3520" s="11" t="n">
        <v>2</v>
      </c>
      <c r="J3520" s="6" t="n">
        <v>15</v>
      </c>
      <c r="K3520" s="7">
        <f>IF(I3520="","",I3520*(1+J3520/100))</f>
        <v/>
      </c>
      <c r="L3520" s="12" t="inlineStr"/>
      <c r="M3520" s="8">
        <f>IF(OR(L3520="",K3520="",L3520=0),"",
  (L3520-K3520)/L3520*100)</f>
        <v/>
      </c>
      <c r="N3520" s="9" t="inlineStr"/>
      <c r="O3520" s="10" t="inlineStr"/>
      <c r="P3520" s="10" t="inlineStr"/>
      <c r="Q3520" s="10" t="inlineStr"/>
      <c r="R3520" s="10" t="inlineStr">
        <is>
          <t>2026-03-12</t>
        </is>
      </c>
      <c r="S3520" s="10" t="inlineStr"/>
    </row>
    <row r="3521">
      <c r="A3521" s="3" t="inlineStr">
        <is>
          <t>H0114</t>
        </is>
      </c>
      <c r="B3521" s="4" t="inlineStr">
        <is>
          <t>H0114</t>
        </is>
      </c>
      <c r="C3521" s="4" t="inlineStr"/>
      <c r="D3521" s="4" t="inlineStr"/>
      <c r="E3521" s="3" t="inlineStr">
        <is>
          <t>3 PC CAKE METAL STAND</t>
        </is>
      </c>
      <c r="F3521" s="4" t="inlineStr"/>
      <c r="G3521" s="4" t="inlineStr"/>
      <c r="H3521" s="4" t="inlineStr"/>
      <c r="I3521" s="5" t="n">
        <v>2</v>
      </c>
      <c r="J3521" s="6" t="n">
        <v>15</v>
      </c>
      <c r="K3521" s="7">
        <f>IF(I3521="","",I3521*(1+J3521/100))</f>
        <v/>
      </c>
      <c r="L3521" s="12" t="inlineStr"/>
      <c r="M3521" s="8">
        <f>IF(OR(L3521="",K3521="",L3521=0),"",
  (L3521-K3521)/L3521*100)</f>
        <v/>
      </c>
      <c r="N3521" s="9" t="inlineStr"/>
      <c r="O3521" s="4" t="inlineStr"/>
      <c r="P3521" s="4" t="inlineStr"/>
      <c r="Q3521" s="4" t="inlineStr"/>
      <c r="R3521" s="4" t="inlineStr">
        <is>
          <t>2026-03-12</t>
        </is>
      </c>
      <c r="S3521" s="4" t="inlineStr"/>
    </row>
    <row r="3522">
      <c r="A3522" s="10" t="inlineStr">
        <is>
          <t>H0115</t>
        </is>
      </c>
      <c r="B3522" s="10" t="inlineStr">
        <is>
          <t>H0115</t>
        </is>
      </c>
      <c r="C3522" s="10" t="inlineStr"/>
      <c r="D3522" s="10" t="inlineStr"/>
      <c r="E3522" s="10" t="inlineStr">
        <is>
          <t>DISPLAY STAND TREE METAL</t>
        </is>
      </c>
      <c r="F3522" s="10" t="inlineStr"/>
      <c r="G3522" s="10" t="inlineStr"/>
      <c r="H3522" s="10" t="inlineStr"/>
      <c r="I3522" s="11" t="n">
        <v>2</v>
      </c>
      <c r="J3522" s="6" t="n">
        <v>15</v>
      </c>
      <c r="K3522" s="7">
        <f>IF(I3522="","",I3522*(1+J3522/100))</f>
        <v/>
      </c>
      <c r="L3522" s="12" t="inlineStr"/>
      <c r="M3522" s="8">
        <f>IF(OR(L3522="",K3522="",L3522=0),"",
  (L3522-K3522)/L3522*100)</f>
        <v/>
      </c>
      <c r="N3522" s="9" t="inlineStr"/>
      <c r="O3522" s="10" t="inlineStr"/>
      <c r="P3522" s="10" t="inlineStr"/>
      <c r="Q3522" s="10" t="inlineStr"/>
      <c r="R3522" s="10" t="inlineStr">
        <is>
          <t>2026-03-12</t>
        </is>
      </c>
      <c r="S3522" s="10" t="inlineStr"/>
    </row>
    <row r="3523">
      <c r="A3523" s="3" t="inlineStr">
        <is>
          <t>H0116</t>
        </is>
      </c>
      <c r="B3523" s="4" t="inlineStr">
        <is>
          <t>H0116</t>
        </is>
      </c>
      <c r="C3523" s="4" t="inlineStr"/>
      <c r="D3523" s="4" t="inlineStr"/>
      <c r="E3523" s="3" t="inlineStr">
        <is>
          <t>DISPLAY TABLE METAL</t>
        </is>
      </c>
      <c r="F3523" s="4" t="inlineStr"/>
      <c r="G3523" s="4" t="inlineStr"/>
      <c r="H3523" s="4" t="inlineStr"/>
      <c r="I3523" s="5" t="n">
        <v>2</v>
      </c>
      <c r="J3523" s="6" t="n">
        <v>15</v>
      </c>
      <c r="K3523" s="7">
        <f>IF(I3523="","",I3523*(1+J3523/100))</f>
        <v/>
      </c>
      <c r="L3523" s="12" t="inlineStr"/>
      <c r="M3523" s="8">
        <f>IF(OR(L3523="",K3523="",L3523=0),"",
  (L3523-K3523)/L3523*100)</f>
        <v/>
      </c>
      <c r="N3523" s="9" t="inlineStr"/>
      <c r="O3523" s="4" t="inlineStr"/>
      <c r="P3523" s="4" t="inlineStr"/>
      <c r="Q3523" s="4" t="inlineStr"/>
      <c r="R3523" s="4" t="inlineStr">
        <is>
          <t>2026-03-12</t>
        </is>
      </c>
      <c r="S3523" s="4" t="inlineStr"/>
    </row>
    <row r="3524">
      <c r="A3524" s="10" t="inlineStr">
        <is>
          <t>H0117</t>
        </is>
      </c>
      <c r="B3524" s="10" t="inlineStr">
        <is>
          <t>H0117</t>
        </is>
      </c>
      <c r="C3524" s="10" t="inlineStr"/>
      <c r="D3524" s="10" t="inlineStr"/>
      <c r="E3524" s="10" t="inlineStr">
        <is>
          <t>CHIFFON THROW</t>
        </is>
      </c>
      <c r="F3524" s="10" t="inlineStr"/>
      <c r="G3524" s="10" t="inlineStr"/>
      <c r="H3524" s="10" t="inlineStr"/>
      <c r="I3524" s="11" t="n">
        <v>2</v>
      </c>
      <c r="J3524" s="6" t="n">
        <v>15</v>
      </c>
      <c r="K3524" s="7">
        <f>IF(I3524="","",I3524*(1+J3524/100))</f>
        <v/>
      </c>
      <c r="L3524" s="12" t="inlineStr"/>
      <c r="M3524" s="8">
        <f>IF(OR(L3524="",K3524="",L3524=0),"",
  (L3524-K3524)/L3524*100)</f>
        <v/>
      </c>
      <c r="N3524" s="9" t="inlineStr"/>
      <c r="O3524" s="10" t="inlineStr"/>
      <c r="P3524" s="10" t="inlineStr"/>
      <c r="Q3524" s="10" t="inlineStr"/>
      <c r="R3524" s="10" t="inlineStr">
        <is>
          <t>2026-03-12</t>
        </is>
      </c>
      <c r="S3524" s="10" t="inlineStr"/>
    </row>
    <row r="3525">
      <c r="A3525" s="3" t="inlineStr">
        <is>
          <t>H0118</t>
        </is>
      </c>
      <c r="B3525" s="4" t="inlineStr">
        <is>
          <t>H0118</t>
        </is>
      </c>
      <c r="C3525" s="4" t="inlineStr"/>
      <c r="D3525" s="4" t="inlineStr"/>
      <c r="E3525" s="3" t="inlineStr">
        <is>
          <t>CHIFFON THROW</t>
        </is>
      </c>
      <c r="F3525" s="4" t="inlineStr"/>
      <c r="G3525" s="4" t="inlineStr"/>
      <c r="H3525" s="4" t="inlineStr"/>
      <c r="I3525" s="5" t="n">
        <v>2</v>
      </c>
      <c r="J3525" s="6" t="n">
        <v>15</v>
      </c>
      <c r="K3525" s="7">
        <f>IF(I3525="","",I3525*(1+J3525/100))</f>
        <v/>
      </c>
      <c r="L3525" s="12" t="inlineStr"/>
      <c r="M3525" s="8">
        <f>IF(OR(L3525="",K3525="",L3525=0),"",
  (L3525-K3525)/L3525*100)</f>
        <v/>
      </c>
      <c r="N3525" s="9" t="inlineStr"/>
      <c r="O3525" s="4" t="inlineStr"/>
      <c r="P3525" s="4" t="inlineStr"/>
      <c r="Q3525" s="4" t="inlineStr"/>
      <c r="R3525" s="4" t="inlineStr">
        <is>
          <t>2026-03-12</t>
        </is>
      </c>
      <c r="S3525" s="4" t="inlineStr"/>
    </row>
    <row r="3526">
      <c r="A3526" s="10" t="inlineStr">
        <is>
          <t>H0119</t>
        </is>
      </c>
      <c r="B3526" s="10" t="inlineStr">
        <is>
          <t>H0119</t>
        </is>
      </c>
      <c r="C3526" s="10" t="inlineStr"/>
      <c r="D3526" s="10" t="inlineStr"/>
      <c r="E3526" s="10" t="inlineStr">
        <is>
          <t>CHIFFON THROW</t>
        </is>
      </c>
      <c r="F3526" s="10" t="inlineStr"/>
      <c r="G3526" s="10" t="inlineStr"/>
      <c r="H3526" s="10" t="inlineStr"/>
      <c r="I3526" s="11" t="n">
        <v>2</v>
      </c>
      <c r="J3526" s="6" t="n">
        <v>15</v>
      </c>
      <c r="K3526" s="7">
        <f>IF(I3526="","",I3526*(1+J3526/100))</f>
        <v/>
      </c>
      <c r="L3526" s="12" t="inlineStr"/>
      <c r="M3526" s="8">
        <f>IF(OR(L3526="",K3526="",L3526=0),"",
  (L3526-K3526)/L3526*100)</f>
        <v/>
      </c>
      <c r="N3526" s="9" t="inlineStr"/>
      <c r="O3526" s="10" t="inlineStr"/>
      <c r="P3526" s="10" t="inlineStr"/>
      <c r="Q3526" s="10" t="inlineStr"/>
      <c r="R3526" s="10" t="inlineStr">
        <is>
          <t>2026-03-12</t>
        </is>
      </c>
      <c r="S3526" s="10" t="inlineStr"/>
    </row>
    <row r="3527">
      <c r="A3527" s="3" t="inlineStr">
        <is>
          <t>H0120</t>
        </is>
      </c>
      <c r="B3527" s="4" t="inlineStr">
        <is>
          <t>H0120</t>
        </is>
      </c>
      <c r="C3527" s="4" t="inlineStr"/>
      <c r="D3527" s="4" t="inlineStr"/>
      <c r="E3527" s="3" t="inlineStr">
        <is>
          <t>FANCY PINS</t>
        </is>
      </c>
      <c r="F3527" s="4" t="inlineStr"/>
      <c r="G3527" s="4" t="inlineStr"/>
      <c r="H3527" s="4" t="inlineStr"/>
      <c r="I3527" s="5" t="n">
        <v>2</v>
      </c>
      <c r="J3527" s="6" t="n">
        <v>15</v>
      </c>
      <c r="K3527" s="7">
        <f>IF(I3527="","",I3527*(1+J3527/100))</f>
        <v/>
      </c>
      <c r="L3527" s="12" t="inlineStr"/>
      <c r="M3527" s="8">
        <f>IF(OR(L3527="",K3527="",L3527=0),"",
  (L3527-K3527)/L3527*100)</f>
        <v/>
      </c>
      <c r="N3527" s="9" t="inlineStr"/>
      <c r="O3527" s="4" t="inlineStr"/>
      <c r="P3527" s="4" t="inlineStr"/>
      <c r="Q3527" s="4" t="inlineStr"/>
      <c r="R3527" s="4" t="inlineStr">
        <is>
          <t>2026-03-12</t>
        </is>
      </c>
      <c r="S3527" s="4" t="inlineStr"/>
    </row>
    <row r="3528">
      <c r="A3528" s="10" t="inlineStr">
        <is>
          <t>H0121</t>
        </is>
      </c>
      <c r="B3528" s="10" t="inlineStr">
        <is>
          <t>H0121</t>
        </is>
      </c>
      <c r="C3528" s="10" t="inlineStr"/>
      <c r="D3528" s="10" t="inlineStr"/>
      <c r="E3528" s="10" t="inlineStr">
        <is>
          <t>CHIFFON CAPS</t>
        </is>
      </c>
      <c r="F3528" s="10" t="inlineStr"/>
      <c r="G3528" s="10" t="inlineStr"/>
      <c r="H3528" s="10" t="inlineStr"/>
      <c r="I3528" s="11" t="n">
        <v>2</v>
      </c>
      <c r="J3528" s="6" t="n">
        <v>15</v>
      </c>
      <c r="K3528" s="7">
        <f>IF(I3528="","",I3528*(1+J3528/100))</f>
        <v/>
      </c>
      <c r="L3528" s="12" t="inlineStr"/>
      <c r="M3528" s="8">
        <f>IF(OR(L3528="",K3528="",L3528=0),"",
  (L3528-K3528)/L3528*100)</f>
        <v/>
      </c>
      <c r="N3528" s="9" t="inlineStr"/>
      <c r="O3528" s="10" t="inlineStr"/>
      <c r="P3528" s="10" t="inlineStr"/>
      <c r="Q3528" s="10" t="inlineStr"/>
      <c r="R3528" s="10" t="inlineStr">
        <is>
          <t>2026-03-12</t>
        </is>
      </c>
      <c r="S3528" s="10" t="inlineStr"/>
    </row>
    <row r="3529">
      <c r="A3529" s="3" t="inlineStr">
        <is>
          <t>H0122</t>
        </is>
      </c>
      <c r="B3529" s="4" t="inlineStr">
        <is>
          <t>H0122</t>
        </is>
      </c>
      <c r="C3529" s="4" t="inlineStr"/>
      <c r="D3529" s="4" t="inlineStr"/>
      <c r="E3529" s="3" t="inlineStr">
        <is>
          <t>SMALL PIN BOX</t>
        </is>
      </c>
      <c r="F3529" s="4" t="inlineStr"/>
      <c r="G3529" s="4" t="inlineStr"/>
      <c r="H3529" s="4" t="inlineStr"/>
      <c r="I3529" s="5" t="n">
        <v>2</v>
      </c>
      <c r="J3529" s="6" t="n">
        <v>15</v>
      </c>
      <c r="K3529" s="7">
        <f>IF(I3529="","",I3529*(1+J3529/100))</f>
        <v/>
      </c>
      <c r="L3529" s="12" t="inlineStr"/>
      <c r="M3529" s="8">
        <f>IF(OR(L3529="",K3529="",L3529=0),"",
  (L3529-K3529)/L3529*100)</f>
        <v/>
      </c>
      <c r="N3529" s="9" t="inlineStr"/>
      <c r="O3529" s="4" t="inlineStr"/>
      <c r="P3529" s="4" t="inlineStr"/>
      <c r="Q3529" s="4" t="inlineStr"/>
      <c r="R3529" s="4" t="inlineStr">
        <is>
          <t>2026-03-12</t>
        </is>
      </c>
      <c r="S3529" s="4" t="inlineStr"/>
    </row>
    <row r="3530">
      <c r="A3530" s="10" t="inlineStr">
        <is>
          <t>H0123</t>
        </is>
      </c>
      <c r="B3530" s="10" t="inlineStr">
        <is>
          <t>H0123</t>
        </is>
      </c>
      <c r="C3530" s="10" t="inlineStr"/>
      <c r="D3530" s="10" t="inlineStr"/>
      <c r="E3530" s="10" t="inlineStr">
        <is>
          <t>MAGNETIC PINS</t>
        </is>
      </c>
      <c r="F3530" s="10" t="inlineStr"/>
      <c r="G3530" s="10" t="inlineStr"/>
      <c r="H3530" s="10" t="inlineStr"/>
      <c r="I3530" s="11" t="n">
        <v>2</v>
      </c>
      <c r="J3530" s="6" t="n">
        <v>15</v>
      </c>
      <c r="K3530" s="7">
        <f>IF(I3530="","",I3530*(1+J3530/100))</f>
        <v/>
      </c>
      <c r="L3530" s="12" t="inlineStr"/>
      <c r="M3530" s="8">
        <f>IF(OR(L3530="",K3530="",L3530=0),"",
  (L3530-K3530)/L3530*100)</f>
        <v/>
      </c>
      <c r="N3530" s="9" t="inlineStr"/>
      <c r="O3530" s="10" t="inlineStr"/>
      <c r="P3530" s="10" t="inlineStr"/>
      <c r="Q3530" s="10" t="inlineStr"/>
      <c r="R3530" s="10" t="inlineStr">
        <is>
          <t>2026-03-12</t>
        </is>
      </c>
      <c r="S3530" s="10" t="inlineStr"/>
    </row>
    <row r="3531">
      <c r="A3531" s="3" t="inlineStr">
        <is>
          <t>H0124</t>
        </is>
      </c>
      <c r="B3531" s="4" t="inlineStr">
        <is>
          <t>H0124</t>
        </is>
      </c>
      <c r="C3531" s="4" t="inlineStr"/>
      <c r="D3531" s="4" t="inlineStr"/>
      <c r="E3531" s="3" t="inlineStr">
        <is>
          <t>MAGNETIC PINS</t>
        </is>
      </c>
      <c r="F3531" s="4" t="inlineStr"/>
      <c r="G3531" s="4" t="inlineStr"/>
      <c r="H3531" s="4" t="inlineStr"/>
      <c r="I3531" s="5" t="n">
        <v>2</v>
      </c>
      <c r="J3531" s="6" t="n">
        <v>15</v>
      </c>
      <c r="K3531" s="7">
        <f>IF(I3531="","",I3531*(1+J3531/100))</f>
        <v/>
      </c>
      <c r="L3531" s="12" t="inlineStr"/>
      <c r="M3531" s="8">
        <f>IF(OR(L3531="",K3531="",L3531=0),"",
  (L3531-K3531)/L3531*100)</f>
        <v/>
      </c>
      <c r="N3531" s="9" t="inlineStr"/>
      <c r="O3531" s="4" t="inlineStr"/>
      <c r="P3531" s="4" t="inlineStr"/>
      <c r="Q3531" s="4" t="inlineStr"/>
      <c r="R3531" s="4" t="inlineStr">
        <is>
          <t>2026-03-12</t>
        </is>
      </c>
      <c r="S3531" s="4" t="inlineStr"/>
    </row>
    <row r="3532">
      <c r="A3532" s="10" t="inlineStr">
        <is>
          <t>H0125</t>
        </is>
      </c>
      <c r="B3532" s="10" t="inlineStr">
        <is>
          <t>H0125</t>
        </is>
      </c>
      <c r="C3532" s="10" t="inlineStr"/>
      <c r="D3532" s="10" t="inlineStr"/>
      <c r="E3532" s="10" t="inlineStr">
        <is>
          <t>PEARL PINS</t>
        </is>
      </c>
      <c r="F3532" s="10" t="inlineStr"/>
      <c r="G3532" s="10" t="inlineStr"/>
      <c r="H3532" s="10" t="inlineStr"/>
      <c r="I3532" s="11" t="n">
        <v>2</v>
      </c>
      <c r="J3532" s="6" t="n">
        <v>15</v>
      </c>
      <c r="K3532" s="7">
        <f>IF(I3532="","",I3532*(1+J3532/100))</f>
        <v/>
      </c>
      <c r="L3532" s="12" t="inlineStr"/>
      <c r="M3532" s="8">
        <f>IF(OR(L3532="",K3532="",L3532=0),"",
  (L3532-K3532)/L3532*100)</f>
        <v/>
      </c>
      <c r="N3532" s="9" t="inlineStr"/>
      <c r="O3532" s="10" t="inlineStr"/>
      <c r="P3532" s="10" t="inlineStr"/>
      <c r="Q3532" s="10" t="inlineStr"/>
      <c r="R3532" s="10" t="inlineStr">
        <is>
          <t>2026-03-12</t>
        </is>
      </c>
      <c r="S3532" s="10" t="inlineStr"/>
    </row>
    <row r="3533">
      <c r="A3533" s="3" t="inlineStr">
        <is>
          <t>H0126</t>
        </is>
      </c>
      <c r="B3533" s="4" t="inlineStr">
        <is>
          <t>H0126</t>
        </is>
      </c>
      <c r="C3533" s="4" t="inlineStr"/>
      <c r="D3533" s="4" t="inlineStr"/>
      <c r="E3533" s="3" t="inlineStr">
        <is>
          <t>POLYESTER SCARVES</t>
        </is>
      </c>
      <c r="F3533" s="4" t="inlineStr"/>
      <c r="G3533" s="4" t="inlineStr"/>
      <c r="H3533" s="4" t="inlineStr"/>
      <c r="I3533" s="5" t="n">
        <v>2</v>
      </c>
      <c r="J3533" s="6" t="n">
        <v>15</v>
      </c>
      <c r="K3533" s="7">
        <f>IF(I3533="","",I3533*(1+J3533/100))</f>
        <v/>
      </c>
      <c r="L3533" s="12" t="inlineStr"/>
      <c r="M3533" s="8">
        <f>IF(OR(L3533="",K3533="",L3533=0),"",
  (L3533-K3533)/L3533*100)</f>
        <v/>
      </c>
      <c r="N3533" s="9" t="inlineStr"/>
      <c r="O3533" s="4" t="inlineStr"/>
      <c r="P3533" s="4" t="inlineStr"/>
      <c r="Q3533" s="4" t="inlineStr"/>
      <c r="R3533" s="4" t="inlineStr">
        <is>
          <t>2026-03-12</t>
        </is>
      </c>
      <c r="S3533" s="4" t="inlineStr"/>
    </row>
    <row r="3534">
      <c r="A3534" s="10" t="inlineStr">
        <is>
          <t>H0127</t>
        </is>
      </c>
      <c r="B3534" s="10" t="inlineStr">
        <is>
          <t>H0127</t>
        </is>
      </c>
      <c r="C3534" s="10" t="inlineStr"/>
      <c r="D3534" s="10" t="inlineStr"/>
      <c r="E3534" s="10" t="inlineStr">
        <is>
          <t>MAGNETIC PINS</t>
        </is>
      </c>
      <c r="F3534" s="10" t="inlineStr"/>
      <c r="G3534" s="10" t="inlineStr"/>
      <c r="H3534" s="10" t="inlineStr"/>
      <c r="I3534" s="11" t="n">
        <v>2</v>
      </c>
      <c r="J3534" s="6" t="n">
        <v>15</v>
      </c>
      <c r="K3534" s="7">
        <f>IF(I3534="","",I3534*(1+J3534/100))</f>
        <v/>
      </c>
      <c r="L3534" s="12" t="inlineStr"/>
      <c r="M3534" s="8">
        <f>IF(OR(L3534="",K3534="",L3534=0),"",
  (L3534-K3534)/L3534*100)</f>
        <v/>
      </c>
      <c r="N3534" s="9" t="inlineStr"/>
      <c r="O3534" s="10" t="inlineStr"/>
      <c r="P3534" s="10" t="inlineStr"/>
      <c r="Q3534" s="10" t="inlineStr"/>
      <c r="R3534" s="10" t="inlineStr">
        <is>
          <t>2026-03-12</t>
        </is>
      </c>
      <c r="S3534" s="10" t="inlineStr"/>
    </row>
    <row r="3535">
      <c r="A3535" s="3" t="inlineStr">
        <is>
          <t>H0128</t>
        </is>
      </c>
      <c r="B3535" s="4" t="inlineStr">
        <is>
          <t>H0128</t>
        </is>
      </c>
      <c r="C3535" s="4" t="inlineStr"/>
      <c r="D3535" s="4" t="inlineStr"/>
      <c r="E3535" s="3" t="inlineStr">
        <is>
          <t>POLYESTER SCARVES</t>
        </is>
      </c>
      <c r="F3535" s="4" t="inlineStr"/>
      <c r="G3535" s="4" t="inlineStr"/>
      <c r="H3535" s="4" t="inlineStr"/>
      <c r="I3535" s="5" t="n">
        <v>2</v>
      </c>
      <c r="J3535" s="6" t="n">
        <v>15</v>
      </c>
      <c r="K3535" s="7">
        <f>IF(I3535="","",I3535*(1+J3535/100))</f>
        <v/>
      </c>
      <c r="L3535" s="12" t="inlineStr"/>
      <c r="M3535" s="8">
        <f>IF(OR(L3535="",K3535="",L3535=0),"",
  (L3535-K3535)/L3535*100)</f>
        <v/>
      </c>
      <c r="N3535" s="9" t="inlineStr"/>
      <c r="O3535" s="4" t="inlineStr"/>
      <c r="P3535" s="4" t="inlineStr"/>
      <c r="Q3535" s="4" t="inlineStr"/>
      <c r="R3535" s="4" t="inlineStr">
        <is>
          <t>2026-03-12</t>
        </is>
      </c>
      <c r="S3535" s="4" t="inlineStr"/>
    </row>
    <row r="3536">
      <c r="A3536" s="10" t="inlineStr">
        <is>
          <t>H0129</t>
        </is>
      </c>
      <c r="B3536" s="10" t="inlineStr">
        <is>
          <t>H0129</t>
        </is>
      </c>
      <c r="C3536" s="10" t="inlineStr"/>
      <c r="D3536" s="10" t="inlineStr"/>
      <c r="E3536" s="10" t="inlineStr">
        <is>
          <t>CHIFFON SCARVES</t>
        </is>
      </c>
      <c r="F3536" s="10" t="inlineStr"/>
      <c r="G3536" s="10" t="inlineStr"/>
      <c r="H3536" s="10" t="inlineStr"/>
      <c r="I3536" s="11" t="n">
        <v>2</v>
      </c>
      <c r="J3536" s="6" t="n">
        <v>15</v>
      </c>
      <c r="K3536" s="7">
        <f>IF(I3536="","",I3536*(1+J3536/100))</f>
        <v/>
      </c>
      <c r="L3536" s="12" t="inlineStr"/>
      <c r="M3536" s="8">
        <f>IF(OR(L3536="",K3536="",L3536=0),"",
  (L3536-K3536)/L3536*100)</f>
        <v/>
      </c>
      <c r="N3536" s="9" t="inlineStr"/>
      <c r="O3536" s="10" t="inlineStr"/>
      <c r="P3536" s="10" t="inlineStr"/>
      <c r="Q3536" s="10" t="inlineStr"/>
      <c r="R3536" s="10" t="inlineStr">
        <is>
          <t>2026-03-12</t>
        </is>
      </c>
      <c r="S3536" s="10" t="inlineStr"/>
    </row>
    <row r="3537">
      <c r="A3537" s="3" t="inlineStr">
        <is>
          <t>H0130</t>
        </is>
      </c>
      <c r="B3537" s="4" t="inlineStr">
        <is>
          <t>H0130</t>
        </is>
      </c>
      <c r="C3537" s="4" t="inlineStr"/>
      <c r="D3537" s="4" t="inlineStr"/>
      <c r="E3537" s="3" t="inlineStr">
        <is>
          <t>POLYESTER SCARVES</t>
        </is>
      </c>
      <c r="F3537" s="4" t="inlineStr"/>
      <c r="G3537" s="4" t="inlineStr"/>
      <c r="H3537" s="4" t="inlineStr"/>
      <c r="I3537" s="5" t="n">
        <v>2</v>
      </c>
      <c r="J3537" s="6" t="n">
        <v>15</v>
      </c>
      <c r="K3537" s="7">
        <f>IF(I3537="","",I3537*(1+J3537/100))</f>
        <v/>
      </c>
      <c r="L3537" s="12" t="inlineStr"/>
      <c r="M3537" s="8">
        <f>IF(OR(L3537="",K3537="",L3537=0),"",
  (L3537-K3537)/L3537*100)</f>
        <v/>
      </c>
      <c r="N3537" s="9" t="inlineStr"/>
      <c r="O3537" s="4" t="inlineStr"/>
      <c r="P3537" s="4" t="inlineStr"/>
      <c r="Q3537" s="4" t="inlineStr"/>
      <c r="R3537" s="4" t="inlineStr">
        <is>
          <t>2026-03-12</t>
        </is>
      </c>
      <c r="S3537" s="4" t="inlineStr"/>
    </row>
    <row r="3538">
      <c r="A3538" s="10" t="inlineStr">
        <is>
          <t>H0131</t>
        </is>
      </c>
      <c r="B3538" s="10" t="inlineStr">
        <is>
          <t>H0131</t>
        </is>
      </c>
      <c r="C3538" s="10" t="inlineStr"/>
      <c r="D3538" s="10" t="inlineStr"/>
      <c r="E3538" s="10" t="inlineStr">
        <is>
          <t>MAGNETIC PIN</t>
        </is>
      </c>
      <c r="F3538" s="10" t="inlineStr"/>
      <c r="G3538" s="10" t="inlineStr"/>
      <c r="H3538" s="10" t="inlineStr"/>
      <c r="I3538" s="11" t="n">
        <v>2</v>
      </c>
      <c r="J3538" s="6" t="n">
        <v>15</v>
      </c>
      <c r="K3538" s="7">
        <f>IF(I3538="","",I3538*(1+J3538/100))</f>
        <v/>
      </c>
      <c r="L3538" s="12" t="inlineStr"/>
      <c r="M3538" s="8">
        <f>IF(OR(L3538="",K3538="",L3538=0),"",
  (L3538-K3538)/L3538*100)</f>
        <v/>
      </c>
      <c r="N3538" s="9" t="inlineStr"/>
      <c r="O3538" s="10" t="inlineStr"/>
      <c r="P3538" s="10" t="inlineStr"/>
      <c r="Q3538" s="10" t="inlineStr"/>
      <c r="R3538" s="10" t="inlineStr">
        <is>
          <t>2026-03-12</t>
        </is>
      </c>
      <c r="S3538" s="10" t="inlineStr"/>
    </row>
    <row r="3539">
      <c r="A3539" s="15" t="n"/>
      <c r="B3539" s="4" t="n"/>
      <c r="C3539" s="4" t="n"/>
      <c r="D3539" s="4" t="n"/>
      <c r="E3539" s="15" t="n"/>
      <c r="F3539" s="4" t="n"/>
      <c r="G3539" s="4" t="n"/>
      <c r="H3539" s="4" t="n"/>
      <c r="I3539" s="15" t="n"/>
      <c r="J3539" s="6" t="n">
        <v>15</v>
      </c>
      <c r="K3539" s="7">
        <f>IF(I3539="","",I3539*(1+J3539/100))</f>
        <v/>
      </c>
      <c r="L3539" s="15" t="n"/>
      <c r="M3539" s="8">
        <f>IF(OR(L3539="",K3539="",L3539=0),"",
  (L3539-K3539)/L3539*100)</f>
        <v/>
      </c>
      <c r="N3539" s="15" t="n"/>
      <c r="O3539" s="4" t="n"/>
      <c r="P3539" s="4" t="n"/>
      <c r="Q3539" s="4" t="n"/>
      <c r="R3539" s="4" t="n"/>
      <c r="S3539" s="4" t="n"/>
    </row>
    <row r="3540">
      <c r="A3540" s="15" t="n"/>
      <c r="B3540" s="10" t="n"/>
      <c r="C3540" s="10" t="n"/>
      <c r="D3540" s="10" t="n"/>
      <c r="E3540" s="15" t="n"/>
      <c r="F3540" s="10" t="n"/>
      <c r="G3540" s="10" t="n"/>
      <c r="H3540" s="10" t="n"/>
      <c r="I3540" s="15" t="n"/>
      <c r="J3540" s="6" t="n">
        <v>15</v>
      </c>
      <c r="K3540" s="7">
        <f>IF(I3540="","",I3540*(1+J3540/100))</f>
        <v/>
      </c>
      <c r="L3540" s="15" t="n"/>
      <c r="M3540" s="8">
        <f>IF(OR(L3540="",K3540="",L3540=0),"",
  (L3540-K3540)/L3540*100)</f>
        <v/>
      </c>
      <c r="N3540" s="15" t="n"/>
      <c r="O3540" s="10" t="n"/>
      <c r="P3540" s="10" t="n"/>
      <c r="Q3540" s="10" t="n"/>
      <c r="R3540" s="10" t="n"/>
      <c r="S3540" s="10" t="n"/>
    </row>
    <row r="3541">
      <c r="A3541" s="15" t="n"/>
      <c r="B3541" s="4" t="n"/>
      <c r="C3541" s="4" t="n"/>
      <c r="D3541" s="4" t="n"/>
      <c r="E3541" s="15" t="n"/>
      <c r="F3541" s="4" t="n"/>
      <c r="G3541" s="4" t="n"/>
      <c r="H3541" s="4" t="n"/>
      <c r="I3541" s="15" t="n"/>
      <c r="J3541" s="6" t="n">
        <v>15</v>
      </c>
      <c r="K3541" s="7">
        <f>IF(I3541="","",I3541*(1+J3541/100))</f>
        <v/>
      </c>
      <c r="L3541" s="15" t="n"/>
      <c r="M3541" s="8">
        <f>IF(OR(L3541="",K3541="",L3541=0),"",
  (L3541-K3541)/L3541*100)</f>
        <v/>
      </c>
      <c r="N3541" s="15" t="n"/>
      <c r="O3541" s="4" t="n"/>
      <c r="P3541" s="4" t="n"/>
      <c r="Q3541" s="4" t="n"/>
      <c r="R3541" s="4" t="n"/>
      <c r="S3541" s="4" t="n"/>
    </row>
    <row r="3542">
      <c r="A3542" s="15" t="n"/>
      <c r="B3542" s="10" t="n"/>
      <c r="C3542" s="10" t="n"/>
      <c r="D3542" s="10" t="n"/>
      <c r="E3542" s="15" t="n"/>
      <c r="F3542" s="10" t="n"/>
      <c r="G3542" s="10" t="n"/>
      <c r="H3542" s="10" t="n"/>
      <c r="I3542" s="15" t="n"/>
      <c r="J3542" s="6" t="n">
        <v>15</v>
      </c>
      <c r="K3542" s="7">
        <f>IF(I3542="","",I3542*(1+J3542/100))</f>
        <v/>
      </c>
      <c r="L3542" s="15" t="n"/>
      <c r="M3542" s="8">
        <f>IF(OR(L3542="",K3542="",L3542=0),"",
  (L3542-K3542)/L3542*100)</f>
        <v/>
      </c>
      <c r="N3542" s="15" t="n"/>
      <c r="O3542" s="10" t="n"/>
      <c r="P3542" s="10" t="n"/>
      <c r="Q3542" s="10" t="n"/>
      <c r="R3542" s="10" t="n"/>
      <c r="S3542" s="10" t="n"/>
    </row>
    <row r="3543">
      <c r="A3543" s="15" t="n"/>
      <c r="B3543" s="4" t="n"/>
      <c r="C3543" s="4" t="n"/>
      <c r="D3543" s="4" t="n"/>
      <c r="E3543" s="15" t="n"/>
      <c r="F3543" s="4" t="n"/>
      <c r="G3543" s="4" t="n"/>
      <c r="H3543" s="4" t="n"/>
      <c r="I3543" s="15" t="n"/>
      <c r="J3543" s="6" t="n">
        <v>15</v>
      </c>
      <c r="K3543" s="7">
        <f>IF(I3543="","",I3543*(1+J3543/100))</f>
        <v/>
      </c>
      <c r="L3543" s="15" t="n"/>
      <c r="M3543" s="8">
        <f>IF(OR(L3543="",K3543="",L3543=0),"",
  (L3543-K3543)/L3543*100)</f>
        <v/>
      </c>
      <c r="N3543" s="15" t="n"/>
      <c r="O3543" s="4" t="n"/>
      <c r="P3543" s="4" t="n"/>
      <c r="Q3543" s="4" t="n"/>
      <c r="R3543" s="4" t="n"/>
      <c r="S3543" s="4" t="n"/>
    </row>
    <row r="3544">
      <c r="A3544" s="15" t="n"/>
      <c r="B3544" s="10" t="n"/>
      <c r="C3544" s="10" t="n"/>
      <c r="D3544" s="10" t="n"/>
      <c r="E3544" s="15" t="n"/>
      <c r="F3544" s="10" t="n"/>
      <c r="G3544" s="10" t="n"/>
      <c r="H3544" s="10" t="n"/>
      <c r="I3544" s="15" t="n"/>
      <c r="J3544" s="6" t="n">
        <v>15</v>
      </c>
      <c r="K3544" s="7">
        <f>IF(I3544="","",I3544*(1+J3544/100))</f>
        <v/>
      </c>
      <c r="L3544" s="15" t="n"/>
      <c r="M3544" s="8">
        <f>IF(OR(L3544="",K3544="",L3544=0),"",
  (L3544-K3544)/L3544*100)</f>
        <v/>
      </c>
      <c r="N3544" s="15" t="n"/>
      <c r="O3544" s="10" t="n"/>
      <c r="P3544" s="10" t="n"/>
      <c r="Q3544" s="10" t="n"/>
      <c r="R3544" s="10" t="n"/>
      <c r="S3544" s="10" t="n"/>
    </row>
    <row r="3545">
      <c r="A3545" s="15" t="n"/>
      <c r="B3545" s="4" t="n"/>
      <c r="C3545" s="4" t="n"/>
      <c r="D3545" s="4" t="n"/>
      <c r="E3545" s="15" t="n"/>
      <c r="F3545" s="4" t="n"/>
      <c r="G3545" s="4" t="n"/>
      <c r="H3545" s="4" t="n"/>
      <c r="I3545" s="15" t="n"/>
      <c r="J3545" s="6" t="n">
        <v>15</v>
      </c>
      <c r="K3545" s="7">
        <f>IF(I3545="","",I3545*(1+J3545/100))</f>
        <v/>
      </c>
      <c r="L3545" s="15" t="n"/>
      <c r="M3545" s="8">
        <f>IF(OR(L3545="",K3545="",L3545=0),"",
  (L3545-K3545)/L3545*100)</f>
        <v/>
      </c>
      <c r="N3545" s="15" t="n"/>
      <c r="O3545" s="4" t="n"/>
      <c r="P3545" s="4" t="n"/>
      <c r="Q3545" s="4" t="n"/>
      <c r="R3545" s="4" t="n"/>
      <c r="S3545" s="4" t="n"/>
    </row>
    <row r="3546">
      <c r="A3546" s="15" t="n"/>
      <c r="B3546" s="10" t="n"/>
      <c r="C3546" s="10" t="n"/>
      <c r="D3546" s="10" t="n"/>
      <c r="E3546" s="15" t="n"/>
      <c r="F3546" s="10" t="n"/>
      <c r="G3546" s="10" t="n"/>
      <c r="H3546" s="10" t="n"/>
      <c r="I3546" s="15" t="n"/>
      <c r="J3546" s="6" t="n">
        <v>15</v>
      </c>
      <c r="K3546" s="7">
        <f>IF(I3546="","",I3546*(1+J3546/100))</f>
        <v/>
      </c>
      <c r="L3546" s="15" t="n"/>
      <c r="M3546" s="8">
        <f>IF(OR(L3546="",K3546="",L3546=0),"",
  (L3546-K3546)/L3546*100)</f>
        <v/>
      </c>
      <c r="N3546" s="15" t="n"/>
      <c r="O3546" s="10" t="n"/>
      <c r="P3546" s="10" t="n"/>
      <c r="Q3546" s="10" t="n"/>
      <c r="R3546" s="10" t="n"/>
      <c r="S3546" s="10" t="n"/>
    </row>
    <row r="3547">
      <c r="A3547" s="15" t="n"/>
      <c r="B3547" s="4" t="n"/>
      <c r="C3547" s="4" t="n"/>
      <c r="D3547" s="4" t="n"/>
      <c r="E3547" s="15" t="n"/>
      <c r="F3547" s="4" t="n"/>
      <c r="G3547" s="4" t="n"/>
      <c r="H3547" s="4" t="n"/>
      <c r="I3547" s="15" t="n"/>
      <c r="J3547" s="6" t="n">
        <v>15</v>
      </c>
      <c r="K3547" s="7">
        <f>IF(I3547="","",I3547*(1+J3547/100))</f>
        <v/>
      </c>
      <c r="L3547" s="15" t="n"/>
      <c r="M3547" s="8">
        <f>IF(OR(L3547="",K3547="",L3547=0),"",
  (L3547-K3547)/L3547*100)</f>
        <v/>
      </c>
      <c r="N3547" s="15" t="n"/>
      <c r="O3547" s="4" t="n"/>
      <c r="P3547" s="4" t="n"/>
      <c r="Q3547" s="4" t="n"/>
      <c r="R3547" s="4" t="n"/>
      <c r="S3547" s="4" t="n"/>
    </row>
    <row r="3548">
      <c r="A3548" s="15" t="n"/>
      <c r="B3548" s="10" t="n"/>
      <c r="C3548" s="10" t="n"/>
      <c r="D3548" s="10" t="n"/>
      <c r="E3548" s="15" t="n"/>
      <c r="F3548" s="10" t="n"/>
      <c r="G3548" s="10" t="n"/>
      <c r="H3548" s="10" t="n"/>
      <c r="I3548" s="15" t="n"/>
      <c r="J3548" s="6" t="n">
        <v>15</v>
      </c>
      <c r="K3548" s="7">
        <f>IF(I3548="","",I3548*(1+J3548/100))</f>
        <v/>
      </c>
      <c r="L3548" s="15" t="n"/>
      <c r="M3548" s="8">
        <f>IF(OR(L3548="",K3548="",L3548=0),"",
  (L3548-K3548)/L3548*100)</f>
        <v/>
      </c>
      <c r="N3548" s="15" t="n"/>
      <c r="O3548" s="10" t="n"/>
      <c r="P3548" s="10" t="n"/>
      <c r="Q3548" s="10" t="n"/>
      <c r="R3548" s="10" t="n"/>
      <c r="S3548" s="10" t="n"/>
    </row>
    <row r="3549">
      <c r="A3549" s="15" t="n"/>
      <c r="B3549" s="4" t="n"/>
      <c r="C3549" s="4" t="n"/>
      <c r="D3549" s="4" t="n"/>
      <c r="E3549" s="15" t="n"/>
      <c r="F3549" s="4" t="n"/>
      <c r="G3549" s="4" t="n"/>
      <c r="H3549" s="4" t="n"/>
      <c r="I3549" s="15" t="n"/>
      <c r="J3549" s="6" t="n">
        <v>15</v>
      </c>
      <c r="K3549" s="7">
        <f>IF(I3549="","",I3549*(1+J3549/100))</f>
        <v/>
      </c>
      <c r="L3549" s="15" t="n"/>
      <c r="M3549" s="8">
        <f>IF(OR(L3549="",K3549="",L3549=0),"",
  (L3549-K3549)/L3549*100)</f>
        <v/>
      </c>
      <c r="N3549" s="15" t="n"/>
      <c r="O3549" s="4" t="n"/>
      <c r="P3549" s="4" t="n"/>
      <c r="Q3549" s="4" t="n"/>
      <c r="R3549" s="4" t="n"/>
      <c r="S3549" s="4" t="n"/>
    </row>
    <row r="3550">
      <c r="A3550" s="15" t="n"/>
      <c r="B3550" s="10" t="n"/>
      <c r="C3550" s="10" t="n"/>
      <c r="D3550" s="10" t="n"/>
      <c r="E3550" s="15" t="n"/>
      <c r="F3550" s="10" t="n"/>
      <c r="G3550" s="10" t="n"/>
      <c r="H3550" s="10" t="n"/>
      <c r="I3550" s="15" t="n"/>
      <c r="J3550" s="6" t="n">
        <v>15</v>
      </c>
      <c r="K3550" s="7">
        <f>IF(I3550="","",I3550*(1+J3550/100))</f>
        <v/>
      </c>
      <c r="L3550" s="15" t="n"/>
      <c r="M3550" s="8">
        <f>IF(OR(L3550="",K3550="",L3550=0),"",
  (L3550-K3550)/L3550*100)</f>
        <v/>
      </c>
      <c r="N3550" s="15" t="n"/>
      <c r="O3550" s="10" t="n"/>
      <c r="P3550" s="10" t="n"/>
      <c r="Q3550" s="10" t="n"/>
      <c r="R3550" s="10" t="n"/>
      <c r="S3550" s="10" t="n"/>
    </row>
    <row r="3551">
      <c r="A3551" s="15" t="n"/>
      <c r="B3551" s="4" t="n"/>
      <c r="C3551" s="4" t="n"/>
      <c r="D3551" s="4" t="n"/>
      <c r="E3551" s="15" t="n"/>
      <c r="F3551" s="4" t="n"/>
      <c r="G3551" s="4" t="n"/>
      <c r="H3551" s="4" t="n"/>
      <c r="I3551" s="15" t="n"/>
      <c r="J3551" s="6" t="n">
        <v>15</v>
      </c>
      <c r="K3551" s="7">
        <f>IF(I3551="","",I3551*(1+J3551/100))</f>
        <v/>
      </c>
      <c r="L3551" s="15" t="n"/>
      <c r="M3551" s="8">
        <f>IF(OR(L3551="",K3551="",L3551=0),"",
  (L3551-K3551)/L3551*100)</f>
        <v/>
      </c>
      <c r="N3551" s="15" t="n"/>
      <c r="O3551" s="4" t="n"/>
      <c r="P3551" s="4" t="n"/>
      <c r="Q3551" s="4" t="n"/>
      <c r="R3551" s="4" t="n"/>
      <c r="S3551" s="4" t="n"/>
    </row>
    <row r="3552">
      <c r="A3552" s="15" t="n"/>
      <c r="B3552" s="10" t="n"/>
      <c r="C3552" s="10" t="n"/>
      <c r="D3552" s="10" t="n"/>
      <c r="E3552" s="15" t="n"/>
      <c r="F3552" s="10" t="n"/>
      <c r="G3552" s="10" t="n"/>
      <c r="H3552" s="10" t="n"/>
      <c r="I3552" s="15" t="n"/>
      <c r="J3552" s="6" t="n">
        <v>15</v>
      </c>
      <c r="K3552" s="7">
        <f>IF(I3552="","",I3552*(1+J3552/100))</f>
        <v/>
      </c>
      <c r="L3552" s="15" t="n"/>
      <c r="M3552" s="8">
        <f>IF(OR(L3552="",K3552="",L3552=0),"",
  (L3552-K3552)/L3552*100)</f>
        <v/>
      </c>
      <c r="N3552" s="15" t="n"/>
      <c r="O3552" s="10" t="n"/>
      <c r="P3552" s="10" t="n"/>
      <c r="Q3552" s="10" t="n"/>
      <c r="R3552" s="10" t="n"/>
      <c r="S3552" s="10" t="n"/>
    </row>
    <row r="3553">
      <c r="A3553" s="15" t="n"/>
      <c r="B3553" s="4" t="n"/>
      <c r="C3553" s="4" t="n"/>
      <c r="D3553" s="4" t="n"/>
      <c r="E3553" s="15" t="n"/>
      <c r="F3553" s="4" t="n"/>
      <c r="G3553" s="4" t="n"/>
      <c r="H3553" s="4" t="n"/>
      <c r="I3553" s="15" t="n"/>
      <c r="J3553" s="6" t="n">
        <v>15</v>
      </c>
      <c r="K3553" s="7">
        <f>IF(I3553="","",I3553*(1+J3553/100))</f>
        <v/>
      </c>
      <c r="L3553" s="15" t="n"/>
      <c r="M3553" s="8">
        <f>IF(OR(L3553="",K3553="",L3553=0),"",
  (L3553-K3553)/L3553*100)</f>
        <v/>
      </c>
      <c r="N3553" s="15" t="n"/>
      <c r="O3553" s="4" t="n"/>
      <c r="P3553" s="4" t="n"/>
      <c r="Q3553" s="4" t="n"/>
      <c r="R3553" s="4" t="n"/>
      <c r="S3553" s="4" t="n"/>
    </row>
    <row r="3554">
      <c r="A3554" s="15" t="n"/>
      <c r="B3554" s="10" t="n"/>
      <c r="C3554" s="10" t="n"/>
      <c r="D3554" s="10" t="n"/>
      <c r="E3554" s="15" t="n"/>
      <c r="F3554" s="10" t="n"/>
      <c r="G3554" s="10" t="n"/>
      <c r="H3554" s="10" t="n"/>
      <c r="I3554" s="15" t="n"/>
      <c r="J3554" s="6" t="n">
        <v>15</v>
      </c>
      <c r="K3554" s="7">
        <f>IF(I3554="","",I3554*(1+J3554/100))</f>
        <v/>
      </c>
      <c r="L3554" s="15" t="n"/>
      <c r="M3554" s="8">
        <f>IF(OR(L3554="",K3554="",L3554=0),"",
  (L3554-K3554)/L3554*100)</f>
        <v/>
      </c>
      <c r="N3554" s="15" t="n"/>
      <c r="O3554" s="10" t="n"/>
      <c r="P3554" s="10" t="n"/>
      <c r="Q3554" s="10" t="n"/>
      <c r="R3554" s="10" t="n"/>
      <c r="S3554" s="10" t="n"/>
    </row>
    <row r="3555">
      <c r="A3555" s="15" t="n"/>
      <c r="B3555" s="4" t="n"/>
      <c r="C3555" s="4" t="n"/>
      <c r="D3555" s="4" t="n"/>
      <c r="E3555" s="15" t="n"/>
      <c r="F3555" s="4" t="n"/>
      <c r="G3555" s="4" t="n"/>
      <c r="H3555" s="4" t="n"/>
      <c r="I3555" s="15" t="n"/>
      <c r="J3555" s="6" t="n">
        <v>15</v>
      </c>
      <c r="K3555" s="7">
        <f>IF(I3555="","",I3555*(1+J3555/100))</f>
        <v/>
      </c>
      <c r="L3555" s="15" t="n"/>
      <c r="M3555" s="8">
        <f>IF(OR(L3555="",K3555="",L3555=0),"",
  (L3555-K3555)/L3555*100)</f>
        <v/>
      </c>
      <c r="N3555" s="15" t="n"/>
      <c r="O3555" s="4" t="n"/>
      <c r="P3555" s="4" t="n"/>
      <c r="Q3555" s="4" t="n"/>
      <c r="R3555" s="4" t="n"/>
      <c r="S3555" s="4" t="n"/>
    </row>
    <row r="3556">
      <c r="A3556" s="15" t="n"/>
      <c r="B3556" s="10" t="n"/>
      <c r="C3556" s="10" t="n"/>
      <c r="D3556" s="10" t="n"/>
      <c r="E3556" s="15" t="n"/>
      <c r="F3556" s="10" t="n"/>
      <c r="G3556" s="10" t="n"/>
      <c r="H3556" s="10" t="n"/>
      <c r="I3556" s="15" t="n"/>
      <c r="J3556" s="6" t="n">
        <v>15</v>
      </c>
      <c r="K3556" s="7">
        <f>IF(I3556="","",I3556*(1+J3556/100))</f>
        <v/>
      </c>
      <c r="L3556" s="15" t="n"/>
      <c r="M3556" s="8">
        <f>IF(OR(L3556="",K3556="",L3556=0),"",
  (L3556-K3556)/L3556*100)</f>
        <v/>
      </c>
      <c r="N3556" s="15" t="n"/>
      <c r="O3556" s="10" t="n"/>
      <c r="P3556" s="10" t="n"/>
      <c r="Q3556" s="10" t="n"/>
      <c r="R3556" s="10" t="n"/>
      <c r="S3556" s="10" t="n"/>
    </row>
    <row r="3557">
      <c r="A3557" s="15" t="n"/>
      <c r="B3557" s="4" t="n"/>
      <c r="C3557" s="4" t="n"/>
      <c r="D3557" s="4" t="n"/>
      <c r="E3557" s="15" t="n"/>
      <c r="F3557" s="4" t="n"/>
      <c r="G3557" s="4" t="n"/>
      <c r="H3557" s="4" t="n"/>
      <c r="I3557" s="15" t="n"/>
      <c r="J3557" s="6" t="n">
        <v>15</v>
      </c>
      <c r="K3557" s="7">
        <f>IF(I3557="","",I3557*(1+J3557/100))</f>
        <v/>
      </c>
      <c r="L3557" s="15" t="n"/>
      <c r="M3557" s="8">
        <f>IF(OR(L3557="",K3557="",L3557=0),"",
  (L3557-K3557)/L3557*100)</f>
        <v/>
      </c>
      <c r="N3557" s="15" t="n"/>
      <c r="O3557" s="4" t="n"/>
      <c r="P3557" s="4" t="n"/>
      <c r="Q3557" s="4" t="n"/>
      <c r="R3557" s="4" t="n"/>
      <c r="S3557" s="4" t="n"/>
    </row>
    <row r="3558">
      <c r="A3558" s="15" t="n"/>
      <c r="B3558" s="10" t="n"/>
      <c r="C3558" s="10" t="n"/>
      <c r="D3558" s="10" t="n"/>
      <c r="E3558" s="15" t="n"/>
      <c r="F3558" s="10" t="n"/>
      <c r="G3558" s="10" t="n"/>
      <c r="H3558" s="10" t="n"/>
      <c r="I3558" s="15" t="n"/>
      <c r="J3558" s="6" t="n">
        <v>15</v>
      </c>
      <c r="K3558" s="7">
        <f>IF(I3558="","",I3558*(1+J3558/100))</f>
        <v/>
      </c>
      <c r="L3558" s="15" t="n"/>
      <c r="M3558" s="8">
        <f>IF(OR(L3558="",K3558="",L3558=0),"",
  (L3558-K3558)/L3558*100)</f>
        <v/>
      </c>
      <c r="N3558" s="15" t="n"/>
      <c r="O3558" s="10" t="n"/>
      <c r="P3558" s="10" t="n"/>
      <c r="Q3558" s="10" t="n"/>
      <c r="R3558" s="10" t="n"/>
      <c r="S3558" s="10" t="n"/>
    </row>
    <row r="3559">
      <c r="A3559" s="15" t="n"/>
      <c r="B3559" s="4" t="n"/>
      <c r="C3559" s="4" t="n"/>
      <c r="D3559" s="4" t="n"/>
      <c r="E3559" s="15" t="n"/>
      <c r="F3559" s="4" t="n"/>
      <c r="G3559" s="4" t="n"/>
      <c r="H3559" s="4" t="n"/>
      <c r="I3559" s="15" t="n"/>
      <c r="J3559" s="6" t="n">
        <v>15</v>
      </c>
      <c r="K3559" s="7">
        <f>IF(I3559="","",I3559*(1+J3559/100))</f>
        <v/>
      </c>
      <c r="L3559" s="15" t="n"/>
      <c r="M3559" s="8">
        <f>IF(OR(L3559="",K3559="",L3559=0),"",
  (L3559-K3559)/L3559*100)</f>
        <v/>
      </c>
      <c r="N3559" s="15" t="n"/>
      <c r="O3559" s="4" t="n"/>
      <c r="P3559" s="4" t="n"/>
      <c r="Q3559" s="4" t="n"/>
      <c r="R3559" s="4" t="n"/>
      <c r="S3559" s="4" t="n"/>
    </row>
    <row r="3560">
      <c r="A3560" s="15" t="n"/>
      <c r="B3560" s="10" t="n"/>
      <c r="C3560" s="10" t="n"/>
      <c r="D3560" s="10" t="n"/>
      <c r="E3560" s="15" t="n"/>
      <c r="F3560" s="10" t="n"/>
      <c r="G3560" s="10" t="n"/>
      <c r="H3560" s="10" t="n"/>
      <c r="I3560" s="15" t="n"/>
      <c r="J3560" s="6" t="n">
        <v>15</v>
      </c>
      <c r="K3560" s="7">
        <f>IF(I3560="","",I3560*(1+J3560/100))</f>
        <v/>
      </c>
      <c r="L3560" s="15" t="n"/>
      <c r="M3560" s="8">
        <f>IF(OR(L3560="",K3560="",L3560=0),"",
  (L3560-K3560)/L3560*100)</f>
        <v/>
      </c>
      <c r="N3560" s="15" t="n"/>
      <c r="O3560" s="10" t="n"/>
      <c r="P3560" s="10" t="n"/>
      <c r="Q3560" s="10" t="n"/>
      <c r="R3560" s="10" t="n"/>
      <c r="S3560" s="10" t="n"/>
    </row>
    <row r="3561">
      <c r="A3561" s="15" t="n"/>
      <c r="B3561" s="4" t="n"/>
      <c r="C3561" s="4" t="n"/>
      <c r="D3561" s="4" t="n"/>
      <c r="E3561" s="15" t="n"/>
      <c r="F3561" s="4" t="n"/>
      <c r="G3561" s="4" t="n"/>
      <c r="H3561" s="4" t="n"/>
      <c r="I3561" s="15" t="n"/>
      <c r="J3561" s="6" t="n">
        <v>15</v>
      </c>
      <c r="K3561" s="7">
        <f>IF(I3561="","",I3561*(1+J3561/100))</f>
        <v/>
      </c>
      <c r="L3561" s="15" t="n"/>
      <c r="M3561" s="8">
        <f>IF(OR(L3561="",K3561="",L3561=0),"",
  (L3561-K3561)/L3561*100)</f>
        <v/>
      </c>
      <c r="N3561" s="15" t="n"/>
      <c r="O3561" s="4" t="n"/>
      <c r="P3561" s="4" t="n"/>
      <c r="Q3561" s="4" t="n"/>
      <c r="R3561" s="4" t="n"/>
      <c r="S3561" s="4" t="n"/>
    </row>
    <row r="3562">
      <c r="A3562" s="15" t="n"/>
      <c r="B3562" s="10" t="n"/>
      <c r="C3562" s="10" t="n"/>
      <c r="D3562" s="10" t="n"/>
      <c r="E3562" s="15" t="n"/>
      <c r="F3562" s="10" t="n"/>
      <c r="G3562" s="10" t="n"/>
      <c r="H3562" s="10" t="n"/>
      <c r="I3562" s="15" t="n"/>
      <c r="J3562" s="6" t="n">
        <v>15</v>
      </c>
      <c r="K3562" s="7">
        <f>IF(I3562="","",I3562*(1+J3562/100))</f>
        <v/>
      </c>
      <c r="L3562" s="15" t="n"/>
      <c r="M3562" s="8">
        <f>IF(OR(L3562="",K3562="",L3562=0),"",
  (L3562-K3562)/L3562*100)</f>
        <v/>
      </c>
      <c r="N3562" s="15" t="n"/>
      <c r="O3562" s="10" t="n"/>
      <c r="P3562" s="10" t="n"/>
      <c r="Q3562" s="10" t="n"/>
      <c r="R3562" s="10" t="n"/>
      <c r="S3562" s="10" t="n"/>
    </row>
    <row r="3563">
      <c r="A3563" s="15" t="n"/>
      <c r="B3563" s="4" t="n"/>
      <c r="C3563" s="4" t="n"/>
      <c r="D3563" s="4" t="n"/>
      <c r="E3563" s="15" t="n"/>
      <c r="F3563" s="4" t="n"/>
      <c r="G3563" s="4" t="n"/>
      <c r="H3563" s="4" t="n"/>
      <c r="I3563" s="15" t="n"/>
      <c r="J3563" s="6" t="n">
        <v>15</v>
      </c>
      <c r="K3563" s="7">
        <f>IF(I3563="","",I3563*(1+J3563/100))</f>
        <v/>
      </c>
      <c r="L3563" s="15" t="n"/>
      <c r="M3563" s="8">
        <f>IF(OR(L3563="",K3563="",L3563=0),"",
  (L3563-K3563)/L3563*100)</f>
        <v/>
      </c>
      <c r="N3563" s="15" t="n"/>
      <c r="O3563" s="4" t="n"/>
      <c r="P3563" s="4" t="n"/>
      <c r="Q3563" s="4" t="n"/>
      <c r="R3563" s="4" t="n"/>
      <c r="S3563" s="4" t="n"/>
    </row>
    <row r="3564">
      <c r="A3564" s="15" t="n"/>
      <c r="B3564" s="10" t="n"/>
      <c r="C3564" s="10" t="n"/>
      <c r="D3564" s="10" t="n"/>
      <c r="E3564" s="15" t="n"/>
      <c r="F3564" s="10" t="n"/>
      <c r="G3564" s="10" t="n"/>
      <c r="H3564" s="10" t="n"/>
      <c r="I3564" s="15" t="n"/>
      <c r="J3564" s="6" t="n">
        <v>15</v>
      </c>
      <c r="K3564" s="7">
        <f>IF(I3564="","",I3564*(1+J3564/100))</f>
        <v/>
      </c>
      <c r="L3564" s="15" t="n"/>
      <c r="M3564" s="8">
        <f>IF(OR(L3564="",K3564="",L3564=0),"",
  (L3564-K3564)/L3564*100)</f>
        <v/>
      </c>
      <c r="N3564" s="15" t="n"/>
      <c r="O3564" s="10" t="n"/>
      <c r="P3564" s="10" t="n"/>
      <c r="Q3564" s="10" t="n"/>
      <c r="R3564" s="10" t="n"/>
      <c r="S3564" s="10" t="n"/>
    </row>
    <row r="3565">
      <c r="A3565" s="15" t="n"/>
      <c r="B3565" s="4" t="n"/>
      <c r="C3565" s="4" t="n"/>
      <c r="D3565" s="4" t="n"/>
      <c r="E3565" s="15" t="n"/>
      <c r="F3565" s="4" t="n"/>
      <c r="G3565" s="4" t="n"/>
      <c r="H3565" s="4" t="n"/>
      <c r="I3565" s="15" t="n"/>
      <c r="J3565" s="6" t="n">
        <v>15</v>
      </c>
      <c r="K3565" s="7">
        <f>IF(I3565="","",I3565*(1+J3565/100))</f>
        <v/>
      </c>
      <c r="L3565" s="15" t="n"/>
      <c r="M3565" s="8">
        <f>IF(OR(L3565="",K3565="",L3565=0),"",
  (L3565-K3565)/L3565*100)</f>
        <v/>
      </c>
      <c r="N3565" s="15" t="n"/>
      <c r="O3565" s="4" t="n"/>
      <c r="P3565" s="4" t="n"/>
      <c r="Q3565" s="4" t="n"/>
      <c r="R3565" s="4" t="n"/>
      <c r="S3565" s="4" t="n"/>
    </row>
    <row r="3566">
      <c r="A3566" s="15" t="n"/>
      <c r="B3566" s="10" t="n"/>
      <c r="C3566" s="10" t="n"/>
      <c r="D3566" s="10" t="n"/>
      <c r="E3566" s="15" t="n"/>
      <c r="F3566" s="10" t="n"/>
      <c r="G3566" s="10" t="n"/>
      <c r="H3566" s="10" t="n"/>
      <c r="I3566" s="15" t="n"/>
      <c r="J3566" s="6" t="n">
        <v>15</v>
      </c>
      <c r="K3566" s="7">
        <f>IF(I3566="","",I3566*(1+J3566/100))</f>
        <v/>
      </c>
      <c r="L3566" s="15" t="n"/>
      <c r="M3566" s="8">
        <f>IF(OR(L3566="",K3566="",L3566=0),"",
  (L3566-K3566)/L3566*100)</f>
        <v/>
      </c>
      <c r="N3566" s="15" t="n"/>
      <c r="O3566" s="10" t="n"/>
      <c r="P3566" s="10" t="n"/>
      <c r="Q3566" s="10" t="n"/>
      <c r="R3566" s="10" t="n"/>
      <c r="S3566" s="10" t="n"/>
    </row>
    <row r="3567">
      <c r="A3567" s="15" t="n"/>
      <c r="B3567" s="4" t="n"/>
      <c r="C3567" s="4" t="n"/>
      <c r="D3567" s="4" t="n"/>
      <c r="E3567" s="15" t="n"/>
      <c r="F3567" s="4" t="n"/>
      <c r="G3567" s="4" t="n"/>
      <c r="H3567" s="4" t="n"/>
      <c r="I3567" s="15" t="n"/>
      <c r="J3567" s="6" t="n">
        <v>15</v>
      </c>
      <c r="K3567" s="7">
        <f>IF(I3567="","",I3567*(1+J3567/100))</f>
        <v/>
      </c>
      <c r="L3567" s="15" t="n"/>
      <c r="M3567" s="8">
        <f>IF(OR(L3567="",K3567="",L3567=0),"",
  (L3567-K3567)/L3567*100)</f>
        <v/>
      </c>
      <c r="N3567" s="15" t="n"/>
      <c r="O3567" s="4" t="n"/>
      <c r="P3567" s="4" t="n"/>
      <c r="Q3567" s="4" t="n"/>
      <c r="R3567" s="4" t="n"/>
      <c r="S3567" s="4" t="n"/>
    </row>
    <row r="3568">
      <c r="A3568" s="15" t="n"/>
      <c r="B3568" s="10" t="n"/>
      <c r="C3568" s="10" t="n"/>
      <c r="D3568" s="10" t="n"/>
      <c r="E3568" s="15" t="n"/>
      <c r="F3568" s="10" t="n"/>
      <c r="G3568" s="10" t="n"/>
      <c r="H3568" s="10" t="n"/>
      <c r="I3568" s="15" t="n"/>
      <c r="J3568" s="6" t="n">
        <v>15</v>
      </c>
      <c r="K3568" s="7">
        <f>IF(I3568="","",I3568*(1+J3568/100))</f>
        <v/>
      </c>
      <c r="L3568" s="15" t="n"/>
      <c r="M3568" s="8">
        <f>IF(OR(L3568="",K3568="",L3568=0),"",
  (L3568-K3568)/L3568*100)</f>
        <v/>
      </c>
      <c r="N3568" s="15" t="n"/>
      <c r="O3568" s="10" t="n"/>
      <c r="P3568" s="10" t="n"/>
      <c r="Q3568" s="10" t="n"/>
      <c r="R3568" s="10" t="n"/>
      <c r="S3568" s="10" t="n"/>
    </row>
    <row r="3569">
      <c r="A3569" s="15" t="n"/>
      <c r="B3569" s="4" t="n"/>
      <c r="C3569" s="4" t="n"/>
      <c r="D3569" s="4" t="n"/>
      <c r="E3569" s="15" t="n"/>
      <c r="F3569" s="4" t="n"/>
      <c r="G3569" s="4" t="n"/>
      <c r="H3569" s="4" t="n"/>
      <c r="I3569" s="15" t="n"/>
      <c r="J3569" s="6" t="n">
        <v>15</v>
      </c>
      <c r="K3569" s="7">
        <f>IF(I3569="","",I3569*(1+J3569/100))</f>
        <v/>
      </c>
      <c r="L3569" s="15" t="n"/>
      <c r="M3569" s="8">
        <f>IF(OR(L3569="",K3569="",L3569=0),"",
  (L3569-K3569)/L3569*100)</f>
        <v/>
      </c>
      <c r="N3569" s="15" t="n"/>
      <c r="O3569" s="4" t="n"/>
      <c r="P3569" s="4" t="n"/>
      <c r="Q3569" s="4" t="n"/>
      <c r="R3569" s="4" t="n"/>
      <c r="S3569" s="4" t="n"/>
    </row>
    <row r="3570">
      <c r="A3570" s="15" t="n"/>
      <c r="B3570" s="10" t="n"/>
      <c r="C3570" s="10" t="n"/>
      <c r="D3570" s="10" t="n"/>
      <c r="E3570" s="15" t="n"/>
      <c r="F3570" s="10" t="n"/>
      <c r="G3570" s="10" t="n"/>
      <c r="H3570" s="10" t="n"/>
      <c r="I3570" s="15" t="n"/>
      <c r="J3570" s="6" t="n">
        <v>15</v>
      </c>
      <c r="K3570" s="7">
        <f>IF(I3570="","",I3570*(1+J3570/100))</f>
        <v/>
      </c>
      <c r="L3570" s="15" t="n"/>
      <c r="M3570" s="8">
        <f>IF(OR(L3570="",K3570="",L3570=0),"",
  (L3570-K3570)/L3570*100)</f>
        <v/>
      </c>
      <c r="N3570" s="15" t="n"/>
      <c r="O3570" s="10" t="n"/>
      <c r="P3570" s="10" t="n"/>
      <c r="Q3570" s="10" t="n"/>
      <c r="R3570" s="10" t="n"/>
      <c r="S3570" s="10" t="n"/>
    </row>
    <row r="3571">
      <c r="A3571" s="15" t="n"/>
      <c r="B3571" s="4" t="n"/>
      <c r="C3571" s="4" t="n"/>
      <c r="D3571" s="4" t="n"/>
      <c r="E3571" s="15" t="n"/>
      <c r="F3571" s="4" t="n"/>
      <c r="G3571" s="4" t="n"/>
      <c r="H3571" s="4" t="n"/>
      <c r="I3571" s="15" t="n"/>
      <c r="J3571" s="6" t="n">
        <v>15</v>
      </c>
      <c r="K3571" s="7">
        <f>IF(I3571="","",I3571*(1+J3571/100))</f>
        <v/>
      </c>
      <c r="L3571" s="15" t="n"/>
      <c r="M3571" s="8">
        <f>IF(OR(L3571="",K3571="",L3571=0),"",
  (L3571-K3571)/L3571*100)</f>
        <v/>
      </c>
      <c r="N3571" s="15" t="n"/>
      <c r="O3571" s="4" t="n"/>
      <c r="P3571" s="4" t="n"/>
      <c r="Q3571" s="4" t="n"/>
      <c r="R3571" s="4" t="n"/>
      <c r="S3571" s="4" t="n"/>
    </row>
    <row r="3572">
      <c r="A3572" s="15" t="n"/>
      <c r="B3572" s="10" t="n"/>
      <c r="C3572" s="10" t="n"/>
      <c r="D3572" s="10" t="n"/>
      <c r="E3572" s="15" t="n"/>
      <c r="F3572" s="10" t="n"/>
      <c r="G3572" s="10" t="n"/>
      <c r="H3572" s="10" t="n"/>
      <c r="I3572" s="15" t="n"/>
      <c r="J3572" s="6" t="n">
        <v>15</v>
      </c>
      <c r="K3572" s="7">
        <f>IF(I3572="","",I3572*(1+J3572/100))</f>
        <v/>
      </c>
      <c r="L3572" s="15" t="n"/>
      <c r="M3572" s="8">
        <f>IF(OR(L3572="",K3572="",L3572=0),"",
  (L3572-K3572)/L3572*100)</f>
        <v/>
      </c>
      <c r="N3572" s="15" t="n"/>
      <c r="O3572" s="10" t="n"/>
      <c r="P3572" s="10" t="n"/>
      <c r="Q3572" s="10" t="n"/>
      <c r="R3572" s="10" t="n"/>
      <c r="S3572" s="10" t="n"/>
    </row>
    <row r="3573">
      <c r="A3573" s="15" t="n"/>
      <c r="B3573" s="4" t="n"/>
      <c r="C3573" s="4" t="n"/>
      <c r="D3573" s="4" t="n"/>
      <c r="E3573" s="15" t="n"/>
      <c r="F3573" s="4" t="n"/>
      <c r="G3573" s="4" t="n"/>
      <c r="H3573" s="4" t="n"/>
      <c r="I3573" s="15" t="n"/>
      <c r="J3573" s="6" t="n">
        <v>15</v>
      </c>
      <c r="K3573" s="7">
        <f>IF(I3573="","",I3573*(1+J3573/100))</f>
        <v/>
      </c>
      <c r="L3573" s="15" t="n"/>
      <c r="M3573" s="8">
        <f>IF(OR(L3573="",K3573="",L3573=0),"",
  (L3573-K3573)/L3573*100)</f>
        <v/>
      </c>
      <c r="N3573" s="15" t="n"/>
      <c r="O3573" s="4" t="n"/>
      <c r="P3573" s="4" t="n"/>
      <c r="Q3573" s="4" t="n"/>
      <c r="R3573" s="4" t="n"/>
      <c r="S3573" s="4" t="n"/>
    </row>
    <row r="3574">
      <c r="A3574" s="15" t="n"/>
      <c r="B3574" s="10" t="n"/>
      <c r="C3574" s="10" t="n"/>
      <c r="D3574" s="10" t="n"/>
      <c r="E3574" s="15" t="n"/>
      <c r="F3574" s="10" t="n"/>
      <c r="G3574" s="10" t="n"/>
      <c r="H3574" s="10" t="n"/>
      <c r="I3574" s="15" t="n"/>
      <c r="J3574" s="6" t="n">
        <v>15</v>
      </c>
      <c r="K3574" s="7">
        <f>IF(I3574="","",I3574*(1+J3574/100))</f>
        <v/>
      </c>
      <c r="L3574" s="15" t="n"/>
      <c r="M3574" s="8">
        <f>IF(OR(L3574="",K3574="",L3574=0),"",
  (L3574-K3574)/L3574*100)</f>
        <v/>
      </c>
      <c r="N3574" s="15" t="n"/>
      <c r="O3574" s="10" t="n"/>
      <c r="P3574" s="10" t="n"/>
      <c r="Q3574" s="10" t="n"/>
      <c r="R3574" s="10" t="n"/>
      <c r="S3574" s="10" t="n"/>
    </row>
    <row r="3575">
      <c r="A3575" s="15" t="n"/>
      <c r="B3575" s="4" t="n"/>
      <c r="C3575" s="4" t="n"/>
      <c r="D3575" s="4" t="n"/>
      <c r="E3575" s="15" t="n"/>
      <c r="F3575" s="4" t="n"/>
      <c r="G3575" s="4" t="n"/>
      <c r="H3575" s="4" t="n"/>
      <c r="I3575" s="15" t="n"/>
      <c r="J3575" s="6" t="n">
        <v>15</v>
      </c>
      <c r="K3575" s="7">
        <f>IF(I3575="","",I3575*(1+J3575/100))</f>
        <v/>
      </c>
      <c r="L3575" s="15" t="n"/>
      <c r="M3575" s="8">
        <f>IF(OR(L3575="",K3575="",L3575=0),"",
  (L3575-K3575)/L3575*100)</f>
        <v/>
      </c>
      <c r="N3575" s="15" t="n"/>
      <c r="O3575" s="4" t="n"/>
      <c r="P3575" s="4" t="n"/>
      <c r="Q3575" s="4" t="n"/>
      <c r="R3575" s="4" t="n"/>
      <c r="S3575" s="4" t="n"/>
    </row>
    <row r="3576">
      <c r="A3576" s="15" t="n"/>
      <c r="B3576" s="10" t="n"/>
      <c r="C3576" s="10" t="n"/>
      <c r="D3576" s="10" t="n"/>
      <c r="E3576" s="15" t="n"/>
      <c r="F3576" s="10" t="n"/>
      <c r="G3576" s="10" t="n"/>
      <c r="H3576" s="10" t="n"/>
      <c r="I3576" s="15" t="n"/>
      <c r="J3576" s="6" t="n">
        <v>15</v>
      </c>
      <c r="K3576" s="7">
        <f>IF(I3576="","",I3576*(1+J3576/100))</f>
        <v/>
      </c>
      <c r="L3576" s="15" t="n"/>
      <c r="M3576" s="8">
        <f>IF(OR(L3576="",K3576="",L3576=0),"",
  (L3576-K3576)/L3576*100)</f>
        <v/>
      </c>
      <c r="N3576" s="15" t="n"/>
      <c r="O3576" s="10" t="n"/>
      <c r="P3576" s="10" t="n"/>
      <c r="Q3576" s="10" t="n"/>
      <c r="R3576" s="10" t="n"/>
      <c r="S3576" s="10" t="n"/>
    </row>
    <row r="3577">
      <c r="A3577" s="15" t="n"/>
      <c r="B3577" s="4" t="n"/>
      <c r="C3577" s="4" t="n"/>
      <c r="D3577" s="4" t="n"/>
      <c r="E3577" s="15" t="n"/>
      <c r="F3577" s="4" t="n"/>
      <c r="G3577" s="4" t="n"/>
      <c r="H3577" s="4" t="n"/>
      <c r="I3577" s="15" t="n"/>
      <c r="J3577" s="6" t="n">
        <v>15</v>
      </c>
      <c r="K3577" s="7">
        <f>IF(I3577="","",I3577*(1+J3577/100))</f>
        <v/>
      </c>
      <c r="L3577" s="15" t="n"/>
      <c r="M3577" s="8">
        <f>IF(OR(L3577="",K3577="",L3577=0),"",
  (L3577-K3577)/L3577*100)</f>
        <v/>
      </c>
      <c r="N3577" s="15" t="n"/>
      <c r="O3577" s="4" t="n"/>
      <c r="P3577" s="4" t="n"/>
      <c r="Q3577" s="4" t="n"/>
      <c r="R3577" s="4" t="n"/>
      <c r="S3577" s="4" t="n"/>
    </row>
    <row r="3578">
      <c r="A3578" s="15" t="n"/>
      <c r="B3578" s="10" t="n"/>
      <c r="C3578" s="10" t="n"/>
      <c r="D3578" s="10" t="n"/>
      <c r="E3578" s="15" t="n"/>
      <c r="F3578" s="10" t="n"/>
      <c r="G3578" s="10" t="n"/>
      <c r="H3578" s="10" t="n"/>
      <c r="I3578" s="15" t="n"/>
      <c r="J3578" s="6" t="n">
        <v>15</v>
      </c>
      <c r="K3578" s="7">
        <f>IF(I3578="","",I3578*(1+J3578/100))</f>
        <v/>
      </c>
      <c r="L3578" s="15" t="n"/>
      <c r="M3578" s="8">
        <f>IF(OR(L3578="",K3578="",L3578=0),"",
  (L3578-K3578)/L3578*100)</f>
        <v/>
      </c>
      <c r="N3578" s="15" t="n"/>
      <c r="O3578" s="10" t="n"/>
      <c r="P3578" s="10" t="n"/>
      <c r="Q3578" s="10" t="n"/>
      <c r="R3578" s="10" t="n"/>
      <c r="S3578" s="10" t="n"/>
    </row>
    <row r="3579">
      <c r="A3579" s="15" t="n"/>
      <c r="B3579" s="4" t="n"/>
      <c r="C3579" s="4" t="n"/>
      <c r="D3579" s="4" t="n"/>
      <c r="E3579" s="15" t="n"/>
      <c r="F3579" s="4" t="n"/>
      <c r="G3579" s="4" t="n"/>
      <c r="H3579" s="4" t="n"/>
      <c r="I3579" s="15" t="n"/>
      <c r="J3579" s="6" t="n">
        <v>15</v>
      </c>
      <c r="K3579" s="7">
        <f>IF(I3579="","",I3579*(1+J3579/100))</f>
        <v/>
      </c>
      <c r="L3579" s="15" t="n"/>
      <c r="M3579" s="8">
        <f>IF(OR(L3579="",K3579="",L3579=0),"",
  (L3579-K3579)/L3579*100)</f>
        <v/>
      </c>
      <c r="N3579" s="15" t="n"/>
      <c r="O3579" s="4" t="n"/>
      <c r="P3579" s="4" t="n"/>
      <c r="Q3579" s="4" t="n"/>
      <c r="R3579" s="4" t="n"/>
      <c r="S3579" s="4" t="n"/>
    </row>
    <row r="3580">
      <c r="A3580" s="15" t="n"/>
      <c r="B3580" s="10" t="n"/>
      <c r="C3580" s="10" t="n"/>
      <c r="D3580" s="10" t="n"/>
      <c r="E3580" s="15" t="n"/>
      <c r="F3580" s="10" t="n"/>
      <c r="G3580" s="10" t="n"/>
      <c r="H3580" s="10" t="n"/>
      <c r="I3580" s="15" t="n"/>
      <c r="J3580" s="6" t="n">
        <v>15</v>
      </c>
      <c r="K3580" s="7">
        <f>IF(I3580="","",I3580*(1+J3580/100))</f>
        <v/>
      </c>
      <c r="L3580" s="15" t="n"/>
      <c r="M3580" s="8">
        <f>IF(OR(L3580="",K3580="",L3580=0),"",
  (L3580-K3580)/L3580*100)</f>
        <v/>
      </c>
      <c r="N3580" s="15" t="n"/>
      <c r="O3580" s="10" t="n"/>
      <c r="P3580" s="10" t="n"/>
      <c r="Q3580" s="10" t="n"/>
      <c r="R3580" s="10" t="n"/>
      <c r="S3580" s="10" t="n"/>
    </row>
    <row r="3581">
      <c r="A3581" s="15" t="n"/>
      <c r="B3581" s="4" t="n"/>
      <c r="C3581" s="4" t="n"/>
      <c r="D3581" s="4" t="n"/>
      <c r="E3581" s="15" t="n"/>
      <c r="F3581" s="4" t="n"/>
      <c r="G3581" s="4" t="n"/>
      <c r="H3581" s="4" t="n"/>
      <c r="I3581" s="15" t="n"/>
      <c r="J3581" s="6" t="n">
        <v>15</v>
      </c>
      <c r="K3581" s="7">
        <f>IF(I3581="","",I3581*(1+J3581/100))</f>
        <v/>
      </c>
      <c r="L3581" s="15" t="n"/>
      <c r="M3581" s="8">
        <f>IF(OR(L3581="",K3581="",L3581=0),"",
  (L3581-K3581)/L3581*100)</f>
        <v/>
      </c>
      <c r="N3581" s="15" t="n"/>
      <c r="O3581" s="4" t="n"/>
      <c r="P3581" s="4" t="n"/>
      <c r="Q3581" s="4" t="n"/>
      <c r="R3581" s="4" t="n"/>
      <c r="S3581" s="4" t="n"/>
    </row>
    <row r="3582">
      <c r="A3582" s="15" t="n"/>
      <c r="B3582" s="10" t="n"/>
      <c r="C3582" s="10" t="n"/>
      <c r="D3582" s="10" t="n"/>
      <c r="E3582" s="15" t="n"/>
      <c r="F3582" s="10" t="n"/>
      <c r="G3582" s="10" t="n"/>
      <c r="H3582" s="10" t="n"/>
      <c r="I3582" s="15" t="n"/>
      <c r="J3582" s="6" t="n">
        <v>15</v>
      </c>
      <c r="K3582" s="7">
        <f>IF(I3582="","",I3582*(1+J3582/100))</f>
        <v/>
      </c>
      <c r="L3582" s="15" t="n"/>
      <c r="M3582" s="8">
        <f>IF(OR(L3582="",K3582="",L3582=0),"",
  (L3582-K3582)/L3582*100)</f>
        <v/>
      </c>
      <c r="N3582" s="15" t="n"/>
      <c r="O3582" s="10" t="n"/>
      <c r="P3582" s="10" t="n"/>
      <c r="Q3582" s="10" t="n"/>
      <c r="R3582" s="10" t="n"/>
      <c r="S3582" s="10" t="n"/>
    </row>
    <row r="3583">
      <c r="A3583" s="15" t="n"/>
      <c r="B3583" s="4" t="n"/>
      <c r="C3583" s="4" t="n"/>
      <c r="D3583" s="4" t="n"/>
      <c r="E3583" s="15" t="n"/>
      <c r="F3583" s="4" t="n"/>
      <c r="G3583" s="4" t="n"/>
      <c r="H3583" s="4" t="n"/>
      <c r="I3583" s="15" t="n"/>
      <c r="J3583" s="6" t="n">
        <v>15</v>
      </c>
      <c r="K3583" s="7">
        <f>IF(I3583="","",I3583*(1+J3583/100))</f>
        <v/>
      </c>
      <c r="L3583" s="15" t="n"/>
      <c r="M3583" s="8">
        <f>IF(OR(L3583="",K3583="",L3583=0),"",
  (L3583-K3583)/L3583*100)</f>
        <v/>
      </c>
      <c r="N3583" s="15" t="n"/>
      <c r="O3583" s="4" t="n"/>
      <c r="P3583" s="4" t="n"/>
      <c r="Q3583" s="4" t="n"/>
      <c r="R3583" s="4" t="n"/>
      <c r="S3583" s="4" t="n"/>
    </row>
    <row r="3584">
      <c r="A3584" s="15" t="n"/>
      <c r="B3584" s="10" t="n"/>
      <c r="C3584" s="10" t="n"/>
      <c r="D3584" s="10" t="n"/>
      <c r="E3584" s="15" t="n"/>
      <c r="F3584" s="10" t="n"/>
      <c r="G3584" s="10" t="n"/>
      <c r="H3584" s="10" t="n"/>
      <c r="I3584" s="15" t="n"/>
      <c r="J3584" s="6" t="n">
        <v>15</v>
      </c>
      <c r="K3584" s="7">
        <f>IF(I3584="","",I3584*(1+J3584/100))</f>
        <v/>
      </c>
      <c r="L3584" s="15" t="n"/>
      <c r="M3584" s="8">
        <f>IF(OR(L3584="",K3584="",L3584=0),"",
  (L3584-K3584)/L3584*100)</f>
        <v/>
      </c>
      <c r="N3584" s="15" t="n"/>
      <c r="O3584" s="10" t="n"/>
      <c r="P3584" s="10" t="n"/>
      <c r="Q3584" s="10" t="n"/>
      <c r="R3584" s="10" t="n"/>
      <c r="S3584" s="10" t="n"/>
    </row>
    <row r="3585">
      <c r="A3585" s="15" t="n"/>
      <c r="B3585" s="4" t="n"/>
      <c r="C3585" s="4" t="n"/>
      <c r="D3585" s="4" t="n"/>
      <c r="E3585" s="15" t="n"/>
      <c r="F3585" s="4" t="n"/>
      <c r="G3585" s="4" t="n"/>
      <c r="H3585" s="4" t="n"/>
      <c r="I3585" s="15" t="n"/>
      <c r="J3585" s="6" t="n">
        <v>15</v>
      </c>
      <c r="K3585" s="7">
        <f>IF(I3585="","",I3585*(1+J3585/100))</f>
        <v/>
      </c>
      <c r="L3585" s="15" t="n"/>
      <c r="M3585" s="8">
        <f>IF(OR(L3585="",K3585="",L3585=0),"",
  (L3585-K3585)/L3585*100)</f>
        <v/>
      </c>
      <c r="N3585" s="15" t="n"/>
      <c r="O3585" s="4" t="n"/>
      <c r="P3585" s="4" t="n"/>
      <c r="Q3585" s="4" t="n"/>
      <c r="R3585" s="4" t="n"/>
      <c r="S3585" s="4" t="n"/>
    </row>
    <row r="3586">
      <c r="A3586" s="15" t="n"/>
      <c r="B3586" s="10" t="n"/>
      <c r="C3586" s="10" t="n"/>
      <c r="D3586" s="10" t="n"/>
      <c r="E3586" s="15" t="n"/>
      <c r="F3586" s="10" t="n"/>
      <c r="G3586" s="10" t="n"/>
      <c r="H3586" s="10" t="n"/>
      <c r="I3586" s="15" t="n"/>
      <c r="J3586" s="6" t="n">
        <v>15</v>
      </c>
      <c r="K3586" s="7">
        <f>IF(I3586="","",I3586*(1+J3586/100))</f>
        <v/>
      </c>
      <c r="L3586" s="15" t="n"/>
      <c r="M3586" s="8">
        <f>IF(OR(L3586="",K3586="",L3586=0),"",
  (L3586-K3586)/L3586*100)</f>
        <v/>
      </c>
      <c r="N3586" s="15" t="n"/>
      <c r="O3586" s="10" t="n"/>
      <c r="P3586" s="10" t="n"/>
      <c r="Q3586" s="10" t="n"/>
      <c r="R3586" s="10" t="n"/>
      <c r="S3586" s="10" t="n"/>
    </row>
    <row r="3587">
      <c r="A3587" s="15" t="n"/>
      <c r="B3587" s="4" t="n"/>
      <c r="C3587" s="4" t="n"/>
      <c r="D3587" s="4" t="n"/>
      <c r="E3587" s="15" t="n"/>
      <c r="F3587" s="4" t="n"/>
      <c r="G3587" s="4" t="n"/>
      <c r="H3587" s="4" t="n"/>
      <c r="I3587" s="15" t="n"/>
      <c r="J3587" s="6" t="n">
        <v>15</v>
      </c>
      <c r="K3587" s="7">
        <f>IF(I3587="","",I3587*(1+J3587/100))</f>
        <v/>
      </c>
      <c r="L3587" s="15" t="n"/>
      <c r="M3587" s="8">
        <f>IF(OR(L3587="",K3587="",L3587=0),"",
  (L3587-K3587)/L3587*100)</f>
        <v/>
      </c>
      <c r="N3587" s="15" t="n"/>
      <c r="O3587" s="4" t="n"/>
      <c r="P3587" s="4" t="n"/>
      <c r="Q3587" s="4" t="n"/>
      <c r="R3587" s="4" t="n"/>
      <c r="S3587" s="4" t="n"/>
    </row>
    <row r="3588">
      <c r="A3588" s="15" t="n"/>
      <c r="B3588" s="10" t="n"/>
      <c r="C3588" s="10" t="n"/>
      <c r="D3588" s="10" t="n"/>
      <c r="E3588" s="15" t="n"/>
      <c r="F3588" s="10" t="n"/>
      <c r="G3588" s="10" t="n"/>
      <c r="H3588" s="10" t="n"/>
      <c r="I3588" s="15" t="n"/>
      <c r="J3588" s="6" t="n">
        <v>15</v>
      </c>
      <c r="K3588" s="7">
        <f>IF(I3588="","",I3588*(1+J3588/100))</f>
        <v/>
      </c>
      <c r="L3588" s="15" t="n"/>
      <c r="M3588" s="8">
        <f>IF(OR(L3588="",K3588="",L3588=0),"",
  (L3588-K3588)/L3588*100)</f>
        <v/>
      </c>
      <c r="N3588" s="15" t="n"/>
      <c r="O3588" s="10" t="n"/>
      <c r="P3588" s="10" t="n"/>
      <c r="Q3588" s="10" t="n"/>
      <c r="R3588" s="10" t="n"/>
      <c r="S3588" s="10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6" t="inlineStr">
        <is>
          <t>COLOUR KEY</t>
        </is>
      </c>
      <c r="B1" s="17" t="inlineStr"/>
    </row>
    <row r="2" ht="18" customHeight="1">
      <c r="A2" s="18" t="inlineStr">
        <is>
          <t>Orange background</t>
        </is>
      </c>
      <c r="B2" s="17" t="inlineStr">
        <is>
          <t>Required field — must be filled in</t>
        </is>
      </c>
    </row>
    <row r="3" ht="18" customHeight="1">
      <c r="A3" s="18" t="inlineStr">
        <is>
          <t>Yellow background</t>
        </is>
      </c>
      <c r="B3" s="17" t="inlineStr">
        <is>
          <t>Auto-calculated — do not edit manually</t>
        </is>
      </c>
    </row>
    <row r="4" ht="18" customHeight="1">
      <c r="A4" s="18" t="inlineStr">
        <is>
          <t>Blue tint rows</t>
        </is>
      </c>
      <c r="B4" s="17" t="inlineStr">
        <is>
          <t>Alternating row shading for readability</t>
        </is>
      </c>
    </row>
    <row r="5" ht="18" customHeight="1">
      <c r="A5" s="18" t="inlineStr"/>
      <c r="B5" s="17" t="inlineStr"/>
    </row>
    <row r="6" ht="18" customHeight="1">
      <c r="A6" s="16" t="inlineStr">
        <is>
          <t>COLUMN GUIDE</t>
        </is>
      </c>
      <c r="B6" s="17" t="inlineStr"/>
    </row>
    <row r="7" ht="18" customHeight="1">
      <c r="A7" s="18" t="inlineStr">
        <is>
          <t>Supplier SKU</t>
        </is>
      </c>
      <c r="B7" s="17" t="inlineStr">
        <is>
          <t>Supplier's own product code</t>
        </is>
      </c>
    </row>
    <row r="8" ht="18" customHeight="1">
      <c r="A8" s="18" t="inlineStr">
        <is>
          <t>WC SKU</t>
        </is>
      </c>
      <c r="B8" s="17" t="inlineStr">
        <is>
          <t>WooCommerce SKU (auto-matched)</t>
        </is>
      </c>
    </row>
    <row r="9" ht="18" customHeight="1">
      <c r="A9" s="18" t="inlineStr">
        <is>
          <t>WC ID</t>
        </is>
      </c>
      <c r="B9" s="17" t="inlineStr">
        <is>
          <t>WooCommerce product ID</t>
        </is>
      </c>
    </row>
    <row r="10" ht="18" customHeight="1">
      <c r="A10" s="18" t="inlineStr">
        <is>
          <t>Barcode / EAN</t>
        </is>
      </c>
      <c r="B10" s="17" t="inlineStr">
        <is>
          <t>EAN-13, UPC or internal barcode</t>
        </is>
      </c>
    </row>
    <row r="11" ht="18" customHeight="1">
      <c r="A11" s="18" t="inlineStr">
        <is>
          <t>Product Name</t>
        </is>
      </c>
      <c r="B11" s="17" t="inlineStr">
        <is>
          <t>Full product name as it appears on the store</t>
        </is>
      </c>
    </row>
    <row r="12" ht="18" customHeight="1">
      <c r="A12" s="18" t="inlineStr">
        <is>
          <t>Brand</t>
        </is>
      </c>
      <c r="B12" s="17" t="inlineStr">
        <is>
          <t>Brand / manufacturer</t>
        </is>
      </c>
    </row>
    <row r="13" ht="18" customHeight="1">
      <c r="A13" s="18" t="inlineStr">
        <is>
          <t>Category</t>
        </is>
      </c>
      <c r="B13" s="17" t="inlineStr">
        <is>
          <t>e.g. Homeware &gt; Kitchenware</t>
        </is>
      </c>
    </row>
    <row r="14" ht="18" customHeight="1">
      <c r="A14" s="18" t="inlineStr">
        <is>
          <t>Description</t>
        </is>
      </c>
      <c r="B14" s="17" t="inlineStr">
        <is>
          <t>Short product description</t>
        </is>
      </c>
    </row>
    <row r="15" ht="18" customHeight="1">
      <c r="A15" s="18" t="inlineStr">
        <is>
          <t>Cost Price (ex VAT)</t>
        </is>
      </c>
      <c r="B15" s="17" t="inlineStr">
        <is>
          <t>What you pay the supplier, before VAT (R)</t>
        </is>
      </c>
    </row>
    <row r="16" ht="18" customHeight="1">
      <c r="A16" s="18" t="inlineStr">
        <is>
          <t>VAT Rate %</t>
        </is>
      </c>
      <c r="B16" s="17" t="inlineStr">
        <is>
          <t>0 or 15 (auto-applied below)</t>
        </is>
      </c>
    </row>
    <row r="17" ht="18" customHeight="1">
      <c r="A17" s="18" t="inlineStr">
        <is>
          <t>Cost Price (incl VAT)</t>
        </is>
      </c>
      <c r="B17" s="17">
        <f>Cost*(1+VAT/100) — auto-calculated</f>
        <v/>
      </c>
    </row>
    <row r="18" ht="18" customHeight="1">
      <c r="A18" s="18" t="inlineStr">
        <is>
          <t>Selling Price (R)</t>
        </is>
      </c>
      <c r="B18" s="17" t="inlineStr">
        <is>
          <t>Your retail price including VAT</t>
        </is>
      </c>
    </row>
    <row r="19" ht="18" customHeight="1">
      <c r="A19" s="18" t="inlineStr">
        <is>
          <t>Margin %</t>
        </is>
      </c>
      <c r="B19" s="17">
        <f>(Selling-Cost_incl)/Selling*100 — auto</f>
        <v/>
      </c>
    </row>
    <row r="20" ht="18" customHeight="1">
      <c r="A20" s="18" t="inlineStr">
        <is>
          <t>Qty On Hand</t>
        </is>
      </c>
      <c r="B20" s="17" t="inlineStr">
        <is>
          <t>Current physical stock count</t>
        </is>
      </c>
    </row>
    <row r="21" ht="18" customHeight="1">
      <c r="A21" s="18" t="inlineStr">
        <is>
          <t>Reorder Level</t>
        </is>
      </c>
      <c r="B21" s="17" t="inlineStr">
        <is>
          <t>Alert when stock falls below this number</t>
        </is>
      </c>
    </row>
    <row r="22" ht="18" customHeight="1">
      <c r="A22" s="18" t="inlineStr">
        <is>
          <t>Location / Bay</t>
        </is>
      </c>
      <c r="B22" s="17" t="inlineStr">
        <is>
          <t>Shelf, bay or bin reference in store</t>
        </is>
      </c>
    </row>
    <row r="23" ht="18" customHeight="1">
      <c r="A23" s="18" t="inlineStr">
        <is>
          <t>Image URL</t>
        </is>
      </c>
      <c r="B23" s="17" t="inlineStr">
        <is>
          <t>Direct URL or Drive link to product image</t>
        </is>
      </c>
    </row>
    <row r="24" ht="18" customHeight="1">
      <c r="A24" s="18" t="inlineStr">
        <is>
          <t>Last Updated</t>
        </is>
      </c>
      <c r="B24" s="17" t="inlineStr">
        <is>
          <t>Date this row was last updated</t>
        </is>
      </c>
    </row>
    <row r="25" ht="18" customHeight="1">
      <c r="A25" s="18" t="inlineStr">
        <is>
          <t>Notes</t>
        </is>
      </c>
      <c r="B25" s="17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2026-03-12T15:32:03Z</dcterms:created>
  <dcterms:modified xmlns:dcterms="http://purl.org/dc/terms/" xmlns:xsi="http://www.w3.org/2001/XMLSchema-instance" xsi:type="dcterms:W3CDTF">2026-03-12T15:32:09Z</dcterms:modified>
</cp:coreProperties>
</file>