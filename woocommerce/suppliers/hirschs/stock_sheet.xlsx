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Hirschs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>
        <is>
          <t>OLED65S85</t>
        </is>
      </c>
      <c r="B3" s="4" t="inlineStr"/>
      <c r="C3" s="4" t="inlineStr"/>
      <c r="D3" s="4" t="inlineStr"/>
      <c r="E3" s="3" t="inlineStr">
        <is>
          <t>LG OLED EVO AI 4K 120Hz Smart TV 65"</t>
        </is>
      </c>
      <c r="F3" s="4" t="inlineStr">
        <is>
          <t>LG</t>
        </is>
      </c>
      <c r="G3" s="4" t="inlineStr"/>
      <c r="H3" s="4" t="inlineStr"/>
      <c r="I3" s="5" t="n">
        <v>27999</v>
      </c>
      <c r="J3" s="6" t="n">
        <v>15</v>
      </c>
      <c r="K3" s="7">
        <f>IF(I3="","",I3*(1+J3/100))</f>
        <v/>
      </c>
      <c r="L3" s="8" t="inlineStr"/>
      <c r="M3" s="9">
        <f>IF(OR(L3="",K3="",L3=0),"",
  (L3-K3)/L3*100)</f>
        <v/>
      </c>
      <c r="N3" s="10" t="inlineStr"/>
      <c r="O3" s="4" t="inlineStr"/>
      <c r="P3" s="4" t="inlineStr"/>
      <c r="Q3" s="4" t="inlineStr"/>
      <c r="R3" s="4" t="inlineStr">
        <is>
          <t>2026-03-12</t>
        </is>
      </c>
      <c r="S3" s="4" t="inlineStr">
        <is>
          <t>Hirschs 47th Anniversary Sale Feb-Mar 2026</t>
        </is>
      </c>
    </row>
    <row r="4">
      <c r="A4" s="11" t="inlineStr">
        <is>
          <t>QA85Q7FAALXXA</t>
        </is>
      </c>
      <c r="B4" s="11" t="inlineStr"/>
      <c r="C4" s="11" t="inlineStr"/>
      <c r="D4" s="11" t="inlineStr"/>
      <c r="E4" s="11" t="inlineStr">
        <is>
          <t>Samsung 4K QLED AI TV 85"</t>
        </is>
      </c>
      <c r="F4" s="11" t="inlineStr">
        <is>
          <t>Samsung</t>
        </is>
      </c>
      <c r="G4" s="11" t="inlineStr"/>
      <c r="H4" s="11" t="inlineStr"/>
      <c r="I4" s="12" t="n">
        <v>19999</v>
      </c>
      <c r="J4" s="6" t="n">
        <v>15</v>
      </c>
      <c r="K4" s="7">
        <f>IF(I4="","",I4*(1+J4/100))</f>
        <v/>
      </c>
      <c r="L4" s="8" t="inlineStr"/>
      <c r="M4" s="9">
        <f>IF(OR(L4="",K4="",L4=0),"",
  (L4-K4)/L4*100)</f>
        <v/>
      </c>
      <c r="N4" s="10" t="inlineStr"/>
      <c r="O4" s="11" t="inlineStr"/>
      <c r="P4" s="11" t="inlineStr"/>
      <c r="Q4" s="11" t="inlineStr"/>
      <c r="R4" s="11" t="inlineStr">
        <is>
          <t>2026-03-12</t>
        </is>
      </c>
      <c r="S4" s="11" t="inlineStr">
        <is>
          <t>Hirschs 47th Anniversary Sale Feb-Mar 2026</t>
        </is>
      </c>
    </row>
    <row r="5">
      <c r="A5" s="3" t="inlineStr">
        <is>
          <t>H2219</t>
        </is>
      </c>
      <c r="B5" s="4" t="inlineStr"/>
      <c r="C5" s="4" t="inlineStr"/>
      <c r="D5" s="4" t="inlineStr"/>
      <c r="E5" s="3" t="inlineStr">
        <is>
          <t>Samsung 12000BTU Non Inverter Aircon</t>
        </is>
      </c>
      <c r="F5" s="4" t="inlineStr">
        <is>
          <t>Samsung</t>
        </is>
      </c>
      <c r="G5" s="4" t="inlineStr"/>
      <c r="H5" s="4" t="inlineStr"/>
      <c r="I5" s="5" t="n">
        <v>6999</v>
      </c>
      <c r="J5" s="6" t="n">
        <v>15</v>
      </c>
      <c r="K5" s="7">
        <f>IF(I5="","",I5*(1+J5/100))</f>
        <v/>
      </c>
      <c r="L5" s="8" t="inlineStr"/>
      <c r="M5" s="9">
        <f>IF(OR(L5="",K5="",L5=0),"",
  (L5-K5)/L5*100)</f>
        <v/>
      </c>
      <c r="N5" s="10" t="inlineStr"/>
      <c r="O5" s="4" t="inlineStr"/>
      <c r="P5" s="4" t="inlineStr"/>
      <c r="Q5" s="4" t="inlineStr"/>
      <c r="R5" s="4" t="inlineStr">
        <is>
          <t>2026-03-12</t>
        </is>
      </c>
      <c r="S5" s="4" t="inlineStr">
        <is>
          <t>Hirschs 47th Anniversary Sale Feb-Mar 2026</t>
        </is>
      </c>
    </row>
    <row r="6">
      <c r="A6" s="11" t="inlineStr">
        <is>
          <t>H3319</t>
        </is>
      </c>
      <c r="B6" s="11" t="inlineStr"/>
      <c r="C6" s="11" t="inlineStr"/>
      <c r="D6" s="11" t="inlineStr"/>
      <c r="E6" s="11" t="inlineStr">
        <is>
          <t>Samsung 12000BTU R32 Inverter Aircon</t>
        </is>
      </c>
      <c r="F6" s="11" t="inlineStr">
        <is>
          <t>Samsung</t>
        </is>
      </c>
      <c r="G6" s="11" t="inlineStr"/>
      <c r="H6" s="11" t="inlineStr"/>
      <c r="I6" s="12" t="n">
        <v>8999</v>
      </c>
      <c r="J6" s="6" t="n">
        <v>15</v>
      </c>
      <c r="K6" s="7">
        <f>IF(I6="","",I6*(1+J6/100))</f>
        <v/>
      </c>
      <c r="L6" s="8" t="inlineStr"/>
      <c r="M6" s="9">
        <f>IF(OR(L6="",K6="",L6=0),"",
  (L6-K6)/L6*100)</f>
        <v/>
      </c>
      <c r="N6" s="10" t="inlineStr"/>
      <c r="O6" s="11" t="inlineStr"/>
      <c r="P6" s="11" t="inlineStr"/>
      <c r="Q6" s="11" t="inlineStr"/>
      <c r="R6" s="11" t="inlineStr">
        <is>
          <t>2026-03-12</t>
        </is>
      </c>
      <c r="S6" s="11" t="inlineStr">
        <is>
          <t>Hirschs 47th Anniversary Sale Feb-Mar 2026</t>
        </is>
      </c>
    </row>
    <row r="7">
      <c r="A7" s="13" t="inlineStr"/>
      <c r="B7" s="4" t="inlineStr"/>
      <c r="C7" s="4" t="inlineStr"/>
      <c r="D7" s="4" t="inlineStr"/>
      <c r="E7" s="3" t="inlineStr">
        <is>
          <t>Samsung 60W Black Side by Side Food Showcase Bespoke Fridge</t>
        </is>
      </c>
      <c r="F7" s="4" t="inlineStr">
        <is>
          <t>Samsung</t>
        </is>
      </c>
      <c r="G7" s="4" t="inlineStr"/>
      <c r="H7" s="4" t="inlineStr"/>
      <c r="I7" s="5" t="n">
        <v>29999</v>
      </c>
      <c r="J7" s="6" t="n">
        <v>15</v>
      </c>
      <c r="K7" s="7">
        <f>IF(I7="","",I7*(1+J7/100))</f>
        <v/>
      </c>
      <c r="L7" s="8" t="inlineStr"/>
      <c r="M7" s="9">
        <f>IF(OR(L7="",K7="",L7=0),"",
  (L7-K7)/L7*100)</f>
        <v/>
      </c>
      <c r="N7" s="10" t="inlineStr"/>
      <c r="O7" s="4" t="inlineStr"/>
      <c r="P7" s="4" t="inlineStr"/>
      <c r="Q7" s="4" t="inlineStr"/>
      <c r="R7" s="4" t="inlineStr">
        <is>
          <t>2026-03-12</t>
        </is>
      </c>
      <c r="S7" s="4" t="inlineStr">
        <is>
          <t>Hirschs 47th Anniversary Sale Feb-Mar 2026</t>
        </is>
      </c>
    </row>
    <row r="8">
      <c r="A8" s="13" t="inlineStr"/>
      <c r="B8" s="11" t="inlineStr"/>
      <c r="C8" s="11" t="inlineStr"/>
      <c r="D8" s="11" t="inlineStr"/>
      <c r="E8" s="11" t="inlineStr">
        <is>
          <t>Smeg 90cm Cooker with Gas Hob</t>
        </is>
      </c>
      <c r="F8" s="11" t="inlineStr">
        <is>
          <t>Smeg</t>
        </is>
      </c>
      <c r="G8" s="11" t="inlineStr"/>
      <c r="H8" s="11" t="inlineStr"/>
      <c r="I8" s="12" t="n">
        <v>24999</v>
      </c>
      <c r="J8" s="6" t="n">
        <v>15</v>
      </c>
      <c r="K8" s="7">
        <f>IF(I8="","",I8*(1+J8/100))</f>
        <v/>
      </c>
      <c r="L8" s="8" t="inlineStr"/>
      <c r="M8" s="9">
        <f>IF(OR(L8="",K8="",L8=0),"",
  (L8-K8)/L8*100)</f>
        <v/>
      </c>
      <c r="N8" s="10" t="inlineStr"/>
      <c r="O8" s="11" t="inlineStr"/>
      <c r="P8" s="11" t="inlineStr"/>
      <c r="Q8" s="11" t="inlineStr"/>
      <c r="R8" s="11" t="inlineStr">
        <is>
          <t>2026-03-12</t>
        </is>
      </c>
      <c r="S8" s="11" t="inlineStr">
        <is>
          <t>Hirschs 47th Anniversary Sale Feb-Mar 2026</t>
        </is>
      </c>
    </row>
    <row r="9">
      <c r="A9" s="3" t="inlineStr">
        <is>
          <t>85454</t>
        </is>
      </c>
      <c r="B9" s="4" t="inlineStr"/>
      <c r="C9" s="4" t="inlineStr"/>
      <c r="D9" s="4" t="inlineStr"/>
      <c r="E9" s="3" t="inlineStr">
        <is>
          <t>Hisense 12kg Wash Block 2 in 1 Washer Dryer</t>
        </is>
      </c>
      <c r="F9" s="4" t="inlineStr">
        <is>
          <t>Hisense</t>
        </is>
      </c>
      <c r="G9" s="4" t="inlineStr"/>
      <c r="H9" s="4" t="inlineStr"/>
      <c r="I9" s="5" t="n">
        <v>8499</v>
      </c>
      <c r="J9" s="6" t="n">
        <v>15</v>
      </c>
      <c r="K9" s="7">
        <f>IF(I9="","",I9*(1+J9/100))</f>
        <v/>
      </c>
      <c r="L9" s="8" t="inlineStr"/>
      <c r="M9" s="9">
        <f>IF(OR(L9="",K9="",L9=0),"",
  (L9-K9)/L9*100)</f>
        <v/>
      </c>
      <c r="N9" s="10" t="inlineStr"/>
      <c r="O9" s="4" t="inlineStr"/>
      <c r="P9" s="4" t="inlineStr"/>
      <c r="Q9" s="4" t="inlineStr"/>
      <c r="R9" s="4" t="inlineStr">
        <is>
          <t>2026-03-12</t>
        </is>
      </c>
      <c r="S9" s="4" t="inlineStr">
        <is>
          <t>Hirschs 47th Anniversary Sale Feb-Mar 2026</t>
        </is>
      </c>
    </row>
    <row r="10">
      <c r="A10" s="11" t="inlineStr">
        <is>
          <t>86029</t>
        </is>
      </c>
      <c r="B10" s="11" t="inlineStr"/>
      <c r="C10" s="11" t="inlineStr"/>
      <c r="D10" s="11" t="inlineStr"/>
      <c r="E10" s="11" t="inlineStr">
        <is>
          <t>LG 14Pl Matte Black QuadWash Steam Dishwasher</t>
        </is>
      </c>
      <c r="F10" s="11" t="inlineStr">
        <is>
          <t>LG</t>
        </is>
      </c>
      <c r="G10" s="11" t="inlineStr"/>
      <c r="H10" s="11" t="inlineStr"/>
      <c r="I10" s="12" t="n">
        <v>16999</v>
      </c>
      <c r="J10" s="6" t="n">
        <v>15</v>
      </c>
      <c r="K10" s="7">
        <f>IF(I10="","",I10*(1+J10/100))</f>
        <v/>
      </c>
      <c r="L10" s="8" t="inlineStr"/>
      <c r="M10" s="9">
        <f>IF(OR(L10="",K10="",L10=0),"",
  (L10-K10)/L10*100)</f>
        <v/>
      </c>
      <c r="N10" s="10" t="inlineStr"/>
      <c r="O10" s="11" t="inlineStr"/>
      <c r="P10" s="11" t="inlineStr"/>
      <c r="Q10" s="11" t="inlineStr"/>
      <c r="R10" s="11" t="inlineStr">
        <is>
          <t>2026-03-12</t>
        </is>
      </c>
      <c r="S10" s="11" t="inlineStr">
        <is>
          <t>Hirschs 47th Anniversary Sale Feb-Mar 2026</t>
        </is>
      </c>
    </row>
    <row r="11">
      <c r="A11" s="3" t="inlineStr">
        <is>
          <t>87593</t>
        </is>
      </c>
      <c r="B11" s="4" t="inlineStr"/>
      <c r="C11" s="4" t="inlineStr"/>
      <c r="D11" s="4" t="inlineStr"/>
      <c r="E11" s="3" t="inlineStr">
        <is>
          <t>Russell Hobbs 11L Dual Stack Digital Air Fryer</t>
        </is>
      </c>
      <c r="F11" s="4" t="inlineStr">
        <is>
          <t>Russell Hobbs</t>
        </is>
      </c>
      <c r="G11" s="4" t="inlineStr"/>
      <c r="H11" s="4" t="inlineStr"/>
      <c r="I11" s="5" t="n">
        <v>1999</v>
      </c>
      <c r="J11" s="6" t="n">
        <v>15</v>
      </c>
      <c r="K11" s="7">
        <f>IF(I11="","",I11*(1+J11/100))</f>
        <v/>
      </c>
      <c r="L11" s="8" t="inlineStr"/>
      <c r="M11" s="9">
        <f>IF(OR(L11="",K11="",L11=0),"",
  (L11-K11)/L11*100)</f>
        <v/>
      </c>
      <c r="N11" s="10" t="inlineStr"/>
      <c r="O11" s="4" t="inlineStr"/>
      <c r="P11" s="4" t="inlineStr"/>
      <c r="Q11" s="4" t="inlineStr"/>
      <c r="R11" s="4" t="inlineStr">
        <is>
          <t>2026-03-12</t>
        </is>
      </c>
      <c r="S11" s="4" t="inlineStr">
        <is>
          <t>Hirschs 47th Anniversary Sale Feb-Mar 2026</t>
        </is>
      </c>
    </row>
    <row r="12">
      <c r="A12" s="11" t="inlineStr">
        <is>
          <t>86697</t>
        </is>
      </c>
      <c r="B12" s="11" t="inlineStr"/>
      <c r="C12" s="11" t="inlineStr"/>
      <c r="D12" s="11" t="inlineStr"/>
      <c r="E12" s="11" t="inlineStr">
        <is>
          <t>DeLonghi PrimaDonna Aromatic Bean-to-Cup Coffee Machine</t>
        </is>
      </c>
      <c r="F12" s="11" t="inlineStr">
        <is>
          <t>DeLonghi</t>
        </is>
      </c>
      <c r="G12" s="11" t="inlineStr"/>
      <c r="H12" s="11" t="inlineStr"/>
      <c r="I12" s="12" t="n">
        <v>27999</v>
      </c>
      <c r="J12" s="6" t="n">
        <v>15</v>
      </c>
      <c r="K12" s="7">
        <f>IF(I12="","",I12*(1+J12/100))</f>
        <v/>
      </c>
      <c r="L12" s="8" t="inlineStr"/>
      <c r="M12" s="9">
        <f>IF(OR(L12="",K12="",L12=0),"",
  (L12-K12)/L12*100)</f>
        <v/>
      </c>
      <c r="N12" s="10" t="inlineStr"/>
      <c r="O12" s="11" t="inlineStr"/>
      <c r="P12" s="11" t="inlineStr"/>
      <c r="Q12" s="11" t="inlineStr"/>
      <c r="R12" s="11" t="inlineStr">
        <is>
          <t>2026-03-12</t>
        </is>
      </c>
      <c r="S12" s="11" t="inlineStr">
        <is>
          <t>Hirschs 47th Anniversary Sale Feb-Mar 2026</t>
        </is>
      </c>
    </row>
    <row r="13">
      <c r="A13" s="3" t="inlineStr">
        <is>
          <t>85339</t>
        </is>
      </c>
      <c r="B13" s="4" t="inlineStr"/>
      <c r="C13" s="4" t="inlineStr"/>
      <c r="D13" s="4" t="inlineStr"/>
      <c r="E13" s="3" t="inlineStr">
        <is>
          <t>Miele Guard L1 Bagged Cylinder Vacuum Cleaner</t>
        </is>
      </c>
      <c r="F13" s="4" t="inlineStr">
        <is>
          <t>Miele</t>
        </is>
      </c>
      <c r="G13" s="4" t="inlineStr"/>
      <c r="H13" s="4" t="inlineStr"/>
      <c r="I13" s="5" t="n">
        <v>9499</v>
      </c>
      <c r="J13" s="6" t="n">
        <v>15</v>
      </c>
      <c r="K13" s="7">
        <f>IF(I13="","",I13*(1+J13/100))</f>
        <v/>
      </c>
      <c r="L13" s="8" t="inlineStr"/>
      <c r="M13" s="9">
        <f>IF(OR(L13="",K13="",L13=0),"",
  (L13-K13)/L13*100)</f>
        <v/>
      </c>
      <c r="N13" s="10" t="inlineStr"/>
      <c r="O13" s="4" t="inlineStr"/>
      <c r="P13" s="4" t="inlineStr"/>
      <c r="Q13" s="4" t="inlineStr"/>
      <c r="R13" s="4" t="inlineStr">
        <is>
          <t>2026-03-12</t>
        </is>
      </c>
      <c r="S13" s="4" t="inlineStr">
        <is>
          <t>Hirschs 47th Anniversary Sale Feb-Mar 2026</t>
        </is>
      </c>
    </row>
    <row r="14">
      <c r="A14" s="11" t="inlineStr">
        <is>
          <t>83958</t>
        </is>
      </c>
      <c r="B14" s="11" t="inlineStr"/>
      <c r="C14" s="11" t="inlineStr"/>
      <c r="D14" s="11" t="inlineStr"/>
      <c r="E14" s="11" t="inlineStr">
        <is>
          <t>Cloud Nine 152cm Spine-Flex ET Base Set</t>
        </is>
      </c>
      <c r="F14" s="11" t="inlineStr">
        <is>
          <t>Cloud Nine</t>
        </is>
      </c>
      <c r="G14" s="11" t="inlineStr"/>
      <c r="H14" s="11" t="inlineStr"/>
      <c r="I14" s="12" t="n">
        <v>9999</v>
      </c>
      <c r="J14" s="6" t="n">
        <v>15</v>
      </c>
      <c r="K14" s="7">
        <f>IF(I14="","",I14*(1+J14/100))</f>
        <v/>
      </c>
      <c r="L14" s="8" t="inlineStr"/>
      <c r="M14" s="9">
        <f>IF(OR(L14="",K14="",L14=0),"",
  (L14-K14)/L14*100)</f>
        <v/>
      </c>
      <c r="N14" s="10" t="inlineStr"/>
      <c r="O14" s="11" t="inlineStr"/>
      <c r="P14" s="11" t="inlineStr"/>
      <c r="Q14" s="11" t="inlineStr"/>
      <c r="R14" s="11" t="inlineStr">
        <is>
          <t>2026-03-12</t>
        </is>
      </c>
      <c r="S14" s="11" t="inlineStr">
        <is>
          <t>Hirschs 47th Anniversary Sale Feb-Mar 2026</t>
        </is>
      </c>
    </row>
    <row r="15">
      <c r="A15" s="3" t="inlineStr">
        <is>
          <t>116UX</t>
        </is>
      </c>
      <c r="B15" s="4" t="inlineStr"/>
      <c r="C15" s="4" t="inlineStr"/>
      <c r="D15" s="4" t="inlineStr"/>
      <c r="E15" s="3" t="inlineStr">
        <is>
          <t>Hisense 116UX RGB MiniLED</t>
        </is>
      </c>
      <c r="F15" s="4" t="inlineStr">
        <is>
          <t>Hisense</t>
        </is>
      </c>
      <c r="G15" s="4" t="inlineStr"/>
      <c r="H15" s="4" t="inlineStr"/>
      <c r="I15" s="5" t="n">
        <v>299999</v>
      </c>
      <c r="J15" s="6" t="n">
        <v>15</v>
      </c>
      <c r="K15" s="7">
        <f>IF(I15="","",I15*(1+J15/100))</f>
        <v/>
      </c>
      <c r="L15" s="8" t="inlineStr"/>
      <c r="M15" s="9">
        <f>IF(OR(L15="",K15="",L15=0),"",
  (L15-K15)/L15*100)</f>
        <v/>
      </c>
      <c r="N15" s="10" t="inlineStr"/>
      <c r="O15" s="4" t="inlineStr"/>
      <c r="P15" s="4" t="inlineStr"/>
      <c r="Q15" s="4" t="inlineStr"/>
      <c r="R15" s="4" t="inlineStr">
        <is>
          <t>2026-03-12</t>
        </is>
      </c>
      <c r="S15" s="4" t="inlineStr">
        <is>
          <t>Hirschs 47th Anniversary Sale Feb-Mar 2026</t>
        </is>
      </c>
    </row>
    <row r="16">
      <c r="A16" s="11" t="inlineStr">
        <is>
          <t>100UX</t>
        </is>
      </c>
      <c r="B16" s="11" t="inlineStr"/>
      <c r="C16" s="11" t="inlineStr"/>
      <c r="D16" s="11" t="inlineStr"/>
      <c r="E16" s="11" t="inlineStr">
        <is>
          <t>Hisense 100UX RGB MiniLED</t>
        </is>
      </c>
      <c r="F16" s="11" t="inlineStr">
        <is>
          <t>Hisense</t>
        </is>
      </c>
      <c r="G16" s="11" t="inlineStr"/>
      <c r="H16" s="11" t="inlineStr"/>
      <c r="I16" s="12" t="n">
        <v>149999</v>
      </c>
      <c r="J16" s="6" t="n">
        <v>15</v>
      </c>
      <c r="K16" s="7">
        <f>IF(I16="","",I16*(1+J16/100))</f>
        <v/>
      </c>
      <c r="L16" s="8" t="inlineStr"/>
      <c r="M16" s="9">
        <f>IF(OR(L16="",K16="",L16=0),"",
  (L16-K16)/L16*100)</f>
        <v/>
      </c>
      <c r="N16" s="10" t="inlineStr"/>
      <c r="O16" s="11" t="inlineStr"/>
      <c r="P16" s="11" t="inlineStr"/>
      <c r="Q16" s="11" t="inlineStr"/>
      <c r="R16" s="11" t="inlineStr">
        <is>
          <t>2026-03-12</t>
        </is>
      </c>
      <c r="S16" s="11" t="inlineStr">
        <is>
          <t>Hirschs 47th Anniversary Sale Feb-Mar 2026</t>
        </is>
      </c>
    </row>
    <row r="17">
      <c r="A17" s="3" t="inlineStr">
        <is>
          <t>100Q7Q</t>
        </is>
      </c>
      <c r="B17" s="4" t="inlineStr"/>
      <c r="C17" s="4" t="inlineStr"/>
      <c r="D17" s="4" t="inlineStr"/>
      <c r="E17" s="3" t="inlineStr">
        <is>
          <t>Hisense 100Q7Q</t>
        </is>
      </c>
      <c r="F17" s="4" t="inlineStr">
        <is>
          <t>Hisense</t>
        </is>
      </c>
      <c r="G17" s="4" t="inlineStr"/>
      <c r="H17" s="4" t="inlineStr"/>
      <c r="I17" s="5" t="n">
        <v>34999</v>
      </c>
      <c r="J17" s="6" t="n">
        <v>15</v>
      </c>
      <c r="K17" s="7">
        <f>IF(I17="","",I17*(1+J17/100))</f>
        <v/>
      </c>
      <c r="L17" s="8" t="inlineStr"/>
      <c r="M17" s="9">
        <f>IF(OR(L17="",K17="",L17=0),"",
  (L17-K17)/L17*100)</f>
        <v/>
      </c>
      <c r="N17" s="10" t="inlineStr"/>
      <c r="O17" s="4" t="inlineStr"/>
      <c r="P17" s="4" t="inlineStr"/>
      <c r="Q17" s="4" t="inlineStr"/>
      <c r="R17" s="4" t="inlineStr">
        <is>
          <t>2026-03-12</t>
        </is>
      </c>
      <c r="S17" s="4" t="inlineStr">
        <is>
          <t>Hirschs 47th Anniversary Sale Feb-Mar 2026</t>
        </is>
      </c>
    </row>
    <row r="18">
      <c r="A18" s="11" t="inlineStr">
        <is>
          <t>85U8Q</t>
        </is>
      </c>
      <c r="B18" s="11" t="inlineStr"/>
      <c r="C18" s="11" t="inlineStr"/>
      <c r="D18" s="11" t="inlineStr"/>
      <c r="E18" s="11" t="inlineStr">
        <is>
          <t>Hisense 85U8Q</t>
        </is>
      </c>
      <c r="F18" s="11" t="inlineStr">
        <is>
          <t>Hisense</t>
        </is>
      </c>
      <c r="G18" s="11" t="inlineStr"/>
      <c r="H18" s="11" t="inlineStr"/>
      <c r="I18" s="12" t="n">
        <v>39999</v>
      </c>
      <c r="J18" s="6" t="n">
        <v>15</v>
      </c>
      <c r="K18" s="7">
        <f>IF(I18="","",I18*(1+J18/100))</f>
        <v/>
      </c>
      <c r="L18" s="8" t="inlineStr"/>
      <c r="M18" s="9">
        <f>IF(OR(L18="",K18="",L18=0),"",
  (L18-K18)/L18*100)</f>
        <v/>
      </c>
      <c r="N18" s="10" t="inlineStr"/>
      <c r="O18" s="11" t="inlineStr"/>
      <c r="P18" s="11" t="inlineStr"/>
      <c r="Q18" s="11" t="inlineStr"/>
      <c r="R18" s="11" t="inlineStr">
        <is>
          <t>2026-03-12</t>
        </is>
      </c>
      <c r="S18" s="11" t="inlineStr">
        <is>
          <t>Hirschs 47th Anniversary Sale Feb-Mar 2026</t>
        </is>
      </c>
    </row>
    <row r="19">
      <c r="A19" s="3" t="inlineStr">
        <is>
          <t>75U8Q</t>
        </is>
      </c>
      <c r="B19" s="4" t="inlineStr"/>
      <c r="C19" s="4" t="inlineStr"/>
      <c r="D19" s="4" t="inlineStr"/>
      <c r="E19" s="3" t="inlineStr">
        <is>
          <t>Hisense 75U8Q</t>
        </is>
      </c>
      <c r="F19" s="4" t="inlineStr">
        <is>
          <t>Hisense</t>
        </is>
      </c>
      <c r="G19" s="4" t="inlineStr"/>
      <c r="H19" s="4" t="inlineStr"/>
      <c r="I19" s="5" t="n">
        <v>27999</v>
      </c>
      <c r="J19" s="6" t="n">
        <v>15</v>
      </c>
      <c r="K19" s="7">
        <f>IF(I19="","",I19*(1+J19/100))</f>
        <v/>
      </c>
      <c r="L19" s="8" t="inlineStr"/>
      <c r="M19" s="9">
        <f>IF(OR(L19="",K19="",L19=0),"",
  (L19-K19)/L19*100)</f>
        <v/>
      </c>
      <c r="N19" s="10" t="inlineStr"/>
      <c r="O19" s="4" t="inlineStr"/>
      <c r="P19" s="4" t="inlineStr"/>
      <c r="Q19" s="4" t="inlineStr"/>
      <c r="R19" s="4" t="inlineStr">
        <is>
          <t>2026-03-12</t>
        </is>
      </c>
      <c r="S19" s="4" t="inlineStr">
        <is>
          <t>Hirschs 47th Anniversary Sale Feb-Mar 2026</t>
        </is>
      </c>
    </row>
    <row r="20">
      <c r="A20" s="11" t="inlineStr">
        <is>
          <t>65U8Q</t>
        </is>
      </c>
      <c r="B20" s="11" t="inlineStr"/>
      <c r="C20" s="11" t="inlineStr"/>
      <c r="D20" s="11" t="inlineStr"/>
      <c r="E20" s="11" t="inlineStr">
        <is>
          <t>Hisense 65U8Q</t>
        </is>
      </c>
      <c r="F20" s="11" t="inlineStr">
        <is>
          <t>Hisense</t>
        </is>
      </c>
      <c r="G20" s="11" t="inlineStr"/>
      <c r="H20" s="11" t="inlineStr"/>
      <c r="I20" s="12" t="n">
        <v>19999</v>
      </c>
      <c r="J20" s="6" t="n">
        <v>15</v>
      </c>
      <c r="K20" s="7">
        <f>IF(I20="","",I20*(1+J20/100))</f>
        <v/>
      </c>
      <c r="L20" s="8" t="inlineStr"/>
      <c r="M20" s="9">
        <f>IF(OR(L20="",K20="",L20=0),"",
  (L20-K20)/L20*100)</f>
        <v/>
      </c>
      <c r="N20" s="10" t="inlineStr"/>
      <c r="O20" s="11" t="inlineStr"/>
      <c r="P20" s="11" t="inlineStr"/>
      <c r="Q20" s="11" t="inlineStr"/>
      <c r="R20" s="11" t="inlineStr">
        <is>
          <t>2026-03-12</t>
        </is>
      </c>
      <c r="S20" s="11" t="inlineStr">
        <is>
          <t>Hirschs 47th Anniversary Sale Feb-Mar 2026</t>
        </is>
      </c>
    </row>
    <row r="21">
      <c r="A21" s="3" t="inlineStr">
        <is>
          <t>85U7Q</t>
        </is>
      </c>
      <c r="B21" s="4" t="inlineStr"/>
      <c r="C21" s="4" t="inlineStr"/>
      <c r="D21" s="4" t="inlineStr"/>
      <c r="E21" s="3" t="inlineStr">
        <is>
          <t>Hisense 85U7Q</t>
        </is>
      </c>
      <c r="F21" s="4" t="inlineStr">
        <is>
          <t>Hisense</t>
        </is>
      </c>
      <c r="G21" s="4" t="inlineStr"/>
      <c r="H21" s="4" t="inlineStr"/>
      <c r="I21" s="5" t="n">
        <v>27999</v>
      </c>
      <c r="J21" s="6" t="n">
        <v>15</v>
      </c>
      <c r="K21" s="7">
        <f>IF(I21="","",I21*(1+J21/100))</f>
        <v/>
      </c>
      <c r="L21" s="8" t="inlineStr"/>
      <c r="M21" s="9">
        <f>IF(OR(L21="",K21="",L21=0),"",
  (L21-K21)/L21*100)</f>
        <v/>
      </c>
      <c r="N21" s="10" t="inlineStr"/>
      <c r="O21" s="4" t="inlineStr"/>
      <c r="P21" s="4" t="inlineStr"/>
      <c r="Q21" s="4" t="inlineStr"/>
      <c r="R21" s="4" t="inlineStr">
        <is>
          <t>2026-03-12</t>
        </is>
      </c>
      <c r="S21" s="4" t="inlineStr">
        <is>
          <t>Hirschs 47th Anniversary Sale Feb-Mar 2026</t>
        </is>
      </c>
    </row>
    <row r="22">
      <c r="A22" s="11" t="inlineStr">
        <is>
          <t>75U7QPRO</t>
        </is>
      </c>
      <c r="B22" s="11" t="inlineStr"/>
      <c r="C22" s="11" t="inlineStr"/>
      <c r="D22" s="11" t="inlineStr"/>
      <c r="E22" s="11" t="inlineStr">
        <is>
          <t>Hisense 75U7Q PRO</t>
        </is>
      </c>
      <c r="F22" s="11" t="inlineStr">
        <is>
          <t>Hisense</t>
        </is>
      </c>
      <c r="G22" s="11" t="inlineStr"/>
      <c r="H22" s="11" t="inlineStr"/>
      <c r="I22" s="12" t="n">
        <v>19999</v>
      </c>
      <c r="J22" s="6" t="n">
        <v>15</v>
      </c>
      <c r="K22" s="7">
        <f>IF(I22="","",I22*(1+J22/100))</f>
        <v/>
      </c>
      <c r="L22" s="8" t="inlineStr"/>
      <c r="M22" s="9">
        <f>IF(OR(L22="",K22="",L22=0),"",
  (L22-K22)/L22*100)</f>
        <v/>
      </c>
      <c r="N22" s="10" t="inlineStr"/>
      <c r="O22" s="11" t="inlineStr"/>
      <c r="P22" s="11" t="inlineStr"/>
      <c r="Q22" s="11" t="inlineStr"/>
      <c r="R22" s="11" t="inlineStr">
        <is>
          <t>2026-03-12</t>
        </is>
      </c>
      <c r="S22" s="11" t="inlineStr">
        <is>
          <t>Hirschs 47th Anniversary Sale Feb-Mar 2026</t>
        </is>
      </c>
    </row>
    <row r="23">
      <c r="A23" s="3" t="inlineStr">
        <is>
          <t>65U7QPRO</t>
        </is>
      </c>
      <c r="B23" s="4" t="inlineStr"/>
      <c r="C23" s="4" t="inlineStr"/>
      <c r="D23" s="4" t="inlineStr"/>
      <c r="E23" s="3" t="inlineStr">
        <is>
          <t>Hisense 65U7Q PRO</t>
        </is>
      </c>
      <c r="F23" s="4" t="inlineStr">
        <is>
          <t>Hisense</t>
        </is>
      </c>
      <c r="G23" s="4" t="inlineStr"/>
      <c r="H23" s="4" t="inlineStr"/>
      <c r="I23" s="5" t="n">
        <v>14999</v>
      </c>
      <c r="J23" s="6" t="n">
        <v>15</v>
      </c>
      <c r="K23" s="7">
        <f>IF(I23="","",I23*(1+J23/100))</f>
        <v/>
      </c>
      <c r="L23" s="8" t="inlineStr"/>
      <c r="M23" s="9">
        <f>IF(OR(L23="",K23="",L23=0),"",
  (L23-K23)/L23*100)</f>
        <v/>
      </c>
      <c r="N23" s="10" t="inlineStr"/>
      <c r="O23" s="4" t="inlineStr"/>
      <c r="P23" s="4" t="inlineStr"/>
      <c r="Q23" s="4" t="inlineStr"/>
      <c r="R23" s="4" t="inlineStr">
        <is>
          <t>2026-03-12</t>
        </is>
      </c>
      <c r="S23" s="4" t="inlineStr">
        <is>
          <t>Hirschs 47th Anniversary Sale Feb-Mar 2026</t>
        </is>
      </c>
    </row>
    <row r="24">
      <c r="A24" s="11" t="inlineStr">
        <is>
          <t>85U7Q</t>
        </is>
      </c>
      <c r="B24" s="11" t="inlineStr"/>
      <c r="C24" s="11" t="inlineStr"/>
      <c r="D24" s="11" t="inlineStr"/>
      <c r="E24" s="11" t="inlineStr">
        <is>
          <t>Hisense 85U7Q</t>
        </is>
      </c>
      <c r="F24" s="11" t="inlineStr">
        <is>
          <t>Hisense</t>
        </is>
      </c>
      <c r="G24" s="11" t="inlineStr"/>
      <c r="H24" s="11" t="inlineStr"/>
      <c r="I24" s="12" t="n">
        <v>24999</v>
      </c>
      <c r="J24" s="6" t="n">
        <v>15</v>
      </c>
      <c r="K24" s="7">
        <f>IF(I24="","",I24*(1+J24/100))</f>
        <v/>
      </c>
      <c r="L24" s="8" t="inlineStr"/>
      <c r="M24" s="9">
        <f>IF(OR(L24="",K24="",L24=0),"",
  (L24-K24)/L24*100)</f>
        <v/>
      </c>
      <c r="N24" s="10" t="inlineStr"/>
      <c r="O24" s="11" t="inlineStr"/>
      <c r="P24" s="11" t="inlineStr"/>
      <c r="Q24" s="11" t="inlineStr"/>
      <c r="R24" s="11" t="inlineStr">
        <is>
          <t>2026-03-12</t>
        </is>
      </c>
      <c r="S24" s="11" t="inlineStr">
        <is>
          <t>Hirschs 47th Anniversary Sale Feb-Mar 2026</t>
        </is>
      </c>
    </row>
    <row r="25">
      <c r="A25" s="3" t="inlineStr">
        <is>
          <t>75U7Q</t>
        </is>
      </c>
      <c r="B25" s="4" t="inlineStr"/>
      <c r="C25" s="4" t="inlineStr"/>
      <c r="D25" s="4" t="inlineStr"/>
      <c r="E25" s="3" t="inlineStr">
        <is>
          <t>Hisense 75U7Q</t>
        </is>
      </c>
      <c r="F25" s="4" t="inlineStr">
        <is>
          <t>Hisense</t>
        </is>
      </c>
      <c r="G25" s="4" t="inlineStr"/>
      <c r="H25" s="4" t="inlineStr"/>
      <c r="I25" s="5" t="n">
        <v>16999</v>
      </c>
      <c r="J25" s="6" t="n">
        <v>15</v>
      </c>
      <c r="K25" s="7">
        <f>IF(I25="","",I25*(1+J25/100))</f>
        <v/>
      </c>
      <c r="L25" s="8" t="inlineStr"/>
      <c r="M25" s="9">
        <f>IF(OR(L25="",K25="",L25=0),"",
  (L25-K25)/L25*100)</f>
        <v/>
      </c>
      <c r="N25" s="10" t="inlineStr"/>
      <c r="O25" s="4" t="inlineStr"/>
      <c r="P25" s="4" t="inlineStr"/>
      <c r="Q25" s="4" t="inlineStr"/>
      <c r="R25" s="4" t="inlineStr">
        <is>
          <t>2026-03-12</t>
        </is>
      </c>
      <c r="S25" s="4" t="inlineStr">
        <is>
          <t>Hirschs 47th Anniversary Sale Feb-Mar 2026</t>
        </is>
      </c>
    </row>
    <row r="26">
      <c r="A26" s="11" t="inlineStr">
        <is>
          <t>65U7Q</t>
        </is>
      </c>
      <c r="B26" s="11" t="inlineStr"/>
      <c r="C26" s="11" t="inlineStr"/>
      <c r="D26" s="11" t="inlineStr"/>
      <c r="E26" s="11" t="inlineStr">
        <is>
          <t>Hisense 65U7Q</t>
        </is>
      </c>
      <c r="F26" s="11" t="inlineStr">
        <is>
          <t>Hisense</t>
        </is>
      </c>
      <c r="G26" s="11" t="inlineStr"/>
      <c r="H26" s="11" t="inlineStr"/>
      <c r="I26" s="12" t="n">
        <v>9999</v>
      </c>
      <c r="J26" s="6" t="n">
        <v>15</v>
      </c>
      <c r="K26" s="7">
        <f>IF(I26="","",I26*(1+J26/100))</f>
        <v/>
      </c>
      <c r="L26" s="8" t="inlineStr"/>
      <c r="M26" s="9">
        <f>IF(OR(L26="",K26="",L26=0),"",
  (L26-K26)/L26*100)</f>
        <v/>
      </c>
      <c r="N26" s="10" t="inlineStr"/>
      <c r="O26" s="11" t="inlineStr"/>
      <c r="P26" s="11" t="inlineStr"/>
      <c r="Q26" s="11" t="inlineStr"/>
      <c r="R26" s="11" t="inlineStr">
        <is>
          <t>2026-03-12</t>
        </is>
      </c>
      <c r="S26" s="11" t="inlineStr">
        <is>
          <t>Hirschs 47th Anniversary Sale Feb-Mar 2026</t>
        </is>
      </c>
    </row>
    <row r="27">
      <c r="A27" s="3" t="inlineStr">
        <is>
          <t>55U7Q</t>
        </is>
      </c>
      <c r="B27" s="4" t="inlineStr"/>
      <c r="C27" s="4" t="inlineStr"/>
      <c r="D27" s="4" t="inlineStr"/>
      <c r="E27" s="3" t="inlineStr">
        <is>
          <t>Hisense 55U7Q</t>
        </is>
      </c>
      <c r="F27" s="4" t="inlineStr">
        <is>
          <t>Hisense</t>
        </is>
      </c>
      <c r="G27" s="4" t="inlineStr"/>
      <c r="H27" s="4" t="inlineStr"/>
      <c r="I27" s="5" t="n">
        <v>8999</v>
      </c>
      <c r="J27" s="6" t="n">
        <v>15</v>
      </c>
      <c r="K27" s="7">
        <f>IF(I27="","",I27*(1+J27/100))</f>
        <v/>
      </c>
      <c r="L27" s="8" t="inlineStr"/>
      <c r="M27" s="9">
        <f>IF(OR(L27="",K27="",L27=0),"",
  (L27-K27)/L27*100)</f>
        <v/>
      </c>
      <c r="N27" s="10" t="inlineStr"/>
      <c r="O27" s="4" t="inlineStr"/>
      <c r="P27" s="4" t="inlineStr"/>
      <c r="Q27" s="4" t="inlineStr"/>
      <c r="R27" s="4" t="inlineStr">
        <is>
          <t>2026-03-12</t>
        </is>
      </c>
      <c r="S27" s="4" t="inlineStr">
        <is>
          <t>Hirschs 47th Anniversary Sale Feb-Mar 2026</t>
        </is>
      </c>
    </row>
    <row r="28">
      <c r="A28" s="11" t="inlineStr">
        <is>
          <t>85Q7Q</t>
        </is>
      </c>
      <c r="B28" s="11" t="inlineStr"/>
      <c r="C28" s="11" t="inlineStr"/>
      <c r="D28" s="11" t="inlineStr"/>
      <c r="E28" s="11" t="inlineStr">
        <is>
          <t>Hisense 85Q7Q 4K Premium QLED 144Hz</t>
        </is>
      </c>
      <c r="F28" s="11" t="inlineStr">
        <is>
          <t>Hisense</t>
        </is>
      </c>
      <c r="G28" s="11" t="inlineStr"/>
      <c r="H28" s="11" t="inlineStr"/>
      <c r="I28" s="12" t="n">
        <v>17999</v>
      </c>
      <c r="J28" s="6" t="n">
        <v>15</v>
      </c>
      <c r="K28" s="7">
        <f>IF(I28="","",I28*(1+J28/100))</f>
        <v/>
      </c>
      <c r="L28" s="8" t="inlineStr"/>
      <c r="M28" s="9">
        <f>IF(OR(L28="",K28="",L28=0),"",
  (L28-K28)/L28*100)</f>
        <v/>
      </c>
      <c r="N28" s="10" t="inlineStr"/>
      <c r="O28" s="11" t="inlineStr"/>
      <c r="P28" s="11" t="inlineStr"/>
      <c r="Q28" s="11" t="inlineStr"/>
      <c r="R28" s="11" t="inlineStr">
        <is>
          <t>2026-03-12</t>
        </is>
      </c>
      <c r="S28" s="11" t="inlineStr">
        <is>
          <t>Hirschs 47th Anniversary Sale Feb-Mar 2026</t>
        </is>
      </c>
    </row>
    <row r="29">
      <c r="A29" s="3" t="inlineStr">
        <is>
          <t>75Q7Q</t>
        </is>
      </c>
      <c r="B29" s="4" t="inlineStr"/>
      <c r="C29" s="4" t="inlineStr"/>
      <c r="D29" s="4" t="inlineStr"/>
      <c r="E29" s="3" t="inlineStr">
        <is>
          <t>Hisense 75Q7Q</t>
        </is>
      </c>
      <c r="F29" s="4" t="inlineStr">
        <is>
          <t>Hisense</t>
        </is>
      </c>
      <c r="G29" s="4" t="inlineStr"/>
      <c r="H29" s="4" t="inlineStr"/>
      <c r="I29" s="5" t="n">
        <v>12999</v>
      </c>
      <c r="J29" s="6" t="n">
        <v>15</v>
      </c>
      <c r="K29" s="7">
        <f>IF(I29="","",I29*(1+J29/100))</f>
        <v/>
      </c>
      <c r="L29" s="8" t="inlineStr"/>
      <c r="M29" s="9">
        <f>IF(OR(L29="",K29="",L29=0),"",
  (L29-K29)/L29*100)</f>
        <v/>
      </c>
      <c r="N29" s="10" t="inlineStr"/>
      <c r="O29" s="4" t="inlineStr"/>
      <c r="P29" s="4" t="inlineStr"/>
      <c r="Q29" s="4" t="inlineStr"/>
      <c r="R29" s="4" t="inlineStr">
        <is>
          <t>2026-03-12</t>
        </is>
      </c>
      <c r="S29" s="4" t="inlineStr">
        <is>
          <t>Hirschs 47th Anniversary Sale Feb-Mar 2026</t>
        </is>
      </c>
    </row>
    <row r="30">
      <c r="A30" s="11" t="inlineStr">
        <is>
          <t>65Q7Q</t>
        </is>
      </c>
      <c r="B30" s="11" t="inlineStr"/>
      <c r="C30" s="11" t="inlineStr"/>
      <c r="D30" s="11" t="inlineStr"/>
      <c r="E30" s="11" t="inlineStr">
        <is>
          <t>Hisense 65Q7Q</t>
        </is>
      </c>
      <c r="F30" s="11" t="inlineStr">
        <is>
          <t>Hisense</t>
        </is>
      </c>
      <c r="G30" s="11" t="inlineStr"/>
      <c r="H30" s="11" t="inlineStr"/>
      <c r="I30" s="12" t="n">
        <v>9999</v>
      </c>
      <c r="J30" s="6" t="n">
        <v>15</v>
      </c>
      <c r="K30" s="7">
        <f>IF(I30="","",I30*(1+J30/100))</f>
        <v/>
      </c>
      <c r="L30" s="8" t="inlineStr"/>
      <c r="M30" s="9">
        <f>IF(OR(L30="",K30="",L30=0),"",
  (L30-K30)/L30*100)</f>
        <v/>
      </c>
      <c r="N30" s="10" t="inlineStr"/>
      <c r="O30" s="11" t="inlineStr"/>
      <c r="P30" s="11" t="inlineStr"/>
      <c r="Q30" s="11" t="inlineStr"/>
      <c r="R30" s="11" t="inlineStr">
        <is>
          <t>2026-03-12</t>
        </is>
      </c>
      <c r="S30" s="11" t="inlineStr">
        <is>
          <t>Hirschs 47th Anniversary Sale Feb-Mar 2026</t>
        </is>
      </c>
    </row>
    <row r="31">
      <c r="A31" s="3" t="inlineStr">
        <is>
          <t>55Q7Q</t>
        </is>
      </c>
      <c r="B31" s="4" t="inlineStr"/>
      <c r="C31" s="4" t="inlineStr"/>
      <c r="D31" s="4" t="inlineStr"/>
      <c r="E31" s="3" t="inlineStr">
        <is>
          <t>Hisense 55Q7Q</t>
        </is>
      </c>
      <c r="F31" s="4" t="inlineStr">
        <is>
          <t>Hisense</t>
        </is>
      </c>
      <c r="G31" s="4" t="inlineStr"/>
      <c r="H31" s="4" t="inlineStr"/>
      <c r="I31" s="5" t="n">
        <v>7999</v>
      </c>
      <c r="J31" s="6" t="n">
        <v>15</v>
      </c>
      <c r="K31" s="7">
        <f>IF(I31="","",I31*(1+J31/100))</f>
        <v/>
      </c>
      <c r="L31" s="8" t="inlineStr"/>
      <c r="M31" s="9">
        <f>IF(OR(L31="",K31="",L31=0),"",
  (L31-K31)/L31*100)</f>
        <v/>
      </c>
      <c r="N31" s="10" t="inlineStr"/>
      <c r="O31" s="4" t="inlineStr"/>
      <c r="P31" s="4" t="inlineStr"/>
      <c r="Q31" s="4" t="inlineStr"/>
      <c r="R31" s="4" t="inlineStr">
        <is>
          <t>2026-03-12</t>
        </is>
      </c>
      <c r="S31" s="4" t="inlineStr">
        <is>
          <t>Hirschs 47th Anniversary Sale Feb-Mar 2026</t>
        </is>
      </c>
    </row>
    <row r="32">
      <c r="A32" s="11" t="inlineStr">
        <is>
          <t>98Q6Q</t>
        </is>
      </c>
      <c r="B32" s="11" t="inlineStr"/>
      <c r="C32" s="11" t="inlineStr"/>
      <c r="D32" s="11" t="inlineStr"/>
      <c r="E32" s="11" t="inlineStr">
        <is>
          <t>Hisense 98" 4K QLED 144Hz</t>
        </is>
      </c>
      <c r="F32" s="11" t="inlineStr">
        <is>
          <t>Hisense</t>
        </is>
      </c>
      <c r="G32" s="11" t="inlineStr"/>
      <c r="H32" s="11" t="inlineStr"/>
      <c r="I32" s="12" t="n">
        <v>29999</v>
      </c>
      <c r="J32" s="6" t="n">
        <v>15</v>
      </c>
      <c r="K32" s="7">
        <f>IF(I32="","",I32*(1+J32/100))</f>
        <v/>
      </c>
      <c r="L32" s="8" t="inlineStr"/>
      <c r="M32" s="9">
        <f>IF(OR(L32="",K32="",L32=0),"",
  (L32-K32)/L32*100)</f>
        <v/>
      </c>
      <c r="N32" s="10" t="inlineStr"/>
      <c r="O32" s="11" t="inlineStr"/>
      <c r="P32" s="11" t="inlineStr"/>
      <c r="Q32" s="11" t="inlineStr"/>
      <c r="R32" s="11" t="inlineStr">
        <is>
          <t>2026-03-12</t>
        </is>
      </c>
      <c r="S32" s="11" t="inlineStr">
        <is>
          <t>Hirschs 47th Anniversary Sale Feb-Mar 2026</t>
        </is>
      </c>
    </row>
    <row r="33">
      <c r="A33" s="3" t="inlineStr">
        <is>
          <t>85Q6Q</t>
        </is>
      </c>
      <c r="B33" s="4" t="inlineStr"/>
      <c r="C33" s="4" t="inlineStr"/>
      <c r="D33" s="4" t="inlineStr"/>
      <c r="E33" s="3" t="inlineStr">
        <is>
          <t>Hisense Q6 LED 4K QLED 60Hz</t>
        </is>
      </c>
      <c r="F33" s="4" t="inlineStr">
        <is>
          <t>Hisense</t>
        </is>
      </c>
      <c r="G33" s="4" t="inlineStr"/>
      <c r="H33" s="4" t="inlineStr"/>
      <c r="I33" s="5" t="n">
        <v>16999</v>
      </c>
      <c r="J33" s="6" t="n">
        <v>15</v>
      </c>
      <c r="K33" s="7">
        <f>IF(I33="","",I33*(1+J33/100))</f>
        <v/>
      </c>
      <c r="L33" s="8" t="inlineStr"/>
      <c r="M33" s="9">
        <f>IF(OR(L33="",K33="",L33=0),"",
  (L33-K33)/L33*100)</f>
        <v/>
      </c>
      <c r="N33" s="10" t="inlineStr"/>
      <c r="O33" s="4" t="inlineStr"/>
      <c r="P33" s="4" t="inlineStr"/>
      <c r="Q33" s="4" t="inlineStr"/>
      <c r="R33" s="4" t="inlineStr">
        <is>
          <t>2026-03-12</t>
        </is>
      </c>
      <c r="S33" s="4" t="inlineStr">
        <is>
          <t>Hirschs 47th Anniversary Sale Feb-Mar 2026</t>
        </is>
      </c>
    </row>
    <row r="34">
      <c r="A34" s="11" t="inlineStr">
        <is>
          <t>85A6Q</t>
        </is>
      </c>
      <c r="B34" s="11" t="inlineStr"/>
      <c r="C34" s="11" t="inlineStr"/>
      <c r="D34" s="11" t="inlineStr"/>
      <c r="E34" s="11" t="inlineStr">
        <is>
          <t>Hisense A6 UHD 4K</t>
        </is>
      </c>
      <c r="F34" s="11" t="inlineStr">
        <is>
          <t>Hisense</t>
        </is>
      </c>
      <c r="G34" s="11" t="inlineStr"/>
      <c r="H34" s="11" t="inlineStr"/>
      <c r="I34" s="12" t="n">
        <v>14999</v>
      </c>
      <c r="J34" s="6" t="n">
        <v>15</v>
      </c>
      <c r="K34" s="7">
        <f>IF(I34="","",I34*(1+J34/100))</f>
        <v/>
      </c>
      <c r="L34" s="8" t="inlineStr"/>
      <c r="M34" s="9">
        <f>IF(OR(L34="",K34="",L34=0),"",
  (L34-K34)/L34*100)</f>
        <v/>
      </c>
      <c r="N34" s="10" t="inlineStr"/>
      <c r="O34" s="11" t="inlineStr"/>
      <c r="P34" s="11" t="inlineStr"/>
      <c r="Q34" s="11" t="inlineStr"/>
      <c r="R34" s="11" t="inlineStr">
        <is>
          <t>2026-03-12</t>
        </is>
      </c>
      <c r="S34" s="11" t="inlineStr">
        <is>
          <t>Hirschs 47th Anniversary Sale Feb-Mar 2026</t>
        </is>
      </c>
    </row>
    <row r="35">
      <c r="A35" s="3" t="inlineStr">
        <is>
          <t>75Q6Q</t>
        </is>
      </c>
      <c r="B35" s="4" t="inlineStr"/>
      <c r="C35" s="4" t="inlineStr"/>
      <c r="D35" s="4" t="inlineStr"/>
      <c r="E35" s="3" t="inlineStr">
        <is>
          <t>Hisense 75Q6Q</t>
        </is>
      </c>
      <c r="F35" s="4" t="inlineStr">
        <is>
          <t>Hisense</t>
        </is>
      </c>
      <c r="G35" s="4" t="inlineStr"/>
      <c r="H35" s="4" t="inlineStr"/>
      <c r="I35" s="5" t="n">
        <v>11999</v>
      </c>
      <c r="J35" s="6" t="n">
        <v>15</v>
      </c>
      <c r="K35" s="7">
        <f>IF(I35="","",I35*(1+J35/100))</f>
        <v/>
      </c>
      <c r="L35" s="8" t="inlineStr"/>
      <c r="M35" s="9">
        <f>IF(OR(L35="",K35="",L35=0),"",
  (L35-K35)/L35*100)</f>
        <v/>
      </c>
      <c r="N35" s="10" t="inlineStr"/>
      <c r="O35" s="4" t="inlineStr"/>
      <c r="P35" s="4" t="inlineStr"/>
      <c r="Q35" s="4" t="inlineStr"/>
      <c r="R35" s="4" t="inlineStr">
        <is>
          <t>2026-03-12</t>
        </is>
      </c>
      <c r="S35" s="4" t="inlineStr">
        <is>
          <t>Hirschs 47th Anniversary Sale Feb-Mar 2026</t>
        </is>
      </c>
    </row>
    <row r="36">
      <c r="A36" s="11" t="inlineStr">
        <is>
          <t>58Q6Q</t>
        </is>
      </c>
      <c r="B36" s="11" t="inlineStr"/>
      <c r="C36" s="11" t="inlineStr"/>
      <c r="D36" s="11" t="inlineStr"/>
      <c r="E36" s="11" t="inlineStr">
        <is>
          <t>Hisense 58Q6Q</t>
        </is>
      </c>
      <c r="F36" s="11" t="inlineStr">
        <is>
          <t>Hisense</t>
        </is>
      </c>
      <c r="G36" s="11" t="inlineStr"/>
      <c r="H36" s="11" t="inlineStr"/>
      <c r="I36" s="12" t="n">
        <v>6999</v>
      </c>
      <c r="J36" s="6" t="n">
        <v>15</v>
      </c>
      <c r="K36" s="7">
        <f>IF(I36="","",I36*(1+J36/100))</f>
        <v/>
      </c>
      <c r="L36" s="8" t="inlineStr"/>
      <c r="M36" s="9">
        <f>IF(OR(L36="",K36="",L36=0),"",
  (L36-K36)/L36*100)</f>
        <v/>
      </c>
      <c r="N36" s="10" t="inlineStr"/>
      <c r="O36" s="11" t="inlineStr"/>
      <c r="P36" s="11" t="inlineStr"/>
      <c r="Q36" s="11" t="inlineStr"/>
      <c r="R36" s="11" t="inlineStr">
        <is>
          <t>2026-03-12</t>
        </is>
      </c>
      <c r="S36" s="11" t="inlineStr">
        <is>
          <t>Hirschs 47th Anniversary Sale Feb-Mar 2026</t>
        </is>
      </c>
    </row>
    <row r="37">
      <c r="A37" s="3" t="inlineStr">
        <is>
          <t>43Q6Q</t>
        </is>
      </c>
      <c r="B37" s="4" t="inlineStr"/>
      <c r="C37" s="4" t="inlineStr"/>
      <c r="D37" s="4" t="inlineStr"/>
      <c r="E37" s="3" t="inlineStr">
        <is>
          <t>Hisense 43Q6Q</t>
        </is>
      </c>
      <c r="F37" s="4" t="inlineStr">
        <is>
          <t>Hisense</t>
        </is>
      </c>
      <c r="G37" s="4" t="inlineStr"/>
      <c r="H37" s="4" t="inlineStr"/>
      <c r="I37" s="5" t="n">
        <v>4499</v>
      </c>
      <c r="J37" s="6" t="n">
        <v>15</v>
      </c>
      <c r="K37" s="7">
        <f>IF(I37="","",I37*(1+J37/100))</f>
        <v/>
      </c>
      <c r="L37" s="8" t="inlineStr"/>
      <c r="M37" s="9">
        <f>IF(OR(L37="",K37="",L37=0),"",
  (L37-K37)/L37*100)</f>
        <v/>
      </c>
      <c r="N37" s="10" t="inlineStr"/>
      <c r="O37" s="4" t="inlineStr"/>
      <c r="P37" s="4" t="inlineStr"/>
      <c r="Q37" s="4" t="inlineStr"/>
      <c r="R37" s="4" t="inlineStr">
        <is>
          <t>2026-03-12</t>
        </is>
      </c>
      <c r="S37" s="4" t="inlineStr">
        <is>
          <t>Hirschs 47th Anniversary Sale Feb-Mar 2026</t>
        </is>
      </c>
    </row>
    <row r="38">
      <c r="A38" s="11" t="inlineStr">
        <is>
          <t>43A4Q</t>
        </is>
      </c>
      <c r="B38" s="11" t="inlineStr"/>
      <c r="C38" s="11" t="inlineStr"/>
      <c r="D38" s="11" t="inlineStr"/>
      <c r="E38" s="11" t="inlineStr">
        <is>
          <t>Hisense A4 Smart TV 43"</t>
        </is>
      </c>
      <c r="F38" s="11" t="inlineStr">
        <is>
          <t>Hisense</t>
        </is>
      </c>
      <c r="G38" s="11" t="inlineStr"/>
      <c r="H38" s="11" t="inlineStr"/>
      <c r="I38" s="12" t="n">
        <v>3699</v>
      </c>
      <c r="J38" s="6" t="n">
        <v>15</v>
      </c>
      <c r="K38" s="7">
        <f>IF(I38="","",I38*(1+J38/100))</f>
        <v/>
      </c>
      <c r="L38" s="8" t="inlineStr"/>
      <c r="M38" s="9">
        <f>IF(OR(L38="",K38="",L38=0),"",
  (L38-K38)/L38*100)</f>
        <v/>
      </c>
      <c r="N38" s="10" t="inlineStr"/>
      <c r="O38" s="11" t="inlineStr"/>
      <c r="P38" s="11" t="inlineStr"/>
      <c r="Q38" s="11" t="inlineStr"/>
      <c r="R38" s="11" t="inlineStr">
        <is>
          <t>2026-03-12</t>
        </is>
      </c>
      <c r="S38" s="11" t="inlineStr">
        <is>
          <t>Hirschs 47th Anniversary Sale Feb-Mar 2026</t>
        </is>
      </c>
    </row>
    <row r="39">
      <c r="A39" s="3" t="inlineStr">
        <is>
          <t>DV6P17C08RA</t>
        </is>
      </c>
      <c r="B39" s="4" t="inlineStr"/>
      <c r="C39" s="4" t="inlineStr"/>
      <c r="D39" s="4" t="inlineStr"/>
      <c r="E39" s="3" t="inlineStr">
        <is>
          <t>Samsung Bespoke AI 17KG Dryer Heat Pump</t>
        </is>
      </c>
      <c r="F39" s="4" t="inlineStr">
        <is>
          <t>Samsung</t>
        </is>
      </c>
      <c r="G39" s="4" t="inlineStr"/>
      <c r="H39" s="4" t="inlineStr"/>
      <c r="I39" s="5" t="n">
        <v>19999</v>
      </c>
      <c r="J39" s="6" t="n">
        <v>15</v>
      </c>
      <c r="K39" s="7">
        <f>IF(I39="","",I39*(1+J39/100))</f>
        <v/>
      </c>
      <c r="L39" s="8" t="inlineStr"/>
      <c r="M39" s="9">
        <f>IF(OR(L39="",K39="",L39=0),"",
  (L39-K39)/L39*100)</f>
        <v/>
      </c>
      <c r="N39" s="10" t="inlineStr"/>
      <c r="O39" s="4" t="inlineStr"/>
      <c r="P39" s="4" t="inlineStr"/>
      <c r="Q39" s="4" t="inlineStr"/>
      <c r="R39" s="4" t="inlineStr">
        <is>
          <t>2026-03-12</t>
        </is>
      </c>
      <c r="S39" s="4" t="inlineStr">
        <is>
          <t>Hirschs 47th Anniversary Sale Feb-Mar 2026</t>
        </is>
      </c>
    </row>
    <row r="40">
      <c r="A40" s="11" t="inlineStr">
        <is>
          <t>WW20C7472FA</t>
        </is>
      </c>
      <c r="B40" s="11" t="inlineStr"/>
      <c r="C40" s="11" t="inlineStr"/>
      <c r="D40" s="11" t="inlineStr"/>
      <c r="E40" s="11" t="inlineStr">
        <is>
          <t>Samsung Bespoke AI 20kg Front Loader</t>
        </is>
      </c>
      <c r="F40" s="11" t="inlineStr">
        <is>
          <t>Samsung</t>
        </is>
      </c>
      <c r="G40" s="11" t="inlineStr"/>
      <c r="H40" s="11" t="inlineStr"/>
      <c r="I40" s="12" t="n">
        <v>17999</v>
      </c>
      <c r="J40" s="6" t="n">
        <v>15</v>
      </c>
      <c r="K40" s="7">
        <f>IF(I40="","",I40*(1+J40/100))</f>
        <v/>
      </c>
      <c r="L40" s="8" t="inlineStr"/>
      <c r="M40" s="9">
        <f>IF(OR(L40="",K40="",L40=0),"",
  (L40-K40)/L40*100)</f>
        <v/>
      </c>
      <c r="N40" s="10" t="inlineStr"/>
      <c r="O40" s="11" t="inlineStr"/>
      <c r="P40" s="11" t="inlineStr"/>
      <c r="Q40" s="11" t="inlineStr"/>
      <c r="R40" s="11" t="inlineStr">
        <is>
          <t>2026-03-12</t>
        </is>
      </c>
      <c r="S40" s="11" t="inlineStr">
        <is>
          <t>Hirschs 47th Anniversary Sale Feb-Mar 2026</t>
        </is>
      </c>
    </row>
    <row r="41">
      <c r="A41" s="3" t="inlineStr">
        <is>
          <t>WW90CGS35AMFA</t>
        </is>
      </c>
      <c r="B41" s="4" t="inlineStr"/>
      <c r="C41" s="4" t="inlineStr"/>
      <c r="D41" s="4" t="inlineStr"/>
      <c r="E41" s="3" t="inlineStr">
        <is>
          <t>Samsung 9kg Front Loader Eco Bubble DIT</t>
        </is>
      </c>
      <c r="F41" s="4" t="inlineStr">
        <is>
          <t>Samsung</t>
        </is>
      </c>
      <c r="G41" s="4" t="inlineStr"/>
      <c r="H41" s="4" t="inlineStr"/>
      <c r="I41" s="5" t="n">
        <v>7499</v>
      </c>
      <c r="J41" s="6" t="n">
        <v>15</v>
      </c>
      <c r="K41" s="7">
        <f>IF(I41="","",I41*(1+J41/100))</f>
        <v/>
      </c>
      <c r="L41" s="8" t="inlineStr"/>
      <c r="M41" s="9">
        <f>IF(OR(L41="",K41="",L41=0),"",
  (L41-K41)/L41*100)</f>
        <v/>
      </c>
      <c r="N41" s="10" t="inlineStr"/>
      <c r="O41" s="4" t="inlineStr"/>
      <c r="P41" s="4" t="inlineStr"/>
      <c r="Q41" s="4" t="inlineStr"/>
      <c r="R41" s="4" t="inlineStr">
        <is>
          <t>2026-03-12</t>
        </is>
      </c>
      <c r="S41" s="4" t="inlineStr">
        <is>
          <t>Hirschs 47th Anniversary Sale Feb-Mar 2026</t>
        </is>
      </c>
    </row>
    <row r="42">
      <c r="A42" s="11" t="inlineStr">
        <is>
          <t>DV90CGS25C0MFA</t>
        </is>
      </c>
      <c r="B42" s="11" t="inlineStr"/>
      <c r="C42" s="11" t="inlineStr"/>
      <c r="D42" s="11" t="inlineStr"/>
      <c r="E42" s="11" t="inlineStr">
        <is>
          <t>Samsung 9kg Dryer Heat Pump Technology</t>
        </is>
      </c>
      <c r="F42" s="11" t="inlineStr">
        <is>
          <t>Samsung</t>
        </is>
      </c>
      <c r="G42" s="11" t="inlineStr"/>
      <c r="H42" s="11" t="inlineStr"/>
      <c r="I42" s="12" t="n">
        <v>9999</v>
      </c>
      <c r="J42" s="6" t="n">
        <v>15</v>
      </c>
      <c r="K42" s="7">
        <f>IF(I42="","",I42*(1+J42/100))</f>
        <v/>
      </c>
      <c r="L42" s="8" t="inlineStr"/>
      <c r="M42" s="9">
        <f>IF(OR(L42="",K42="",L42=0),"",
  (L42-K42)/L42*100)</f>
        <v/>
      </c>
      <c r="N42" s="10" t="inlineStr"/>
      <c r="O42" s="11" t="inlineStr"/>
      <c r="P42" s="11" t="inlineStr"/>
      <c r="Q42" s="11" t="inlineStr"/>
      <c r="R42" s="11" t="inlineStr">
        <is>
          <t>2026-03-12</t>
        </is>
      </c>
      <c r="S42" s="11" t="inlineStr">
        <is>
          <t>Hirschs 47th Anniversary Sale Feb-Mar 2026</t>
        </is>
      </c>
    </row>
    <row r="43">
      <c r="A43" s="3" t="inlineStr">
        <is>
          <t>DV90BB9445GKFA</t>
        </is>
      </c>
      <c r="B43" s="4" t="inlineStr"/>
      <c r="C43" s="4" t="inlineStr"/>
      <c r="D43" s="4" t="inlineStr"/>
      <c r="E43" s="3" t="inlineStr">
        <is>
          <t>Samsung 9kg Bespoke AI Dryer</t>
        </is>
      </c>
      <c r="F43" s="4" t="inlineStr">
        <is>
          <t>Samsung</t>
        </is>
      </c>
      <c r="G43" s="4" t="inlineStr"/>
      <c r="H43" s="4" t="inlineStr"/>
      <c r="I43" s="5" t="n">
        <v>13999</v>
      </c>
      <c r="J43" s="6" t="n">
        <v>15</v>
      </c>
      <c r="K43" s="7">
        <f>IF(I43="","",I43*(1+J43/100))</f>
        <v/>
      </c>
      <c r="L43" s="8" t="inlineStr"/>
      <c r="M43" s="9">
        <f>IF(OR(L43="",K43="",L43=0),"",
  (L43-K43)/L43*100)</f>
        <v/>
      </c>
      <c r="N43" s="10" t="inlineStr"/>
      <c r="O43" s="4" t="inlineStr"/>
      <c r="P43" s="4" t="inlineStr"/>
      <c r="Q43" s="4" t="inlineStr"/>
      <c r="R43" s="4" t="inlineStr">
        <is>
          <t>2026-03-12</t>
        </is>
      </c>
      <c r="S43" s="4" t="inlineStr">
        <is>
          <t>Hirschs 47th Anniversary Sale Feb-Mar 2026</t>
        </is>
      </c>
    </row>
    <row r="44">
      <c r="A44" s="11" t="inlineStr">
        <is>
          <t>DF24CB9900CFA</t>
        </is>
      </c>
      <c r="B44" s="11" t="inlineStr"/>
      <c r="C44" s="11" t="inlineStr"/>
      <c r="D44" s="11" t="inlineStr"/>
      <c r="E44" s="11" t="inlineStr">
        <is>
          <t>Samsung AI Mirror finish AirDresser JetSteam</t>
        </is>
      </c>
      <c r="F44" s="11" t="inlineStr">
        <is>
          <t>Samsung</t>
        </is>
      </c>
      <c r="G44" s="11" t="inlineStr"/>
      <c r="H44" s="11" t="inlineStr"/>
      <c r="I44" s="12" t="n">
        <v>24999</v>
      </c>
      <c r="J44" s="6" t="n">
        <v>15</v>
      </c>
      <c r="K44" s="7">
        <f>IF(I44="","",I44*(1+J44/100))</f>
        <v/>
      </c>
      <c r="L44" s="8" t="inlineStr"/>
      <c r="M44" s="9">
        <f>IF(OR(L44="",K44="",L44=0),"",
  (L44-K44)/L44*100)</f>
        <v/>
      </c>
      <c r="N44" s="10" t="inlineStr"/>
      <c r="O44" s="11" t="inlineStr"/>
      <c r="P44" s="11" t="inlineStr"/>
      <c r="Q44" s="11" t="inlineStr"/>
      <c r="R44" s="11" t="inlineStr">
        <is>
          <t>2026-03-12</t>
        </is>
      </c>
      <c r="S44" s="11" t="inlineStr">
        <is>
          <t>Hirschs 47th Anniversary Sale Feb-Mar 2026</t>
        </is>
      </c>
    </row>
    <row r="45">
      <c r="A45" s="3" t="inlineStr">
        <is>
          <t>NV7B4023ZAAFA</t>
        </is>
      </c>
      <c r="B45" s="4" t="inlineStr"/>
      <c r="C45" s="4" t="inlineStr"/>
      <c r="D45" s="4" t="inlineStr"/>
      <c r="E45" s="3" t="inlineStr">
        <is>
          <t>Samsung 60cm Dual Cook Multifunction Black Oven</t>
        </is>
      </c>
      <c r="F45" s="4" t="inlineStr">
        <is>
          <t>Samsung</t>
        </is>
      </c>
      <c r="G45" s="4" t="inlineStr"/>
      <c r="H45" s="4" t="inlineStr"/>
      <c r="I45" s="5" t="n">
        <v>11999</v>
      </c>
      <c r="J45" s="6" t="n">
        <v>15</v>
      </c>
      <c r="K45" s="7">
        <f>IF(I45="","",I45*(1+J45/100))</f>
        <v/>
      </c>
      <c r="L45" s="8" t="inlineStr"/>
      <c r="M45" s="9">
        <f>IF(OR(L45="",K45="",L45=0),"",
  (L45-K45)/L45*100)</f>
        <v/>
      </c>
      <c r="N45" s="10" t="inlineStr"/>
      <c r="O45" s="4" t="inlineStr"/>
      <c r="P45" s="4" t="inlineStr"/>
      <c r="Q45" s="4" t="inlineStr"/>
      <c r="R45" s="4" t="inlineStr">
        <is>
          <t>2026-03-12</t>
        </is>
      </c>
      <c r="S45" s="4" t="inlineStr">
        <is>
          <t>Hirschs 47th Anniversary Sale Feb-Mar 2026</t>
        </is>
      </c>
    </row>
    <row r="46">
      <c r="A46" s="11" t="inlineStr">
        <is>
          <t>NA60G5530GMUFA</t>
        </is>
      </c>
      <c r="B46" s="11" t="inlineStr"/>
      <c r="C46" s="11" t="inlineStr"/>
      <c r="D46" s="11" t="inlineStr"/>
      <c r="E46" s="11" t="inlineStr">
        <is>
          <t>Samsung 60cm Gas on Glass Hob</t>
        </is>
      </c>
      <c r="F46" s="11" t="inlineStr">
        <is>
          <t>Samsung</t>
        </is>
      </c>
      <c r="G46" s="11" t="inlineStr"/>
      <c r="H46" s="11" t="inlineStr"/>
      <c r="I46" s="12" t="n">
        <v>4699</v>
      </c>
      <c r="J46" s="6" t="n">
        <v>15</v>
      </c>
      <c r="K46" s="7">
        <f>IF(I46="","",I46*(1+J46/100))</f>
        <v/>
      </c>
      <c r="L46" s="8" t="inlineStr"/>
      <c r="M46" s="9">
        <f>IF(OR(L46="",K46="",L46=0),"",
  (L46-K46)/L46*100)</f>
        <v/>
      </c>
      <c r="N46" s="10" t="inlineStr"/>
      <c r="O46" s="11" t="inlineStr"/>
      <c r="P46" s="11" t="inlineStr"/>
      <c r="Q46" s="11" t="inlineStr"/>
      <c r="R46" s="11" t="inlineStr">
        <is>
          <t>2026-03-12</t>
        </is>
      </c>
      <c r="S46" s="11" t="inlineStr">
        <is>
          <t>Hirschs 47th Anniversary Sale Feb-Mar 2026</t>
        </is>
      </c>
    </row>
    <row r="47">
      <c r="A47" s="3" t="inlineStr">
        <is>
          <t>NV7B41403AEFA</t>
        </is>
      </c>
      <c r="B47" s="4" t="inlineStr"/>
      <c r="C47" s="4" t="inlineStr"/>
      <c r="D47" s="4" t="inlineStr"/>
      <c r="E47" s="3" t="inlineStr">
        <is>
          <t>Samsung 60cm Series 4 Multifunction Smart Oven Stainless Steel</t>
        </is>
      </c>
      <c r="F47" s="4" t="inlineStr">
        <is>
          <t>Samsung</t>
        </is>
      </c>
      <c r="G47" s="4" t="inlineStr"/>
      <c r="H47" s="4" t="inlineStr"/>
      <c r="I47" s="5" t="n">
        <v>9499</v>
      </c>
      <c r="J47" s="6" t="n">
        <v>15</v>
      </c>
      <c r="K47" s="7">
        <f>IF(I47="","",I47*(1+J47/100))</f>
        <v/>
      </c>
      <c r="L47" s="8" t="inlineStr"/>
      <c r="M47" s="9">
        <f>IF(OR(L47="",K47="",L47=0),"",
  (L47-K47)/L47*100)</f>
        <v/>
      </c>
      <c r="N47" s="10" t="inlineStr"/>
      <c r="O47" s="4" t="inlineStr"/>
      <c r="P47" s="4" t="inlineStr"/>
      <c r="Q47" s="4" t="inlineStr"/>
      <c r="R47" s="4" t="inlineStr">
        <is>
          <t>2026-03-12</t>
        </is>
      </c>
      <c r="S47" s="4" t="inlineStr">
        <is>
          <t>Hirschs 47th Anniversary Sale Feb-Mar 2026</t>
        </is>
      </c>
    </row>
    <row r="48">
      <c r="A48" s="11" t="inlineStr">
        <is>
          <t>NA60G1010GKUFA</t>
        </is>
      </c>
      <c r="B48" s="11" t="inlineStr"/>
      <c r="C48" s="11" t="inlineStr"/>
      <c r="D48" s="11" t="inlineStr"/>
      <c r="E48" s="11" t="inlineStr">
        <is>
          <t>Samsung 60cm Inox Gas Hob</t>
        </is>
      </c>
      <c r="F48" s="11" t="inlineStr">
        <is>
          <t>Samsung</t>
        </is>
      </c>
      <c r="G48" s="11" t="inlineStr"/>
      <c r="H48" s="11" t="inlineStr"/>
      <c r="I48" s="12" t="n">
        <v>3499</v>
      </c>
      <c r="J48" s="6" t="n">
        <v>15</v>
      </c>
      <c r="K48" s="7">
        <f>IF(I48="","",I48*(1+J48/100))</f>
        <v/>
      </c>
      <c r="L48" s="8" t="inlineStr"/>
      <c r="M48" s="9">
        <f>IF(OR(L48="",K48="",L48=0),"",
  (L48-K48)/L48*100)</f>
        <v/>
      </c>
      <c r="N48" s="10" t="inlineStr"/>
      <c r="O48" s="11" t="inlineStr"/>
      <c r="P48" s="11" t="inlineStr"/>
      <c r="Q48" s="11" t="inlineStr"/>
      <c r="R48" s="11" t="inlineStr">
        <is>
          <t>2026-03-12</t>
        </is>
      </c>
      <c r="S48" s="11" t="inlineStr">
        <is>
          <t>Hirschs 47th Anniversary Sale Feb-Mar 2026</t>
        </is>
      </c>
    </row>
    <row r="49">
      <c r="A49" s="3" t="inlineStr">
        <is>
          <t>N990T5010SS</t>
        </is>
      </c>
      <c r="B49" s="4" t="inlineStr"/>
      <c r="C49" s="4" t="inlineStr"/>
      <c r="D49" s="4" t="inlineStr"/>
      <c r="E49" s="3" t="inlineStr">
        <is>
          <t>Samsung 95L 90cm 5 Gas Burner Triple Flame Wok Plate</t>
        </is>
      </c>
      <c r="F49" s="4" t="inlineStr">
        <is>
          <t>Samsung</t>
        </is>
      </c>
      <c r="G49" s="4" t="inlineStr"/>
      <c r="H49" s="4" t="inlineStr"/>
      <c r="I49" s="5" t="n">
        <v>13999</v>
      </c>
      <c r="J49" s="6" t="n">
        <v>15</v>
      </c>
      <c r="K49" s="7">
        <f>IF(I49="","",I49*(1+J49/100))</f>
        <v/>
      </c>
      <c r="L49" s="8" t="inlineStr"/>
      <c r="M49" s="9">
        <f>IF(OR(L49="",K49="",L49=0),"",
  (L49-K49)/L49*100)</f>
        <v/>
      </c>
      <c r="N49" s="10" t="inlineStr"/>
      <c r="O49" s="4" t="inlineStr"/>
      <c r="P49" s="4" t="inlineStr"/>
      <c r="Q49" s="4" t="inlineStr"/>
      <c r="R49" s="4" t="inlineStr">
        <is>
          <t>2026-03-12</t>
        </is>
      </c>
      <c r="S49" s="4" t="inlineStr">
        <is>
          <t>Hirschs 47th Anniversary Sale Feb-Mar 2026</t>
        </is>
      </c>
    </row>
    <row r="50">
      <c r="A50" s="11" t="inlineStr">
        <is>
          <t>NK60C5010RSFA</t>
        </is>
      </c>
      <c r="B50" s="11" t="inlineStr"/>
      <c r="C50" s="11" t="inlineStr"/>
      <c r="D50" s="11" t="inlineStr"/>
      <c r="E50" s="11" t="inlineStr">
        <is>
          <t>Samsung 90cm Inox and Curved Glass Hood</t>
        </is>
      </c>
      <c r="F50" s="11" t="inlineStr">
        <is>
          <t>Samsung</t>
        </is>
      </c>
      <c r="G50" s="11" t="inlineStr"/>
      <c r="H50" s="11" t="inlineStr"/>
      <c r="I50" s="12" t="n">
        <v>5499</v>
      </c>
      <c r="J50" s="6" t="n">
        <v>15</v>
      </c>
      <c r="K50" s="7">
        <f>IF(I50="","",I50*(1+J50/100))</f>
        <v/>
      </c>
      <c r="L50" s="8" t="inlineStr"/>
      <c r="M50" s="9">
        <f>IF(OR(L50="",K50="",L50=0),"",
  (L50-K50)/L50*100)</f>
        <v/>
      </c>
      <c r="N50" s="10" t="inlineStr"/>
      <c r="O50" s="11" t="inlineStr"/>
      <c r="P50" s="11" t="inlineStr"/>
      <c r="Q50" s="11" t="inlineStr"/>
      <c r="R50" s="11" t="inlineStr">
        <is>
          <t>2026-03-12</t>
        </is>
      </c>
      <c r="S50" s="11" t="inlineStr">
        <is>
          <t>Hirschs 47th Anniversary Sale Feb-Mar 2026</t>
        </is>
      </c>
    </row>
    <row r="51">
      <c r="A51" s="3" t="inlineStr">
        <is>
          <t>NK24C5010BSFA</t>
        </is>
      </c>
      <c r="B51" s="4" t="inlineStr"/>
      <c r="C51" s="4" t="inlineStr"/>
      <c r="D51" s="4" t="inlineStr"/>
      <c r="E51" s="3" t="inlineStr">
        <is>
          <t>Samsung 60cm Inox and Black Glass T Shaped Hood</t>
        </is>
      </c>
      <c r="F51" s="4" t="inlineStr">
        <is>
          <t>Samsung</t>
        </is>
      </c>
      <c r="G51" s="4" t="inlineStr"/>
      <c r="H51" s="4" t="inlineStr"/>
      <c r="I51" s="5" t="n">
        <v>4699</v>
      </c>
      <c r="J51" s="6" t="n">
        <v>15</v>
      </c>
      <c r="K51" s="7">
        <f>IF(I51="","",I51*(1+J51/100))</f>
        <v/>
      </c>
      <c r="L51" s="8" t="inlineStr"/>
      <c r="M51" s="9">
        <f>IF(OR(L51="",K51="",L51=0),"",
  (L51-K51)/L51*100)</f>
        <v/>
      </c>
      <c r="N51" s="10" t="inlineStr"/>
      <c r="O51" s="4" t="inlineStr"/>
      <c r="P51" s="4" t="inlineStr"/>
      <c r="Q51" s="4" t="inlineStr"/>
      <c r="R51" s="4" t="inlineStr">
        <is>
          <t>2026-03-12</t>
        </is>
      </c>
      <c r="S51" s="4" t="inlineStr">
        <is>
          <t>Hirschs 47th Anniversary Sale Feb-Mar 2026</t>
        </is>
      </c>
    </row>
    <row r="52">
      <c r="A52" s="11" t="inlineStr">
        <is>
          <t>MS32DG4504AGFA</t>
        </is>
      </c>
      <c r="B52" s="11" t="inlineStr"/>
      <c r="C52" s="11" t="inlineStr"/>
      <c r="D52" s="11" t="inlineStr"/>
      <c r="E52" s="11" t="inlineStr">
        <is>
          <t>Samsung 32L Black Solo Microwave</t>
        </is>
      </c>
      <c r="F52" s="11" t="inlineStr">
        <is>
          <t>Samsung</t>
        </is>
      </c>
      <c r="G52" s="11" t="inlineStr"/>
      <c r="H52" s="11" t="inlineStr"/>
      <c r="I52" s="12" t="n">
        <v>2399</v>
      </c>
      <c r="J52" s="6" t="n">
        <v>15</v>
      </c>
      <c r="K52" s="7">
        <f>IF(I52="","",I52*(1+J52/100))</f>
        <v/>
      </c>
      <c r="L52" s="8" t="inlineStr"/>
      <c r="M52" s="9">
        <f>IF(OR(L52="",K52="",L52=0),"",
  (L52-K52)/L52*100)</f>
        <v/>
      </c>
      <c r="N52" s="10" t="inlineStr"/>
      <c r="O52" s="11" t="inlineStr"/>
      <c r="P52" s="11" t="inlineStr"/>
      <c r="Q52" s="11" t="inlineStr"/>
      <c r="R52" s="11" t="inlineStr">
        <is>
          <t>2026-03-12</t>
        </is>
      </c>
      <c r="S52" s="11" t="inlineStr">
        <is>
          <t>Hirschs 47th Anniversary Sale Feb-Mar 2026</t>
        </is>
      </c>
    </row>
    <row r="53">
      <c r="A53" s="3" t="inlineStr">
        <is>
          <t>84860</t>
        </is>
      </c>
      <c r="B53" s="4" t="inlineStr"/>
      <c r="C53" s="4" t="inlineStr"/>
      <c r="D53" s="4" t="inlineStr"/>
      <c r="E53" s="3" t="inlineStr">
        <is>
          <t>Samsung 40L Black Solo Microwave Oven</t>
        </is>
      </c>
      <c r="F53" s="4" t="inlineStr">
        <is>
          <t>Samsung</t>
        </is>
      </c>
      <c r="G53" s="4" t="inlineStr"/>
      <c r="H53" s="4" t="inlineStr"/>
      <c r="I53" s="5" t="n">
        <v>2499</v>
      </c>
      <c r="J53" s="6" t="n">
        <v>15</v>
      </c>
      <c r="K53" s="7">
        <f>IF(I53="","",I53*(1+J53/100))</f>
        <v/>
      </c>
      <c r="L53" s="8" t="inlineStr"/>
      <c r="M53" s="9">
        <f>IF(OR(L53="",K53="",L53=0),"",
  (L53-K53)/L53*100)</f>
        <v/>
      </c>
      <c r="N53" s="10" t="inlineStr"/>
      <c r="O53" s="4" t="inlineStr"/>
      <c r="P53" s="4" t="inlineStr"/>
      <c r="Q53" s="4" t="inlineStr"/>
      <c r="R53" s="4" t="inlineStr">
        <is>
          <t>2026-03-12</t>
        </is>
      </c>
      <c r="S53" s="4" t="inlineStr">
        <is>
          <t>Hirschs 47th Anniversary Sale Feb-Mar 2026</t>
        </is>
      </c>
    </row>
    <row r="54">
      <c r="A54" s="11" t="inlineStr">
        <is>
          <t>MS32DG4504ATFA</t>
        </is>
      </c>
      <c r="B54" s="11" t="inlineStr"/>
      <c r="C54" s="11" t="inlineStr"/>
      <c r="D54" s="11" t="inlineStr"/>
      <c r="E54" s="11" t="inlineStr">
        <is>
          <t>Samsung 32L Silver Solo Microwave Oven</t>
        </is>
      </c>
      <c r="F54" s="11" t="inlineStr">
        <is>
          <t>Samsung</t>
        </is>
      </c>
      <c r="G54" s="11" t="inlineStr"/>
      <c r="H54" s="11" t="inlineStr"/>
      <c r="I54" s="12" t="n">
        <v>2399</v>
      </c>
      <c r="J54" s="6" t="n">
        <v>15</v>
      </c>
      <c r="K54" s="7">
        <f>IF(I54="","",I54*(1+J54/100))</f>
        <v/>
      </c>
      <c r="L54" s="8" t="inlineStr"/>
      <c r="M54" s="9">
        <f>IF(OR(L54="",K54="",L54=0),"",
  (L54-K54)/L54*100)</f>
        <v/>
      </c>
      <c r="N54" s="10" t="inlineStr"/>
      <c r="O54" s="11" t="inlineStr"/>
      <c r="P54" s="11" t="inlineStr"/>
      <c r="Q54" s="11" t="inlineStr"/>
      <c r="R54" s="11" t="inlineStr">
        <is>
          <t>2026-03-12</t>
        </is>
      </c>
      <c r="S54" s="11" t="inlineStr">
        <is>
          <t>Hirschs 47th Anniversary Sale Feb-Mar 2026</t>
        </is>
      </c>
    </row>
    <row r="55">
      <c r="A55" s="13" t="inlineStr"/>
      <c r="B55" s="4" t="inlineStr"/>
      <c r="C55" s="4" t="inlineStr"/>
      <c r="D55" s="4" t="inlineStr"/>
      <c r="E55" s="3" t="inlineStr">
        <is>
          <t>Samsung 40L Black Silver Solo Microwave</t>
        </is>
      </c>
      <c r="F55" s="4" t="inlineStr">
        <is>
          <t>Samsung</t>
        </is>
      </c>
      <c r="G55" s="4" t="inlineStr"/>
      <c r="H55" s="4" t="inlineStr"/>
      <c r="I55" s="5" t="n">
        <v>2499</v>
      </c>
      <c r="J55" s="6" t="n">
        <v>15</v>
      </c>
      <c r="K55" s="7">
        <f>IF(I55="","",I55*(1+J55/100))</f>
        <v/>
      </c>
      <c r="L55" s="8" t="inlineStr"/>
      <c r="M55" s="9">
        <f>IF(OR(L55="",K55="",L55=0),"",
  (L55-K55)/L55*100)</f>
        <v/>
      </c>
      <c r="N55" s="10" t="inlineStr"/>
      <c r="O55" s="4" t="inlineStr"/>
      <c r="P55" s="4" t="inlineStr"/>
      <c r="Q55" s="4" t="inlineStr"/>
      <c r="R55" s="4" t="inlineStr">
        <is>
          <t>2026-03-12</t>
        </is>
      </c>
      <c r="S55" s="4" t="inlineStr">
        <is>
          <t>Hirschs 47th Anniversary Sale Feb-Mar 2026</t>
        </is>
      </c>
    </row>
    <row r="56">
      <c r="A56" s="11" t="inlineStr">
        <is>
          <t>MG40DGS524AGFA</t>
        </is>
      </c>
      <c r="B56" s="11" t="inlineStr"/>
      <c r="C56" s="11" t="inlineStr"/>
      <c r="D56" s="11" t="inlineStr"/>
      <c r="E56" s="11" t="inlineStr">
        <is>
          <t>Samsung 40L Black Stainless Steel Grill Microwave</t>
        </is>
      </c>
      <c r="F56" s="11" t="inlineStr">
        <is>
          <t>Samsung</t>
        </is>
      </c>
      <c r="G56" s="11" t="inlineStr"/>
      <c r="H56" s="11" t="inlineStr"/>
      <c r="I56" s="12" t="n">
        <v>2799</v>
      </c>
      <c r="J56" s="6" t="n">
        <v>15</v>
      </c>
      <c r="K56" s="7">
        <f>IF(I56="","",I56*(1+J56/100))</f>
        <v/>
      </c>
      <c r="L56" s="8" t="inlineStr"/>
      <c r="M56" s="9">
        <f>IF(OR(L56="",K56="",L56=0),"",
  (L56-K56)/L56*100)</f>
        <v/>
      </c>
      <c r="N56" s="10" t="inlineStr"/>
      <c r="O56" s="11" t="inlineStr"/>
      <c r="P56" s="11" t="inlineStr"/>
      <c r="Q56" s="11" t="inlineStr"/>
      <c r="R56" s="11" t="inlineStr">
        <is>
          <t>2026-03-12</t>
        </is>
      </c>
      <c r="S56" s="11" t="inlineStr">
        <is>
          <t>Hirschs 47th Anniversary Sale Feb-Mar 2026</t>
        </is>
      </c>
    </row>
    <row r="57">
      <c r="A57" s="3" t="inlineStr">
        <is>
          <t>OLED77G5</t>
        </is>
      </c>
      <c r="B57" s="4" t="inlineStr"/>
      <c r="C57" s="4" t="inlineStr"/>
      <c r="D57" s="4" t="inlineStr"/>
      <c r="E57" s="3" t="inlineStr">
        <is>
          <t>LG OLED77G5 OLED evo AI</t>
        </is>
      </c>
      <c r="F57" s="4" t="inlineStr">
        <is>
          <t>LG</t>
        </is>
      </c>
      <c r="G57" s="4" t="inlineStr"/>
      <c r="H57" s="4" t="inlineStr"/>
      <c r="I57" s="5" t="n">
        <v>79999</v>
      </c>
      <c r="J57" s="6" t="n">
        <v>15</v>
      </c>
      <c r="K57" s="7">
        <f>IF(I57="","",I57*(1+J57/100))</f>
        <v/>
      </c>
      <c r="L57" s="8" t="inlineStr"/>
      <c r="M57" s="9">
        <f>IF(OR(L57="",K57="",L57=0),"",
  (L57-K57)/L57*100)</f>
        <v/>
      </c>
      <c r="N57" s="10" t="inlineStr"/>
      <c r="O57" s="4" t="inlineStr"/>
      <c r="P57" s="4" t="inlineStr"/>
      <c r="Q57" s="4" t="inlineStr"/>
      <c r="R57" s="4" t="inlineStr">
        <is>
          <t>2026-03-12</t>
        </is>
      </c>
      <c r="S57" s="4" t="inlineStr">
        <is>
          <t>Hirschs 47th Anniversary Sale Feb-Mar 2026</t>
        </is>
      </c>
    </row>
    <row r="58">
      <c r="A58" s="11" t="inlineStr">
        <is>
          <t>OLED65G5</t>
        </is>
      </c>
      <c r="B58" s="11" t="inlineStr"/>
      <c r="C58" s="11" t="inlineStr"/>
      <c r="D58" s="11" t="inlineStr"/>
      <c r="E58" s="11" t="inlineStr">
        <is>
          <t>LG OLED65G5 OLED evo AI</t>
        </is>
      </c>
      <c r="F58" s="11" t="inlineStr">
        <is>
          <t>LG</t>
        </is>
      </c>
      <c r="G58" s="11" t="inlineStr"/>
      <c r="H58" s="11" t="inlineStr"/>
      <c r="I58" s="12" t="n">
        <v>49999</v>
      </c>
      <c r="J58" s="6" t="n">
        <v>15</v>
      </c>
      <c r="K58" s="7">
        <f>IF(I58="","",I58*(1+J58/100))</f>
        <v/>
      </c>
      <c r="L58" s="8" t="inlineStr"/>
      <c r="M58" s="9">
        <f>IF(OR(L58="",K58="",L58=0),"",
  (L58-K58)/L58*100)</f>
        <v/>
      </c>
      <c r="N58" s="10" t="inlineStr"/>
      <c r="O58" s="11" t="inlineStr"/>
      <c r="P58" s="11" t="inlineStr"/>
      <c r="Q58" s="11" t="inlineStr"/>
      <c r="R58" s="11" t="inlineStr">
        <is>
          <t>2026-03-12</t>
        </is>
      </c>
      <c r="S58" s="11" t="inlineStr">
        <is>
          <t>Hirschs 47th Anniversary Sale Feb-Mar 2026</t>
        </is>
      </c>
    </row>
    <row r="59">
      <c r="A59" s="3" t="inlineStr">
        <is>
          <t>OLED83C5</t>
        </is>
      </c>
      <c r="B59" s="4" t="inlineStr"/>
      <c r="C59" s="4" t="inlineStr"/>
      <c r="D59" s="4" t="inlineStr"/>
      <c r="E59" s="3" t="inlineStr">
        <is>
          <t>LG OLED83C5 OLED evo AI</t>
        </is>
      </c>
      <c r="F59" s="4" t="inlineStr">
        <is>
          <t>LG</t>
        </is>
      </c>
      <c r="G59" s="4" t="inlineStr"/>
      <c r="H59" s="4" t="inlineStr"/>
      <c r="I59" s="5" t="n">
        <v>119999</v>
      </c>
      <c r="J59" s="6" t="n">
        <v>15</v>
      </c>
      <c r="K59" s="7">
        <f>IF(I59="","",I59*(1+J59/100))</f>
        <v/>
      </c>
      <c r="L59" s="8" t="inlineStr"/>
      <c r="M59" s="9">
        <f>IF(OR(L59="",K59="",L59=0),"",
  (L59-K59)/L59*100)</f>
        <v/>
      </c>
      <c r="N59" s="10" t="inlineStr"/>
      <c r="O59" s="4" t="inlineStr"/>
      <c r="P59" s="4" t="inlineStr"/>
      <c r="Q59" s="4" t="inlineStr"/>
      <c r="R59" s="4" t="inlineStr">
        <is>
          <t>2026-03-12</t>
        </is>
      </c>
      <c r="S59" s="4" t="inlineStr">
        <is>
          <t>Hirschs 47th Anniversary Sale Feb-Mar 2026</t>
        </is>
      </c>
    </row>
    <row r="60">
      <c r="A60" s="11" t="inlineStr">
        <is>
          <t>OLED77C5</t>
        </is>
      </c>
      <c r="B60" s="11" t="inlineStr"/>
      <c r="C60" s="11" t="inlineStr"/>
      <c r="D60" s="11" t="inlineStr"/>
      <c r="E60" s="11" t="inlineStr">
        <is>
          <t>LG OLED77C5</t>
        </is>
      </c>
      <c r="F60" s="11" t="inlineStr">
        <is>
          <t>LG</t>
        </is>
      </c>
      <c r="G60" s="11" t="inlineStr"/>
      <c r="H60" s="11" t="inlineStr"/>
      <c r="I60" s="12" t="n">
        <v>59999</v>
      </c>
      <c r="J60" s="6" t="n">
        <v>15</v>
      </c>
      <c r="K60" s="7">
        <f>IF(I60="","",I60*(1+J60/100))</f>
        <v/>
      </c>
      <c r="L60" s="8" t="inlineStr"/>
      <c r="M60" s="9">
        <f>IF(OR(L60="",K60="",L60=0),"",
  (L60-K60)/L60*100)</f>
        <v/>
      </c>
      <c r="N60" s="10" t="inlineStr"/>
      <c r="O60" s="11" t="inlineStr"/>
      <c r="P60" s="11" t="inlineStr"/>
      <c r="Q60" s="11" t="inlineStr"/>
      <c r="R60" s="11" t="inlineStr">
        <is>
          <t>2026-03-12</t>
        </is>
      </c>
      <c r="S60" s="11" t="inlineStr">
        <is>
          <t>Hirschs 47th Anniversary Sale Feb-Mar 2026</t>
        </is>
      </c>
    </row>
    <row r="61">
      <c r="A61" s="3" t="inlineStr">
        <is>
          <t>OLED65C5</t>
        </is>
      </c>
      <c r="B61" s="4" t="inlineStr"/>
      <c r="C61" s="4" t="inlineStr"/>
      <c r="D61" s="4" t="inlineStr"/>
      <c r="E61" s="3" t="inlineStr">
        <is>
          <t>LG OLED65C5</t>
        </is>
      </c>
      <c r="F61" s="4" t="inlineStr">
        <is>
          <t>LG</t>
        </is>
      </c>
      <c r="G61" s="4" t="inlineStr"/>
      <c r="H61" s="4" t="inlineStr"/>
      <c r="I61" s="5" t="n">
        <v>32999</v>
      </c>
      <c r="J61" s="6" t="n">
        <v>15</v>
      </c>
      <c r="K61" s="7">
        <f>IF(I61="","",I61*(1+J61/100))</f>
        <v/>
      </c>
      <c r="L61" s="8" t="inlineStr"/>
      <c r="M61" s="9">
        <f>IF(OR(L61="",K61="",L61=0),"",
  (L61-K61)/L61*100)</f>
        <v/>
      </c>
      <c r="N61" s="10" t="inlineStr"/>
      <c r="O61" s="4" t="inlineStr"/>
      <c r="P61" s="4" t="inlineStr"/>
      <c r="Q61" s="4" t="inlineStr"/>
      <c r="R61" s="4" t="inlineStr">
        <is>
          <t>2026-03-12</t>
        </is>
      </c>
      <c r="S61" s="4" t="inlineStr">
        <is>
          <t>Hirschs 47th Anniversary Sale Feb-Mar 2026</t>
        </is>
      </c>
    </row>
    <row r="62">
      <c r="A62" s="11" t="inlineStr">
        <is>
          <t>OLED55C5</t>
        </is>
      </c>
      <c r="B62" s="11" t="inlineStr"/>
      <c r="C62" s="11" t="inlineStr"/>
      <c r="D62" s="11" t="inlineStr"/>
      <c r="E62" s="11" t="inlineStr">
        <is>
          <t>LG OLED55C5</t>
        </is>
      </c>
      <c r="F62" s="11" t="inlineStr">
        <is>
          <t>LG</t>
        </is>
      </c>
      <c r="G62" s="11" t="inlineStr"/>
      <c r="H62" s="11" t="inlineStr"/>
      <c r="I62" s="12" t="n">
        <v>22999</v>
      </c>
      <c r="J62" s="6" t="n">
        <v>15</v>
      </c>
      <c r="K62" s="7">
        <f>IF(I62="","",I62*(1+J62/100))</f>
        <v/>
      </c>
      <c r="L62" s="8" t="inlineStr"/>
      <c r="M62" s="9">
        <f>IF(OR(L62="",K62="",L62=0),"",
  (L62-K62)/L62*100)</f>
        <v/>
      </c>
      <c r="N62" s="10" t="inlineStr"/>
      <c r="O62" s="11" t="inlineStr"/>
      <c r="P62" s="11" t="inlineStr"/>
      <c r="Q62" s="11" t="inlineStr"/>
      <c r="R62" s="11" t="inlineStr">
        <is>
          <t>2026-03-12</t>
        </is>
      </c>
      <c r="S62" s="11" t="inlineStr">
        <is>
          <t>Hirschs 47th Anniversary Sale Feb-Mar 2026</t>
        </is>
      </c>
    </row>
    <row r="63">
      <c r="A63" s="3" t="inlineStr">
        <is>
          <t>OLED65B5</t>
        </is>
      </c>
      <c r="B63" s="4" t="inlineStr"/>
      <c r="C63" s="4" t="inlineStr"/>
      <c r="D63" s="4" t="inlineStr"/>
      <c r="E63" s="3" t="inlineStr">
        <is>
          <t>LG OLED65B5</t>
        </is>
      </c>
      <c r="F63" s="4" t="inlineStr">
        <is>
          <t>LG</t>
        </is>
      </c>
      <c r="G63" s="4" t="inlineStr"/>
      <c r="H63" s="4" t="inlineStr"/>
      <c r="I63" s="5" t="n">
        <v>27999</v>
      </c>
      <c r="J63" s="6" t="n">
        <v>15</v>
      </c>
      <c r="K63" s="7">
        <f>IF(I63="","",I63*(1+J63/100))</f>
        <v/>
      </c>
      <c r="L63" s="8" t="inlineStr"/>
      <c r="M63" s="9">
        <f>IF(OR(L63="",K63="",L63=0),"",
  (L63-K63)/L63*100)</f>
        <v/>
      </c>
      <c r="N63" s="10" t="inlineStr"/>
      <c r="O63" s="4" t="inlineStr"/>
      <c r="P63" s="4" t="inlineStr"/>
      <c r="Q63" s="4" t="inlineStr"/>
      <c r="R63" s="4" t="inlineStr">
        <is>
          <t>2026-03-12</t>
        </is>
      </c>
      <c r="S63" s="4" t="inlineStr">
        <is>
          <t>Hirschs 47th Anniversary Sale Feb-Mar 2026</t>
        </is>
      </c>
    </row>
    <row r="64">
      <c r="A64" s="11" t="inlineStr">
        <is>
          <t>OLED55B5</t>
        </is>
      </c>
      <c r="B64" s="11" t="inlineStr"/>
      <c r="C64" s="11" t="inlineStr"/>
      <c r="D64" s="11" t="inlineStr"/>
      <c r="E64" s="11" t="inlineStr">
        <is>
          <t>LG OLED55B5</t>
        </is>
      </c>
      <c r="F64" s="11" t="inlineStr">
        <is>
          <t>LG</t>
        </is>
      </c>
      <c r="G64" s="11" t="inlineStr"/>
      <c r="H64" s="11" t="inlineStr"/>
      <c r="I64" s="12" t="n">
        <v>16999</v>
      </c>
      <c r="J64" s="6" t="n">
        <v>15</v>
      </c>
      <c r="K64" s="7">
        <f>IF(I64="","",I64*(1+J64/100))</f>
        <v/>
      </c>
      <c r="L64" s="8" t="inlineStr"/>
      <c r="M64" s="9">
        <f>IF(OR(L64="",K64="",L64=0),"",
  (L64-K64)/L64*100)</f>
        <v/>
      </c>
      <c r="N64" s="10" t="inlineStr"/>
      <c r="O64" s="11" t="inlineStr"/>
      <c r="P64" s="11" t="inlineStr"/>
      <c r="Q64" s="11" t="inlineStr"/>
      <c r="R64" s="11" t="inlineStr">
        <is>
          <t>2026-03-12</t>
        </is>
      </c>
      <c r="S64" s="11" t="inlineStr">
        <is>
          <t>Hirschs 47th Anniversary Sale Feb-Mar 2026</t>
        </is>
      </c>
    </row>
    <row r="65">
      <c r="A65" s="3" t="inlineStr">
        <is>
          <t>75QNED82</t>
        </is>
      </c>
      <c r="B65" s="4" t="inlineStr"/>
      <c r="C65" s="4" t="inlineStr"/>
      <c r="D65" s="4" t="inlineStr"/>
      <c r="E65" s="3" t="inlineStr">
        <is>
          <t>LG 75QNED82</t>
        </is>
      </c>
      <c r="F65" s="4" t="inlineStr">
        <is>
          <t>LG</t>
        </is>
      </c>
      <c r="G65" s="4" t="inlineStr"/>
      <c r="H65" s="4" t="inlineStr"/>
      <c r="I65" s="5" t="n">
        <v>16999</v>
      </c>
      <c r="J65" s="6" t="n">
        <v>15</v>
      </c>
      <c r="K65" s="7">
        <f>IF(I65="","",I65*(1+J65/100))</f>
        <v/>
      </c>
      <c r="L65" s="8" t="inlineStr"/>
      <c r="M65" s="9">
        <f>IF(OR(L65="",K65="",L65=0),"",
  (L65-K65)/L65*100)</f>
        <v/>
      </c>
      <c r="N65" s="10" t="inlineStr"/>
      <c r="O65" s="4" t="inlineStr"/>
      <c r="P65" s="4" t="inlineStr"/>
      <c r="Q65" s="4" t="inlineStr"/>
      <c r="R65" s="4" t="inlineStr">
        <is>
          <t>2026-03-12</t>
        </is>
      </c>
      <c r="S65" s="4" t="inlineStr">
        <is>
          <t>Hirschs 47th Anniversary Sale Feb-Mar 2026</t>
        </is>
      </c>
    </row>
    <row r="66">
      <c r="A66" s="11" t="inlineStr">
        <is>
          <t>65QNED82</t>
        </is>
      </c>
      <c r="B66" s="11" t="inlineStr"/>
      <c r="C66" s="11" t="inlineStr"/>
      <c r="D66" s="11" t="inlineStr"/>
      <c r="E66" s="11" t="inlineStr">
        <is>
          <t>LG 65QNED82</t>
        </is>
      </c>
      <c r="F66" s="11" t="inlineStr">
        <is>
          <t>LG</t>
        </is>
      </c>
      <c r="G66" s="11" t="inlineStr"/>
      <c r="H66" s="11" t="inlineStr"/>
      <c r="I66" s="12" t="n">
        <v>11999</v>
      </c>
      <c r="J66" s="6" t="n">
        <v>15</v>
      </c>
      <c r="K66" s="7">
        <f>IF(I66="","",I66*(1+J66/100))</f>
        <v/>
      </c>
      <c r="L66" s="8" t="inlineStr"/>
      <c r="M66" s="9">
        <f>IF(OR(L66="",K66="",L66=0),"",
  (L66-K66)/L66*100)</f>
        <v/>
      </c>
      <c r="N66" s="10" t="inlineStr"/>
      <c r="O66" s="11" t="inlineStr"/>
      <c r="P66" s="11" t="inlineStr"/>
      <c r="Q66" s="11" t="inlineStr"/>
      <c r="R66" s="11" t="inlineStr">
        <is>
          <t>2026-03-12</t>
        </is>
      </c>
      <c r="S66" s="11" t="inlineStr">
        <is>
          <t>Hirschs 47th Anniversary Sale Feb-Mar 2026</t>
        </is>
      </c>
    </row>
    <row r="67">
      <c r="A67" s="3" t="inlineStr">
        <is>
          <t>55QNED82</t>
        </is>
      </c>
      <c r="B67" s="4" t="inlineStr"/>
      <c r="C67" s="4" t="inlineStr"/>
      <c r="D67" s="4" t="inlineStr"/>
      <c r="E67" s="3" t="inlineStr">
        <is>
          <t>LG 55QNED82</t>
        </is>
      </c>
      <c r="F67" s="4" t="inlineStr">
        <is>
          <t>LG</t>
        </is>
      </c>
      <c r="G67" s="4" t="inlineStr"/>
      <c r="H67" s="4" t="inlineStr"/>
      <c r="I67" s="5" t="n">
        <v>9999</v>
      </c>
      <c r="J67" s="6" t="n">
        <v>15</v>
      </c>
      <c r="K67" s="7">
        <f>IF(I67="","",I67*(1+J67/100))</f>
        <v/>
      </c>
      <c r="L67" s="8" t="inlineStr"/>
      <c r="M67" s="9">
        <f>IF(OR(L67="",K67="",L67=0),"",
  (L67-K67)/L67*100)</f>
        <v/>
      </c>
      <c r="N67" s="10" t="inlineStr"/>
      <c r="O67" s="4" t="inlineStr"/>
      <c r="P67" s="4" t="inlineStr"/>
      <c r="Q67" s="4" t="inlineStr"/>
      <c r="R67" s="4" t="inlineStr">
        <is>
          <t>2026-03-12</t>
        </is>
      </c>
      <c r="S67" s="4" t="inlineStr">
        <is>
          <t>Hirschs 47th Anniversary Sale Feb-Mar 2026</t>
        </is>
      </c>
    </row>
    <row r="68">
      <c r="A68" s="11" t="inlineStr">
        <is>
          <t>GR-A24FDMMB</t>
        </is>
      </c>
      <c r="B68" s="11" t="inlineStr"/>
      <c r="C68" s="11" t="inlineStr"/>
      <c r="D68" s="11" t="inlineStr"/>
      <c r="E68" s="11" t="inlineStr">
        <is>
          <t>LG MoodUP GR-A24FDMMB 617L Multi-Door Fridge Freezer</t>
        </is>
      </c>
      <c r="F68" s="11" t="inlineStr">
        <is>
          <t>LG</t>
        </is>
      </c>
      <c r="G68" s="11" t="inlineStr"/>
      <c r="H68" s="11" t="inlineStr"/>
      <c r="I68" s="12" t="n">
        <v>99999</v>
      </c>
      <c r="J68" s="6" t="n">
        <v>15</v>
      </c>
      <c r="K68" s="7">
        <f>IF(I68="","",I68*(1+J68/100))</f>
        <v/>
      </c>
      <c r="L68" s="8" t="inlineStr"/>
      <c r="M68" s="9">
        <f>IF(OR(L68="",K68="",L68=0),"",
  (L68-K68)/L68*100)</f>
        <v/>
      </c>
      <c r="N68" s="10" t="inlineStr"/>
      <c r="O68" s="11" t="inlineStr"/>
      <c r="P68" s="11" t="inlineStr"/>
      <c r="Q68" s="11" t="inlineStr"/>
      <c r="R68" s="11" t="inlineStr">
        <is>
          <t>2026-03-12</t>
        </is>
      </c>
      <c r="S68" s="11" t="inlineStr">
        <is>
          <t>Hirschs 47th Anniversary Sale Feb-Mar 2026</t>
        </is>
      </c>
    </row>
    <row r="69">
      <c r="A69" s="3" t="inlineStr">
        <is>
          <t>GC-L257KLKW</t>
        </is>
      </c>
      <c r="B69" s="4" t="inlineStr"/>
      <c r="C69" s="4" t="inlineStr"/>
      <c r="D69" s="4" t="inlineStr"/>
      <c r="E69" s="3" t="inlineStr">
        <is>
          <t>LG GC-L257KLKW 684L Side by Side Non Plumbed</t>
        </is>
      </c>
      <c r="F69" s="4" t="inlineStr">
        <is>
          <t>LG</t>
        </is>
      </c>
      <c r="G69" s="4" t="inlineStr"/>
      <c r="H69" s="4" t="inlineStr"/>
      <c r="I69" s="5" t="n">
        <v>19999</v>
      </c>
      <c r="J69" s="6" t="n">
        <v>15</v>
      </c>
      <c r="K69" s="7">
        <f>IF(I69="","",I69*(1+J69/100))</f>
        <v/>
      </c>
      <c r="L69" s="8" t="inlineStr"/>
      <c r="M69" s="9">
        <f>IF(OR(L69="",K69="",L69=0),"",
  (L69-K69)/L69*100)</f>
        <v/>
      </c>
      <c r="N69" s="10" t="inlineStr"/>
      <c r="O69" s="4" t="inlineStr"/>
      <c r="P69" s="4" t="inlineStr"/>
      <c r="Q69" s="4" t="inlineStr"/>
      <c r="R69" s="4" t="inlineStr">
        <is>
          <t>2026-03-12</t>
        </is>
      </c>
      <c r="S69" s="4" t="inlineStr">
        <is>
          <t>Hirschs 47th Anniversary Sale Feb-Mar 2026</t>
        </is>
      </c>
    </row>
    <row r="70">
      <c r="A70" s="11" t="inlineStr">
        <is>
          <t>GC-X31FFCRL</t>
        </is>
      </c>
      <c r="B70" s="11" t="inlineStr"/>
      <c r="C70" s="11" t="inlineStr"/>
      <c r="D70" s="11" t="inlineStr"/>
      <c r="E70" s="11" t="inlineStr">
        <is>
          <t>LG GC-X31FFCRL 900L French Door</t>
        </is>
      </c>
      <c r="F70" s="11" t="inlineStr">
        <is>
          <t>LG</t>
        </is>
      </c>
      <c r="G70" s="11" t="inlineStr"/>
      <c r="H70" s="11" t="inlineStr"/>
      <c r="I70" s="12" t="n">
        <v>69999</v>
      </c>
      <c r="J70" s="6" t="n">
        <v>15</v>
      </c>
      <c r="K70" s="7">
        <f>IF(I70="","",I70*(1+J70/100))</f>
        <v/>
      </c>
      <c r="L70" s="8" t="inlineStr"/>
      <c r="M70" s="9">
        <f>IF(OR(L70="",K70="",L70=0),"",
  (L70-K70)/L70*100)</f>
        <v/>
      </c>
      <c r="N70" s="10" t="inlineStr"/>
      <c r="O70" s="11" t="inlineStr"/>
      <c r="P70" s="11" t="inlineStr"/>
      <c r="Q70" s="11" t="inlineStr"/>
      <c r="R70" s="11" t="inlineStr">
        <is>
          <t>2026-03-12</t>
        </is>
      </c>
      <c r="S70" s="11" t="inlineStr">
        <is>
          <t>Hirschs 47th Anniversary Sale Feb-Mar 2026</t>
        </is>
      </c>
    </row>
    <row r="71">
      <c r="A71" s="3" t="inlineStr">
        <is>
          <t>GC-J24FFCBB</t>
        </is>
      </c>
      <c r="B71" s="4" t="inlineStr"/>
      <c r="C71" s="4" t="inlineStr"/>
      <c r="D71" s="4" t="inlineStr"/>
      <c r="E71" s="3" t="inlineStr">
        <is>
          <t>LG GC-J24FFCBB 676L Door-in-Door</t>
        </is>
      </c>
      <c r="F71" s="4" t="inlineStr">
        <is>
          <t>LG</t>
        </is>
      </c>
      <c r="G71" s="4" t="inlineStr"/>
      <c r="H71" s="4" t="inlineStr"/>
      <c r="I71" s="5" t="n">
        <v>49999</v>
      </c>
      <c r="J71" s="6" t="n">
        <v>15</v>
      </c>
      <c r="K71" s="7">
        <f>IF(I71="","",I71*(1+J71/100))</f>
        <v/>
      </c>
      <c r="L71" s="8" t="inlineStr"/>
      <c r="M71" s="9">
        <f>IF(OR(L71="",K71="",L71=0),"",
  (L71-K71)/L71*100)</f>
        <v/>
      </c>
      <c r="N71" s="10" t="inlineStr"/>
      <c r="O71" s="4" t="inlineStr"/>
      <c r="P71" s="4" t="inlineStr"/>
      <c r="Q71" s="4" t="inlineStr"/>
      <c r="R71" s="4" t="inlineStr">
        <is>
          <t>2026-03-12</t>
        </is>
      </c>
      <c r="S71" s="4" t="inlineStr">
        <is>
          <t>Hirschs 47th Anniversary Sale Feb-Mar 2026</t>
        </is>
      </c>
    </row>
    <row r="72">
      <c r="A72" s="11" t="inlineStr">
        <is>
          <t>GC-L24FFCFB</t>
        </is>
      </c>
      <c r="B72" s="11" t="inlineStr"/>
      <c r="C72" s="11" t="inlineStr"/>
      <c r="D72" s="11" t="inlineStr"/>
      <c r="E72" s="11" t="inlineStr">
        <is>
          <t>LG GC-L24FFCFB 675L French Door</t>
        </is>
      </c>
      <c r="F72" s="11" t="inlineStr">
        <is>
          <t>LG</t>
        </is>
      </c>
      <c r="G72" s="11" t="inlineStr"/>
      <c r="H72" s="11" t="inlineStr"/>
      <c r="I72" s="12" t="n">
        <v>39999</v>
      </c>
      <c r="J72" s="6" t="n">
        <v>15</v>
      </c>
      <c r="K72" s="7">
        <f>IF(I72="","",I72*(1+J72/100))</f>
        <v/>
      </c>
      <c r="L72" s="8" t="inlineStr"/>
      <c r="M72" s="9">
        <f>IF(OR(L72="",K72="",L72=0),"",
  (L72-K72)/L72*100)</f>
        <v/>
      </c>
      <c r="N72" s="10" t="inlineStr"/>
      <c r="O72" s="11" t="inlineStr"/>
      <c r="P72" s="11" t="inlineStr"/>
      <c r="Q72" s="11" t="inlineStr"/>
      <c r="R72" s="11" t="inlineStr">
        <is>
          <t>2026-03-12</t>
        </is>
      </c>
      <c r="S72" s="11" t="inlineStr">
        <is>
          <t>Hirschs 47th Anniversary Sale Feb-Mar 2026</t>
        </is>
      </c>
    </row>
    <row r="73">
      <c r="A73" s="3" t="inlineStr">
        <is>
          <t>GC-X257CQFS</t>
        </is>
      </c>
      <c r="B73" s="4" t="inlineStr"/>
      <c r="C73" s="4" t="inlineStr"/>
      <c r="D73" s="4" t="inlineStr"/>
      <c r="E73" s="3" t="inlineStr">
        <is>
          <t>LG GC-X257CQFS 694L Side by Side</t>
        </is>
      </c>
      <c r="F73" s="4" t="inlineStr">
        <is>
          <t>LG</t>
        </is>
      </c>
      <c r="G73" s="4" t="inlineStr"/>
      <c r="H73" s="4" t="inlineStr"/>
      <c r="I73" s="5" t="n">
        <v>39999</v>
      </c>
      <c r="J73" s="6" t="n">
        <v>15</v>
      </c>
      <c r="K73" s="7">
        <f>IF(I73="","",I73*(1+J73/100))</f>
        <v/>
      </c>
      <c r="L73" s="8" t="inlineStr"/>
      <c r="M73" s="9">
        <f>IF(OR(L73="",K73="",L73=0),"",
  (L73-K73)/L73*100)</f>
        <v/>
      </c>
      <c r="N73" s="10" t="inlineStr"/>
      <c r="O73" s="4" t="inlineStr"/>
      <c r="P73" s="4" t="inlineStr"/>
      <c r="Q73" s="4" t="inlineStr"/>
      <c r="R73" s="4" t="inlineStr">
        <is>
          <t>2026-03-12</t>
        </is>
      </c>
      <c r="S73" s="4" t="inlineStr">
        <is>
          <t>Hirschs 47th Anniversary Sale Feb-Mar 2026</t>
        </is>
      </c>
    </row>
    <row r="74">
      <c r="A74" s="11" t="inlineStr">
        <is>
          <t>GC-J257SQ2W</t>
        </is>
      </c>
      <c r="B74" s="11" t="inlineStr"/>
      <c r="C74" s="11" t="inlineStr"/>
      <c r="D74" s="11" t="inlineStr"/>
      <c r="E74" s="11" t="inlineStr">
        <is>
          <t>LG GC-J257SQ2W 643L Side by Side Non Plumbed</t>
        </is>
      </c>
      <c r="F74" s="11" t="inlineStr">
        <is>
          <t>LG</t>
        </is>
      </c>
      <c r="G74" s="11" t="inlineStr"/>
      <c r="H74" s="11" t="inlineStr"/>
      <c r="I74" s="12" t="n">
        <v>29999</v>
      </c>
      <c r="J74" s="6" t="n">
        <v>15</v>
      </c>
      <c r="K74" s="7">
        <f>IF(I74="","",I74*(1+J74/100))</f>
        <v/>
      </c>
      <c r="L74" s="8" t="inlineStr"/>
      <c r="M74" s="9">
        <f>IF(OR(L74="",K74="",L74=0),"",
  (L74-K74)/L74*100)</f>
        <v/>
      </c>
      <c r="N74" s="10" t="inlineStr"/>
      <c r="O74" s="11" t="inlineStr"/>
      <c r="P74" s="11" t="inlineStr"/>
      <c r="Q74" s="11" t="inlineStr"/>
      <c r="R74" s="11" t="inlineStr">
        <is>
          <t>2026-03-12</t>
        </is>
      </c>
      <c r="S74" s="11" t="inlineStr">
        <is>
          <t>Hirschs 47th Anniversary Sale Feb-Mar 2026</t>
        </is>
      </c>
    </row>
    <row r="75">
      <c r="A75" s="3" t="inlineStr">
        <is>
          <t>GC-L257SQL</t>
        </is>
      </c>
      <c r="B75" s="4" t="inlineStr"/>
      <c r="C75" s="4" t="inlineStr"/>
      <c r="D75" s="4" t="inlineStr"/>
      <c r="E75" s="3" t="inlineStr">
        <is>
          <t>LG GC-L257SQL 674L Side by Side</t>
        </is>
      </c>
      <c r="F75" s="4" t="inlineStr">
        <is>
          <t>LG</t>
        </is>
      </c>
      <c r="G75" s="4" t="inlineStr"/>
      <c r="H75" s="4" t="inlineStr"/>
      <c r="I75" s="5" t="n">
        <v>23999</v>
      </c>
      <c r="J75" s="6" t="n">
        <v>15</v>
      </c>
      <c r="K75" s="7">
        <f>IF(I75="","",I75*(1+J75/100))</f>
        <v/>
      </c>
      <c r="L75" s="8" t="inlineStr"/>
      <c r="M75" s="9">
        <f>IF(OR(L75="",K75="",L75=0),"",
  (L75-K75)/L75*100)</f>
        <v/>
      </c>
      <c r="N75" s="10" t="inlineStr"/>
      <c r="O75" s="4" t="inlineStr"/>
      <c r="P75" s="4" t="inlineStr"/>
      <c r="Q75" s="4" t="inlineStr"/>
      <c r="R75" s="4" t="inlineStr">
        <is>
          <t>2026-03-12</t>
        </is>
      </c>
      <c r="S75" s="4" t="inlineStr">
        <is>
          <t>Hirschs 47th Anniversary Sale Feb-Mar 2026</t>
        </is>
      </c>
    </row>
    <row r="76">
      <c r="A76" s="11" t="inlineStr">
        <is>
          <t>GC-F569NQHM</t>
        </is>
      </c>
      <c r="B76" s="11" t="inlineStr"/>
      <c r="C76" s="11" t="inlineStr"/>
      <c r="D76" s="11" t="inlineStr"/>
      <c r="E76" s="11" t="inlineStr">
        <is>
          <t>LG GC-F569NQHM 100L Bottom Freezer</t>
        </is>
      </c>
      <c r="F76" s="11" t="inlineStr">
        <is>
          <t>LG</t>
        </is>
      </c>
      <c r="G76" s="11" t="inlineStr"/>
      <c r="H76" s="11" t="inlineStr"/>
      <c r="I76" s="12" t="n">
        <v>16999</v>
      </c>
      <c r="J76" s="6" t="n">
        <v>15</v>
      </c>
      <c r="K76" s="7">
        <f>IF(I76="","",I76*(1+J76/100))</f>
        <v/>
      </c>
      <c r="L76" s="8" t="inlineStr"/>
      <c r="M76" s="9">
        <f>IF(OR(L76="",K76="",L76=0),"",
  (L76-K76)/L76*100)</f>
        <v/>
      </c>
      <c r="N76" s="10" t="inlineStr"/>
      <c r="O76" s="11" t="inlineStr"/>
      <c r="P76" s="11" t="inlineStr"/>
      <c r="Q76" s="11" t="inlineStr"/>
      <c r="R76" s="11" t="inlineStr">
        <is>
          <t>2026-03-12</t>
        </is>
      </c>
      <c r="S76" s="11" t="inlineStr">
        <is>
          <t>Hirschs 47th Anniversary Sale Feb-Mar 2026</t>
        </is>
      </c>
    </row>
    <row r="77">
      <c r="A77" s="3" t="inlineStr">
        <is>
          <t>GC-F459FSUW</t>
        </is>
      </c>
      <c r="B77" s="4" t="inlineStr"/>
      <c r="C77" s="4" t="inlineStr"/>
      <c r="D77" s="4" t="inlineStr"/>
      <c r="E77" s="3" t="inlineStr">
        <is>
          <t>LG GC-F459FSUW 396L Bottom Freezer</t>
        </is>
      </c>
      <c r="F77" s="4" t="inlineStr">
        <is>
          <t>LG</t>
        </is>
      </c>
      <c r="G77" s="4" t="inlineStr"/>
      <c r="H77" s="4" t="inlineStr"/>
      <c r="I77" s="5" t="n">
        <v>16999</v>
      </c>
      <c r="J77" s="6" t="n">
        <v>15</v>
      </c>
      <c r="K77" s="7">
        <f>IF(I77="","",I77*(1+J77/100))</f>
        <v/>
      </c>
      <c r="L77" s="8" t="inlineStr"/>
      <c r="M77" s="9">
        <f>IF(OR(L77="",K77="",L77=0),"",
  (L77-K77)/L77*100)</f>
        <v/>
      </c>
      <c r="N77" s="10" t="inlineStr"/>
      <c r="O77" s="4" t="inlineStr"/>
      <c r="P77" s="4" t="inlineStr"/>
      <c r="Q77" s="4" t="inlineStr"/>
      <c r="R77" s="4" t="inlineStr">
        <is>
          <t>2026-03-12</t>
        </is>
      </c>
      <c r="S77" s="4" t="inlineStr">
        <is>
          <t>Hirschs 47th Anniversary Sale Feb-Mar 2026</t>
        </is>
      </c>
    </row>
    <row r="78">
      <c r="A78" s="11" t="inlineStr">
        <is>
          <t>GC-B414EQFM</t>
        </is>
      </c>
      <c r="B78" s="11" t="inlineStr"/>
      <c r="C78" s="11" t="inlineStr"/>
      <c r="D78" s="11" t="inlineStr"/>
      <c r="E78" s="11" t="inlineStr">
        <is>
          <t>LG GC-B414EQFM 350L One Door Freezer</t>
        </is>
      </c>
      <c r="F78" s="11" t="inlineStr">
        <is>
          <t>LG</t>
        </is>
      </c>
      <c r="G78" s="11" t="inlineStr"/>
      <c r="H78" s="11" t="inlineStr"/>
      <c r="I78" s="12" t="n">
        <v>15999</v>
      </c>
      <c r="J78" s="6" t="n">
        <v>15</v>
      </c>
      <c r="K78" s="7">
        <f>IF(I78="","",I78*(1+J78/100))</f>
        <v/>
      </c>
      <c r="L78" s="8" t="inlineStr"/>
      <c r="M78" s="9">
        <f>IF(OR(L78="",K78="",L78=0),"",
  (L78-K78)/L78*100)</f>
        <v/>
      </c>
      <c r="N78" s="10" t="inlineStr"/>
      <c r="O78" s="11" t="inlineStr"/>
      <c r="P78" s="11" t="inlineStr"/>
      <c r="Q78" s="11" t="inlineStr"/>
      <c r="R78" s="11" t="inlineStr">
        <is>
          <t>2026-03-12</t>
        </is>
      </c>
      <c r="S78" s="11" t="inlineStr">
        <is>
          <t>Hirschs 47th Anniversary Sale Feb-Mar 2026</t>
        </is>
      </c>
    </row>
    <row r="79">
      <c r="A79" s="3" t="inlineStr">
        <is>
          <t>GC-F411EQDM</t>
        </is>
      </c>
      <c r="B79" s="4" t="inlineStr"/>
      <c r="C79" s="4" t="inlineStr"/>
      <c r="D79" s="4" t="inlineStr"/>
      <c r="E79" s="3" t="inlineStr">
        <is>
          <t>LG GC-F411EQDM 414L One Door Fridge</t>
        </is>
      </c>
      <c r="F79" s="4" t="inlineStr">
        <is>
          <t>LG</t>
        </is>
      </c>
      <c r="G79" s="4" t="inlineStr"/>
      <c r="H79" s="4" t="inlineStr"/>
      <c r="I79" s="5" t="n">
        <v>15999</v>
      </c>
      <c r="J79" s="6" t="n">
        <v>15</v>
      </c>
      <c r="K79" s="7">
        <f>IF(I79="","",I79*(1+J79/100))</f>
        <v/>
      </c>
      <c r="L79" s="8" t="inlineStr"/>
      <c r="M79" s="9">
        <f>IF(OR(L79="",K79="",L79=0),"",
  (L79-K79)/L79*100)</f>
        <v/>
      </c>
      <c r="N79" s="10" t="inlineStr"/>
      <c r="O79" s="4" t="inlineStr"/>
      <c r="P79" s="4" t="inlineStr"/>
      <c r="Q79" s="4" t="inlineStr"/>
      <c r="R79" s="4" t="inlineStr">
        <is>
          <t>2026-03-12</t>
        </is>
      </c>
      <c r="S79" s="4" t="inlineStr">
        <is>
          <t>Hirschs 47th Anniversary Sale Feb-Mar 2026</t>
        </is>
      </c>
    </row>
    <row r="80">
      <c r="A80" s="11" t="inlineStr">
        <is>
          <t>FOP2CYV2E</t>
        </is>
      </c>
      <c r="B80" s="11" t="inlineStr"/>
      <c r="C80" s="11" t="inlineStr"/>
      <c r="D80" s="11" t="inlineStr"/>
      <c r="E80" s="11" t="inlineStr">
        <is>
          <t>LG FOP2CYV2E 21kg Washer</t>
        </is>
      </c>
      <c r="F80" s="11" t="inlineStr">
        <is>
          <t>LG</t>
        </is>
      </c>
      <c r="G80" s="11" t="inlineStr"/>
      <c r="H80" s="11" t="inlineStr"/>
      <c r="I80" s="12" t="n">
        <v>21999</v>
      </c>
      <c r="J80" s="6" t="n">
        <v>15</v>
      </c>
      <c r="K80" s="7">
        <f>IF(I80="","",I80*(1+J80/100))</f>
        <v/>
      </c>
      <c r="L80" s="8" t="inlineStr"/>
      <c r="M80" s="9">
        <f>IF(OR(L80="",K80="",L80=0),"",
  (L80-K80)/L80*100)</f>
        <v/>
      </c>
      <c r="N80" s="10" t="inlineStr"/>
      <c r="O80" s="11" t="inlineStr"/>
      <c r="P80" s="11" t="inlineStr"/>
      <c r="Q80" s="11" t="inlineStr"/>
      <c r="R80" s="11" t="inlineStr">
        <is>
          <t>2026-03-12</t>
        </is>
      </c>
      <c r="S80" s="11" t="inlineStr">
        <is>
          <t>Hirschs 47th Anniversary Sale Feb-Mar 2026</t>
        </is>
      </c>
    </row>
    <row r="81">
      <c r="A81" s="3" t="inlineStr">
        <is>
          <t>RH18U8JVCW</t>
        </is>
      </c>
      <c r="B81" s="4" t="inlineStr"/>
      <c r="C81" s="4" t="inlineStr"/>
      <c r="D81" s="4" t="inlineStr"/>
      <c r="E81" s="3" t="inlineStr">
        <is>
          <t>LG RH18U8JVCW 18kg Dryer</t>
        </is>
      </c>
      <c r="F81" s="4" t="inlineStr">
        <is>
          <t>LG</t>
        </is>
      </c>
      <c r="G81" s="4" t="inlineStr"/>
      <c r="H81" s="4" t="inlineStr"/>
      <c r="I81" s="5" t="n">
        <v>26999</v>
      </c>
      <c r="J81" s="6" t="n">
        <v>15</v>
      </c>
      <c r="K81" s="7">
        <f>IF(I81="","",I81*(1+J81/100))</f>
        <v/>
      </c>
      <c r="L81" s="8" t="inlineStr"/>
      <c r="M81" s="9">
        <f>IF(OR(L81="",K81="",L81=0),"",
  (L81-K81)/L81*100)</f>
        <v/>
      </c>
      <c r="N81" s="10" t="inlineStr"/>
      <c r="O81" s="4" t="inlineStr"/>
      <c r="P81" s="4" t="inlineStr"/>
      <c r="Q81" s="4" t="inlineStr"/>
      <c r="R81" s="4" t="inlineStr">
        <is>
          <t>2026-03-12</t>
        </is>
      </c>
      <c r="S81" s="4" t="inlineStr">
        <is>
          <t>Hirschs 47th Anniversary Sale Feb-Mar 2026</t>
        </is>
      </c>
    </row>
    <row r="82">
      <c r="A82" s="11" t="inlineStr">
        <is>
          <t>S3MFC</t>
        </is>
      </c>
      <c r="B82" s="11" t="inlineStr"/>
      <c r="C82" s="11" t="inlineStr"/>
      <c r="D82" s="11" t="inlineStr"/>
      <c r="E82" s="11" t="inlineStr">
        <is>
          <t>LG S3MFC LG Styler</t>
        </is>
      </c>
      <c r="F82" s="11" t="inlineStr">
        <is>
          <t>LG</t>
        </is>
      </c>
      <c r="G82" s="11" t="inlineStr"/>
      <c r="H82" s="11" t="inlineStr"/>
      <c r="I82" s="12" t="n">
        <v>19999</v>
      </c>
      <c r="J82" s="6" t="n">
        <v>15</v>
      </c>
      <c r="K82" s="7">
        <f>IF(I82="","",I82*(1+J82/100))</f>
        <v/>
      </c>
      <c r="L82" s="8" t="inlineStr"/>
      <c r="M82" s="9">
        <f>IF(OR(L82="",K82="",L82=0),"",
  (L82-K82)/L82*100)</f>
        <v/>
      </c>
      <c r="N82" s="10" t="inlineStr"/>
      <c r="O82" s="11" t="inlineStr"/>
      <c r="P82" s="11" t="inlineStr"/>
      <c r="Q82" s="11" t="inlineStr"/>
      <c r="R82" s="11" t="inlineStr">
        <is>
          <t>2026-03-12</t>
        </is>
      </c>
      <c r="S82" s="11" t="inlineStr">
        <is>
          <t>Hirschs 47th Anniversary Sale Feb-Mar 2026</t>
        </is>
      </c>
    </row>
    <row r="83">
      <c r="A83" s="3" t="inlineStr">
        <is>
          <t>F4Y9LWP2ZB</t>
        </is>
      </c>
      <c r="B83" s="4" t="inlineStr"/>
      <c r="C83" s="4" t="inlineStr"/>
      <c r="D83" s="4" t="inlineStr"/>
      <c r="E83" s="3" t="inlineStr">
        <is>
          <t>LG F4Y9LWP2ZB 13kg Washer</t>
        </is>
      </c>
      <c r="F83" s="4" t="inlineStr">
        <is>
          <t>LG</t>
        </is>
      </c>
      <c r="G83" s="4" t="inlineStr"/>
      <c r="H83" s="4" t="inlineStr"/>
      <c r="I83" s="5" t="n">
        <v>16999</v>
      </c>
      <c r="J83" s="6" t="n">
        <v>15</v>
      </c>
      <c r="K83" s="7">
        <f>IF(I83="","",I83*(1+J83/100))</f>
        <v/>
      </c>
      <c r="L83" s="8" t="inlineStr"/>
      <c r="M83" s="9">
        <f>IF(OR(L83="",K83="",L83=0),"",
  (L83-K83)/L83*100)</f>
        <v/>
      </c>
      <c r="N83" s="10" t="inlineStr"/>
      <c r="O83" s="4" t="inlineStr"/>
      <c r="P83" s="4" t="inlineStr"/>
      <c r="Q83" s="4" t="inlineStr"/>
      <c r="R83" s="4" t="inlineStr">
        <is>
          <t>2026-03-12</t>
        </is>
      </c>
      <c r="S83" s="4" t="inlineStr">
        <is>
          <t>Hirschs 47th Anniversary Sale Feb-Mar 2026</t>
        </is>
      </c>
    </row>
    <row r="84">
      <c r="A84" s="11" t="inlineStr">
        <is>
          <t>RH10V9Z2W</t>
        </is>
      </c>
      <c r="B84" s="11" t="inlineStr"/>
      <c r="C84" s="11" t="inlineStr"/>
      <c r="D84" s="11" t="inlineStr"/>
      <c r="E84" s="11" t="inlineStr">
        <is>
          <t>LG RH10V9Z2W 10kg Dryer</t>
        </is>
      </c>
      <c r="F84" s="11" t="inlineStr">
        <is>
          <t>LG</t>
        </is>
      </c>
      <c r="G84" s="11" t="inlineStr"/>
      <c r="H84" s="11" t="inlineStr"/>
      <c r="I84" s="12" t="n">
        <v>16999</v>
      </c>
      <c r="J84" s="6" t="n">
        <v>15</v>
      </c>
      <c r="K84" s="7">
        <f>IF(I84="","",I84*(1+J84/100))</f>
        <v/>
      </c>
      <c r="L84" s="8" t="inlineStr"/>
      <c r="M84" s="9">
        <f>IF(OR(L84="",K84="",L84=0),"",
  (L84-K84)/L84*100)</f>
        <v/>
      </c>
      <c r="N84" s="10" t="inlineStr"/>
      <c r="O84" s="11" t="inlineStr"/>
      <c r="P84" s="11" t="inlineStr"/>
      <c r="Q84" s="11" t="inlineStr"/>
      <c r="R84" s="11" t="inlineStr">
        <is>
          <t>2026-03-12</t>
        </is>
      </c>
      <c r="S84" s="11" t="inlineStr">
        <is>
          <t>Hirschs 47th Anniversary Sale Feb-Mar 2026</t>
        </is>
      </c>
    </row>
    <row r="85">
      <c r="A85" s="3" t="inlineStr">
        <is>
          <t>T24H9EFHSTP</t>
        </is>
      </c>
      <c r="B85" s="4" t="inlineStr"/>
      <c r="C85" s="4" t="inlineStr"/>
      <c r="D85" s="4" t="inlineStr"/>
      <c r="E85" s="3" t="inlineStr">
        <is>
          <t>LG T24H9EFHSTP 24kg Top Loader</t>
        </is>
      </c>
      <c r="F85" s="4" t="inlineStr">
        <is>
          <t>LG</t>
        </is>
      </c>
      <c r="G85" s="4" t="inlineStr"/>
      <c r="H85" s="4" t="inlineStr"/>
      <c r="I85" s="5" t="n">
        <v>14999</v>
      </c>
      <c r="J85" s="6" t="n">
        <v>15</v>
      </c>
      <c r="K85" s="7">
        <f>IF(I85="","",I85*(1+J85/100))</f>
        <v/>
      </c>
      <c r="L85" s="8" t="inlineStr"/>
      <c r="M85" s="9">
        <f>IF(OR(L85="",K85="",L85=0),"",
  (L85-K85)/L85*100)</f>
        <v/>
      </c>
      <c r="N85" s="10" t="inlineStr"/>
      <c r="O85" s="4" t="inlineStr"/>
      <c r="P85" s="4" t="inlineStr"/>
      <c r="Q85" s="4" t="inlineStr"/>
      <c r="R85" s="4" t="inlineStr">
        <is>
          <t>2026-03-12</t>
        </is>
      </c>
      <c r="S85" s="4" t="inlineStr">
        <is>
          <t>Hirschs 47th Anniversary Sale Feb-Mar 2026</t>
        </is>
      </c>
    </row>
    <row r="86">
      <c r="A86" s="11" t="inlineStr">
        <is>
          <t>F4V5RYP2T</t>
        </is>
      </c>
      <c r="B86" s="11" t="inlineStr"/>
      <c r="C86" s="11" t="inlineStr"/>
      <c r="D86" s="11" t="inlineStr"/>
      <c r="E86" s="11" t="inlineStr">
        <is>
          <t>LG F4V5RYP2T 10.5kg Washer</t>
        </is>
      </c>
      <c r="F86" s="11" t="inlineStr">
        <is>
          <t>LG</t>
        </is>
      </c>
      <c r="G86" s="11" t="inlineStr"/>
      <c r="H86" s="11" t="inlineStr"/>
      <c r="I86" s="12" t="n">
        <v>10999</v>
      </c>
      <c r="J86" s="6" t="n">
        <v>15</v>
      </c>
      <c r="K86" s="7">
        <f>IF(I86="","",I86*(1+J86/100))</f>
        <v/>
      </c>
      <c r="L86" s="8" t="inlineStr"/>
      <c r="M86" s="9">
        <f>IF(OR(L86="",K86="",L86=0),"",
  (L86-K86)/L86*100)</f>
        <v/>
      </c>
      <c r="N86" s="10" t="inlineStr"/>
      <c r="O86" s="11" t="inlineStr"/>
      <c r="P86" s="11" t="inlineStr"/>
      <c r="Q86" s="11" t="inlineStr"/>
      <c r="R86" s="11" t="inlineStr">
        <is>
          <t>2026-03-12</t>
        </is>
      </c>
      <c r="S86" s="11" t="inlineStr">
        <is>
          <t>Hirschs 47th Anniversary Sale Feb-Mar 2026</t>
        </is>
      </c>
    </row>
    <row r="87">
      <c r="A87" s="3" t="inlineStr">
        <is>
          <t>RH90V9PV8N</t>
        </is>
      </c>
      <c r="B87" s="4" t="inlineStr"/>
      <c r="C87" s="4" t="inlineStr"/>
      <c r="D87" s="4" t="inlineStr"/>
      <c r="E87" s="3" t="inlineStr">
        <is>
          <t>LG RH90V9PV8N 9kg Dryer</t>
        </is>
      </c>
      <c r="F87" s="4" t="inlineStr">
        <is>
          <t>LG</t>
        </is>
      </c>
      <c r="G87" s="4" t="inlineStr"/>
      <c r="H87" s="4" t="inlineStr"/>
      <c r="I87" s="5" t="n">
        <v>14999</v>
      </c>
      <c r="J87" s="6" t="n">
        <v>15</v>
      </c>
      <c r="K87" s="7">
        <f>IF(I87="","",I87*(1+J87/100))</f>
        <v/>
      </c>
      <c r="L87" s="8" t="inlineStr"/>
      <c r="M87" s="9">
        <f>IF(OR(L87="",K87="",L87=0),"",
  (L87-K87)/L87*100)</f>
        <v/>
      </c>
      <c r="N87" s="10" t="inlineStr"/>
      <c r="O87" s="4" t="inlineStr"/>
      <c r="P87" s="4" t="inlineStr"/>
      <c r="Q87" s="4" t="inlineStr"/>
      <c r="R87" s="4" t="inlineStr">
        <is>
          <t>2026-03-12</t>
        </is>
      </c>
      <c r="S87" s="4" t="inlineStr">
        <is>
          <t>Hirschs 47th Anniversary Sale Feb-Mar 2026</t>
        </is>
      </c>
    </row>
    <row r="88">
      <c r="A88" s="11" t="inlineStr">
        <is>
          <t>T19H33DHT2</t>
        </is>
      </c>
      <c r="B88" s="11" t="inlineStr"/>
      <c r="C88" s="11" t="inlineStr"/>
      <c r="D88" s="11" t="inlineStr"/>
      <c r="E88" s="11" t="inlineStr">
        <is>
          <t>LG T19H33DHT2 19kg Top Loader</t>
        </is>
      </c>
      <c r="F88" s="11" t="inlineStr">
        <is>
          <t>LG</t>
        </is>
      </c>
      <c r="G88" s="11" t="inlineStr"/>
      <c r="H88" s="11" t="inlineStr"/>
      <c r="I88" s="12" t="n">
        <v>8999</v>
      </c>
      <c r="J88" s="6" t="n">
        <v>15</v>
      </c>
      <c r="K88" s="7">
        <f>IF(I88="","",I88*(1+J88/100))</f>
        <v/>
      </c>
      <c r="L88" s="8" t="inlineStr"/>
      <c r="M88" s="9">
        <f>IF(OR(L88="",K88="",L88=0),"",
  (L88-K88)/L88*100)</f>
        <v/>
      </c>
      <c r="N88" s="10" t="inlineStr"/>
      <c r="O88" s="11" t="inlineStr"/>
      <c r="P88" s="11" t="inlineStr"/>
      <c r="Q88" s="11" t="inlineStr"/>
      <c r="R88" s="11" t="inlineStr">
        <is>
          <t>2026-03-12</t>
        </is>
      </c>
      <c r="S88" s="11" t="inlineStr">
        <is>
          <t>Hirschs 47th Anniversary Sale Feb-Mar 2026</t>
        </is>
      </c>
    </row>
    <row r="89">
      <c r="A89" s="3" t="inlineStr">
        <is>
          <t>F2V5FYPYP</t>
        </is>
      </c>
      <c r="B89" s="4" t="inlineStr"/>
      <c r="C89" s="4" t="inlineStr"/>
      <c r="D89" s="4" t="inlineStr"/>
      <c r="E89" s="3" t="inlineStr">
        <is>
          <t>LG F2V5FYPYP 7kg Washer</t>
        </is>
      </c>
      <c r="F89" s="4" t="inlineStr">
        <is>
          <t>LG</t>
        </is>
      </c>
      <c r="G89" s="4" t="inlineStr"/>
      <c r="H89" s="4" t="inlineStr"/>
      <c r="I89" s="5" t="n">
        <v>7999</v>
      </c>
      <c r="J89" s="6" t="n">
        <v>15</v>
      </c>
      <c r="K89" s="7">
        <f>IF(I89="","",I89*(1+J89/100))</f>
        <v/>
      </c>
      <c r="L89" s="8" t="inlineStr"/>
      <c r="M89" s="9">
        <f>IF(OR(L89="",K89="",L89=0),"",
  (L89-K89)/L89*100)</f>
        <v/>
      </c>
      <c r="N89" s="10" t="inlineStr"/>
      <c r="O89" s="4" t="inlineStr"/>
      <c r="P89" s="4" t="inlineStr"/>
      <c r="Q89" s="4" t="inlineStr"/>
      <c r="R89" s="4" t="inlineStr">
        <is>
          <t>2026-03-12</t>
        </is>
      </c>
      <c r="S89" s="4" t="inlineStr">
        <is>
          <t>Hirschs 47th Anniversary Sale Feb-Mar 2026</t>
        </is>
      </c>
    </row>
    <row r="90">
      <c r="A90" s="11" t="inlineStr">
        <is>
          <t>F2Y1HYP6J</t>
        </is>
      </c>
      <c r="B90" s="11" t="inlineStr"/>
      <c r="C90" s="11" t="inlineStr"/>
      <c r="D90" s="11" t="inlineStr"/>
      <c r="E90" s="11" t="inlineStr">
        <is>
          <t>LG F2Y1HYP6J 7kg Washer</t>
        </is>
      </c>
      <c r="F90" s="11" t="inlineStr">
        <is>
          <t>LG</t>
        </is>
      </c>
      <c r="G90" s="11" t="inlineStr"/>
      <c r="H90" s="11" t="inlineStr"/>
      <c r="I90" s="12" t="n">
        <v>5799</v>
      </c>
      <c r="J90" s="6" t="n">
        <v>15</v>
      </c>
      <c r="K90" s="7">
        <f>IF(I90="","",I90*(1+J90/100))</f>
        <v/>
      </c>
      <c r="L90" s="8" t="inlineStr"/>
      <c r="M90" s="9">
        <f>IF(OR(L90="",K90="",L90=0),"",
  (L90-K90)/L90*100)</f>
        <v/>
      </c>
      <c r="N90" s="10" t="inlineStr"/>
      <c r="O90" s="11" t="inlineStr"/>
      <c r="P90" s="11" t="inlineStr"/>
      <c r="Q90" s="11" t="inlineStr"/>
      <c r="R90" s="11" t="inlineStr">
        <is>
          <t>2026-03-12</t>
        </is>
      </c>
      <c r="S90" s="11" t="inlineStr">
        <is>
          <t>Hirschs 47th Anniversary Sale Feb-Mar 2026</t>
        </is>
      </c>
    </row>
    <row r="91">
      <c r="A91" s="3" t="inlineStr">
        <is>
          <t>F4V9LCP2ZB</t>
        </is>
      </c>
      <c r="B91" s="4" t="inlineStr"/>
      <c r="C91" s="4" t="inlineStr"/>
      <c r="D91" s="4" t="inlineStr"/>
      <c r="E91" s="3" t="inlineStr">
        <is>
          <t>LG F4V9LCP2ZB 13.8kg Washer/Dryer</t>
        </is>
      </c>
      <c r="F91" s="4" t="inlineStr">
        <is>
          <t>LG</t>
        </is>
      </c>
      <c r="G91" s="4" t="inlineStr"/>
      <c r="H91" s="4" t="inlineStr"/>
      <c r="I91" s="5" t="n">
        <v>17999</v>
      </c>
      <c r="J91" s="6" t="n">
        <v>15</v>
      </c>
      <c r="K91" s="7">
        <f>IF(I91="","",I91*(1+J91/100))</f>
        <v/>
      </c>
      <c r="L91" s="8" t="inlineStr"/>
      <c r="M91" s="9">
        <f>IF(OR(L91="",K91="",L91=0),"",
  (L91-K91)/L91*100)</f>
        <v/>
      </c>
      <c r="N91" s="10" t="inlineStr"/>
      <c r="O91" s="4" t="inlineStr"/>
      <c r="P91" s="4" t="inlineStr"/>
      <c r="Q91" s="4" t="inlineStr"/>
      <c r="R91" s="4" t="inlineStr">
        <is>
          <t>2026-03-12</t>
        </is>
      </c>
      <c r="S91" s="4" t="inlineStr">
        <is>
          <t>Hirschs 47th Anniversary Sale Feb-Mar 2026</t>
        </is>
      </c>
    </row>
    <row r="92">
      <c r="A92" s="11" t="inlineStr">
        <is>
          <t>F2V5FRP2</t>
        </is>
      </c>
      <c r="B92" s="11" t="inlineStr"/>
      <c r="C92" s="11" t="inlineStr"/>
      <c r="D92" s="11" t="inlineStr"/>
      <c r="E92" s="11" t="inlineStr">
        <is>
          <t>LG F2V5FRP2 9.5kg Washer/Dryer</t>
        </is>
      </c>
      <c r="F92" s="11" t="inlineStr">
        <is>
          <t>LG</t>
        </is>
      </c>
      <c r="G92" s="11" t="inlineStr"/>
      <c r="H92" s="11" t="inlineStr"/>
      <c r="I92" s="12" t="n">
        <v>8799</v>
      </c>
      <c r="J92" s="6" t="n">
        <v>15</v>
      </c>
      <c r="K92" s="7">
        <f>IF(I92="","",I92*(1+J92/100))</f>
        <v/>
      </c>
      <c r="L92" s="8" t="inlineStr"/>
      <c r="M92" s="9">
        <f>IF(OR(L92="",K92="",L92=0),"",
  (L92-K92)/L92*100)</f>
        <v/>
      </c>
      <c r="N92" s="10" t="inlineStr"/>
      <c r="O92" s="11" t="inlineStr"/>
      <c r="P92" s="11" t="inlineStr"/>
      <c r="Q92" s="11" t="inlineStr"/>
      <c r="R92" s="11" t="inlineStr">
        <is>
          <t>2026-03-12</t>
        </is>
      </c>
      <c r="S92" s="11" t="inlineStr">
        <is>
          <t>Hirschs 47th Anniversary Sale Feb-Mar 2026</t>
        </is>
      </c>
    </row>
    <row r="93">
      <c r="A93" s="3" t="inlineStr">
        <is>
          <t>DFB325HM</t>
        </is>
      </c>
      <c r="B93" s="4" t="inlineStr"/>
      <c r="C93" s="4" t="inlineStr"/>
      <c r="D93" s="4" t="inlineStr"/>
      <c r="E93" s="3" t="inlineStr">
        <is>
          <t>LG DFB325HM 14 Place Dishwasher</t>
        </is>
      </c>
      <c r="F93" s="4" t="inlineStr">
        <is>
          <t>LG</t>
        </is>
      </c>
      <c r="G93" s="4" t="inlineStr"/>
      <c r="H93" s="4" t="inlineStr"/>
      <c r="I93" s="5" t="n">
        <v>16999</v>
      </c>
      <c r="J93" s="6" t="n">
        <v>15</v>
      </c>
      <c r="K93" s="7">
        <f>IF(I93="","",I93*(1+J93/100))</f>
        <v/>
      </c>
      <c r="L93" s="8" t="inlineStr"/>
      <c r="M93" s="9">
        <f>IF(OR(L93="",K93="",L93=0),"",
  (L93-K93)/L93*100)</f>
        <v/>
      </c>
      <c r="N93" s="10" t="inlineStr"/>
      <c r="O93" s="4" t="inlineStr"/>
      <c r="P93" s="4" t="inlineStr"/>
      <c r="Q93" s="4" t="inlineStr"/>
      <c r="R93" s="4" t="inlineStr">
        <is>
          <t>2026-03-12</t>
        </is>
      </c>
      <c r="S93" s="4" t="inlineStr">
        <is>
          <t>Hirschs 47th Anniversary Sale Feb-Mar 2026</t>
        </is>
      </c>
    </row>
    <row r="94">
      <c r="A94" s="11" t="inlineStr">
        <is>
          <t>DFB425FP</t>
        </is>
      </c>
      <c r="B94" s="11" t="inlineStr"/>
      <c r="C94" s="11" t="inlineStr"/>
      <c r="D94" s="11" t="inlineStr"/>
      <c r="E94" s="11" t="inlineStr">
        <is>
          <t>LG DFB425FP 14 Place Dishwasher</t>
        </is>
      </c>
      <c r="F94" s="11" t="inlineStr">
        <is>
          <t>LG</t>
        </is>
      </c>
      <c r="G94" s="11" t="inlineStr"/>
      <c r="H94" s="11" t="inlineStr"/>
      <c r="I94" s="12" t="n">
        <v>13999</v>
      </c>
      <c r="J94" s="6" t="n">
        <v>15</v>
      </c>
      <c r="K94" s="7">
        <f>IF(I94="","",I94*(1+J94/100))</f>
        <v/>
      </c>
      <c r="L94" s="8" t="inlineStr"/>
      <c r="M94" s="9">
        <f>IF(OR(L94="",K94="",L94=0),"",
  (L94-K94)/L94*100)</f>
        <v/>
      </c>
      <c r="N94" s="10" t="inlineStr"/>
      <c r="O94" s="11" t="inlineStr"/>
      <c r="P94" s="11" t="inlineStr"/>
      <c r="Q94" s="11" t="inlineStr"/>
      <c r="R94" s="11" t="inlineStr">
        <is>
          <t>2026-03-12</t>
        </is>
      </c>
      <c r="S94" s="11" t="inlineStr">
        <is>
          <t>Hirschs 47th Anniversary Sale Feb-Mar 2026</t>
        </is>
      </c>
    </row>
    <row r="95">
      <c r="A95" s="3" t="inlineStr">
        <is>
          <t>DFCS37P</t>
        </is>
      </c>
      <c r="B95" s="4" t="inlineStr"/>
      <c r="C95" s="4" t="inlineStr"/>
      <c r="D95" s="4" t="inlineStr"/>
      <c r="E95" s="3" t="inlineStr">
        <is>
          <t>LG DFCS37P Dishwasher</t>
        </is>
      </c>
      <c r="F95" s="4" t="inlineStr">
        <is>
          <t>LG</t>
        </is>
      </c>
      <c r="G95" s="4" t="inlineStr"/>
      <c r="H95" s="4" t="inlineStr"/>
      <c r="I95" s="5" t="n">
        <v>10999</v>
      </c>
      <c r="J95" s="6" t="n">
        <v>15</v>
      </c>
      <c r="K95" s="7">
        <f>IF(I95="","",I95*(1+J95/100))</f>
        <v/>
      </c>
      <c r="L95" s="8" t="inlineStr"/>
      <c r="M95" s="9">
        <f>IF(OR(L95="",K95="",L95=0),"",
  (L95-K95)/L95*100)</f>
        <v/>
      </c>
      <c r="N95" s="10" t="inlineStr"/>
      <c r="O95" s="4" t="inlineStr"/>
      <c r="P95" s="4" t="inlineStr"/>
      <c r="Q95" s="4" t="inlineStr"/>
      <c r="R95" s="4" t="inlineStr">
        <is>
          <t>2026-03-12</t>
        </is>
      </c>
      <c r="S95" s="4" t="inlineStr">
        <is>
          <t>Hirschs 47th Anniversary Sale Feb-Mar 2026</t>
        </is>
      </c>
    </row>
    <row r="96">
      <c r="A96" s="11" t="inlineStr">
        <is>
          <t>DFB532FP</t>
        </is>
      </c>
      <c r="B96" s="11" t="inlineStr"/>
      <c r="C96" s="11" t="inlineStr"/>
      <c r="D96" s="11" t="inlineStr"/>
      <c r="E96" s="11" t="inlineStr">
        <is>
          <t>LG DFB532FP Dishwasher</t>
        </is>
      </c>
      <c r="F96" s="11" t="inlineStr">
        <is>
          <t>LG</t>
        </is>
      </c>
      <c r="G96" s="11" t="inlineStr"/>
      <c r="H96" s="11" t="inlineStr"/>
      <c r="I96" s="12" t="n">
        <v>8999</v>
      </c>
      <c r="J96" s="6" t="n">
        <v>15</v>
      </c>
      <c r="K96" s="7">
        <f>IF(I96="","",I96*(1+J96/100))</f>
        <v/>
      </c>
      <c r="L96" s="8" t="inlineStr"/>
      <c r="M96" s="9">
        <f>IF(OR(L96="",K96="",L96=0),"",
  (L96-K96)/L96*100)</f>
        <v/>
      </c>
      <c r="N96" s="10" t="inlineStr"/>
      <c r="O96" s="11" t="inlineStr"/>
      <c r="P96" s="11" t="inlineStr"/>
      <c r="Q96" s="11" t="inlineStr"/>
      <c r="R96" s="11" t="inlineStr">
        <is>
          <t>2026-03-12</t>
        </is>
      </c>
      <c r="S96" s="11" t="inlineStr">
        <is>
          <t>Hirschs 47th Anniversary Sale Feb-Mar 2026</t>
        </is>
      </c>
    </row>
    <row r="97">
      <c r="A97" s="3" t="inlineStr">
        <is>
          <t>MA3884VC</t>
        </is>
      </c>
      <c r="B97" s="4" t="inlineStr"/>
      <c r="C97" s="4" t="inlineStr"/>
      <c r="D97" s="4" t="inlineStr"/>
      <c r="E97" s="3" t="inlineStr">
        <is>
          <t>LG MA3884VC 38L SolarDOM</t>
        </is>
      </c>
      <c r="F97" s="4" t="inlineStr">
        <is>
          <t>LG</t>
        </is>
      </c>
      <c r="G97" s="4" t="inlineStr"/>
      <c r="H97" s="4" t="inlineStr"/>
      <c r="I97" s="5" t="n">
        <v>9999</v>
      </c>
      <c r="J97" s="6" t="n">
        <v>15</v>
      </c>
      <c r="K97" s="7">
        <f>IF(I97="","",I97*(1+J97/100))</f>
        <v/>
      </c>
      <c r="L97" s="8" t="inlineStr"/>
      <c r="M97" s="9">
        <f>IF(OR(L97="",K97="",L97=0),"",
  (L97-K97)/L97*100)</f>
        <v/>
      </c>
      <c r="N97" s="10" t="inlineStr"/>
      <c r="O97" s="4" t="inlineStr"/>
      <c r="P97" s="4" t="inlineStr"/>
      <c r="Q97" s="4" t="inlineStr"/>
      <c r="R97" s="4" t="inlineStr">
        <is>
          <t>2026-03-12</t>
        </is>
      </c>
      <c r="S97" s="4" t="inlineStr">
        <is>
          <t>Hirschs 47th Anniversary Sale Feb-Mar 2026</t>
        </is>
      </c>
    </row>
    <row r="98">
      <c r="A98" s="11" t="inlineStr">
        <is>
          <t>MJ3965ACS</t>
        </is>
      </c>
      <c r="B98" s="11" t="inlineStr"/>
      <c r="C98" s="11" t="inlineStr"/>
      <c r="D98" s="11" t="inlineStr"/>
      <c r="E98" s="11" t="inlineStr">
        <is>
          <t>LG MJ3965ACS 39L NeoChef</t>
        </is>
      </c>
      <c r="F98" s="11" t="inlineStr">
        <is>
          <t>LG</t>
        </is>
      </c>
      <c r="G98" s="11" t="inlineStr"/>
      <c r="H98" s="11" t="inlineStr"/>
      <c r="I98" s="12" t="n">
        <v>5999</v>
      </c>
      <c r="J98" s="6" t="n">
        <v>15</v>
      </c>
      <c r="K98" s="7">
        <f>IF(I98="","",I98*(1+J98/100))</f>
        <v/>
      </c>
      <c r="L98" s="8" t="inlineStr"/>
      <c r="M98" s="9">
        <f>IF(OR(L98="",K98="",L98=0),"",
  (L98-K98)/L98*100)</f>
        <v/>
      </c>
      <c r="N98" s="10" t="inlineStr"/>
      <c r="O98" s="11" t="inlineStr"/>
      <c r="P98" s="11" t="inlineStr"/>
      <c r="Q98" s="11" t="inlineStr"/>
      <c r="R98" s="11" t="inlineStr">
        <is>
          <t>2026-03-12</t>
        </is>
      </c>
      <c r="S98" s="11" t="inlineStr">
        <is>
          <t>Hirschs 47th Anniversary Sale Feb-Mar 2026</t>
        </is>
      </c>
    </row>
    <row r="99">
      <c r="A99" s="3" t="inlineStr">
        <is>
          <t>MHB265CIS</t>
        </is>
      </c>
      <c r="B99" s="4" t="inlineStr"/>
      <c r="C99" s="4" t="inlineStr"/>
      <c r="D99" s="4" t="inlineStr"/>
      <c r="E99" s="3" t="inlineStr">
        <is>
          <t>LG MHB265CIS 42L Solo</t>
        </is>
      </c>
      <c r="F99" s="4" t="inlineStr">
        <is>
          <t>LG</t>
        </is>
      </c>
      <c r="G99" s="4" t="inlineStr"/>
      <c r="H99" s="4" t="inlineStr"/>
      <c r="I99" s="5" t="n">
        <v>3299</v>
      </c>
      <c r="J99" s="6" t="n">
        <v>15</v>
      </c>
      <c r="K99" s="7">
        <f>IF(I99="","",I99*(1+J99/100))</f>
        <v/>
      </c>
      <c r="L99" s="8" t="inlineStr"/>
      <c r="M99" s="9">
        <f>IF(OR(L99="",K99="",L99=0),"",
  (L99-K99)/L99*100)</f>
        <v/>
      </c>
      <c r="N99" s="10" t="inlineStr"/>
      <c r="O99" s="4" t="inlineStr"/>
      <c r="P99" s="4" t="inlineStr"/>
      <c r="Q99" s="4" t="inlineStr"/>
      <c r="R99" s="4" t="inlineStr">
        <is>
          <t>2026-03-12</t>
        </is>
      </c>
      <c r="S99" s="4" t="inlineStr">
        <is>
          <t>Hirschs 47th Anniversary Sale Feb-Mar 2026</t>
        </is>
      </c>
    </row>
    <row r="100">
      <c r="A100" s="11" t="inlineStr">
        <is>
          <t>MS4295CIS</t>
        </is>
      </c>
      <c r="B100" s="11" t="inlineStr"/>
      <c r="C100" s="11" t="inlineStr"/>
      <c r="D100" s="11" t="inlineStr"/>
      <c r="E100" s="11" t="inlineStr">
        <is>
          <t>LG MS4295CIS 42L Solo</t>
        </is>
      </c>
      <c r="F100" s="11" t="inlineStr">
        <is>
          <t>LG</t>
        </is>
      </c>
      <c r="G100" s="11" t="inlineStr"/>
      <c r="H100" s="11" t="inlineStr"/>
      <c r="I100" s="12" t="n">
        <v>3199</v>
      </c>
      <c r="J100" s="6" t="n">
        <v>15</v>
      </c>
      <c r="K100" s="7">
        <f>IF(I100="","",I100*(1+J100/100))</f>
        <v/>
      </c>
      <c r="L100" s="8" t="inlineStr"/>
      <c r="M100" s="9">
        <f>IF(OR(L100="",K100="",L100=0),"",
  (L100-K100)/L100*100)</f>
        <v/>
      </c>
      <c r="N100" s="10" t="inlineStr"/>
      <c r="O100" s="11" t="inlineStr"/>
      <c r="P100" s="11" t="inlineStr"/>
      <c r="Q100" s="11" t="inlineStr"/>
      <c r="R100" s="11" t="inlineStr">
        <is>
          <t>2026-03-12</t>
        </is>
      </c>
      <c r="S100" s="11" t="inlineStr">
        <is>
          <t>Hirschs 47th Anniversary Sale Feb-Mar 2026</t>
        </is>
      </c>
    </row>
    <row r="101">
      <c r="A101" s="3" t="inlineStr">
        <is>
          <t>MS4295DIS</t>
        </is>
      </c>
      <c r="B101" s="4" t="inlineStr"/>
      <c r="C101" s="4" t="inlineStr"/>
      <c r="D101" s="4" t="inlineStr"/>
      <c r="E101" s="3" t="inlineStr">
        <is>
          <t>LG MS4295DIS 42L Solo</t>
        </is>
      </c>
      <c r="F101" s="4" t="inlineStr">
        <is>
          <t>LG</t>
        </is>
      </c>
      <c r="G101" s="4" t="inlineStr"/>
      <c r="H101" s="4" t="inlineStr"/>
      <c r="I101" s="5" t="n">
        <v>2799</v>
      </c>
      <c r="J101" s="6" t="n">
        <v>15</v>
      </c>
      <c r="K101" s="7">
        <f>IF(I101="","",I101*(1+J101/100))</f>
        <v/>
      </c>
      <c r="L101" s="8" t="inlineStr"/>
      <c r="M101" s="9">
        <f>IF(OR(L101="",K101="",L101=0),"",
  (L101-K101)/L101*100)</f>
        <v/>
      </c>
      <c r="N101" s="10" t="inlineStr"/>
      <c r="O101" s="4" t="inlineStr"/>
      <c r="P101" s="4" t="inlineStr"/>
      <c r="Q101" s="4" t="inlineStr"/>
      <c r="R101" s="4" t="inlineStr">
        <is>
          <t>2026-03-12</t>
        </is>
      </c>
      <c r="S101" s="4" t="inlineStr">
        <is>
          <t>Hirschs 47th Anniversary Sale Feb-Mar 2026</t>
        </is>
      </c>
    </row>
    <row r="102">
      <c r="A102" s="11" t="inlineStr">
        <is>
          <t>86NANO80</t>
        </is>
      </c>
      <c r="B102" s="11" t="inlineStr"/>
      <c r="C102" s="11" t="inlineStr"/>
      <c r="D102" s="11" t="inlineStr"/>
      <c r="E102" s="11" t="inlineStr">
        <is>
          <t>LG 86NANO80 NanoCell TV</t>
        </is>
      </c>
      <c r="F102" s="11" t="inlineStr">
        <is>
          <t>LG</t>
        </is>
      </c>
      <c r="G102" s="11" t="inlineStr"/>
      <c r="H102" s="11" t="inlineStr"/>
      <c r="I102" s="12" t="n">
        <v>19999</v>
      </c>
      <c r="J102" s="6" t="n">
        <v>15</v>
      </c>
      <c r="K102" s="7">
        <f>IF(I102="","",I102*(1+J102/100))</f>
        <v/>
      </c>
      <c r="L102" s="8" t="inlineStr"/>
      <c r="M102" s="9">
        <f>IF(OR(L102="",K102="",L102=0),"",
  (L102-K102)/L102*100)</f>
        <v/>
      </c>
      <c r="N102" s="10" t="inlineStr"/>
      <c r="O102" s="11" t="inlineStr"/>
      <c r="P102" s="11" t="inlineStr"/>
      <c r="Q102" s="11" t="inlineStr"/>
      <c r="R102" s="11" t="inlineStr">
        <is>
          <t>2026-03-12</t>
        </is>
      </c>
      <c r="S102" s="11" t="inlineStr">
        <is>
          <t>Hirschs 47th Anniversary Sale Feb-Mar 2026</t>
        </is>
      </c>
    </row>
    <row r="103">
      <c r="A103" s="3" t="inlineStr">
        <is>
          <t>75NANO80</t>
        </is>
      </c>
      <c r="B103" s="4" t="inlineStr"/>
      <c r="C103" s="4" t="inlineStr"/>
      <c r="D103" s="4" t="inlineStr"/>
      <c r="E103" s="3" t="inlineStr">
        <is>
          <t>LG 75NANO80</t>
        </is>
      </c>
      <c r="F103" s="4" t="inlineStr">
        <is>
          <t>LG</t>
        </is>
      </c>
      <c r="G103" s="4" t="inlineStr"/>
      <c r="H103" s="4" t="inlineStr"/>
      <c r="I103" s="5" t="n">
        <v>13999</v>
      </c>
      <c r="J103" s="6" t="n">
        <v>15</v>
      </c>
      <c r="K103" s="7">
        <f>IF(I103="","",I103*(1+J103/100))</f>
        <v/>
      </c>
      <c r="L103" s="8" t="inlineStr"/>
      <c r="M103" s="9">
        <f>IF(OR(L103="",K103="",L103=0),"",
  (L103-K103)/L103*100)</f>
        <v/>
      </c>
      <c r="N103" s="10" t="inlineStr"/>
      <c r="O103" s="4" t="inlineStr"/>
      <c r="P103" s="4" t="inlineStr"/>
      <c r="Q103" s="4" t="inlineStr"/>
      <c r="R103" s="4" t="inlineStr">
        <is>
          <t>2026-03-12</t>
        </is>
      </c>
      <c r="S103" s="4" t="inlineStr">
        <is>
          <t>Hirschs 47th Anniversary Sale Feb-Mar 2026</t>
        </is>
      </c>
    </row>
    <row r="104">
      <c r="A104" s="11" t="inlineStr">
        <is>
          <t>65NANO80</t>
        </is>
      </c>
      <c r="B104" s="11" t="inlineStr"/>
      <c r="C104" s="11" t="inlineStr"/>
      <c r="D104" s="11" t="inlineStr"/>
      <c r="E104" s="11" t="inlineStr">
        <is>
          <t>LG 65NANO80</t>
        </is>
      </c>
      <c r="F104" s="11" t="inlineStr">
        <is>
          <t>LG</t>
        </is>
      </c>
      <c r="G104" s="11" t="inlineStr"/>
      <c r="H104" s="11" t="inlineStr"/>
      <c r="I104" s="12" t="n">
        <v>8999</v>
      </c>
      <c r="J104" s="6" t="n">
        <v>15</v>
      </c>
      <c r="K104" s="7">
        <f>IF(I104="","",I104*(1+J104/100))</f>
        <v/>
      </c>
      <c r="L104" s="8" t="inlineStr"/>
      <c r="M104" s="9">
        <f>IF(OR(L104="",K104="",L104=0),"",
  (L104-K104)/L104*100)</f>
        <v/>
      </c>
      <c r="N104" s="10" t="inlineStr"/>
      <c r="O104" s="11" t="inlineStr"/>
      <c r="P104" s="11" t="inlineStr"/>
      <c r="Q104" s="11" t="inlineStr"/>
      <c r="R104" s="11" t="inlineStr">
        <is>
          <t>2026-03-12</t>
        </is>
      </c>
      <c r="S104" s="11" t="inlineStr">
        <is>
          <t>Hirschs 47th Anniversary Sale Feb-Mar 2026</t>
        </is>
      </c>
    </row>
    <row r="105">
      <c r="A105" s="3" t="inlineStr">
        <is>
          <t>55NANO80</t>
        </is>
      </c>
      <c r="B105" s="4" t="inlineStr"/>
      <c r="C105" s="4" t="inlineStr"/>
      <c r="D105" s="4" t="inlineStr"/>
      <c r="E105" s="3" t="inlineStr">
        <is>
          <t>LG 55NANO80</t>
        </is>
      </c>
      <c r="F105" s="4" t="inlineStr">
        <is>
          <t>LG</t>
        </is>
      </c>
      <c r="G105" s="4" t="inlineStr"/>
      <c r="H105" s="4" t="inlineStr"/>
      <c r="I105" s="5" t="n">
        <v>7999</v>
      </c>
      <c r="J105" s="6" t="n">
        <v>15</v>
      </c>
      <c r="K105" s="7">
        <f>IF(I105="","",I105*(1+J105/100))</f>
        <v/>
      </c>
      <c r="L105" s="8" t="inlineStr"/>
      <c r="M105" s="9">
        <f>IF(OR(L105="",K105="",L105=0),"",
  (L105-K105)/L105*100)</f>
        <v/>
      </c>
      <c r="N105" s="10" t="inlineStr"/>
      <c r="O105" s="4" t="inlineStr"/>
      <c r="P105" s="4" t="inlineStr"/>
      <c r="Q105" s="4" t="inlineStr"/>
      <c r="R105" s="4" t="inlineStr">
        <is>
          <t>2026-03-12</t>
        </is>
      </c>
      <c r="S105" s="4" t="inlineStr">
        <is>
          <t>Hirschs 47th Anniversary Sale Feb-Mar 2026</t>
        </is>
      </c>
    </row>
    <row r="106">
      <c r="A106" s="11" t="inlineStr">
        <is>
          <t>86UAB500</t>
        </is>
      </c>
      <c r="B106" s="11" t="inlineStr"/>
      <c r="C106" s="11" t="inlineStr"/>
      <c r="D106" s="11" t="inlineStr"/>
      <c r="E106" s="11" t="inlineStr">
        <is>
          <t>LG 86UAB500 UHD TV</t>
        </is>
      </c>
      <c r="F106" s="11" t="inlineStr">
        <is>
          <t>LG</t>
        </is>
      </c>
      <c r="G106" s="11" t="inlineStr"/>
      <c r="H106" s="11" t="inlineStr"/>
      <c r="I106" s="12" t="n">
        <v>18999</v>
      </c>
      <c r="J106" s="6" t="n">
        <v>15</v>
      </c>
      <c r="K106" s="7">
        <f>IF(I106="","",I106*(1+J106/100))</f>
        <v/>
      </c>
      <c r="L106" s="8" t="inlineStr"/>
      <c r="M106" s="9">
        <f>IF(OR(L106="",K106="",L106=0),"",
  (L106-K106)/L106*100)</f>
        <v/>
      </c>
      <c r="N106" s="10" t="inlineStr"/>
      <c r="O106" s="11" t="inlineStr"/>
      <c r="P106" s="11" t="inlineStr"/>
      <c r="Q106" s="11" t="inlineStr"/>
      <c r="R106" s="11" t="inlineStr">
        <is>
          <t>2026-03-12</t>
        </is>
      </c>
      <c r="S106" s="11" t="inlineStr">
        <is>
          <t>Hirschs 47th Anniversary Sale Feb-Mar 2026</t>
        </is>
      </c>
    </row>
    <row r="107">
      <c r="A107" s="3" t="inlineStr">
        <is>
          <t>75UAB500</t>
        </is>
      </c>
      <c r="B107" s="4" t="inlineStr"/>
      <c r="C107" s="4" t="inlineStr"/>
      <c r="D107" s="4" t="inlineStr"/>
      <c r="E107" s="3" t="inlineStr">
        <is>
          <t>LG 75UAB500</t>
        </is>
      </c>
      <c r="F107" s="4" t="inlineStr">
        <is>
          <t>LG</t>
        </is>
      </c>
      <c r="G107" s="4" t="inlineStr"/>
      <c r="H107" s="4" t="inlineStr"/>
      <c r="I107" s="5" t="n">
        <v>12999</v>
      </c>
      <c r="J107" s="6" t="n">
        <v>15</v>
      </c>
      <c r="K107" s="7">
        <f>IF(I107="","",I107*(1+J107/100))</f>
        <v/>
      </c>
      <c r="L107" s="8" t="inlineStr"/>
      <c r="M107" s="9">
        <f>IF(OR(L107="",K107="",L107=0),"",
  (L107-K107)/L107*100)</f>
        <v/>
      </c>
      <c r="N107" s="10" t="inlineStr"/>
      <c r="O107" s="4" t="inlineStr"/>
      <c r="P107" s="4" t="inlineStr"/>
      <c r="Q107" s="4" t="inlineStr"/>
      <c r="R107" s="4" t="inlineStr">
        <is>
          <t>2026-03-12</t>
        </is>
      </c>
      <c r="S107" s="4" t="inlineStr">
        <is>
          <t>Hirschs 47th Anniversary Sale Feb-Mar 2026</t>
        </is>
      </c>
    </row>
    <row r="108">
      <c r="A108" s="11" t="inlineStr">
        <is>
          <t>65UAB500</t>
        </is>
      </c>
      <c r="B108" s="11" t="inlineStr"/>
      <c r="C108" s="11" t="inlineStr"/>
      <c r="D108" s="11" t="inlineStr"/>
      <c r="E108" s="11" t="inlineStr">
        <is>
          <t>LG 65UAB500</t>
        </is>
      </c>
      <c r="F108" s="11" t="inlineStr">
        <is>
          <t>LG</t>
        </is>
      </c>
      <c r="G108" s="11" t="inlineStr"/>
      <c r="H108" s="11" t="inlineStr"/>
      <c r="I108" s="12" t="n">
        <v>9499</v>
      </c>
      <c r="J108" s="6" t="n">
        <v>15</v>
      </c>
      <c r="K108" s="7">
        <f>IF(I108="","",I108*(1+J108/100))</f>
        <v/>
      </c>
      <c r="L108" s="8" t="inlineStr"/>
      <c r="M108" s="9">
        <f>IF(OR(L108="",K108="",L108=0),"",
  (L108-K108)/L108*100)</f>
        <v/>
      </c>
      <c r="N108" s="10" t="inlineStr"/>
      <c r="O108" s="11" t="inlineStr"/>
      <c r="P108" s="11" t="inlineStr"/>
      <c r="Q108" s="11" t="inlineStr"/>
      <c r="R108" s="11" t="inlineStr">
        <is>
          <t>2026-03-12</t>
        </is>
      </c>
      <c r="S108" s="11" t="inlineStr">
        <is>
          <t>Hirschs 47th Anniversary Sale Feb-Mar 2026</t>
        </is>
      </c>
    </row>
    <row r="109">
      <c r="A109" s="3" t="inlineStr">
        <is>
          <t>55UAB500</t>
        </is>
      </c>
      <c r="B109" s="4" t="inlineStr"/>
      <c r="C109" s="4" t="inlineStr"/>
      <c r="D109" s="4" t="inlineStr"/>
      <c r="E109" s="3" t="inlineStr">
        <is>
          <t>LG 55UAB500</t>
        </is>
      </c>
      <c r="F109" s="4" t="inlineStr">
        <is>
          <t>LG</t>
        </is>
      </c>
      <c r="G109" s="4" t="inlineStr"/>
      <c r="H109" s="4" t="inlineStr"/>
      <c r="I109" s="5" t="n">
        <v>7999</v>
      </c>
      <c r="J109" s="6" t="n">
        <v>15</v>
      </c>
      <c r="K109" s="7">
        <f>IF(I109="","",I109*(1+J109/100))</f>
        <v/>
      </c>
      <c r="L109" s="8" t="inlineStr"/>
      <c r="M109" s="9">
        <f>IF(OR(L109="",K109="",L109=0),"",
  (L109-K109)/L109*100)</f>
        <v/>
      </c>
      <c r="N109" s="10" t="inlineStr"/>
      <c r="O109" s="4" t="inlineStr"/>
      <c r="P109" s="4" t="inlineStr"/>
      <c r="Q109" s="4" t="inlineStr"/>
      <c r="R109" s="4" t="inlineStr">
        <is>
          <t>2026-03-12</t>
        </is>
      </c>
      <c r="S109" s="4" t="inlineStr">
        <is>
          <t>Hirschs 47th Anniversary Sale Feb-Mar 2026</t>
        </is>
      </c>
    </row>
    <row r="110">
      <c r="A110" s="11" t="inlineStr">
        <is>
          <t>50UAB500</t>
        </is>
      </c>
      <c r="B110" s="11" t="inlineStr"/>
      <c r="C110" s="11" t="inlineStr"/>
      <c r="D110" s="11" t="inlineStr"/>
      <c r="E110" s="11" t="inlineStr">
        <is>
          <t>LG 50UAB500</t>
        </is>
      </c>
      <c r="F110" s="11" t="inlineStr">
        <is>
          <t>LG</t>
        </is>
      </c>
      <c r="G110" s="11" t="inlineStr"/>
      <c r="H110" s="11" t="inlineStr"/>
      <c r="I110" s="12" t="n">
        <v>6499</v>
      </c>
      <c r="J110" s="6" t="n">
        <v>15</v>
      </c>
      <c r="K110" s="7">
        <f>IF(I110="","",I110*(1+J110/100))</f>
        <v/>
      </c>
      <c r="L110" s="8" t="inlineStr"/>
      <c r="M110" s="9">
        <f>IF(OR(L110="",K110="",L110=0),"",
  (L110-K110)/L110*100)</f>
        <v/>
      </c>
      <c r="N110" s="10" t="inlineStr"/>
      <c r="O110" s="11" t="inlineStr"/>
      <c r="P110" s="11" t="inlineStr"/>
      <c r="Q110" s="11" t="inlineStr"/>
      <c r="R110" s="11" t="inlineStr">
        <is>
          <t>2026-03-12</t>
        </is>
      </c>
      <c r="S110" s="11" t="inlineStr">
        <is>
          <t>Hirschs 47th Anniversary Sale Feb-Mar 2026</t>
        </is>
      </c>
    </row>
    <row r="111">
      <c r="A111" s="3" t="inlineStr">
        <is>
          <t>43UAB500</t>
        </is>
      </c>
      <c r="B111" s="4" t="inlineStr"/>
      <c r="C111" s="4" t="inlineStr"/>
      <c r="D111" s="4" t="inlineStr"/>
      <c r="E111" s="3" t="inlineStr">
        <is>
          <t>LG 43UAB500</t>
        </is>
      </c>
      <c r="F111" s="4" t="inlineStr">
        <is>
          <t>LG</t>
        </is>
      </c>
      <c r="G111" s="4" t="inlineStr"/>
      <c r="H111" s="4" t="inlineStr"/>
      <c r="I111" s="5" t="n">
        <v>5499</v>
      </c>
      <c r="J111" s="6" t="n">
        <v>15</v>
      </c>
      <c r="K111" s="7">
        <f>IF(I111="","",I111*(1+J111/100))</f>
        <v/>
      </c>
      <c r="L111" s="8" t="inlineStr"/>
      <c r="M111" s="9">
        <f>IF(OR(L111="",K111="",L111=0),"",
  (L111-K111)/L111*100)</f>
        <v/>
      </c>
      <c r="N111" s="10" t="inlineStr"/>
      <c r="O111" s="4" t="inlineStr"/>
      <c r="P111" s="4" t="inlineStr"/>
      <c r="Q111" s="4" t="inlineStr"/>
      <c r="R111" s="4" t="inlineStr">
        <is>
          <t>2026-03-12</t>
        </is>
      </c>
      <c r="S111" s="4" t="inlineStr">
        <is>
          <t>Hirschs 47th Anniversary Sale Feb-Mar 2026</t>
        </is>
      </c>
    </row>
    <row r="112">
      <c r="A112" s="11" t="inlineStr">
        <is>
          <t>S95TR</t>
        </is>
      </c>
      <c r="B112" s="11" t="inlineStr"/>
      <c r="C112" s="11" t="inlineStr"/>
      <c r="D112" s="11" t="inlineStr"/>
      <c r="E112" s="11" t="inlineStr">
        <is>
          <t>LG LG S95TR Sound Bar 9.1.5ch 810W</t>
        </is>
      </c>
      <c r="F112" s="11" t="inlineStr">
        <is>
          <t>LG</t>
        </is>
      </c>
      <c r="G112" s="11" t="inlineStr"/>
      <c r="H112" s="11" t="inlineStr"/>
      <c r="I112" s="12" t="n">
        <v>14999</v>
      </c>
      <c r="J112" s="6" t="n">
        <v>15</v>
      </c>
      <c r="K112" s="7">
        <f>IF(I112="","",I112*(1+J112/100))</f>
        <v/>
      </c>
      <c r="L112" s="8" t="inlineStr"/>
      <c r="M112" s="9">
        <f>IF(OR(L112="",K112="",L112=0),"",
  (L112-K112)/L112*100)</f>
        <v/>
      </c>
      <c r="N112" s="10" t="inlineStr"/>
      <c r="O112" s="11" t="inlineStr"/>
      <c r="P112" s="11" t="inlineStr"/>
      <c r="Q112" s="11" t="inlineStr"/>
      <c r="R112" s="11" t="inlineStr">
        <is>
          <t>2026-03-12</t>
        </is>
      </c>
      <c r="S112" s="11" t="inlineStr">
        <is>
          <t>Hirschs 47th Anniversary Sale Feb-Mar 2026</t>
        </is>
      </c>
    </row>
    <row r="113">
      <c r="A113" s="3" t="inlineStr">
        <is>
          <t>S5C9S</t>
        </is>
      </c>
      <c r="B113" s="4" t="inlineStr"/>
      <c r="C113" s="4" t="inlineStr"/>
      <c r="D113" s="4" t="inlineStr"/>
      <c r="E113" s="3" t="inlineStr">
        <is>
          <t>LG LG S5C9S Sound Bar 3.1.3ch 400W</t>
        </is>
      </c>
      <c r="F113" s="4" t="inlineStr">
        <is>
          <t>LG</t>
        </is>
      </c>
      <c r="G113" s="4" t="inlineStr"/>
      <c r="H113" s="4" t="inlineStr"/>
      <c r="I113" s="5" t="n">
        <v>10999</v>
      </c>
      <c r="J113" s="6" t="n">
        <v>15</v>
      </c>
      <c r="K113" s="7">
        <f>IF(I113="","",I113*(1+J113/100))</f>
        <v/>
      </c>
      <c r="L113" s="8" t="inlineStr"/>
      <c r="M113" s="9">
        <f>IF(OR(L113="",K113="",L113=0),"",
  (L113-K113)/L113*100)</f>
        <v/>
      </c>
      <c r="N113" s="10" t="inlineStr"/>
      <c r="O113" s="4" t="inlineStr"/>
      <c r="P113" s="4" t="inlineStr"/>
      <c r="Q113" s="4" t="inlineStr"/>
      <c r="R113" s="4" t="inlineStr">
        <is>
          <t>2026-03-12</t>
        </is>
      </c>
      <c r="S113" s="4" t="inlineStr">
        <is>
          <t>Hirschs 47th Anniversary Sale Feb-Mar 2026</t>
        </is>
      </c>
    </row>
    <row r="114">
      <c r="A114" s="11" t="inlineStr">
        <is>
          <t>S75TR</t>
        </is>
      </c>
      <c r="B114" s="11" t="inlineStr"/>
      <c r="C114" s="11" t="inlineStr"/>
      <c r="D114" s="11" t="inlineStr"/>
      <c r="E114" s="11" t="inlineStr">
        <is>
          <t>LG LG S75TR Sound Bar 5.1ch 600W</t>
        </is>
      </c>
      <c r="F114" s="11" t="inlineStr">
        <is>
          <t>LG</t>
        </is>
      </c>
      <c r="G114" s="11" t="inlineStr"/>
      <c r="H114" s="11" t="inlineStr"/>
      <c r="I114" s="12" t="n">
        <v>7999</v>
      </c>
      <c r="J114" s="6" t="n">
        <v>15</v>
      </c>
      <c r="K114" s="7">
        <f>IF(I114="","",I114*(1+J114/100))</f>
        <v/>
      </c>
      <c r="L114" s="8" t="inlineStr"/>
      <c r="M114" s="9">
        <f>IF(OR(L114="",K114="",L114=0),"",
  (L114-K114)/L114*100)</f>
        <v/>
      </c>
      <c r="N114" s="10" t="inlineStr"/>
      <c r="O114" s="11" t="inlineStr"/>
      <c r="P114" s="11" t="inlineStr"/>
      <c r="Q114" s="11" t="inlineStr"/>
      <c r="R114" s="11" t="inlineStr">
        <is>
          <t>2026-03-12</t>
        </is>
      </c>
      <c r="S114" s="11" t="inlineStr">
        <is>
          <t>Hirschs 47th Anniversary Sale Feb-Mar 2026</t>
        </is>
      </c>
    </row>
    <row r="115">
      <c r="A115" s="3" t="inlineStr">
        <is>
          <t>S64TR</t>
        </is>
      </c>
      <c r="B115" s="4" t="inlineStr"/>
      <c r="C115" s="4" t="inlineStr"/>
      <c r="D115" s="4" t="inlineStr"/>
      <c r="E115" s="3" t="inlineStr">
        <is>
          <t>LG LG S64TR Sound Bar 5.1ch 600W</t>
        </is>
      </c>
      <c r="F115" s="4" t="inlineStr">
        <is>
          <t>LG</t>
        </is>
      </c>
      <c r="G115" s="4" t="inlineStr"/>
      <c r="H115" s="4" t="inlineStr"/>
      <c r="I115" s="5" t="n">
        <v>5499</v>
      </c>
      <c r="J115" s="6" t="n">
        <v>15</v>
      </c>
      <c r="K115" s="7">
        <f>IF(I115="","",I115*(1+J115/100))</f>
        <v/>
      </c>
      <c r="L115" s="8" t="inlineStr"/>
      <c r="M115" s="9">
        <f>IF(OR(L115="",K115="",L115=0),"",
  (L115-K115)/L115*100)</f>
        <v/>
      </c>
      <c r="N115" s="10" t="inlineStr"/>
      <c r="O115" s="4" t="inlineStr"/>
      <c r="P115" s="4" t="inlineStr"/>
      <c r="Q115" s="4" t="inlineStr"/>
      <c r="R115" s="4" t="inlineStr">
        <is>
          <t>2026-03-12</t>
        </is>
      </c>
      <c r="S115" s="4" t="inlineStr">
        <is>
          <t>Hirschs 47th Anniversary Sale Feb-Mar 2026</t>
        </is>
      </c>
    </row>
    <row r="116">
      <c r="A116" s="11" t="inlineStr">
        <is>
          <t>XBOOM301</t>
        </is>
      </c>
      <c r="B116" s="11" t="inlineStr"/>
      <c r="C116" s="11" t="inlineStr"/>
      <c r="D116" s="11" t="inlineStr"/>
      <c r="E116" s="11" t="inlineStr">
        <is>
          <t>LG LG xboom Stage 301</t>
        </is>
      </c>
      <c r="F116" s="11" t="inlineStr">
        <is>
          <t>LG</t>
        </is>
      </c>
      <c r="G116" s="11" t="inlineStr"/>
      <c r="H116" s="11" t="inlineStr"/>
      <c r="I116" s="12" t="n">
        <v>4999</v>
      </c>
      <c r="J116" s="6" t="n">
        <v>15</v>
      </c>
      <c r="K116" s="7">
        <f>IF(I116="","",I116*(1+J116/100))</f>
        <v/>
      </c>
      <c r="L116" s="8" t="inlineStr"/>
      <c r="M116" s="9">
        <f>IF(OR(L116="",K116="",L116=0),"",
  (L116-K116)/L116*100)</f>
        <v/>
      </c>
      <c r="N116" s="10" t="inlineStr"/>
      <c r="O116" s="11" t="inlineStr"/>
      <c r="P116" s="11" t="inlineStr"/>
      <c r="Q116" s="11" t="inlineStr"/>
      <c r="R116" s="11" t="inlineStr">
        <is>
          <t>2026-03-12</t>
        </is>
      </c>
      <c r="S116" s="11" t="inlineStr">
        <is>
          <t>Hirschs 47th Anniversary Sale Feb-Mar 2026</t>
        </is>
      </c>
    </row>
    <row r="117">
      <c r="A117" s="3" t="inlineStr">
        <is>
          <t>XBOOMBOUNCE</t>
        </is>
      </c>
      <c r="B117" s="4" t="inlineStr"/>
      <c r="C117" s="4" t="inlineStr"/>
      <c r="D117" s="4" t="inlineStr"/>
      <c r="E117" s="3" t="inlineStr">
        <is>
          <t>LG LG xboom Bounce</t>
        </is>
      </c>
      <c r="F117" s="4" t="inlineStr">
        <is>
          <t>LG</t>
        </is>
      </c>
      <c r="G117" s="4" t="inlineStr"/>
      <c r="H117" s="4" t="inlineStr"/>
      <c r="I117" s="5" t="n">
        <v>2999</v>
      </c>
      <c r="J117" s="6" t="n">
        <v>15</v>
      </c>
      <c r="K117" s="7">
        <f>IF(I117="","",I117*(1+J117/100))</f>
        <v/>
      </c>
      <c r="L117" s="8" t="inlineStr"/>
      <c r="M117" s="9">
        <f>IF(OR(L117="",K117="",L117=0),"",
  (L117-K117)/L117*100)</f>
        <v/>
      </c>
      <c r="N117" s="10" t="inlineStr"/>
      <c r="O117" s="4" t="inlineStr"/>
      <c r="P117" s="4" t="inlineStr"/>
      <c r="Q117" s="4" t="inlineStr"/>
      <c r="R117" s="4" t="inlineStr">
        <is>
          <t>2026-03-12</t>
        </is>
      </c>
      <c r="S117" s="4" t="inlineStr">
        <is>
          <t>Hirschs 47th Anniversary Sale Feb-Mar 2026</t>
        </is>
      </c>
    </row>
    <row r="118">
      <c r="A118" s="11" t="inlineStr">
        <is>
          <t>XBOOMGRAB</t>
        </is>
      </c>
      <c r="B118" s="11" t="inlineStr"/>
      <c r="C118" s="11" t="inlineStr"/>
      <c r="D118" s="11" t="inlineStr"/>
      <c r="E118" s="11" t="inlineStr">
        <is>
          <t>LG LG xboom Grab</t>
        </is>
      </c>
      <c r="F118" s="11" t="inlineStr">
        <is>
          <t>LG</t>
        </is>
      </c>
      <c r="G118" s="11" t="inlineStr"/>
      <c r="H118" s="11" t="inlineStr"/>
      <c r="I118" s="12" t="n">
        <v>1999</v>
      </c>
      <c r="J118" s="6" t="n">
        <v>15</v>
      </c>
      <c r="K118" s="7">
        <f>IF(I118="","",I118*(1+J118/100))</f>
        <v/>
      </c>
      <c r="L118" s="8" t="inlineStr"/>
      <c r="M118" s="9">
        <f>IF(OR(L118="",K118="",L118=0),"",
  (L118-K118)/L118*100)</f>
        <v/>
      </c>
      <c r="N118" s="10" t="inlineStr"/>
      <c r="O118" s="11" t="inlineStr"/>
      <c r="P118" s="11" t="inlineStr"/>
      <c r="Q118" s="11" t="inlineStr"/>
      <c r="R118" s="11" t="inlineStr">
        <is>
          <t>2026-03-12</t>
        </is>
      </c>
      <c r="S118" s="11" t="inlineStr">
        <is>
          <t>Hirschs 47th Anniversary Sale Feb-Mar 2026</t>
        </is>
      </c>
    </row>
    <row r="119">
      <c r="A119" s="3" t="inlineStr">
        <is>
          <t>PT1</t>
        </is>
      </c>
      <c r="B119" s="4" t="inlineStr"/>
      <c r="C119" s="4" t="inlineStr"/>
      <c r="D119" s="4" t="inlineStr"/>
      <c r="E119" s="3" t="inlineStr">
        <is>
          <t>Hisense PT1 4K Laser Projector</t>
        </is>
      </c>
      <c r="F119" s="4" t="inlineStr">
        <is>
          <t>Hisense</t>
        </is>
      </c>
      <c r="G119" s="4" t="inlineStr"/>
      <c r="H119" s="4" t="inlineStr"/>
      <c r="I119" s="5" t="n">
        <v>27999</v>
      </c>
      <c r="J119" s="6" t="n">
        <v>15</v>
      </c>
      <c r="K119" s="7">
        <f>IF(I119="","",I119*(1+J119/100))</f>
        <v/>
      </c>
      <c r="L119" s="8" t="inlineStr"/>
      <c r="M119" s="9">
        <f>IF(OR(L119="",K119="",L119=0),"",
  (L119-K119)/L119*100)</f>
        <v/>
      </c>
      <c r="N119" s="10" t="inlineStr"/>
      <c r="O119" s="4" t="inlineStr"/>
      <c r="P119" s="4" t="inlineStr"/>
      <c r="Q119" s="4" t="inlineStr"/>
      <c r="R119" s="4" t="inlineStr">
        <is>
          <t>2026-03-12</t>
        </is>
      </c>
      <c r="S119" s="4" t="inlineStr">
        <is>
          <t>Hirschs 47th Anniversary Sale Feb-Mar 2026</t>
        </is>
      </c>
    </row>
    <row r="120">
      <c r="A120" s="11" t="inlineStr">
        <is>
          <t>PX3-PRO</t>
        </is>
      </c>
      <c r="B120" s="11" t="inlineStr"/>
      <c r="C120" s="11" t="inlineStr"/>
      <c r="D120" s="11" t="inlineStr"/>
      <c r="E120" s="11" t="inlineStr">
        <is>
          <t>Hisense PX3-PRO 4K Laser Projector</t>
        </is>
      </c>
      <c r="F120" s="11" t="inlineStr">
        <is>
          <t>Hisense</t>
        </is>
      </c>
      <c r="G120" s="11" t="inlineStr"/>
      <c r="H120" s="11" t="inlineStr"/>
      <c r="I120" s="12" t="n">
        <v>44999</v>
      </c>
      <c r="J120" s="6" t="n">
        <v>15</v>
      </c>
      <c r="K120" s="7">
        <f>IF(I120="","",I120*(1+J120/100))</f>
        <v/>
      </c>
      <c r="L120" s="8" t="inlineStr"/>
      <c r="M120" s="9">
        <f>IF(OR(L120="",K120="",L120=0),"",
  (L120-K120)/L120*100)</f>
        <v/>
      </c>
      <c r="N120" s="10" t="inlineStr"/>
      <c r="O120" s="11" t="inlineStr"/>
      <c r="P120" s="11" t="inlineStr"/>
      <c r="Q120" s="11" t="inlineStr"/>
      <c r="R120" s="11" t="inlineStr">
        <is>
          <t>2026-03-12</t>
        </is>
      </c>
      <c r="S120" s="11" t="inlineStr">
        <is>
          <t>Hirschs 47th Anniversary Sale Feb-Mar 2026</t>
        </is>
      </c>
    </row>
    <row r="121">
      <c r="A121" s="3" t="inlineStr">
        <is>
          <t>C2-ULTRA</t>
        </is>
      </c>
      <c r="B121" s="4" t="inlineStr"/>
      <c r="C121" s="4" t="inlineStr"/>
      <c r="D121" s="4" t="inlineStr"/>
      <c r="E121" s="3" t="inlineStr">
        <is>
          <t>Hisense C2-ULTRA Laser TV</t>
        </is>
      </c>
      <c r="F121" s="4" t="inlineStr">
        <is>
          <t>Hisense</t>
        </is>
      </c>
      <c r="G121" s="4" t="inlineStr"/>
      <c r="H121" s="4" t="inlineStr"/>
      <c r="I121" s="5" t="n">
        <v>44999</v>
      </c>
      <c r="J121" s="6" t="n">
        <v>15</v>
      </c>
      <c r="K121" s="7">
        <f>IF(I121="","",I121*(1+J121/100))</f>
        <v/>
      </c>
      <c r="L121" s="8" t="inlineStr"/>
      <c r="M121" s="9">
        <f>IF(OR(L121="",K121="",L121=0),"",
  (L121-K121)/L121*100)</f>
        <v/>
      </c>
      <c r="N121" s="10" t="inlineStr"/>
      <c r="O121" s="4" t="inlineStr"/>
      <c r="P121" s="4" t="inlineStr"/>
      <c r="Q121" s="4" t="inlineStr"/>
      <c r="R121" s="4" t="inlineStr">
        <is>
          <t>2026-03-12</t>
        </is>
      </c>
      <c r="S121" s="4" t="inlineStr">
        <is>
          <t>Hirschs 47th Anniversary Sale Feb-Mar 2026</t>
        </is>
      </c>
    </row>
    <row r="122">
      <c r="A122" s="11" t="inlineStr">
        <is>
          <t>M2-PRO</t>
        </is>
      </c>
      <c r="B122" s="11" t="inlineStr"/>
      <c r="C122" s="11" t="inlineStr"/>
      <c r="D122" s="11" t="inlineStr"/>
      <c r="E122" s="11" t="inlineStr">
        <is>
          <t>Hisense M2-PRO Projector</t>
        </is>
      </c>
      <c r="F122" s="11" t="inlineStr">
        <is>
          <t>Hisense</t>
        </is>
      </c>
      <c r="G122" s="11" t="inlineStr"/>
      <c r="H122" s="11" t="inlineStr"/>
      <c r="I122" s="12" t="n">
        <v>18999</v>
      </c>
      <c r="J122" s="6" t="n">
        <v>15</v>
      </c>
      <c r="K122" s="7">
        <f>IF(I122="","",I122*(1+J122/100))</f>
        <v/>
      </c>
      <c r="L122" s="8" t="inlineStr"/>
      <c r="M122" s="9">
        <f>IF(OR(L122="",K122="",L122=0),"",
  (L122-K122)/L122*100)</f>
        <v/>
      </c>
      <c r="N122" s="10" t="inlineStr"/>
      <c r="O122" s="11" t="inlineStr"/>
      <c r="P122" s="11" t="inlineStr"/>
      <c r="Q122" s="11" t="inlineStr"/>
      <c r="R122" s="11" t="inlineStr">
        <is>
          <t>2026-03-12</t>
        </is>
      </c>
      <c r="S122" s="11" t="inlineStr">
        <is>
          <t>Hirschs 47th Anniversary Sale Feb-Mar 2026</t>
        </is>
      </c>
    </row>
    <row r="123">
      <c r="A123" s="3" t="inlineStr">
        <is>
          <t>HT SATURN</t>
        </is>
      </c>
      <c r="B123" s="4" t="inlineStr"/>
      <c r="C123" s="4" t="inlineStr"/>
      <c r="D123" s="4" t="inlineStr"/>
      <c r="E123" s="3" t="inlineStr">
        <is>
          <t>Hisense HT SATURN 220W 4.2Ch Soundbar</t>
        </is>
      </c>
      <c r="F123" s="4" t="inlineStr">
        <is>
          <t>Hisense</t>
        </is>
      </c>
      <c r="G123" s="4" t="inlineStr"/>
      <c r="H123" s="4" t="inlineStr"/>
      <c r="I123" s="5" t="n">
        <v>9999</v>
      </c>
      <c r="J123" s="6" t="n">
        <v>15</v>
      </c>
      <c r="K123" s="7">
        <f>IF(I123="","",I123*(1+J123/100))</f>
        <v/>
      </c>
      <c r="L123" s="8" t="inlineStr"/>
      <c r="M123" s="9">
        <f>IF(OR(L123="",K123="",L123=0),"",
  (L123-K123)/L123*100)</f>
        <v/>
      </c>
      <c r="N123" s="10" t="inlineStr"/>
      <c r="O123" s="4" t="inlineStr"/>
      <c r="P123" s="4" t="inlineStr"/>
      <c r="Q123" s="4" t="inlineStr"/>
      <c r="R123" s="4" t="inlineStr">
        <is>
          <t>2026-03-12</t>
        </is>
      </c>
      <c r="S123" s="4" t="inlineStr">
        <is>
          <t>Hirschs 47th Anniversary Sale Feb-Mar 2026</t>
        </is>
      </c>
    </row>
    <row r="124">
      <c r="A124" s="11" t="inlineStr">
        <is>
          <t>AX5140Q</t>
        </is>
      </c>
      <c r="B124" s="11" t="inlineStr"/>
      <c r="C124" s="11" t="inlineStr"/>
      <c r="D124" s="11" t="inlineStr"/>
      <c r="E124" s="11" t="inlineStr">
        <is>
          <t>Hisense AX5140Q Soundbar</t>
        </is>
      </c>
      <c r="F124" s="11" t="inlineStr">
        <is>
          <t>Hisense</t>
        </is>
      </c>
      <c r="G124" s="11" t="inlineStr"/>
      <c r="H124" s="11" t="inlineStr"/>
      <c r="I124" s="12" t="n">
        <v>5999</v>
      </c>
      <c r="J124" s="6" t="n">
        <v>15</v>
      </c>
      <c r="K124" s="7">
        <f>IF(I124="","",I124*(1+J124/100))</f>
        <v/>
      </c>
      <c r="L124" s="8" t="inlineStr"/>
      <c r="M124" s="9">
        <f>IF(OR(L124="",K124="",L124=0),"",
  (L124-K124)/L124*100)</f>
        <v/>
      </c>
      <c r="N124" s="10" t="inlineStr"/>
      <c r="O124" s="11" t="inlineStr"/>
      <c r="P124" s="11" t="inlineStr"/>
      <c r="Q124" s="11" t="inlineStr"/>
      <c r="R124" s="11" t="inlineStr">
        <is>
          <t>2026-03-12</t>
        </is>
      </c>
      <c r="S124" s="11" t="inlineStr">
        <is>
          <t>Hirschs 47th Anniversary Sale Feb-Mar 2026</t>
        </is>
      </c>
    </row>
    <row r="125">
      <c r="A125" s="3" t="inlineStr">
        <is>
          <t>AX5100Q</t>
        </is>
      </c>
      <c r="B125" s="4" t="inlineStr"/>
      <c r="C125" s="4" t="inlineStr"/>
      <c r="D125" s="4" t="inlineStr"/>
      <c r="E125" s="3" t="inlineStr">
        <is>
          <t>Hisense AX5100Q Soundbar</t>
        </is>
      </c>
      <c r="F125" s="4" t="inlineStr">
        <is>
          <t>Hisense</t>
        </is>
      </c>
      <c r="G125" s="4" t="inlineStr"/>
      <c r="H125" s="4" t="inlineStr"/>
      <c r="I125" s="5" t="n">
        <v>3499</v>
      </c>
      <c r="J125" s="6" t="n">
        <v>15</v>
      </c>
      <c r="K125" s="7">
        <f>IF(I125="","",I125*(1+J125/100))</f>
        <v/>
      </c>
      <c r="L125" s="8" t="inlineStr"/>
      <c r="M125" s="9">
        <f>IF(OR(L125="",K125="",L125=0),"",
  (L125-K125)/L125*100)</f>
        <v/>
      </c>
      <c r="N125" s="10" t="inlineStr"/>
      <c r="O125" s="4" t="inlineStr"/>
      <c r="P125" s="4" t="inlineStr"/>
      <c r="Q125" s="4" t="inlineStr"/>
      <c r="R125" s="4" t="inlineStr">
        <is>
          <t>2026-03-12</t>
        </is>
      </c>
      <c r="S125" s="4" t="inlineStr">
        <is>
          <t>Hirschs 47th Anniversary Sale Feb-Mar 2026</t>
        </is>
      </c>
    </row>
    <row r="126">
      <c r="A126" s="11" t="inlineStr">
        <is>
          <t>HS5100</t>
        </is>
      </c>
      <c r="B126" s="11" t="inlineStr"/>
      <c r="C126" s="11" t="inlineStr"/>
      <c r="D126" s="11" t="inlineStr"/>
      <c r="E126" s="11" t="inlineStr">
        <is>
          <t>Hisense HS5100 Soundbar</t>
        </is>
      </c>
      <c r="F126" s="11" t="inlineStr">
        <is>
          <t>Hisense</t>
        </is>
      </c>
      <c r="G126" s="11" t="inlineStr"/>
      <c r="H126" s="11" t="inlineStr"/>
      <c r="I126" s="12" t="n">
        <v>2499</v>
      </c>
      <c r="J126" s="6" t="n">
        <v>15</v>
      </c>
      <c r="K126" s="7">
        <f>IF(I126="","",I126*(1+J126/100))</f>
        <v/>
      </c>
      <c r="L126" s="8" t="inlineStr"/>
      <c r="M126" s="9">
        <f>IF(OR(L126="",K126="",L126=0),"",
  (L126-K126)/L126*100)</f>
        <v/>
      </c>
      <c r="N126" s="10" t="inlineStr"/>
      <c r="O126" s="11" t="inlineStr"/>
      <c r="P126" s="11" t="inlineStr"/>
      <c r="Q126" s="11" t="inlineStr"/>
      <c r="R126" s="11" t="inlineStr">
        <is>
          <t>2026-03-12</t>
        </is>
      </c>
      <c r="S126" s="11" t="inlineStr">
        <is>
          <t>Hirschs 47th Anniversary Sale Feb-Mar 2026</t>
        </is>
      </c>
    </row>
    <row r="127">
      <c r="A127" s="3" t="inlineStr">
        <is>
          <t>HS3100</t>
        </is>
      </c>
      <c r="B127" s="4" t="inlineStr"/>
      <c r="C127" s="4" t="inlineStr"/>
      <c r="D127" s="4" t="inlineStr"/>
      <c r="E127" s="3" t="inlineStr">
        <is>
          <t>Hisense HS3100 Soundbar</t>
        </is>
      </c>
      <c r="F127" s="4" t="inlineStr">
        <is>
          <t>Hisense</t>
        </is>
      </c>
      <c r="G127" s="4" t="inlineStr"/>
      <c r="H127" s="4" t="inlineStr"/>
      <c r="I127" s="5" t="n">
        <v>1999</v>
      </c>
      <c r="J127" s="6" t="n">
        <v>15</v>
      </c>
      <c r="K127" s="7">
        <f>IF(I127="","",I127*(1+J127/100))</f>
        <v/>
      </c>
      <c r="L127" s="8" t="inlineStr"/>
      <c r="M127" s="9">
        <f>IF(OR(L127="",K127="",L127=0),"",
  (L127-K127)/L127*100)</f>
        <v/>
      </c>
      <c r="N127" s="10" t="inlineStr"/>
      <c r="O127" s="4" t="inlineStr"/>
      <c r="P127" s="4" t="inlineStr"/>
      <c r="Q127" s="4" t="inlineStr"/>
      <c r="R127" s="4" t="inlineStr">
        <is>
          <t>2026-03-12</t>
        </is>
      </c>
      <c r="S127" s="4" t="inlineStr">
        <is>
          <t>Hirschs 47th Anniversary Sale Feb-Mar 2026</t>
        </is>
      </c>
    </row>
    <row r="128">
      <c r="A128" s="11" t="inlineStr">
        <is>
          <t>HS1800</t>
        </is>
      </c>
      <c r="B128" s="11" t="inlineStr"/>
      <c r="C128" s="11" t="inlineStr"/>
      <c r="D128" s="11" t="inlineStr"/>
      <c r="E128" s="11" t="inlineStr">
        <is>
          <t>Hisense HS1800 Soundbar</t>
        </is>
      </c>
      <c r="F128" s="11" t="inlineStr">
        <is>
          <t>Hisense</t>
        </is>
      </c>
      <c r="G128" s="11" t="inlineStr"/>
      <c r="H128" s="11" t="inlineStr"/>
      <c r="I128" s="12" t="n">
        <v>1399</v>
      </c>
      <c r="J128" s="6" t="n">
        <v>15</v>
      </c>
      <c r="K128" s="7">
        <f>IF(I128="","",I128*(1+J128/100))</f>
        <v/>
      </c>
      <c r="L128" s="8" t="inlineStr"/>
      <c r="M128" s="9">
        <f>IF(OR(L128="",K128="",L128=0),"",
  (L128-K128)/L128*100)</f>
        <v/>
      </c>
      <c r="N128" s="10" t="inlineStr"/>
      <c r="O128" s="11" t="inlineStr"/>
      <c r="P128" s="11" t="inlineStr"/>
      <c r="Q128" s="11" t="inlineStr"/>
      <c r="R128" s="11" t="inlineStr">
        <is>
          <t>2026-03-12</t>
        </is>
      </c>
      <c r="S128" s="11" t="inlineStr">
        <is>
          <t>Hirschs 47th Anniversary Sale Feb-Mar 2026</t>
        </is>
      </c>
    </row>
    <row r="129">
      <c r="A129" s="3" t="inlineStr">
        <is>
          <t>PARTY ROCKER ONE</t>
        </is>
      </c>
      <c r="B129" s="4" t="inlineStr"/>
      <c r="C129" s="4" t="inlineStr"/>
      <c r="D129" s="4" t="inlineStr"/>
      <c r="E129" s="3" t="inlineStr">
        <is>
          <t>Hisense Party Rocker One</t>
        </is>
      </c>
      <c r="F129" s="4" t="inlineStr">
        <is>
          <t>Hisense</t>
        </is>
      </c>
      <c r="G129" s="4" t="inlineStr"/>
      <c r="H129" s="4" t="inlineStr"/>
      <c r="I129" s="5" t="n">
        <v>2999</v>
      </c>
      <c r="J129" s="6" t="n">
        <v>15</v>
      </c>
      <c r="K129" s="7">
        <f>IF(I129="","",I129*(1+J129/100))</f>
        <v/>
      </c>
      <c r="L129" s="8" t="inlineStr"/>
      <c r="M129" s="9">
        <f>IF(OR(L129="",K129="",L129=0),"",
  (L129-K129)/L129*100)</f>
        <v/>
      </c>
      <c r="N129" s="10" t="inlineStr"/>
      <c r="O129" s="4" t="inlineStr"/>
      <c r="P129" s="4" t="inlineStr"/>
      <c r="Q129" s="4" t="inlineStr"/>
      <c r="R129" s="4" t="inlineStr">
        <is>
          <t>2026-03-12</t>
        </is>
      </c>
      <c r="S129" s="4" t="inlineStr">
        <is>
          <t>Hirschs 47th Anniversary Sale Feb-Mar 2026</t>
        </is>
      </c>
    </row>
    <row r="130">
      <c r="A130" s="11" t="inlineStr">
        <is>
          <t>PARTY THUNDER</t>
        </is>
      </c>
      <c r="B130" s="11" t="inlineStr"/>
      <c r="C130" s="11" t="inlineStr"/>
      <c r="D130" s="11" t="inlineStr"/>
      <c r="E130" s="11" t="inlineStr">
        <is>
          <t>Hisense Party Thunder</t>
        </is>
      </c>
      <c r="F130" s="11" t="inlineStr">
        <is>
          <t>Hisense</t>
        </is>
      </c>
      <c r="G130" s="11" t="inlineStr"/>
      <c r="H130" s="11" t="inlineStr"/>
      <c r="I130" s="12" t="n">
        <v>6999</v>
      </c>
      <c r="J130" s="6" t="n">
        <v>15</v>
      </c>
      <c r="K130" s="7">
        <f>IF(I130="","",I130*(1+J130/100))</f>
        <v/>
      </c>
      <c r="L130" s="8" t="inlineStr"/>
      <c r="M130" s="9">
        <f>IF(OR(L130="",K130="",L130=0),"",
  (L130-K130)/L130*100)</f>
        <v/>
      </c>
      <c r="N130" s="10" t="inlineStr"/>
      <c r="O130" s="11" t="inlineStr"/>
      <c r="P130" s="11" t="inlineStr"/>
      <c r="Q130" s="11" t="inlineStr"/>
      <c r="R130" s="11" t="inlineStr">
        <is>
          <t>2026-03-12</t>
        </is>
      </c>
      <c r="S130" s="11" t="inlineStr">
        <is>
          <t>Hirschs 47th Anniversary Sale Feb-Mar 2026</t>
        </is>
      </c>
    </row>
    <row r="131">
      <c r="A131" s="3" t="inlineStr">
        <is>
          <t>60229</t>
        </is>
      </c>
      <c r="B131" s="4" t="inlineStr"/>
      <c r="C131" s="4" t="inlineStr"/>
      <c r="D131" s="4" t="inlineStr"/>
      <c r="E131" s="3" t="inlineStr">
        <is>
          <t>Hisense 536L Multi Door Plumbed Refrigerator</t>
        </is>
      </c>
      <c r="F131" s="4" t="inlineStr">
        <is>
          <t>Hisense</t>
        </is>
      </c>
      <c r="G131" s="4" t="inlineStr"/>
      <c r="H131" s="4" t="inlineStr"/>
      <c r="I131" s="5" t="n">
        <v>49999</v>
      </c>
      <c r="J131" s="6" t="n">
        <v>15</v>
      </c>
      <c r="K131" s="7">
        <f>IF(I131="","",I131*(1+J131/100))</f>
        <v/>
      </c>
      <c r="L131" s="8" t="inlineStr"/>
      <c r="M131" s="9">
        <f>IF(OR(L131="",K131="",L131=0),"",
  (L131-K131)/L131*100)</f>
        <v/>
      </c>
      <c r="N131" s="10" t="inlineStr"/>
      <c r="O131" s="4" t="inlineStr"/>
      <c r="P131" s="4" t="inlineStr"/>
      <c r="Q131" s="4" t="inlineStr"/>
      <c r="R131" s="4" t="inlineStr">
        <is>
          <t>2026-03-12</t>
        </is>
      </c>
      <c r="S131" s="4" t="inlineStr">
        <is>
          <t>Hirschs 47th Anniversary Sale Feb-Mar 2026</t>
        </is>
      </c>
    </row>
    <row r="132">
      <c r="A132" s="11" t="inlineStr">
        <is>
          <t>81708</t>
        </is>
      </c>
      <c r="B132" s="11" t="inlineStr"/>
      <c r="C132" s="11" t="inlineStr"/>
      <c r="D132" s="11" t="inlineStr"/>
      <c r="E132" s="11" t="inlineStr">
        <is>
          <t>Hisense 575L French Door Refrigerator</t>
        </is>
      </c>
      <c r="F132" s="11" t="inlineStr">
        <is>
          <t>Hisense</t>
        </is>
      </c>
      <c r="G132" s="11" t="inlineStr"/>
      <c r="H132" s="11" t="inlineStr"/>
      <c r="I132" s="12" t="n">
        <v>19999</v>
      </c>
      <c r="J132" s="6" t="n">
        <v>15</v>
      </c>
      <c r="K132" s="7">
        <f>IF(I132="","",I132*(1+J132/100))</f>
        <v/>
      </c>
      <c r="L132" s="8" t="inlineStr"/>
      <c r="M132" s="9">
        <f>IF(OR(L132="",K132="",L132=0),"",
  (L132-K132)/L132*100)</f>
        <v/>
      </c>
      <c r="N132" s="10" t="inlineStr"/>
      <c r="O132" s="11" t="inlineStr"/>
      <c r="P132" s="11" t="inlineStr"/>
      <c r="Q132" s="11" t="inlineStr"/>
      <c r="R132" s="11" t="inlineStr">
        <is>
          <t>2026-03-12</t>
        </is>
      </c>
      <c r="S132" s="11" t="inlineStr">
        <is>
          <t>Hirschs 47th Anniversary Sale Feb-Mar 2026</t>
        </is>
      </c>
    </row>
    <row r="133">
      <c r="A133" s="3" t="inlineStr">
        <is>
          <t>86601</t>
        </is>
      </c>
      <c r="B133" s="4" t="inlineStr"/>
      <c r="C133" s="4" t="inlineStr"/>
      <c r="D133" s="4" t="inlineStr"/>
      <c r="E133" s="3" t="inlineStr">
        <is>
          <t>Hisense 500L Combi Bottom Freezer</t>
        </is>
      </c>
      <c r="F133" s="4" t="inlineStr">
        <is>
          <t>Hisense</t>
        </is>
      </c>
      <c r="G133" s="4" t="inlineStr"/>
      <c r="H133" s="4" t="inlineStr"/>
      <c r="I133" s="5" t="n">
        <v>12999</v>
      </c>
      <c r="J133" s="6" t="n">
        <v>15</v>
      </c>
      <c r="K133" s="7">
        <f>IF(I133="","",I133*(1+J133/100))</f>
        <v/>
      </c>
      <c r="L133" s="8" t="inlineStr"/>
      <c r="M133" s="9">
        <f>IF(OR(L133="",K133="",L133=0),"",
  (L133-K133)/L133*100)</f>
        <v/>
      </c>
      <c r="N133" s="10" t="inlineStr"/>
      <c r="O133" s="4" t="inlineStr"/>
      <c r="P133" s="4" t="inlineStr"/>
      <c r="Q133" s="4" t="inlineStr"/>
      <c r="R133" s="4" t="inlineStr">
        <is>
          <t>2026-03-12</t>
        </is>
      </c>
      <c r="S133" s="4" t="inlineStr">
        <is>
          <t>Hirschs 47th Anniversary Sale Feb-Mar 2026</t>
        </is>
      </c>
    </row>
    <row r="134">
      <c r="A134" s="11" t="inlineStr">
        <is>
          <t>H15DWB</t>
        </is>
      </c>
      <c r="B134" s="11" t="inlineStr"/>
      <c r="C134" s="11" t="inlineStr"/>
      <c r="D134" s="11" t="inlineStr"/>
      <c r="E134" s="11" t="inlineStr">
        <is>
          <t>Hisense 15 Plate Dishwasher</t>
        </is>
      </c>
      <c r="F134" s="11" t="inlineStr">
        <is>
          <t>Hisense</t>
        </is>
      </c>
      <c r="G134" s="11" t="inlineStr"/>
      <c r="H134" s="11" t="inlineStr"/>
      <c r="I134" s="12" t="n">
        <v>6499</v>
      </c>
      <c r="J134" s="6" t="n">
        <v>15</v>
      </c>
      <c r="K134" s="7">
        <f>IF(I134="","",I134*(1+J134/100))</f>
        <v/>
      </c>
      <c r="L134" s="8" t="inlineStr"/>
      <c r="M134" s="9">
        <f>IF(OR(L134="",K134="",L134=0),"",
  (L134-K134)/L134*100)</f>
        <v/>
      </c>
      <c r="N134" s="10" t="inlineStr"/>
      <c r="O134" s="11" t="inlineStr"/>
      <c r="P134" s="11" t="inlineStr"/>
      <c r="Q134" s="11" t="inlineStr"/>
      <c r="R134" s="11" t="inlineStr">
        <is>
          <t>2026-03-12</t>
        </is>
      </c>
      <c r="S134" s="11" t="inlineStr">
        <is>
          <t>Hirschs 47th Anniversary Sale Feb-Mar 2026</t>
        </is>
      </c>
    </row>
    <row r="135">
      <c r="A135" s="3" t="inlineStr">
        <is>
          <t>85460</t>
        </is>
      </c>
      <c r="B135" s="4" t="inlineStr"/>
      <c r="C135" s="4" t="inlineStr"/>
      <c r="D135" s="4" t="inlineStr"/>
      <c r="E135" s="3" t="inlineStr">
        <is>
          <t>Hisense 2 in 1 Washer(12kg) &amp; Dryer(8kg)</t>
        </is>
      </c>
      <c r="F135" s="4" t="inlineStr">
        <is>
          <t>Hisense</t>
        </is>
      </c>
      <c r="G135" s="4" t="inlineStr"/>
      <c r="H135" s="4" t="inlineStr"/>
      <c r="I135" s="5" t="n">
        <v>8499</v>
      </c>
      <c r="J135" s="6" t="n">
        <v>15</v>
      </c>
      <c r="K135" s="7">
        <f>IF(I135="","",I135*(1+J135/100))</f>
        <v/>
      </c>
      <c r="L135" s="8" t="inlineStr"/>
      <c r="M135" s="9">
        <f>IF(OR(L135="",K135="",L135=0),"",
  (L135-K135)/L135*100)</f>
        <v/>
      </c>
      <c r="N135" s="10" t="inlineStr"/>
      <c r="O135" s="4" t="inlineStr"/>
      <c r="P135" s="4" t="inlineStr"/>
      <c r="Q135" s="4" t="inlineStr"/>
      <c r="R135" s="4" t="inlineStr">
        <is>
          <t>2026-03-12</t>
        </is>
      </c>
      <c r="S135" s="4" t="inlineStr">
        <is>
          <t>Hirschs 47th Anniversary Sale Feb-Mar 2026</t>
        </is>
      </c>
    </row>
    <row r="136">
      <c r="A136" s="11" t="inlineStr">
        <is>
          <t>81459</t>
        </is>
      </c>
      <c r="B136" s="11" t="inlineStr"/>
      <c r="C136" s="11" t="inlineStr"/>
      <c r="D136" s="11" t="inlineStr"/>
      <c r="E136" s="11" t="inlineStr">
        <is>
          <t>Hisense 10KG Heat Pump Dryer</t>
        </is>
      </c>
      <c r="F136" s="11" t="inlineStr">
        <is>
          <t>Hisense</t>
        </is>
      </c>
      <c r="G136" s="11" t="inlineStr"/>
      <c r="H136" s="11" t="inlineStr"/>
      <c r="I136" s="12" t="n">
        <v>9999</v>
      </c>
      <c r="J136" s="6" t="n">
        <v>15</v>
      </c>
      <c r="K136" s="7">
        <f>IF(I136="","",I136*(1+J136/100))</f>
        <v/>
      </c>
      <c r="L136" s="8" t="inlineStr"/>
      <c r="M136" s="9">
        <f>IF(OR(L136="",K136="",L136=0),"",
  (L136-K136)/L136*100)</f>
        <v/>
      </c>
      <c r="N136" s="10" t="inlineStr"/>
      <c r="O136" s="11" t="inlineStr"/>
      <c r="P136" s="11" t="inlineStr"/>
      <c r="Q136" s="11" t="inlineStr"/>
      <c r="R136" s="11" t="inlineStr">
        <is>
          <t>2026-03-12</t>
        </is>
      </c>
      <c r="S136" s="11" t="inlineStr">
        <is>
          <t>Hirschs 47th Anniversary Sale Feb-Mar 2026</t>
        </is>
      </c>
    </row>
    <row r="137">
      <c r="A137" s="3" t="inlineStr">
        <is>
          <t>81456</t>
        </is>
      </c>
      <c r="B137" s="4" t="inlineStr"/>
      <c r="C137" s="4" t="inlineStr"/>
      <c r="D137" s="4" t="inlineStr"/>
      <c r="E137" s="3" t="inlineStr">
        <is>
          <t>Hisense 12KG Front Loader Washing Machine</t>
        </is>
      </c>
      <c r="F137" s="4" t="inlineStr">
        <is>
          <t>Hisense</t>
        </is>
      </c>
      <c r="G137" s="4" t="inlineStr"/>
      <c r="H137" s="4" t="inlineStr"/>
      <c r="I137" s="5" t="n">
        <v>8999</v>
      </c>
      <c r="J137" s="6" t="n">
        <v>15</v>
      </c>
      <c r="K137" s="7">
        <f>IF(I137="","",I137*(1+J137/100))</f>
        <v/>
      </c>
      <c r="L137" s="8" t="inlineStr"/>
      <c r="M137" s="9">
        <f>IF(OR(L137="",K137="",L137=0),"",
  (L137-K137)/L137*100)</f>
        <v/>
      </c>
      <c r="N137" s="10" t="inlineStr"/>
      <c r="O137" s="4" t="inlineStr"/>
      <c r="P137" s="4" t="inlineStr"/>
      <c r="Q137" s="4" t="inlineStr"/>
      <c r="R137" s="4" t="inlineStr">
        <is>
          <t>2026-03-12</t>
        </is>
      </c>
      <c r="S137" s="4" t="inlineStr">
        <is>
          <t>Hirschs 47th Anniversary Sale Feb-Mar 2026</t>
        </is>
      </c>
    </row>
    <row r="138">
      <c r="A138" s="11" t="inlineStr">
        <is>
          <t>HVH602BK</t>
        </is>
      </c>
      <c r="B138" s="11" t="inlineStr"/>
      <c r="C138" s="11" t="inlineStr"/>
      <c r="D138" s="11" t="inlineStr"/>
      <c r="E138" s="11" t="inlineStr">
        <is>
          <t>Hisense Decorative Cooker Hood</t>
        </is>
      </c>
      <c r="F138" s="11" t="inlineStr">
        <is>
          <t>Hisense</t>
        </is>
      </c>
      <c r="G138" s="11" t="inlineStr"/>
      <c r="H138" s="11" t="inlineStr"/>
      <c r="I138" s="12" t="n">
        <v>2999</v>
      </c>
      <c r="J138" s="6" t="n">
        <v>15</v>
      </c>
      <c r="K138" s="7">
        <f>IF(I138="","",I138*(1+J138/100))</f>
        <v/>
      </c>
      <c r="L138" s="8" t="inlineStr"/>
      <c r="M138" s="9">
        <f>IF(OR(L138="",K138="",L138=0),"",
  (L138-K138)/L138*100)</f>
        <v/>
      </c>
      <c r="N138" s="10" t="inlineStr"/>
      <c r="O138" s="11" t="inlineStr"/>
      <c r="P138" s="11" t="inlineStr"/>
      <c r="Q138" s="11" t="inlineStr"/>
      <c r="R138" s="11" t="inlineStr">
        <is>
          <t>2026-03-12</t>
        </is>
      </c>
      <c r="S138" s="11" t="inlineStr">
        <is>
          <t>Hirschs 47th Anniversary Sale Feb-Mar 2026</t>
        </is>
      </c>
    </row>
    <row r="139">
      <c r="A139" s="13" t="inlineStr"/>
      <c r="B139" s="4" t="inlineStr"/>
      <c r="C139" s="4" t="inlineStr"/>
      <c r="D139" s="4" t="inlineStr"/>
      <c r="E139" s="3" t="inlineStr">
        <is>
          <t>Hisense 60CM Electric Oven</t>
        </is>
      </c>
      <c r="F139" s="4" t="inlineStr">
        <is>
          <t>Hisense</t>
        </is>
      </c>
      <c r="G139" s="4" t="inlineStr"/>
      <c r="H139" s="4" t="inlineStr"/>
      <c r="I139" s="5" t="n">
        <v>6999</v>
      </c>
      <c r="J139" s="6" t="n">
        <v>15</v>
      </c>
      <c r="K139" s="7">
        <f>IF(I139="","",I139*(1+J139/100))</f>
        <v/>
      </c>
      <c r="L139" s="8" t="inlineStr"/>
      <c r="M139" s="9">
        <f>IF(OR(L139="",K139="",L139=0),"",
  (L139-K139)/L139*100)</f>
        <v/>
      </c>
      <c r="N139" s="10" t="inlineStr"/>
      <c r="O139" s="4" t="inlineStr"/>
      <c r="P139" s="4" t="inlineStr"/>
      <c r="Q139" s="4" t="inlineStr"/>
      <c r="R139" s="4" t="inlineStr">
        <is>
          <t>2026-03-12</t>
        </is>
      </c>
      <c r="S139" s="4" t="inlineStr">
        <is>
          <t>Hirschs 47th Anniversary Sale Feb-Mar 2026</t>
        </is>
      </c>
    </row>
    <row r="140">
      <c r="A140" s="13" t="inlineStr"/>
      <c r="B140" s="11" t="inlineStr"/>
      <c r="C140" s="11" t="inlineStr"/>
      <c r="D140" s="11" t="inlineStr"/>
      <c r="E140" s="11" t="inlineStr">
        <is>
          <t>Hisense 60CM Hob</t>
        </is>
      </c>
      <c r="F140" s="11" t="inlineStr">
        <is>
          <t>Hisense</t>
        </is>
      </c>
      <c r="G140" s="11" t="inlineStr"/>
      <c r="H140" s="11" t="inlineStr"/>
      <c r="I140" s="12" t="n">
        <v>2499</v>
      </c>
      <c r="J140" s="6" t="n">
        <v>15</v>
      </c>
      <c r="K140" s="7">
        <f>IF(I140="","",I140*(1+J140/100))</f>
        <v/>
      </c>
      <c r="L140" s="8" t="inlineStr"/>
      <c r="M140" s="9">
        <f>IF(OR(L140="",K140="",L140=0),"",
  (L140-K140)/L140*100)</f>
        <v/>
      </c>
      <c r="N140" s="10" t="inlineStr"/>
      <c r="O140" s="11" t="inlineStr"/>
      <c r="P140" s="11" t="inlineStr"/>
      <c r="Q140" s="11" t="inlineStr"/>
      <c r="R140" s="11" t="inlineStr">
        <is>
          <t>2026-03-12</t>
        </is>
      </c>
      <c r="S140" s="11" t="inlineStr">
        <is>
          <t>Hirschs 47th Anniversary Sale Feb-Mar 2026</t>
        </is>
      </c>
    </row>
    <row r="141">
      <c r="A141" s="3" t="inlineStr">
        <is>
          <t>H450BMB-WD</t>
        </is>
      </c>
      <c r="B141" s="4" t="inlineStr"/>
      <c r="C141" s="4" t="inlineStr"/>
      <c r="D141" s="4" t="inlineStr"/>
      <c r="E141" s="3" t="inlineStr">
        <is>
          <t>Hisense 347L Combi Fridge Water Dispenser Black Glass</t>
        </is>
      </c>
      <c r="F141" s="4" t="inlineStr">
        <is>
          <t>Hisense</t>
        </is>
      </c>
      <c r="G141" s="4" t="inlineStr"/>
      <c r="H141" s="4" t="inlineStr"/>
      <c r="I141" s="5" t="n">
        <v>6999</v>
      </c>
      <c r="J141" s="6" t="n">
        <v>15</v>
      </c>
      <c r="K141" s="7">
        <f>IF(I141="","",I141*(1+J141/100))</f>
        <v/>
      </c>
      <c r="L141" s="8" t="inlineStr"/>
      <c r="M141" s="9">
        <f>IF(OR(L141="",K141="",L141=0),"",
  (L141-K141)/L141*100)</f>
        <v/>
      </c>
      <c r="N141" s="10" t="inlineStr"/>
      <c r="O141" s="4" t="inlineStr"/>
      <c r="P141" s="4" t="inlineStr"/>
      <c r="Q141" s="4" t="inlineStr"/>
      <c r="R141" s="4" t="inlineStr">
        <is>
          <t>2026-03-12</t>
        </is>
      </c>
      <c r="S141" s="4" t="inlineStr">
        <is>
          <t>Hirschs 47th Anniversary Sale Feb-Mar 2026</t>
        </is>
      </c>
    </row>
    <row r="142">
      <c r="A142" s="11" t="inlineStr">
        <is>
          <t>85464</t>
        </is>
      </c>
      <c r="B142" s="11" t="inlineStr"/>
      <c r="C142" s="11" t="inlineStr"/>
      <c r="D142" s="11" t="inlineStr"/>
      <c r="E142" s="11" t="inlineStr">
        <is>
          <t>Hisense 14KG Top Loader Washing Machine</t>
        </is>
      </c>
      <c r="F142" s="11" t="inlineStr">
        <is>
          <t>Hisense</t>
        </is>
      </c>
      <c r="G142" s="11" t="inlineStr"/>
      <c r="H142" s="11" t="inlineStr"/>
      <c r="I142" s="12" t="n">
        <v>5299</v>
      </c>
      <c r="J142" s="6" t="n">
        <v>15</v>
      </c>
      <c r="K142" s="7">
        <f>IF(I142="","",I142*(1+J142/100))</f>
        <v/>
      </c>
      <c r="L142" s="8" t="inlineStr"/>
      <c r="M142" s="9">
        <f>IF(OR(L142="",K142="",L142=0),"",
  (L142-K142)/L142*100)</f>
        <v/>
      </c>
      <c r="N142" s="10" t="inlineStr"/>
      <c r="O142" s="11" t="inlineStr"/>
      <c r="P142" s="11" t="inlineStr"/>
      <c r="Q142" s="11" t="inlineStr"/>
      <c r="R142" s="11" t="inlineStr">
        <is>
          <t>2026-03-12</t>
        </is>
      </c>
      <c r="S142" s="11" t="inlineStr">
        <is>
          <t>Hirschs 47th Anniversary Sale Feb-Mar 2026</t>
        </is>
      </c>
    </row>
    <row r="143">
      <c r="A143" s="3" t="inlineStr">
        <is>
          <t>WFQ9012VMT</t>
        </is>
      </c>
      <c r="B143" s="4" t="inlineStr"/>
      <c r="C143" s="4" t="inlineStr"/>
      <c r="D143" s="4" t="inlineStr"/>
      <c r="E143" s="3" t="inlineStr">
        <is>
          <t>Hisense 9KG Front Loader Washing Machine</t>
        </is>
      </c>
      <c r="F143" s="4" t="inlineStr">
        <is>
          <t>Hisense</t>
        </is>
      </c>
      <c r="G143" s="4" t="inlineStr"/>
      <c r="H143" s="4" t="inlineStr"/>
      <c r="I143" s="5" t="n">
        <v>6299</v>
      </c>
      <c r="J143" s="6" t="n">
        <v>15</v>
      </c>
      <c r="K143" s="7">
        <f>IF(I143="","",I143*(1+J143/100))</f>
        <v/>
      </c>
      <c r="L143" s="8" t="inlineStr"/>
      <c r="M143" s="9">
        <f>IF(OR(L143="",K143="",L143=0),"",
  (L143-K143)/L143*100)</f>
        <v/>
      </c>
      <c r="N143" s="10" t="inlineStr"/>
      <c r="O143" s="4" t="inlineStr"/>
      <c r="P143" s="4" t="inlineStr"/>
      <c r="Q143" s="4" t="inlineStr"/>
      <c r="R143" s="4" t="inlineStr">
        <is>
          <t>2026-03-12</t>
        </is>
      </c>
      <c r="S143" s="4" t="inlineStr">
        <is>
          <t>Hirschs 47th Anniversary Sale Feb-Mar 2026</t>
        </is>
      </c>
    </row>
    <row r="144">
      <c r="A144" s="11" t="inlineStr">
        <is>
          <t>H13DX</t>
        </is>
      </c>
      <c r="B144" s="11" t="inlineStr"/>
      <c r="C144" s="11" t="inlineStr"/>
      <c r="D144" s="11" t="inlineStr"/>
      <c r="E144" s="11" t="inlineStr">
        <is>
          <t>Hisense 13 Plate Dishwasher</t>
        </is>
      </c>
      <c r="F144" s="11" t="inlineStr">
        <is>
          <t>Hisense</t>
        </is>
      </c>
      <c r="G144" s="11" t="inlineStr"/>
      <c r="H144" s="11" t="inlineStr"/>
      <c r="I144" s="12" t="n">
        <v>5299</v>
      </c>
      <c r="J144" s="6" t="n">
        <v>15</v>
      </c>
      <c r="K144" s="7">
        <f>IF(I144="","",I144*(1+J144/100))</f>
        <v/>
      </c>
      <c r="L144" s="8" t="inlineStr"/>
      <c r="M144" s="9">
        <f>IF(OR(L144="",K144="",L144=0),"",
  (L144-K144)/L144*100)</f>
        <v/>
      </c>
      <c r="N144" s="10" t="inlineStr"/>
      <c r="O144" s="11" t="inlineStr"/>
      <c r="P144" s="11" t="inlineStr"/>
      <c r="Q144" s="11" t="inlineStr"/>
      <c r="R144" s="11" t="inlineStr">
        <is>
          <t>2026-03-12</t>
        </is>
      </c>
      <c r="S144" s="11" t="inlineStr">
        <is>
          <t>Hirschs 47th Anniversary Sale Feb-Mar 2026</t>
        </is>
      </c>
    </row>
    <row r="145">
      <c r="A145" s="3" t="inlineStr">
        <is>
          <t>H15DK13</t>
        </is>
      </c>
      <c r="B145" s="4" t="inlineStr"/>
      <c r="C145" s="4" t="inlineStr"/>
      <c r="D145" s="4" t="inlineStr"/>
      <c r="E145" s="3" t="inlineStr">
        <is>
          <t>Hisense 15 Plate Dishwasher</t>
        </is>
      </c>
      <c r="F145" s="4" t="inlineStr">
        <is>
          <t>Hisense</t>
        </is>
      </c>
      <c r="G145" s="4" t="inlineStr"/>
      <c r="H145" s="4" t="inlineStr"/>
      <c r="I145" s="5" t="n">
        <v>5999</v>
      </c>
      <c r="J145" s="6" t="n">
        <v>15</v>
      </c>
      <c r="K145" s="7">
        <f>IF(I145="","",I145*(1+J145/100))</f>
        <v/>
      </c>
      <c r="L145" s="8" t="inlineStr"/>
      <c r="M145" s="9">
        <f>IF(OR(L145="",K145="",L145=0),"",
  (L145-K145)/L145*100)</f>
        <v/>
      </c>
      <c r="N145" s="10" t="inlineStr"/>
      <c r="O145" s="4" t="inlineStr"/>
      <c r="P145" s="4" t="inlineStr"/>
      <c r="Q145" s="4" t="inlineStr"/>
      <c r="R145" s="4" t="inlineStr">
        <is>
          <t>2026-03-12</t>
        </is>
      </c>
      <c r="S145" s="4" t="inlineStr">
        <is>
          <t>Hirschs 47th Anniversary Sale Feb-Mar 2026</t>
        </is>
      </c>
    </row>
    <row r="146">
      <c r="A146" s="11" t="inlineStr">
        <is>
          <t>H45MO65SXV</t>
        </is>
      </c>
      <c r="B146" s="11" t="inlineStr"/>
      <c r="C146" s="11" t="inlineStr"/>
      <c r="D146" s="11" t="inlineStr"/>
      <c r="E146" s="11" t="inlineStr">
        <is>
          <t>Hisense 45L Microwave Invertor</t>
        </is>
      </c>
      <c r="F146" s="11" t="inlineStr">
        <is>
          <t>Hisense</t>
        </is>
      </c>
      <c r="G146" s="11" t="inlineStr"/>
      <c r="H146" s="11" t="inlineStr"/>
      <c r="I146" s="12" t="n">
        <v>1999</v>
      </c>
      <c r="J146" s="6" t="n">
        <v>15</v>
      </c>
      <c r="K146" s="7">
        <f>IF(I146="","",I146*(1+J146/100))</f>
        <v/>
      </c>
      <c r="L146" s="8" t="inlineStr"/>
      <c r="M146" s="9">
        <f>IF(OR(L146="",K146="",L146=0),"",
  (L146-K146)/L146*100)</f>
        <v/>
      </c>
      <c r="N146" s="10" t="inlineStr"/>
      <c r="O146" s="11" t="inlineStr"/>
      <c r="P146" s="11" t="inlineStr"/>
      <c r="Q146" s="11" t="inlineStr"/>
      <c r="R146" s="11" t="inlineStr">
        <is>
          <t>2026-03-12</t>
        </is>
      </c>
      <c r="S146" s="11" t="inlineStr">
        <is>
          <t>Hirschs 47th Anniversary Sale Feb-Mar 2026</t>
        </is>
      </c>
    </row>
    <row r="147">
      <c r="A147" s="3" t="inlineStr">
        <is>
          <t>H28MOEIS17</t>
        </is>
      </c>
      <c r="B147" s="4" t="inlineStr"/>
      <c r="C147" s="4" t="inlineStr"/>
      <c r="D147" s="4" t="inlineStr"/>
      <c r="E147" s="3" t="inlineStr">
        <is>
          <t>Hisense 28L Microwave</t>
        </is>
      </c>
      <c r="F147" s="4" t="inlineStr">
        <is>
          <t>Hisense</t>
        </is>
      </c>
      <c r="G147" s="4" t="inlineStr"/>
      <c r="H147" s="4" t="inlineStr"/>
      <c r="I147" s="5" t="n">
        <v>1199</v>
      </c>
      <c r="J147" s="6" t="n">
        <v>15</v>
      </c>
      <c r="K147" s="7">
        <f>IF(I147="","",I147*(1+J147/100))</f>
        <v/>
      </c>
      <c r="L147" s="8" t="inlineStr"/>
      <c r="M147" s="9">
        <f>IF(OR(L147="",K147="",L147=0),"",
  (L147-K147)/L147*100)</f>
        <v/>
      </c>
      <c r="N147" s="10" t="inlineStr"/>
      <c r="O147" s="4" t="inlineStr"/>
      <c r="P147" s="4" t="inlineStr"/>
      <c r="Q147" s="4" t="inlineStr"/>
      <c r="R147" s="4" t="inlineStr">
        <is>
          <t>2026-03-12</t>
        </is>
      </c>
      <c r="S147" s="4" t="inlineStr">
        <is>
          <t>Hirschs 47th Anniversary Sale Feb-Mar 2026</t>
        </is>
      </c>
    </row>
    <row r="148">
      <c r="A148" s="11" t="inlineStr">
        <is>
          <t>HBO60202</t>
        </is>
      </c>
      <c r="B148" s="11" t="inlineStr"/>
      <c r="C148" s="11" t="inlineStr"/>
      <c r="D148" s="11" t="inlineStr"/>
      <c r="E148" s="11" t="inlineStr">
        <is>
          <t>Hisense 60CM Stainless Steel Electric Oven</t>
        </is>
      </c>
      <c r="F148" s="11" t="inlineStr">
        <is>
          <t>Hisense</t>
        </is>
      </c>
      <c r="G148" s="11" t="inlineStr"/>
      <c r="H148" s="11" t="inlineStr"/>
      <c r="I148" s="12" t="n">
        <v>3299</v>
      </c>
      <c r="J148" s="6" t="n">
        <v>15</v>
      </c>
      <c r="K148" s="7">
        <f>IF(I148="","",I148*(1+J148/100))</f>
        <v/>
      </c>
      <c r="L148" s="8" t="inlineStr"/>
      <c r="M148" s="9">
        <f>IF(OR(L148="",K148="",L148=0),"",
  (L148-K148)/L148*100)</f>
        <v/>
      </c>
      <c r="N148" s="10" t="inlineStr"/>
      <c r="O148" s="11" t="inlineStr"/>
      <c r="P148" s="11" t="inlineStr"/>
      <c r="Q148" s="11" t="inlineStr"/>
      <c r="R148" s="11" t="inlineStr">
        <is>
          <t>2026-03-12</t>
        </is>
      </c>
      <c r="S148" s="11" t="inlineStr">
        <is>
          <t>Hirschs 47th Anniversary Sale Feb-Mar 2026</t>
        </is>
      </c>
    </row>
    <row r="149">
      <c r="A149" s="3" t="inlineStr">
        <is>
          <t>HHO60PASS</t>
        </is>
      </c>
      <c r="B149" s="4" t="inlineStr"/>
      <c r="C149" s="4" t="inlineStr"/>
      <c r="D149" s="4" t="inlineStr"/>
      <c r="E149" s="3" t="inlineStr">
        <is>
          <t>Hisense 60CM Extractor</t>
        </is>
      </c>
      <c r="F149" s="4" t="inlineStr">
        <is>
          <t>Hisense</t>
        </is>
      </c>
      <c r="G149" s="4" t="inlineStr"/>
      <c r="H149" s="4" t="inlineStr"/>
      <c r="I149" s="5" t="n">
        <v>1199</v>
      </c>
      <c r="J149" s="6" t="n">
        <v>15</v>
      </c>
      <c r="K149" s="7">
        <f>IF(I149="","",I149*(1+J149/100))</f>
        <v/>
      </c>
      <c r="L149" s="8" t="inlineStr"/>
      <c r="M149" s="9">
        <f>IF(OR(L149="",K149="",L149=0),"",
  (L149-K149)/L149*100)</f>
        <v/>
      </c>
      <c r="N149" s="10" t="inlineStr"/>
      <c r="O149" s="4" t="inlineStr"/>
      <c r="P149" s="4" t="inlineStr"/>
      <c r="Q149" s="4" t="inlineStr"/>
      <c r="R149" s="4" t="inlineStr">
        <is>
          <t>2026-03-12</t>
        </is>
      </c>
      <c r="S149" s="4" t="inlineStr">
        <is>
          <t>Hirschs 47th Anniversary Sale Feb-Mar 2026</t>
        </is>
      </c>
    </row>
    <row r="150">
      <c r="A150" s="11" t="inlineStr">
        <is>
          <t>H4LKOGAGR</t>
        </is>
      </c>
      <c r="B150" s="11" t="inlineStr"/>
      <c r="C150" s="11" t="inlineStr"/>
      <c r="D150" s="11" t="inlineStr"/>
      <c r="E150" s="11" t="inlineStr">
        <is>
          <t>Hisense 60CM 4 Burner Gas Hob</t>
        </is>
      </c>
      <c r="F150" s="11" t="inlineStr">
        <is>
          <t>Hisense</t>
        </is>
      </c>
      <c r="G150" s="11" t="inlineStr"/>
      <c r="H150" s="11" t="inlineStr"/>
      <c r="I150" s="12" t="n">
        <v>2499</v>
      </c>
      <c r="J150" s="6" t="n">
        <v>15</v>
      </c>
      <c r="K150" s="7">
        <f>IF(I150="","",I150*(1+J150/100))</f>
        <v/>
      </c>
      <c r="L150" s="8" t="inlineStr"/>
      <c r="M150" s="9">
        <f>IF(OR(L150="",K150="",L150=0),"",
  (L150-K150)/L150*100)</f>
        <v/>
      </c>
      <c r="N150" s="10" t="inlineStr"/>
      <c r="O150" s="11" t="inlineStr"/>
      <c r="P150" s="11" t="inlineStr"/>
      <c r="Q150" s="11" t="inlineStr"/>
      <c r="R150" s="11" t="inlineStr">
        <is>
          <t>2026-03-12</t>
        </is>
      </c>
      <c r="S150" s="11" t="inlineStr">
        <is>
          <t>Hirschs 47th Anniversary Sale Feb-Mar 2026</t>
        </is>
      </c>
    </row>
    <row r="151">
      <c r="A151" s="3" t="inlineStr">
        <is>
          <t>87996</t>
        </is>
      </c>
      <c r="B151" s="4" t="inlineStr"/>
      <c r="C151" s="4" t="inlineStr"/>
      <c r="D151" s="4" t="inlineStr"/>
      <c r="E151" s="3" t="inlineStr">
        <is>
          <t>Hisense 12L Dual Basket Air Fryer</t>
        </is>
      </c>
      <c r="F151" s="4" t="inlineStr">
        <is>
          <t>Hisense</t>
        </is>
      </c>
      <c r="G151" s="4" t="inlineStr"/>
      <c r="H151" s="4" t="inlineStr"/>
      <c r="I151" s="5" t="n">
        <v>1599</v>
      </c>
      <c r="J151" s="6" t="n">
        <v>15</v>
      </c>
      <c r="K151" s="7">
        <f>IF(I151="","",I151*(1+J151/100))</f>
        <v/>
      </c>
      <c r="L151" s="8" t="inlineStr"/>
      <c r="M151" s="9">
        <f>IF(OR(L151="",K151="",L151=0),"",
  (L151-K151)/L151*100)</f>
        <v/>
      </c>
      <c r="N151" s="10" t="inlineStr"/>
      <c r="O151" s="4" t="inlineStr"/>
      <c r="P151" s="4" t="inlineStr"/>
      <c r="Q151" s="4" t="inlineStr"/>
      <c r="R151" s="4" t="inlineStr">
        <is>
          <t>2026-03-12</t>
        </is>
      </c>
      <c r="S151" s="4" t="inlineStr">
        <is>
          <t>Hirschs 47th Anniversary Sale Feb-Mar 2026</t>
        </is>
      </c>
    </row>
    <row r="152">
      <c r="A152" s="11" t="inlineStr">
        <is>
          <t>77438</t>
        </is>
      </c>
      <c r="B152" s="11" t="inlineStr"/>
      <c r="C152" s="11" t="inlineStr"/>
      <c r="D152" s="11" t="inlineStr"/>
      <c r="E152" s="11" t="inlineStr">
        <is>
          <t>Hisense 298L Combi Refrigerator</t>
        </is>
      </c>
      <c r="F152" s="11" t="inlineStr">
        <is>
          <t>Hisense</t>
        </is>
      </c>
      <c r="G152" s="11" t="inlineStr"/>
      <c r="H152" s="11" t="inlineStr"/>
      <c r="I152" s="12" t="n">
        <v>7999</v>
      </c>
      <c r="J152" s="6" t="n">
        <v>15</v>
      </c>
      <c r="K152" s="7">
        <f>IF(I152="","",I152*(1+J152/100))</f>
        <v/>
      </c>
      <c r="L152" s="8" t="inlineStr"/>
      <c r="M152" s="9">
        <f>IF(OR(L152="",K152="",L152=0),"",
  (L152-K152)/L152*100)</f>
        <v/>
      </c>
      <c r="N152" s="10" t="inlineStr"/>
      <c r="O152" s="11" t="inlineStr"/>
      <c r="P152" s="11" t="inlineStr"/>
      <c r="Q152" s="11" t="inlineStr"/>
      <c r="R152" s="11" t="inlineStr">
        <is>
          <t>2026-03-12</t>
        </is>
      </c>
      <c r="S152" s="11" t="inlineStr">
        <is>
          <t>Hirschs 47th Anniversary Sale Feb-Mar 2026</t>
        </is>
      </c>
    </row>
    <row r="153">
      <c r="A153" s="3" t="inlineStr">
        <is>
          <t>87994</t>
        </is>
      </c>
      <c r="B153" s="4" t="inlineStr"/>
      <c r="C153" s="4" t="inlineStr"/>
      <c r="D153" s="4" t="inlineStr"/>
      <c r="E153" s="3" t="inlineStr">
        <is>
          <t>Hisense 8L Air Fryer</t>
        </is>
      </c>
      <c r="F153" s="4" t="inlineStr">
        <is>
          <t>Hisense</t>
        </is>
      </c>
      <c r="G153" s="4" t="inlineStr"/>
      <c r="H153" s="4" t="inlineStr"/>
      <c r="I153" s="5" t="n">
        <v>1299</v>
      </c>
      <c r="J153" s="6" t="n">
        <v>15</v>
      </c>
      <c r="K153" s="7">
        <f>IF(I153="","",I153*(1+J153/100))</f>
        <v/>
      </c>
      <c r="L153" s="8" t="inlineStr"/>
      <c r="M153" s="9">
        <f>IF(OR(L153="",K153="",L153=0),"",
  (L153-K153)/L153*100)</f>
        <v/>
      </c>
      <c r="N153" s="10" t="inlineStr"/>
      <c r="O153" s="4" t="inlineStr"/>
      <c r="P153" s="4" t="inlineStr"/>
      <c r="Q153" s="4" t="inlineStr"/>
      <c r="R153" s="4" t="inlineStr">
        <is>
          <t>2026-03-12</t>
        </is>
      </c>
      <c r="S153" s="4" t="inlineStr">
        <is>
          <t>Hirschs 47th Anniversary Sale Feb-Mar 2026</t>
        </is>
      </c>
    </row>
    <row r="154">
      <c r="A154" s="11" t="inlineStr">
        <is>
          <t>SOP6604TPNR</t>
        </is>
      </c>
      <c r="B154" s="11" t="inlineStr"/>
      <c r="C154" s="11" t="inlineStr"/>
      <c r="D154" s="11" t="inlineStr"/>
      <c r="E154" s="11" t="inlineStr">
        <is>
          <t>Smeg 60" Pyrolytic Oven</t>
        </is>
      </c>
      <c r="F154" s="11" t="inlineStr">
        <is>
          <t>Smeg</t>
        </is>
      </c>
      <c r="G154" s="11" t="inlineStr"/>
      <c r="H154" s="11" t="inlineStr"/>
      <c r="I154" s="12" t="n">
        <v>49999</v>
      </c>
      <c r="J154" s="6" t="n">
        <v>15</v>
      </c>
      <c r="K154" s="7">
        <f>IF(I154="","",I154*(1+J154/100))</f>
        <v/>
      </c>
      <c r="L154" s="8" t="inlineStr"/>
      <c r="M154" s="9">
        <f>IF(OR(L154="",K154="",L154=0),"",
  (L154-K154)/L154*100)</f>
        <v/>
      </c>
      <c r="N154" s="10" t="inlineStr"/>
      <c r="O154" s="11" t="inlineStr"/>
      <c r="P154" s="11" t="inlineStr"/>
      <c r="Q154" s="11" t="inlineStr"/>
      <c r="R154" s="11" t="inlineStr">
        <is>
          <t>2026-03-12</t>
        </is>
      </c>
      <c r="S154" s="11" t="inlineStr">
        <is>
          <t>Hirschs 47th Anniversary Sale Feb-Mar 2026</t>
        </is>
      </c>
    </row>
    <row r="155">
      <c r="A155" s="3" t="inlineStr">
        <is>
          <t>SO4804M2PNR</t>
        </is>
      </c>
      <c r="B155" s="4" t="inlineStr"/>
      <c r="C155" s="4" t="inlineStr"/>
      <c r="D155" s="4" t="inlineStr"/>
      <c r="E155" s="3" t="inlineStr">
        <is>
          <t>Smeg 62" Compact Microwave Oven</t>
        </is>
      </c>
      <c r="F155" s="4" t="inlineStr">
        <is>
          <t>Smeg</t>
        </is>
      </c>
      <c r="G155" s="4" t="inlineStr"/>
      <c r="H155" s="4" t="inlineStr"/>
      <c r="I155" s="5" t="n">
        <v>52999</v>
      </c>
      <c r="J155" s="6" t="n">
        <v>15</v>
      </c>
      <c r="K155" s="7">
        <f>IF(I155="","",I155*(1+J155/100))</f>
        <v/>
      </c>
      <c r="L155" s="8" t="inlineStr"/>
      <c r="M155" s="9">
        <f>IF(OR(L155="",K155="",L155=0),"",
  (L155-K155)/L155*100)</f>
        <v/>
      </c>
      <c r="N155" s="10" t="inlineStr"/>
      <c r="O155" s="4" t="inlineStr"/>
      <c r="P155" s="4" t="inlineStr"/>
      <c r="Q155" s="4" t="inlineStr"/>
      <c r="R155" s="4" t="inlineStr">
        <is>
          <t>2026-03-12</t>
        </is>
      </c>
      <c r="S155" s="4" t="inlineStr">
        <is>
          <t>Hirschs 47th Anniversary Sale Feb-Mar 2026</t>
        </is>
      </c>
    </row>
    <row r="156">
      <c r="A156" s="11" t="inlineStr">
        <is>
          <t>SOE6107TB3</t>
        </is>
      </c>
      <c r="B156" s="11" t="inlineStr"/>
      <c r="C156" s="11" t="inlineStr"/>
      <c r="D156" s="11" t="inlineStr"/>
      <c r="E156" s="11" t="inlineStr">
        <is>
          <t>Smeg 60" Multifunction Oven</t>
        </is>
      </c>
      <c r="F156" s="11" t="inlineStr">
        <is>
          <t>Smeg</t>
        </is>
      </c>
      <c r="G156" s="11" t="inlineStr"/>
      <c r="H156" s="11" t="inlineStr"/>
      <c r="I156" s="12" t="n">
        <v>18999</v>
      </c>
      <c r="J156" s="6" t="n">
        <v>15</v>
      </c>
      <c r="K156" s="7">
        <f>IF(I156="","",I156*(1+J156/100))</f>
        <v/>
      </c>
      <c r="L156" s="8" t="inlineStr"/>
      <c r="M156" s="9">
        <f>IF(OR(L156="",K156="",L156=0),"",
  (L156-K156)/L156*100)</f>
        <v/>
      </c>
      <c r="N156" s="10" t="inlineStr"/>
      <c r="O156" s="11" t="inlineStr"/>
      <c r="P156" s="11" t="inlineStr"/>
      <c r="Q156" s="11" t="inlineStr"/>
      <c r="R156" s="11" t="inlineStr">
        <is>
          <t>2026-03-12</t>
        </is>
      </c>
      <c r="S156" s="11" t="inlineStr">
        <is>
          <t>Hirschs 47th Anniversary Sale Feb-Mar 2026</t>
        </is>
      </c>
    </row>
    <row r="157">
      <c r="A157" s="3" t="inlineStr">
        <is>
          <t>SF399X1SA</t>
        </is>
      </c>
      <c r="B157" s="4" t="inlineStr"/>
      <c r="C157" s="4" t="inlineStr"/>
      <c r="D157" s="4" t="inlineStr"/>
      <c r="E157" s="3" t="inlineStr">
        <is>
          <t>Smeg 90" Multifunction Oven</t>
        </is>
      </c>
      <c r="F157" s="4" t="inlineStr">
        <is>
          <t>Smeg</t>
        </is>
      </c>
      <c r="G157" s="4" t="inlineStr"/>
      <c r="H157" s="4" t="inlineStr"/>
      <c r="I157" s="5" t="n">
        <v>27999</v>
      </c>
      <c r="J157" s="6" t="n">
        <v>15</v>
      </c>
      <c r="K157" s="7">
        <f>IF(I157="","",I157*(1+J157/100))</f>
        <v/>
      </c>
      <c r="L157" s="8" t="inlineStr"/>
      <c r="M157" s="9">
        <f>IF(OR(L157="",K157="",L157=0),"",
  (L157-K157)/L157*100)</f>
        <v/>
      </c>
      <c r="N157" s="10" t="inlineStr"/>
      <c r="O157" s="4" t="inlineStr"/>
      <c r="P157" s="4" t="inlineStr"/>
      <c r="Q157" s="4" t="inlineStr"/>
      <c r="R157" s="4" t="inlineStr">
        <is>
          <t>2026-03-12</t>
        </is>
      </c>
      <c r="S157" s="4" t="inlineStr">
        <is>
          <t>Hirschs 47th Anniversary Sale Feb-Mar 2026</t>
        </is>
      </c>
    </row>
    <row r="158">
      <c r="A158" s="11" t="inlineStr">
        <is>
          <t>SFR93M3TVX</t>
        </is>
      </c>
      <c r="B158" s="11" t="inlineStr"/>
      <c r="C158" s="11" t="inlineStr"/>
      <c r="D158" s="11" t="inlineStr"/>
      <c r="E158" s="11" t="inlineStr">
        <is>
          <t>Smeg 90" Multifunction Oven</t>
        </is>
      </c>
      <c r="F158" s="11" t="inlineStr">
        <is>
          <t>Smeg</t>
        </is>
      </c>
      <c r="G158" s="11" t="inlineStr"/>
      <c r="H158" s="11" t="inlineStr"/>
      <c r="I158" s="12" t="n">
        <v>22999</v>
      </c>
      <c r="J158" s="6" t="n">
        <v>15</v>
      </c>
      <c r="K158" s="7">
        <f>IF(I158="","",I158*(1+J158/100))</f>
        <v/>
      </c>
      <c r="L158" s="8" t="inlineStr"/>
      <c r="M158" s="9">
        <f>IF(OR(L158="",K158="",L158=0),"",
  (L158-K158)/L158*100)</f>
        <v/>
      </c>
      <c r="N158" s="10" t="inlineStr"/>
      <c r="O158" s="11" t="inlineStr"/>
      <c r="P158" s="11" t="inlineStr"/>
      <c r="Q158" s="11" t="inlineStr"/>
      <c r="R158" s="11" t="inlineStr">
        <is>
          <t>2026-03-12</t>
        </is>
      </c>
      <c r="S158" s="11" t="inlineStr">
        <is>
          <t>Hirschs 47th Anniversary Sale Feb-Mar 2026</t>
        </is>
      </c>
    </row>
    <row r="159">
      <c r="A159" s="3" t="inlineStr">
        <is>
          <t>SOE302TX</t>
        </is>
      </c>
      <c r="B159" s="4" t="inlineStr"/>
      <c r="C159" s="4" t="inlineStr"/>
      <c r="D159" s="4" t="inlineStr"/>
      <c r="E159" s="3" t="inlineStr">
        <is>
          <t>Smeg 60" Multifunction Oven</t>
        </is>
      </c>
      <c r="F159" s="4" t="inlineStr">
        <is>
          <t>Smeg</t>
        </is>
      </c>
      <c r="G159" s="4" t="inlineStr"/>
      <c r="H159" s="4" t="inlineStr"/>
      <c r="I159" s="5" t="n">
        <v>15999</v>
      </c>
      <c r="J159" s="6" t="n">
        <v>15</v>
      </c>
      <c r="K159" s="7">
        <f>IF(I159="","",I159*(1+J159/100))</f>
        <v/>
      </c>
      <c r="L159" s="8" t="inlineStr"/>
      <c r="M159" s="9">
        <f>IF(OR(L159="",K159="",L159=0),"",
  (L159-K159)/L159*100)</f>
        <v/>
      </c>
      <c r="N159" s="10" t="inlineStr"/>
      <c r="O159" s="4" t="inlineStr"/>
      <c r="P159" s="4" t="inlineStr"/>
      <c r="Q159" s="4" t="inlineStr"/>
      <c r="R159" s="4" t="inlineStr">
        <is>
          <t>2026-03-12</t>
        </is>
      </c>
      <c r="S159" s="4" t="inlineStr">
        <is>
          <t>Hirschs 47th Anniversary Sale Feb-Mar 2026</t>
        </is>
      </c>
    </row>
    <row r="160">
      <c r="A160" s="11" t="inlineStr">
        <is>
          <t>SFK301TVX</t>
        </is>
      </c>
      <c r="B160" s="11" t="inlineStr"/>
      <c r="C160" s="11" t="inlineStr"/>
      <c r="D160" s="11" t="inlineStr"/>
      <c r="E160" s="11" t="inlineStr">
        <is>
          <t>Smeg 60" Multifunction Oven</t>
        </is>
      </c>
      <c r="F160" s="11" t="inlineStr">
        <is>
          <t>Smeg</t>
        </is>
      </c>
      <c r="G160" s="11" t="inlineStr"/>
      <c r="H160" s="11" t="inlineStr"/>
      <c r="I160" s="12" t="n">
        <v>11499</v>
      </c>
      <c r="J160" s="6" t="n">
        <v>15</v>
      </c>
      <c r="K160" s="7">
        <f>IF(I160="","",I160*(1+J160/100))</f>
        <v/>
      </c>
      <c r="L160" s="8" t="inlineStr"/>
      <c r="M160" s="9">
        <f>IF(OR(L160="",K160="",L160=0),"",
  (L160-K160)/L160*100)</f>
        <v/>
      </c>
      <c r="N160" s="10" t="inlineStr"/>
      <c r="O160" s="11" t="inlineStr"/>
      <c r="P160" s="11" t="inlineStr"/>
      <c r="Q160" s="11" t="inlineStr"/>
      <c r="R160" s="11" t="inlineStr">
        <is>
          <t>2026-03-12</t>
        </is>
      </c>
      <c r="S160" s="11" t="inlineStr">
        <is>
          <t>Hirschs 47th Anniversary Sale Feb-Mar 2026</t>
        </is>
      </c>
    </row>
    <row r="161">
      <c r="A161" s="3" t="inlineStr">
        <is>
          <t>SO4301M0X</t>
        </is>
      </c>
      <c r="B161" s="4" t="inlineStr"/>
      <c r="C161" s="4" t="inlineStr"/>
      <c r="D161" s="4" t="inlineStr"/>
      <c r="E161" s="3" t="inlineStr">
        <is>
          <t>Smeg 6X Compact Microwave Oven</t>
        </is>
      </c>
      <c r="F161" s="4" t="inlineStr">
        <is>
          <t>Smeg</t>
        </is>
      </c>
      <c r="G161" s="4" t="inlineStr"/>
      <c r="H161" s="4" t="inlineStr"/>
      <c r="I161" s="5" t="n">
        <v>24999</v>
      </c>
      <c r="J161" s="6" t="n">
        <v>15</v>
      </c>
      <c r="K161" s="7">
        <f>IF(I161="","",I161*(1+J161/100))</f>
        <v/>
      </c>
      <c r="L161" s="8" t="inlineStr"/>
      <c r="M161" s="9">
        <f>IF(OR(L161="",K161="",L161=0),"",
  (L161-K161)/L161*100)</f>
        <v/>
      </c>
      <c r="N161" s="10" t="inlineStr"/>
      <c r="O161" s="4" t="inlineStr"/>
      <c r="P161" s="4" t="inlineStr"/>
      <c r="Q161" s="4" t="inlineStr"/>
      <c r="R161" s="4" t="inlineStr">
        <is>
          <t>2026-03-12</t>
        </is>
      </c>
      <c r="S161" s="4" t="inlineStr">
        <is>
          <t>Hirschs 47th Anniversary Sale Feb-Mar 2026</t>
        </is>
      </c>
    </row>
    <row r="162">
      <c r="A162" s="11" t="inlineStr">
        <is>
          <t>FMI425X</t>
        </is>
      </c>
      <c r="B162" s="11" t="inlineStr"/>
      <c r="C162" s="11" t="inlineStr"/>
      <c r="D162" s="11" t="inlineStr"/>
      <c r="E162" s="11" t="inlineStr">
        <is>
          <t>Smeg 60" Microwave Oven with Grill</t>
        </is>
      </c>
      <c r="F162" s="11" t="inlineStr">
        <is>
          <t>Smeg</t>
        </is>
      </c>
      <c r="G162" s="11" t="inlineStr"/>
      <c r="H162" s="11" t="inlineStr"/>
      <c r="I162" s="12" t="n">
        <v>10999</v>
      </c>
      <c r="J162" s="6" t="n">
        <v>15</v>
      </c>
      <c r="K162" s="7">
        <f>IF(I162="","",I162*(1+J162/100))</f>
        <v/>
      </c>
      <c r="L162" s="8" t="inlineStr"/>
      <c r="M162" s="9">
        <f>IF(OR(L162="",K162="",L162=0),"",
  (L162-K162)/L162*100)</f>
        <v/>
      </c>
      <c r="N162" s="10" t="inlineStr"/>
      <c r="O162" s="11" t="inlineStr"/>
      <c r="P162" s="11" t="inlineStr"/>
      <c r="Q162" s="11" t="inlineStr"/>
      <c r="R162" s="11" t="inlineStr">
        <is>
          <t>2026-03-12</t>
        </is>
      </c>
      <c r="S162" s="11" t="inlineStr">
        <is>
          <t>Hirschs 47th Anniversary Sale Feb-Mar 2026</t>
        </is>
      </c>
    </row>
    <row r="163">
      <c r="A163" s="3" t="inlineStr">
        <is>
          <t>SRV596GH5SA</t>
        </is>
      </c>
      <c r="B163" s="4" t="inlineStr"/>
      <c r="C163" s="4" t="inlineStr"/>
      <c r="D163" s="4" t="inlineStr"/>
      <c r="E163" s="3" t="inlineStr">
        <is>
          <t>Smeg 90" Gas Hob</t>
        </is>
      </c>
      <c r="F163" s="4" t="inlineStr">
        <is>
          <t>Smeg</t>
        </is>
      </c>
      <c r="G163" s="4" t="inlineStr"/>
      <c r="H163" s="4" t="inlineStr"/>
      <c r="I163" s="5" t="n">
        <v>10999</v>
      </c>
      <c r="J163" s="6" t="n">
        <v>15</v>
      </c>
      <c r="K163" s="7">
        <f>IF(I163="","",I163*(1+J163/100))</f>
        <v/>
      </c>
      <c r="L163" s="8" t="inlineStr"/>
      <c r="M163" s="9">
        <f>IF(OR(L163="",K163="",L163=0),"",
  (L163-K163)/L163*100)</f>
        <v/>
      </c>
      <c r="N163" s="10" t="inlineStr"/>
      <c r="O163" s="4" t="inlineStr"/>
      <c r="P163" s="4" t="inlineStr"/>
      <c r="Q163" s="4" t="inlineStr"/>
      <c r="R163" s="4" t="inlineStr">
        <is>
          <t>2026-03-12</t>
        </is>
      </c>
      <c r="S163" s="4" t="inlineStr">
        <is>
          <t>Hirschs 47th Anniversary Sale Feb-Mar 2026</t>
        </is>
      </c>
    </row>
    <row r="164">
      <c r="A164" s="11" t="inlineStr">
        <is>
          <t>PV395LNSA2</t>
        </is>
      </c>
      <c r="B164" s="11" t="inlineStr"/>
      <c r="C164" s="11" t="inlineStr"/>
      <c r="D164" s="11" t="inlineStr"/>
      <c r="E164" s="11" t="inlineStr">
        <is>
          <t>Smeg 90" Gas-on-Glass Hob</t>
        </is>
      </c>
      <c r="F164" s="11" t="inlineStr">
        <is>
          <t>Smeg</t>
        </is>
      </c>
      <c r="G164" s="11" t="inlineStr"/>
      <c r="H164" s="11" t="inlineStr"/>
      <c r="I164" s="12" t="n">
        <v>16999</v>
      </c>
      <c r="J164" s="6" t="n">
        <v>15</v>
      </c>
      <c r="K164" s="7">
        <f>IF(I164="","",I164*(1+J164/100))</f>
        <v/>
      </c>
      <c r="L164" s="8" t="inlineStr"/>
      <c r="M164" s="9">
        <f>IF(OR(L164="",K164="",L164=0),"",
  (L164-K164)/L164*100)</f>
        <v/>
      </c>
      <c r="N164" s="10" t="inlineStr"/>
      <c r="O164" s="11" t="inlineStr"/>
      <c r="P164" s="11" t="inlineStr"/>
      <c r="Q164" s="11" t="inlineStr"/>
      <c r="R164" s="11" t="inlineStr">
        <is>
          <t>2026-03-12</t>
        </is>
      </c>
      <c r="S164" s="11" t="inlineStr">
        <is>
          <t>Hirschs 47th Anniversary Sale Feb-Mar 2026</t>
        </is>
      </c>
    </row>
    <row r="165">
      <c r="A165" s="3" t="inlineStr">
        <is>
          <t>PV364NSA2</t>
        </is>
      </c>
      <c r="B165" s="4" t="inlineStr"/>
      <c r="C165" s="4" t="inlineStr"/>
      <c r="D165" s="4" t="inlineStr"/>
      <c r="E165" s="3" t="inlineStr">
        <is>
          <t>Smeg 60" Gas-on-Glass Hob</t>
        </is>
      </c>
      <c r="F165" s="4" t="inlineStr">
        <is>
          <t>Smeg</t>
        </is>
      </c>
      <c r="G165" s="4" t="inlineStr"/>
      <c r="H165" s="4" t="inlineStr"/>
      <c r="I165" s="5" t="n">
        <v>9499</v>
      </c>
      <c r="J165" s="6" t="n">
        <v>15</v>
      </c>
      <c r="K165" s="7">
        <f>IF(I165="","",I165*(1+J165/100))</f>
        <v/>
      </c>
      <c r="L165" s="8" t="inlineStr"/>
      <c r="M165" s="9">
        <f>IF(OR(L165="",K165="",L165=0),"",
  (L165-K165)/L165*100)</f>
        <v/>
      </c>
      <c r="N165" s="10" t="inlineStr"/>
      <c r="O165" s="4" t="inlineStr"/>
      <c r="P165" s="4" t="inlineStr"/>
      <c r="Q165" s="4" t="inlineStr"/>
      <c r="R165" s="4" t="inlineStr">
        <is>
          <t>2026-03-12</t>
        </is>
      </c>
      <c r="S165" s="4" t="inlineStr">
        <is>
          <t>Hirschs 47th Anniversary Sale Feb-Mar 2026</t>
        </is>
      </c>
    </row>
    <row r="166">
      <c r="A166" s="11" t="inlineStr">
        <is>
          <t>SI2951D</t>
        </is>
      </c>
      <c r="B166" s="11" t="inlineStr"/>
      <c r="C166" s="11" t="inlineStr"/>
      <c r="D166" s="11" t="inlineStr"/>
      <c r="E166" s="11" t="inlineStr">
        <is>
          <t>Smeg 90" Induction Hob</t>
        </is>
      </c>
      <c r="F166" s="11" t="inlineStr">
        <is>
          <t>Smeg</t>
        </is>
      </c>
      <c r="G166" s="11" t="inlineStr"/>
      <c r="H166" s="11" t="inlineStr"/>
      <c r="I166" s="12" t="n">
        <v>18499</v>
      </c>
      <c r="J166" s="6" t="n">
        <v>15</v>
      </c>
      <c r="K166" s="7">
        <f>IF(I166="","",I166*(1+J166/100))</f>
        <v/>
      </c>
      <c r="L166" s="8" t="inlineStr"/>
      <c r="M166" s="9">
        <f>IF(OR(L166="",K166="",L166=0),"",
  (L166-K166)/L166*100)</f>
        <v/>
      </c>
      <c r="N166" s="10" t="inlineStr"/>
      <c r="O166" s="11" t="inlineStr"/>
      <c r="P166" s="11" t="inlineStr"/>
      <c r="Q166" s="11" t="inlineStr"/>
      <c r="R166" s="11" t="inlineStr">
        <is>
          <t>2026-03-12</t>
        </is>
      </c>
      <c r="S166" s="11" t="inlineStr">
        <is>
          <t>Hirschs 47th Anniversary Sale Feb-Mar 2026</t>
        </is>
      </c>
    </row>
    <row r="167">
      <c r="A167" s="3" t="inlineStr">
        <is>
          <t>SI2841D</t>
        </is>
      </c>
      <c r="B167" s="4" t="inlineStr"/>
      <c r="C167" s="4" t="inlineStr"/>
      <c r="D167" s="4" t="inlineStr"/>
      <c r="E167" s="3" t="inlineStr">
        <is>
          <t>Smeg 60" Induction Hob</t>
        </is>
      </c>
      <c r="F167" s="4" t="inlineStr">
        <is>
          <t>Smeg</t>
        </is>
      </c>
      <c r="G167" s="4" t="inlineStr"/>
      <c r="H167" s="4" t="inlineStr"/>
      <c r="I167" s="5" t="n">
        <v>9999</v>
      </c>
      <c r="J167" s="6" t="n">
        <v>15</v>
      </c>
      <c r="K167" s="7">
        <f>IF(I167="","",I167*(1+J167/100))</f>
        <v/>
      </c>
      <c r="L167" s="8" t="inlineStr"/>
      <c r="M167" s="9">
        <f>IF(OR(L167="",K167="",L167=0),"",
  (L167-K167)/L167*100)</f>
        <v/>
      </c>
      <c r="N167" s="10" t="inlineStr"/>
      <c r="O167" s="4" t="inlineStr"/>
      <c r="P167" s="4" t="inlineStr"/>
      <c r="Q167" s="4" t="inlineStr"/>
      <c r="R167" s="4" t="inlineStr">
        <is>
          <t>2026-03-12</t>
        </is>
      </c>
      <c r="S167" s="4" t="inlineStr">
        <is>
          <t>Hirschs 47th Anniversary Sale Feb-Mar 2026</t>
        </is>
      </c>
    </row>
    <row r="168">
      <c r="A168" s="11" t="inlineStr">
        <is>
          <t>SE496TD</t>
        </is>
      </c>
      <c r="B168" s="11" t="inlineStr"/>
      <c r="C168" s="11" t="inlineStr"/>
      <c r="D168" s="11" t="inlineStr"/>
      <c r="E168" s="11" t="inlineStr">
        <is>
          <t>Smeg 90" Gas Hob</t>
        </is>
      </c>
      <c r="F168" s="11" t="inlineStr">
        <is>
          <t>Smeg</t>
        </is>
      </c>
      <c r="G168" s="11" t="inlineStr"/>
      <c r="H168" s="11" t="inlineStr"/>
      <c r="I168" s="12" t="n">
        <v>13999</v>
      </c>
      <c r="J168" s="6" t="n">
        <v>15</v>
      </c>
      <c r="K168" s="7">
        <f>IF(I168="","",I168*(1+J168/100))</f>
        <v/>
      </c>
      <c r="L168" s="8" t="inlineStr"/>
      <c r="M168" s="9">
        <f>IF(OR(L168="",K168="",L168=0),"",
  (L168-K168)/L168*100)</f>
        <v/>
      </c>
      <c r="N168" s="10" t="inlineStr"/>
      <c r="O168" s="11" t="inlineStr"/>
      <c r="P168" s="11" t="inlineStr"/>
      <c r="Q168" s="11" t="inlineStr"/>
      <c r="R168" s="11" t="inlineStr">
        <is>
          <t>2026-03-12</t>
        </is>
      </c>
      <c r="S168" s="11" t="inlineStr">
        <is>
          <t>Hirschs 47th Anniversary Sale Feb-Mar 2026</t>
        </is>
      </c>
    </row>
    <row r="169">
      <c r="A169" s="3" t="inlineStr">
        <is>
          <t>KDD90CNE2</t>
        </is>
      </c>
      <c r="B169" s="4" t="inlineStr"/>
      <c r="C169" s="4" t="inlineStr"/>
      <c r="D169" s="4" t="inlineStr"/>
      <c r="E169" s="3" t="inlineStr">
        <is>
          <t>Smeg 90" Downdraft Extractor</t>
        </is>
      </c>
      <c r="F169" s="4" t="inlineStr">
        <is>
          <t>Smeg</t>
        </is>
      </c>
      <c r="G169" s="4" t="inlineStr"/>
      <c r="H169" s="4" t="inlineStr"/>
      <c r="I169" s="5" t="n">
        <v>37999</v>
      </c>
      <c r="J169" s="6" t="n">
        <v>15</v>
      </c>
      <c r="K169" s="7">
        <f>IF(I169="","",I169*(1+J169/100))</f>
        <v/>
      </c>
      <c r="L169" s="8" t="inlineStr"/>
      <c r="M169" s="9">
        <f>IF(OR(L169="",K169="",L169=0),"",
  (L169-K169)/L169*100)</f>
        <v/>
      </c>
      <c r="N169" s="10" t="inlineStr"/>
      <c r="O169" s="4" t="inlineStr"/>
      <c r="P169" s="4" t="inlineStr"/>
      <c r="Q169" s="4" t="inlineStr"/>
      <c r="R169" s="4" t="inlineStr">
        <is>
          <t>2026-03-12</t>
        </is>
      </c>
      <c r="S169" s="4" t="inlineStr">
        <is>
          <t>Hirschs 47th Anniversary Sale Feb-Mar 2026</t>
        </is>
      </c>
    </row>
    <row r="170">
      <c r="A170" s="11" t="inlineStr">
        <is>
          <t>KV394N</t>
        </is>
      </c>
      <c r="B170" s="11" t="inlineStr"/>
      <c r="C170" s="11" t="inlineStr"/>
      <c r="D170" s="11" t="inlineStr"/>
      <c r="E170" s="11" t="inlineStr">
        <is>
          <t>Smeg 90" Angled Extractor</t>
        </is>
      </c>
      <c r="F170" s="11" t="inlineStr">
        <is>
          <t>Smeg</t>
        </is>
      </c>
      <c r="G170" s="11" t="inlineStr"/>
      <c r="H170" s="11" t="inlineStr"/>
      <c r="I170" s="12" t="n">
        <v>14999</v>
      </c>
      <c r="J170" s="6" t="n">
        <v>15</v>
      </c>
      <c r="K170" s="7">
        <f>IF(I170="","",I170*(1+J170/100))</f>
        <v/>
      </c>
      <c r="L170" s="8" t="inlineStr"/>
      <c r="M170" s="9">
        <f>IF(OR(L170="",K170="",L170=0),"",
  (L170-K170)/L170*100)</f>
        <v/>
      </c>
      <c r="N170" s="10" t="inlineStr"/>
      <c r="O170" s="11" t="inlineStr"/>
      <c r="P170" s="11" t="inlineStr"/>
      <c r="Q170" s="11" t="inlineStr"/>
      <c r="R170" s="11" t="inlineStr">
        <is>
          <t>2026-03-12</t>
        </is>
      </c>
      <c r="S170" s="11" t="inlineStr">
        <is>
          <t>Hirschs 47th Anniversary Sale Feb-Mar 2026</t>
        </is>
      </c>
    </row>
    <row r="171">
      <c r="A171" s="3" t="inlineStr">
        <is>
          <t>KBT900V</t>
        </is>
      </c>
      <c r="B171" s="4" t="inlineStr"/>
      <c r="C171" s="4" t="inlineStr"/>
      <c r="D171" s="4" t="inlineStr"/>
      <c r="E171" s="3" t="inlineStr">
        <is>
          <t>Smeg Extractor</t>
        </is>
      </c>
      <c r="F171" s="4" t="inlineStr">
        <is>
          <t>Smeg</t>
        </is>
      </c>
      <c r="G171" s="4" t="inlineStr"/>
      <c r="H171" s="4" t="inlineStr"/>
      <c r="I171" s="5" t="n">
        <v>10999</v>
      </c>
      <c r="J171" s="6" t="n">
        <v>15</v>
      </c>
      <c r="K171" s="7">
        <f>IF(I171="","",I171*(1+J171/100))</f>
        <v/>
      </c>
      <c r="L171" s="8" t="inlineStr"/>
      <c r="M171" s="9">
        <f>IF(OR(L171="",K171="",L171=0),"",
  (L171-K171)/L171*100)</f>
        <v/>
      </c>
      <c r="N171" s="10" t="inlineStr"/>
      <c r="O171" s="4" t="inlineStr"/>
      <c r="P171" s="4" t="inlineStr"/>
      <c r="Q171" s="4" t="inlineStr"/>
      <c r="R171" s="4" t="inlineStr">
        <is>
          <t>2026-03-12</t>
        </is>
      </c>
      <c r="S171" s="4" t="inlineStr">
        <is>
          <t>Hirschs 47th Anniversary Sale Feb-Mar 2026</t>
        </is>
      </c>
    </row>
    <row r="172">
      <c r="A172" s="11" t="inlineStr">
        <is>
          <t>KAT600CEX</t>
        </is>
      </c>
      <c r="B172" s="11" t="inlineStr"/>
      <c r="C172" s="11" t="inlineStr"/>
      <c r="D172" s="11" t="inlineStr"/>
      <c r="E172" s="11" t="inlineStr">
        <is>
          <t>Smeg Wall-mounted Extractor</t>
        </is>
      </c>
      <c r="F172" s="11" t="inlineStr">
        <is>
          <t>Smeg</t>
        </is>
      </c>
      <c r="G172" s="11" t="inlineStr"/>
      <c r="H172" s="11" t="inlineStr"/>
      <c r="I172" s="12" t="n">
        <v>6499</v>
      </c>
      <c r="J172" s="6" t="n">
        <v>15</v>
      </c>
      <c r="K172" s="7">
        <f>IF(I172="","",I172*(1+J172/100))</f>
        <v/>
      </c>
      <c r="L172" s="8" t="inlineStr"/>
      <c r="M172" s="9">
        <f>IF(OR(L172="",K172="",L172=0),"",
  (L172-K172)/L172*100)</f>
        <v/>
      </c>
      <c r="N172" s="10" t="inlineStr"/>
      <c r="O172" s="11" t="inlineStr"/>
      <c r="P172" s="11" t="inlineStr"/>
      <c r="Q172" s="11" t="inlineStr"/>
      <c r="R172" s="11" t="inlineStr">
        <is>
          <t>2026-03-12</t>
        </is>
      </c>
      <c r="S172" s="11" t="inlineStr">
        <is>
          <t>Hirschs 47th Anniversary Sale Feb-Mar 2026</t>
        </is>
      </c>
    </row>
    <row r="173">
      <c r="A173" s="3" t="inlineStr">
        <is>
          <t>KDE900EX</t>
        </is>
      </c>
      <c r="B173" s="4" t="inlineStr"/>
      <c r="C173" s="4" t="inlineStr"/>
      <c r="D173" s="4" t="inlineStr"/>
      <c r="E173" s="3" t="inlineStr">
        <is>
          <t>Smeg Wall-mounted Extractor</t>
        </is>
      </c>
      <c r="F173" s="4" t="inlineStr">
        <is>
          <t>Smeg</t>
        </is>
      </c>
      <c r="G173" s="4" t="inlineStr"/>
      <c r="H173" s="4" t="inlineStr"/>
      <c r="I173" s="5" t="n">
        <v>3799</v>
      </c>
      <c r="J173" s="6" t="n">
        <v>15</v>
      </c>
      <c r="K173" s="7">
        <f>IF(I173="","",I173*(1+J173/100))</f>
        <v/>
      </c>
      <c r="L173" s="8" t="inlineStr"/>
      <c r="M173" s="9">
        <f>IF(OR(L173="",K173="",L173=0),"",
  (L173-K173)/L173*100)</f>
        <v/>
      </c>
      <c r="N173" s="10" t="inlineStr"/>
      <c r="O173" s="4" t="inlineStr"/>
      <c r="P173" s="4" t="inlineStr"/>
      <c r="Q173" s="4" t="inlineStr"/>
      <c r="R173" s="4" t="inlineStr">
        <is>
          <t>2026-03-12</t>
        </is>
      </c>
      <c r="S173" s="4" t="inlineStr">
        <is>
          <t>Hirschs 47th Anniversary Sale Feb-Mar 2026</t>
        </is>
      </c>
    </row>
    <row r="174">
      <c r="A174" s="11" t="inlineStr">
        <is>
          <t>C9MAB55A2</t>
        </is>
      </c>
      <c r="B174" s="11" t="inlineStr"/>
      <c r="C174" s="11" t="inlineStr"/>
      <c r="D174" s="11" t="inlineStr"/>
      <c r="E174" s="11" t="inlineStr">
        <is>
          <t>Smeg 90" Gas-Electric Cooker</t>
        </is>
      </c>
      <c r="F174" s="11" t="inlineStr">
        <is>
          <t>Smeg</t>
        </is>
      </c>
      <c r="G174" s="11" t="inlineStr"/>
      <c r="H174" s="11" t="inlineStr"/>
      <c r="I174" s="12" t="n">
        <v>29999</v>
      </c>
      <c r="J174" s="6" t="n">
        <v>15</v>
      </c>
      <c r="K174" s="7">
        <f>IF(I174="","",I174*(1+J174/100))</f>
        <v/>
      </c>
      <c r="L174" s="8" t="inlineStr"/>
      <c r="M174" s="9">
        <f>IF(OR(L174="",K174="",L174=0),"",
  (L174-K174)/L174*100)</f>
        <v/>
      </c>
      <c r="N174" s="10" t="inlineStr"/>
      <c r="O174" s="11" t="inlineStr"/>
      <c r="P174" s="11" t="inlineStr"/>
      <c r="Q174" s="11" t="inlineStr"/>
      <c r="R174" s="11" t="inlineStr">
        <is>
          <t>2026-03-12</t>
        </is>
      </c>
      <c r="S174" s="11" t="inlineStr">
        <is>
          <t>Hirschs 47th Anniversary Sale Feb-Mar 2026</t>
        </is>
      </c>
    </row>
    <row r="175">
      <c r="A175" s="3" t="inlineStr">
        <is>
          <t>SSA91MAP2</t>
        </is>
      </c>
      <c r="B175" s="4" t="inlineStr"/>
      <c r="C175" s="4" t="inlineStr"/>
      <c r="D175" s="4" t="inlineStr"/>
      <c r="E175" s="3" t="inlineStr">
        <is>
          <t>Smeg 96" Gas-Electric Cooker</t>
        </is>
      </c>
      <c r="F175" s="4" t="inlineStr">
        <is>
          <t>Smeg</t>
        </is>
      </c>
      <c r="G175" s="4" t="inlineStr"/>
      <c r="H175" s="4" t="inlineStr"/>
      <c r="I175" s="5" t="n">
        <v>24999</v>
      </c>
      <c r="J175" s="6" t="n">
        <v>15</v>
      </c>
      <c r="K175" s="7">
        <f>IF(I175="","",I175*(1+J175/100))</f>
        <v/>
      </c>
      <c r="L175" s="8" t="inlineStr"/>
      <c r="M175" s="9">
        <f>IF(OR(L175="",K175="",L175=0),"",
  (L175-K175)/L175*100)</f>
        <v/>
      </c>
      <c r="N175" s="10" t="inlineStr"/>
      <c r="O175" s="4" t="inlineStr"/>
      <c r="P175" s="4" t="inlineStr"/>
      <c r="Q175" s="4" t="inlineStr"/>
      <c r="R175" s="4" t="inlineStr">
        <is>
          <t>2026-03-12</t>
        </is>
      </c>
      <c r="S175" s="4" t="inlineStr">
        <is>
          <t>Hirschs 47th Anniversary Sale Feb-Mar 2026</t>
        </is>
      </c>
    </row>
    <row r="176">
      <c r="A176" s="11" t="inlineStr">
        <is>
          <t>C9ROCXIT</t>
        </is>
      </c>
      <c r="B176" s="11" t="inlineStr"/>
      <c r="C176" s="11" t="inlineStr"/>
      <c r="D176" s="11" t="inlineStr"/>
      <c r="E176" s="11" t="inlineStr">
        <is>
          <t>Smeg 90" Induction-Electric Cooker</t>
        </is>
      </c>
      <c r="F176" s="11" t="inlineStr">
        <is>
          <t>Smeg</t>
        </is>
      </c>
      <c r="G176" s="11" t="inlineStr"/>
      <c r="H176" s="11" t="inlineStr"/>
      <c r="I176" s="12" t="n">
        <v>32999</v>
      </c>
      <c r="J176" s="6" t="n">
        <v>15</v>
      </c>
      <c r="K176" s="7">
        <f>IF(I176="","",I176*(1+J176/100))</f>
        <v/>
      </c>
      <c r="L176" s="8" t="inlineStr"/>
      <c r="M176" s="9">
        <f>IF(OR(L176="",K176="",L176=0),"",
  (L176-K176)/L176*100)</f>
        <v/>
      </c>
      <c r="N176" s="10" t="inlineStr"/>
      <c r="O176" s="11" t="inlineStr"/>
      <c r="P176" s="11" t="inlineStr"/>
      <c r="Q176" s="11" t="inlineStr"/>
      <c r="R176" s="11" t="inlineStr">
        <is>
          <t>2026-03-12</t>
        </is>
      </c>
      <c r="S176" s="11" t="inlineStr">
        <is>
          <t>Hirschs 47th Anniversary Sale Feb-Mar 2026</t>
        </is>
      </c>
    </row>
    <row r="177">
      <c r="A177" s="3" t="inlineStr">
        <is>
          <t>SSA916GX2</t>
        </is>
      </c>
      <c r="B177" s="4" t="inlineStr"/>
      <c r="C177" s="4" t="inlineStr"/>
      <c r="D177" s="4" t="inlineStr"/>
      <c r="E177" s="3" t="inlineStr">
        <is>
          <t>Smeg 90" Full Gas Cooker</t>
        </is>
      </c>
      <c r="F177" s="4" t="inlineStr">
        <is>
          <t>Smeg</t>
        </is>
      </c>
      <c r="G177" s="4" t="inlineStr"/>
      <c r="H177" s="4" t="inlineStr"/>
      <c r="I177" s="5" t="n">
        <v>22999</v>
      </c>
      <c r="J177" s="6" t="n">
        <v>15</v>
      </c>
      <c r="K177" s="7">
        <f>IF(I177="","",I177*(1+J177/100))</f>
        <v/>
      </c>
      <c r="L177" s="8" t="inlineStr"/>
      <c r="M177" s="9">
        <f>IF(OR(L177="",K177="",L177=0),"",
  (L177-K177)/L177*100)</f>
        <v/>
      </c>
      <c r="N177" s="10" t="inlineStr"/>
      <c r="O177" s="4" t="inlineStr"/>
      <c r="P177" s="4" t="inlineStr"/>
      <c r="Q177" s="4" t="inlineStr"/>
      <c r="R177" s="4" t="inlineStr">
        <is>
          <t>2026-03-12</t>
        </is>
      </c>
      <c r="S177" s="4" t="inlineStr">
        <is>
          <t>Hirschs 47th Anniversary Sale Feb-Mar 2026</t>
        </is>
      </c>
    </row>
    <row r="178">
      <c r="A178" s="11" t="inlineStr">
        <is>
          <t>SSA60MWHI2</t>
        </is>
      </c>
      <c r="B178" s="11" t="inlineStr"/>
      <c r="C178" s="11" t="inlineStr"/>
      <c r="D178" s="11" t="inlineStr"/>
      <c r="E178" s="11" t="inlineStr">
        <is>
          <t>Smeg 82" Gas-Electric Cooker</t>
        </is>
      </c>
      <c r="F178" s="11" t="inlineStr">
        <is>
          <t>Smeg</t>
        </is>
      </c>
      <c r="G178" s="11" t="inlineStr"/>
      <c r="H178" s="11" t="inlineStr"/>
      <c r="I178" s="12" t="n">
        <v>14499</v>
      </c>
      <c r="J178" s="6" t="n">
        <v>15</v>
      </c>
      <c r="K178" s="7">
        <f>IF(I178="","",I178*(1+J178/100))</f>
        <v/>
      </c>
      <c r="L178" s="8" t="inlineStr"/>
      <c r="M178" s="9">
        <f>IF(OR(L178="",K178="",L178=0),"",
  (L178-K178)/L178*100)</f>
        <v/>
      </c>
      <c r="N178" s="10" t="inlineStr"/>
      <c r="O178" s="11" t="inlineStr"/>
      <c r="P178" s="11" t="inlineStr"/>
      <c r="Q178" s="11" t="inlineStr"/>
      <c r="R178" s="11" t="inlineStr">
        <is>
          <t>2026-03-12</t>
        </is>
      </c>
      <c r="S178" s="11" t="inlineStr">
        <is>
          <t>Hirschs 47th Anniversary Sale Feb-Mar 2026</t>
        </is>
      </c>
    </row>
    <row r="179">
      <c r="A179" s="3" t="inlineStr">
        <is>
          <t>FQ60XDZA</t>
        </is>
      </c>
      <c r="B179" s="4" t="inlineStr"/>
      <c r="C179" s="4" t="inlineStr"/>
      <c r="D179" s="4" t="inlineStr"/>
      <c r="E179" s="3" t="inlineStr">
        <is>
          <t>Smeg 90" Combi Fridge-Freezer</t>
        </is>
      </c>
      <c r="F179" s="4" t="inlineStr">
        <is>
          <t>Smeg</t>
        </is>
      </c>
      <c r="G179" s="4" t="inlineStr"/>
      <c r="H179" s="4" t="inlineStr"/>
      <c r="I179" s="5" t="n">
        <v>34999</v>
      </c>
      <c r="J179" s="6" t="n">
        <v>15</v>
      </c>
      <c r="K179" s="7">
        <f>IF(I179="","",I179*(1+J179/100))</f>
        <v/>
      </c>
      <c r="L179" s="8" t="inlineStr"/>
      <c r="M179" s="9">
        <f>IF(OR(L179="",K179="",L179=0),"",
  (L179-K179)/L179*100)</f>
        <v/>
      </c>
      <c r="N179" s="10" t="inlineStr"/>
      <c r="O179" s="4" t="inlineStr"/>
      <c r="P179" s="4" t="inlineStr"/>
      <c r="Q179" s="4" t="inlineStr"/>
      <c r="R179" s="4" t="inlineStr">
        <is>
          <t>2026-03-12</t>
        </is>
      </c>
      <c r="S179" s="4" t="inlineStr">
        <is>
          <t>Hirschs 47th Anniversary Sale Feb-Mar 2026</t>
        </is>
      </c>
    </row>
    <row r="180">
      <c r="A180" s="11" t="inlineStr">
        <is>
          <t>RC479XNZA</t>
        </is>
      </c>
      <c r="B180" s="11" t="inlineStr"/>
      <c r="C180" s="11" t="inlineStr"/>
      <c r="D180" s="11" t="inlineStr"/>
      <c r="E180" s="11" t="inlineStr">
        <is>
          <t>Smeg 79" Combi Fridge-Freezer</t>
        </is>
      </c>
      <c r="F180" s="11" t="inlineStr">
        <is>
          <t>Smeg</t>
        </is>
      </c>
      <c r="G180" s="11" t="inlineStr"/>
      <c r="H180" s="11" t="inlineStr"/>
      <c r="I180" s="12" t="n">
        <v>20999</v>
      </c>
      <c r="J180" s="6" t="n">
        <v>15</v>
      </c>
      <c r="K180" s="7">
        <f>IF(I180="","",I180*(1+J180/100))</f>
        <v/>
      </c>
      <c r="L180" s="8" t="inlineStr"/>
      <c r="M180" s="9">
        <f>IF(OR(L180="",K180="",L180=0),"",
  (L180-K180)/L180*100)</f>
        <v/>
      </c>
      <c r="N180" s="10" t="inlineStr"/>
      <c r="O180" s="11" t="inlineStr"/>
      <c r="P180" s="11" t="inlineStr"/>
      <c r="Q180" s="11" t="inlineStr"/>
      <c r="R180" s="11" t="inlineStr">
        <is>
          <t>2026-03-12</t>
        </is>
      </c>
      <c r="S180" s="11" t="inlineStr">
        <is>
          <t>Hirschs 47th Anniversary Sale Feb-Mar 2026</t>
        </is>
      </c>
    </row>
    <row r="181">
      <c r="A181" s="3" t="inlineStr">
        <is>
          <t>86075</t>
        </is>
      </c>
      <c r="B181" s="4" t="inlineStr"/>
      <c r="C181" s="4" t="inlineStr"/>
      <c r="D181" s="4" t="inlineStr"/>
      <c r="E181" s="3" t="inlineStr">
        <is>
          <t>Smeg 60" Fridge and Freezer Set</t>
        </is>
      </c>
      <c r="F181" s="4" t="inlineStr">
        <is>
          <t>Smeg</t>
        </is>
      </c>
      <c r="G181" s="4" t="inlineStr"/>
      <c r="H181" s="4" t="inlineStr"/>
      <c r="I181" s="5" t="n">
        <v>18999</v>
      </c>
      <c r="J181" s="6" t="n">
        <v>15</v>
      </c>
      <c r="K181" s="7">
        <f>IF(I181="","",I181*(1+J181/100))</f>
        <v/>
      </c>
      <c r="L181" s="8" t="inlineStr"/>
      <c r="M181" s="9">
        <f>IF(OR(L181="",K181="",L181=0),"",
  (L181-K181)/L181*100)</f>
        <v/>
      </c>
      <c r="N181" s="10" t="inlineStr"/>
      <c r="O181" s="4" t="inlineStr"/>
      <c r="P181" s="4" t="inlineStr"/>
      <c r="Q181" s="4" t="inlineStr"/>
      <c r="R181" s="4" t="inlineStr">
        <is>
          <t>2026-03-12</t>
        </is>
      </c>
      <c r="S181" s="4" t="inlineStr">
        <is>
          <t>Hirschs 47th Anniversary Sale Feb-Mar 2026</t>
        </is>
      </c>
    </row>
    <row r="182">
      <c r="A182" s="11" t="inlineStr">
        <is>
          <t>RC339NZA</t>
        </is>
      </c>
      <c r="B182" s="11" t="inlineStr"/>
      <c r="C182" s="11" t="inlineStr"/>
      <c r="D182" s="11" t="inlineStr"/>
      <c r="E182" s="11" t="inlineStr">
        <is>
          <t>Smeg 69" Combi Fridge-Freezer</t>
        </is>
      </c>
      <c r="F182" s="11" t="inlineStr">
        <is>
          <t>Smeg</t>
        </is>
      </c>
      <c r="G182" s="11" t="inlineStr"/>
      <c r="H182" s="11" t="inlineStr"/>
      <c r="I182" s="12" t="n">
        <v>16999</v>
      </c>
      <c r="J182" s="6" t="n">
        <v>15</v>
      </c>
      <c r="K182" s="7">
        <f>IF(I182="","",I182*(1+J182/100))</f>
        <v/>
      </c>
      <c r="L182" s="8" t="inlineStr"/>
      <c r="M182" s="9">
        <f>IF(OR(L182="",K182="",L182=0),"",
  (L182-K182)/L182*100)</f>
        <v/>
      </c>
      <c r="N182" s="10" t="inlineStr"/>
      <c r="O182" s="11" t="inlineStr"/>
      <c r="P182" s="11" t="inlineStr"/>
      <c r="Q182" s="11" t="inlineStr"/>
      <c r="R182" s="11" t="inlineStr">
        <is>
          <t>2026-03-12</t>
        </is>
      </c>
      <c r="S182" s="11" t="inlineStr">
        <is>
          <t>Hirschs 47th Anniversary Sale Feb-Mar 2026</t>
        </is>
      </c>
    </row>
    <row r="183">
      <c r="A183" s="3" t="inlineStr">
        <is>
          <t>ZACB173N1F</t>
        </is>
      </c>
      <c r="B183" s="4" t="inlineStr"/>
      <c r="C183" s="4" t="inlineStr"/>
      <c r="D183" s="4" t="inlineStr"/>
      <c r="E183" s="3" t="inlineStr">
        <is>
          <t>Smeg 90" Integrated Fridge-Freezer</t>
        </is>
      </c>
      <c r="F183" s="4" t="inlineStr">
        <is>
          <t>Smeg</t>
        </is>
      </c>
      <c r="G183" s="4" t="inlineStr"/>
      <c r="H183" s="4" t="inlineStr"/>
      <c r="I183" s="5" t="n">
        <v>24999</v>
      </c>
      <c r="J183" s="6" t="n">
        <v>15</v>
      </c>
      <c r="K183" s="7">
        <f>IF(I183="","",I183*(1+J183/100))</f>
        <v/>
      </c>
      <c r="L183" s="8" t="inlineStr"/>
      <c r="M183" s="9">
        <f>IF(OR(L183="",K183="",L183=0),"",
  (L183-K183)/L183*100)</f>
        <v/>
      </c>
      <c r="N183" s="10" t="inlineStr"/>
      <c r="O183" s="4" t="inlineStr"/>
      <c r="P183" s="4" t="inlineStr"/>
      <c r="Q183" s="4" t="inlineStr"/>
      <c r="R183" s="4" t="inlineStr">
        <is>
          <t>2026-03-12</t>
        </is>
      </c>
      <c r="S183" s="4" t="inlineStr">
        <is>
          <t>Hirschs 47th Anniversary Sale Feb-Mar 2026</t>
        </is>
      </c>
    </row>
    <row r="184">
      <c r="A184" s="11" t="inlineStr">
        <is>
          <t>RF502XZA</t>
        </is>
      </c>
      <c r="B184" s="11" t="inlineStr"/>
      <c r="C184" s="11" t="inlineStr"/>
      <c r="D184" s="11" t="inlineStr"/>
      <c r="E184" s="11" t="inlineStr">
        <is>
          <t>Smeg 69" Combi Fridge-Freezer</t>
        </is>
      </c>
      <c r="F184" s="11" t="inlineStr">
        <is>
          <t>Smeg</t>
        </is>
      </c>
      <c r="G184" s="11" t="inlineStr"/>
      <c r="H184" s="11" t="inlineStr"/>
      <c r="I184" s="12" t="n">
        <v>29999</v>
      </c>
      <c r="J184" s="6" t="n">
        <v>15</v>
      </c>
      <c r="K184" s="7">
        <f>IF(I184="","",I184*(1+J184/100))</f>
        <v/>
      </c>
      <c r="L184" s="8" t="inlineStr"/>
      <c r="M184" s="9">
        <f>IF(OR(L184="",K184="",L184=0),"",
  (L184-K184)/L184*100)</f>
        <v/>
      </c>
      <c r="N184" s="10" t="inlineStr"/>
      <c r="O184" s="11" t="inlineStr"/>
      <c r="P184" s="11" t="inlineStr"/>
      <c r="Q184" s="11" t="inlineStr"/>
      <c r="R184" s="11" t="inlineStr">
        <is>
          <t>2026-03-12</t>
        </is>
      </c>
      <c r="S184" s="11" t="inlineStr">
        <is>
          <t>Hirschs 47th Anniversary Sale Feb-Mar 2026</t>
        </is>
      </c>
    </row>
    <row r="185">
      <c r="A185" s="3" t="inlineStr">
        <is>
          <t>75824</t>
        </is>
      </c>
      <c r="B185" s="4" t="inlineStr"/>
      <c r="C185" s="4" t="inlineStr"/>
      <c r="D185" s="4" t="inlineStr"/>
      <c r="E185" s="3" t="inlineStr">
        <is>
          <t>Smeg 60" Fridge and Freezer Set</t>
        </is>
      </c>
      <c r="F185" s="4" t="inlineStr">
        <is>
          <t>Smeg</t>
        </is>
      </c>
      <c r="G185" s="4" t="inlineStr"/>
      <c r="H185" s="4" t="inlineStr"/>
      <c r="I185" s="5" t="n">
        <v>16999</v>
      </c>
      <c r="J185" s="6" t="n">
        <v>15</v>
      </c>
      <c r="K185" s="7">
        <f>IF(I185="","",I185*(1+J185/100))</f>
        <v/>
      </c>
      <c r="L185" s="8" t="inlineStr"/>
      <c r="M185" s="9">
        <f>IF(OR(L185="",K185="",L185=0),"",
  (L185-K185)/L185*100)</f>
        <v/>
      </c>
      <c r="N185" s="10" t="inlineStr"/>
      <c r="O185" s="4" t="inlineStr"/>
      <c r="P185" s="4" t="inlineStr"/>
      <c r="Q185" s="4" t="inlineStr"/>
      <c r="R185" s="4" t="inlineStr">
        <is>
          <t>2026-03-12</t>
        </is>
      </c>
      <c r="S185" s="4" t="inlineStr">
        <is>
          <t>Hirschs 47th Anniversary Sale Feb-Mar 2026</t>
        </is>
      </c>
    </row>
    <row r="186">
      <c r="A186" s="11" t="inlineStr">
        <is>
          <t>RC338NZA</t>
        </is>
      </c>
      <c r="B186" s="11" t="inlineStr"/>
      <c r="C186" s="11" t="inlineStr"/>
      <c r="D186" s="11" t="inlineStr"/>
      <c r="E186" s="11" t="inlineStr">
        <is>
          <t>Smeg 60" Combi Fridge-Freezer</t>
        </is>
      </c>
      <c r="F186" s="11" t="inlineStr">
        <is>
          <t>Smeg</t>
        </is>
      </c>
      <c r="G186" s="11" t="inlineStr"/>
      <c r="H186" s="11" t="inlineStr"/>
      <c r="I186" s="12" t="n">
        <v>13999</v>
      </c>
      <c r="J186" s="6" t="n">
        <v>15</v>
      </c>
      <c r="K186" s="7">
        <f>IF(I186="","",I186*(1+J186/100))</f>
        <v/>
      </c>
      <c r="L186" s="8" t="inlineStr"/>
      <c r="M186" s="9">
        <f>IF(OR(L186="",K186="",L186=0),"",
  (L186-K186)/L186*100)</f>
        <v/>
      </c>
      <c r="N186" s="10" t="inlineStr"/>
      <c r="O186" s="11" t="inlineStr"/>
      <c r="P186" s="11" t="inlineStr"/>
      <c r="Q186" s="11" t="inlineStr"/>
      <c r="R186" s="11" t="inlineStr">
        <is>
          <t>2026-03-12</t>
        </is>
      </c>
      <c r="S186" s="11" t="inlineStr">
        <is>
          <t>Hirschs 47th Anniversary Sale Feb-Mar 2026</t>
        </is>
      </c>
    </row>
    <row r="187">
      <c r="A187" s="3" t="inlineStr">
        <is>
          <t>ZASF174NE</t>
        </is>
      </c>
      <c r="B187" s="4" t="inlineStr"/>
      <c r="C187" s="4" t="inlineStr"/>
      <c r="D187" s="4" t="inlineStr"/>
      <c r="E187" s="3" t="inlineStr">
        <is>
          <t>Smeg 56" Integrated Full Freezer</t>
        </is>
      </c>
      <c r="F187" s="4" t="inlineStr">
        <is>
          <t>Smeg</t>
        </is>
      </c>
      <c r="G187" s="4" t="inlineStr"/>
      <c r="H187" s="4" t="inlineStr"/>
      <c r="I187" s="5" t="n">
        <v>26999</v>
      </c>
      <c r="J187" s="6" t="n">
        <v>15</v>
      </c>
      <c r="K187" s="7">
        <f>IF(I187="","",I187*(1+J187/100))</f>
        <v/>
      </c>
      <c r="L187" s="8" t="inlineStr"/>
      <c r="M187" s="9">
        <f>IF(OR(L187="",K187="",L187=0),"",
  (L187-K187)/L187*100)</f>
        <v/>
      </c>
      <c r="N187" s="10" t="inlineStr"/>
      <c r="O187" s="4" t="inlineStr"/>
      <c r="P187" s="4" t="inlineStr"/>
      <c r="Q187" s="4" t="inlineStr"/>
      <c r="R187" s="4" t="inlineStr">
        <is>
          <t>2026-03-12</t>
        </is>
      </c>
      <c r="S187" s="4" t="inlineStr">
        <is>
          <t>Hirschs 47th Anniversary Sale Feb-Mar 2026</t>
        </is>
      </c>
    </row>
    <row r="188">
      <c r="A188" s="13" t="inlineStr"/>
      <c r="B188" s="11" t="inlineStr"/>
      <c r="C188" s="11" t="inlineStr"/>
      <c r="D188" s="11" t="inlineStr"/>
      <c r="E188" s="11" t="inlineStr">
        <is>
          <t>Smeg 50" Integrated Full Fridge</t>
        </is>
      </c>
      <c r="F188" s="11" t="inlineStr">
        <is>
          <t>Smeg</t>
        </is>
      </c>
      <c r="G188" s="11" t="inlineStr"/>
      <c r="H188" s="11" t="inlineStr"/>
      <c r="I188" s="12" t="n">
        <v>11999</v>
      </c>
      <c r="J188" s="6" t="n">
        <v>15</v>
      </c>
      <c r="K188" s="7">
        <f>IF(I188="","",I188*(1+J188/100))</f>
        <v/>
      </c>
      <c r="L188" s="8" t="inlineStr"/>
      <c r="M188" s="9">
        <f>IF(OR(L188="",K188="",L188=0),"",
  (L188-K188)/L188*100)</f>
        <v/>
      </c>
      <c r="N188" s="10" t="inlineStr"/>
      <c r="O188" s="11" t="inlineStr"/>
      <c r="P188" s="11" t="inlineStr"/>
      <c r="Q188" s="11" t="inlineStr"/>
      <c r="R188" s="11" t="inlineStr">
        <is>
          <t>2026-03-12</t>
        </is>
      </c>
      <c r="S188" s="11" t="inlineStr">
        <is>
          <t>Hirschs 47th Anniversary Sale Feb-Mar 2026</t>
        </is>
      </c>
    </row>
    <row r="189">
      <c r="A189" s="3" t="inlineStr">
        <is>
          <t>DW81STCA</t>
        </is>
      </c>
      <c r="B189" s="4" t="inlineStr"/>
      <c r="C189" s="4" t="inlineStr"/>
      <c r="D189" s="4" t="inlineStr"/>
      <c r="E189" s="3" t="inlineStr">
        <is>
          <t>Smeg 60" Dishwasher</t>
        </is>
      </c>
      <c r="F189" s="4" t="inlineStr">
        <is>
          <t>Smeg</t>
        </is>
      </c>
      <c r="G189" s="4" t="inlineStr"/>
      <c r="H189" s="4" t="inlineStr"/>
      <c r="I189" s="5" t="n">
        <v>10999</v>
      </c>
      <c r="J189" s="6" t="n">
        <v>15</v>
      </c>
      <c r="K189" s="7">
        <f>IF(I189="","",I189*(1+J189/100))</f>
        <v/>
      </c>
      <c r="L189" s="8" t="inlineStr"/>
      <c r="M189" s="9">
        <f>IF(OR(L189="",K189="",L189=0),"",
  (L189-K189)/L189*100)</f>
        <v/>
      </c>
      <c r="N189" s="10" t="inlineStr"/>
      <c r="O189" s="4" t="inlineStr"/>
      <c r="P189" s="4" t="inlineStr"/>
      <c r="Q189" s="4" t="inlineStr"/>
      <c r="R189" s="4" t="inlineStr">
        <is>
          <t>2026-03-12</t>
        </is>
      </c>
      <c r="S189" s="4" t="inlineStr">
        <is>
          <t>Hirschs 47th Anniversary Sale Feb-Mar 2026</t>
        </is>
      </c>
    </row>
    <row r="190">
      <c r="A190" s="11" t="inlineStr">
        <is>
          <t>DW17QSA-1</t>
        </is>
      </c>
      <c r="B190" s="11" t="inlineStr"/>
      <c r="C190" s="11" t="inlineStr"/>
      <c r="D190" s="11" t="inlineStr"/>
      <c r="E190" s="11" t="inlineStr">
        <is>
          <t>Smeg Washing Machine and Dryer</t>
        </is>
      </c>
      <c r="F190" s="11" t="inlineStr">
        <is>
          <t>Smeg</t>
        </is>
      </c>
      <c r="G190" s="11" t="inlineStr"/>
      <c r="H190" s="11" t="inlineStr"/>
      <c r="I190" s="12" t="n">
        <v>12999</v>
      </c>
      <c r="J190" s="6" t="n">
        <v>15</v>
      </c>
      <c r="K190" s="7">
        <f>IF(I190="","",I190*(1+J190/100))</f>
        <v/>
      </c>
      <c r="L190" s="8" t="inlineStr"/>
      <c r="M190" s="9">
        <f>IF(OR(L190="",K190="",L190=0),"",
  (L190-K190)/L190*100)</f>
        <v/>
      </c>
      <c r="N190" s="10" t="inlineStr"/>
      <c r="O190" s="11" t="inlineStr"/>
      <c r="P190" s="11" t="inlineStr"/>
      <c r="Q190" s="11" t="inlineStr"/>
      <c r="R190" s="11" t="inlineStr">
        <is>
          <t>2026-03-12</t>
        </is>
      </c>
      <c r="S190" s="11" t="inlineStr">
        <is>
          <t>Hirschs 47th Anniversary Sale Feb-Mar 2026</t>
        </is>
      </c>
    </row>
    <row r="191">
      <c r="A191" s="3" t="inlineStr">
        <is>
          <t>DWI245A</t>
        </is>
      </c>
      <c r="B191" s="4" t="inlineStr"/>
      <c r="C191" s="4" t="inlineStr"/>
      <c r="D191" s="4" t="inlineStr"/>
      <c r="E191" s="3" t="inlineStr">
        <is>
          <t>Smeg 49" Integrated Dishwasher</t>
        </is>
      </c>
      <c r="F191" s="4" t="inlineStr">
        <is>
          <t>Smeg</t>
        </is>
      </c>
      <c r="G191" s="4" t="inlineStr"/>
      <c r="H191" s="4" t="inlineStr"/>
      <c r="I191" s="5" t="n">
        <v>11999</v>
      </c>
      <c r="J191" s="6" t="n">
        <v>15</v>
      </c>
      <c r="K191" s="7">
        <f>IF(I191="","",I191*(1+J191/100))</f>
        <v/>
      </c>
      <c r="L191" s="8" t="inlineStr"/>
      <c r="M191" s="9">
        <f>IF(OR(L191="",K191="",L191=0),"",
  (L191-K191)/L191*100)</f>
        <v/>
      </c>
      <c r="N191" s="10" t="inlineStr"/>
      <c r="O191" s="4" t="inlineStr"/>
      <c r="P191" s="4" t="inlineStr"/>
      <c r="Q191" s="4" t="inlineStr"/>
      <c r="R191" s="4" t="inlineStr">
        <is>
          <t>2026-03-12</t>
        </is>
      </c>
      <c r="S191" s="4" t="inlineStr">
        <is>
          <t>Hirschs 47th Anniversary Sale Feb-Mar 2026</t>
        </is>
      </c>
    </row>
    <row r="192">
      <c r="A192" s="11" t="inlineStr">
        <is>
          <t>DBF 350</t>
        </is>
      </c>
      <c r="B192" s="11" t="inlineStr"/>
      <c r="C192" s="11" t="inlineStr"/>
      <c r="D192" s="11" t="inlineStr"/>
      <c r="E192" s="11" t="inlineStr">
        <is>
          <t>Defy Digital Bladeless Fan</t>
        </is>
      </c>
      <c r="F192" s="11" t="inlineStr">
        <is>
          <t>Defy</t>
        </is>
      </c>
      <c r="G192" s="11" t="inlineStr"/>
      <c r="H192" s="11" t="inlineStr"/>
      <c r="I192" s="12" t="n">
        <v>1399</v>
      </c>
      <c r="J192" s="6" t="n">
        <v>15</v>
      </c>
      <c r="K192" s="7">
        <f>IF(I192="","",I192*(1+J192/100))</f>
        <v/>
      </c>
      <c r="L192" s="8" t="inlineStr"/>
      <c r="M192" s="9">
        <f>IF(OR(L192="",K192="",L192=0),"",
  (L192-K192)/L192*100)</f>
        <v/>
      </c>
      <c r="N192" s="10" t="inlineStr"/>
      <c r="O192" s="11" t="inlineStr"/>
      <c r="P192" s="11" t="inlineStr"/>
      <c r="Q192" s="11" t="inlineStr"/>
      <c r="R192" s="11" t="inlineStr">
        <is>
          <t>2026-03-12</t>
        </is>
      </c>
      <c r="S192" s="11" t="inlineStr">
        <is>
          <t>Hirschs 47th Anniversary Sale Feb-Mar 2026</t>
        </is>
      </c>
    </row>
    <row r="193">
      <c r="A193" s="3" t="inlineStr">
        <is>
          <t>DOF 300</t>
        </is>
      </c>
      <c r="B193" s="4" t="inlineStr"/>
      <c r="C193" s="4" t="inlineStr"/>
      <c r="D193" s="4" t="inlineStr"/>
      <c r="E193" s="3" t="inlineStr">
        <is>
          <t>Defy 2 In 1 Circulation Fan</t>
        </is>
      </c>
      <c r="F193" s="4" t="inlineStr">
        <is>
          <t>Defy</t>
        </is>
      </c>
      <c r="G193" s="4" t="inlineStr"/>
      <c r="H193" s="4" t="inlineStr"/>
      <c r="I193" s="5" t="n">
        <v>799</v>
      </c>
      <c r="J193" s="6" t="n">
        <v>15</v>
      </c>
      <c r="K193" s="7">
        <f>IF(I193="","",I193*(1+J193/100))</f>
        <v/>
      </c>
      <c r="L193" s="8" t="inlineStr"/>
      <c r="M193" s="9">
        <f>IF(OR(L193="",K193="",L193=0),"",
  (L193-K193)/L193*100)</f>
        <v/>
      </c>
      <c r="N193" s="10" t="inlineStr"/>
      <c r="O193" s="4" t="inlineStr"/>
      <c r="P193" s="4" t="inlineStr"/>
      <c r="Q193" s="4" t="inlineStr"/>
      <c r="R193" s="4" t="inlineStr">
        <is>
          <t>2026-03-12</t>
        </is>
      </c>
      <c r="S193" s="4" t="inlineStr">
        <is>
          <t>Hirschs 47th Anniversary Sale Feb-Mar 2026</t>
        </is>
      </c>
    </row>
    <row r="194">
      <c r="A194" s="11" t="inlineStr">
        <is>
          <t>MAC 6530 W</t>
        </is>
      </c>
      <c r="B194" s="11" t="inlineStr"/>
      <c r="C194" s="11" t="inlineStr"/>
      <c r="D194" s="11" t="inlineStr"/>
      <c r="E194" s="11" t="inlineStr">
        <is>
          <t>Defy Portable Air Cooler White</t>
        </is>
      </c>
      <c r="F194" s="11" t="inlineStr">
        <is>
          <t>Defy</t>
        </is>
      </c>
      <c r="G194" s="11" t="inlineStr"/>
      <c r="H194" s="11" t="inlineStr"/>
      <c r="I194" s="12" t="n">
        <v>999</v>
      </c>
      <c r="J194" s="6" t="n">
        <v>15</v>
      </c>
      <c r="K194" s="7">
        <f>IF(I194="","",I194*(1+J194/100))</f>
        <v/>
      </c>
      <c r="L194" s="8" t="inlineStr"/>
      <c r="M194" s="9">
        <f>IF(OR(L194="",K194="",L194=0),"",
  (L194-K194)/L194*100)</f>
        <v/>
      </c>
      <c r="N194" s="10" t="inlineStr"/>
      <c r="O194" s="11" t="inlineStr"/>
      <c r="P194" s="11" t="inlineStr"/>
      <c r="Q194" s="11" t="inlineStr"/>
      <c r="R194" s="11" t="inlineStr">
        <is>
          <t>2026-03-12</t>
        </is>
      </c>
      <c r="S194" s="11" t="inlineStr">
        <is>
          <t>Hirschs 47th Anniversary Sale Feb-Mar 2026</t>
        </is>
      </c>
    </row>
    <row r="195">
      <c r="A195" s="3" t="inlineStr">
        <is>
          <t>DAF 5276 DB</t>
        </is>
      </c>
      <c r="B195" s="4" t="inlineStr"/>
      <c r="C195" s="4" t="inlineStr"/>
      <c r="D195" s="4" t="inlineStr"/>
      <c r="E195" s="3" t="inlineStr">
        <is>
          <t>Defy 7.68 XXL Air Fryer Black</t>
        </is>
      </c>
      <c r="F195" s="4" t="inlineStr">
        <is>
          <t>Defy</t>
        </is>
      </c>
      <c r="G195" s="4" t="inlineStr"/>
      <c r="H195" s="4" t="inlineStr"/>
      <c r="I195" s="5" t="n">
        <v>1299</v>
      </c>
      <c r="J195" s="6" t="n">
        <v>15</v>
      </c>
      <c r="K195" s="7">
        <f>IF(I195="","",I195*(1+J195/100))</f>
        <v/>
      </c>
      <c r="L195" s="8" t="inlineStr"/>
      <c r="M195" s="9">
        <f>IF(OR(L195="",K195="",L195=0),"",
  (L195-K195)/L195*100)</f>
        <v/>
      </c>
      <c r="N195" s="10" t="inlineStr"/>
      <c r="O195" s="4" t="inlineStr"/>
      <c r="P195" s="4" t="inlineStr"/>
      <c r="Q195" s="4" t="inlineStr"/>
      <c r="R195" s="4" t="inlineStr">
        <is>
          <t>2026-03-12</t>
        </is>
      </c>
      <c r="S195" s="4" t="inlineStr">
        <is>
          <t>Hirschs 47th Anniversary Sale Feb-Mar 2026</t>
        </is>
      </c>
    </row>
    <row r="196">
      <c r="A196" s="11" t="inlineStr">
        <is>
          <t>WK 4215 G</t>
        </is>
      </c>
      <c r="B196" s="11" t="inlineStr"/>
      <c r="C196" s="11" t="inlineStr"/>
      <c r="D196" s="11" t="inlineStr"/>
      <c r="E196" s="11" t="inlineStr">
        <is>
          <t>Defy 2200W 1.7lt Grey Glow Kettle</t>
        </is>
      </c>
      <c r="F196" s="11" t="inlineStr">
        <is>
          <t>Defy</t>
        </is>
      </c>
      <c r="G196" s="11" t="inlineStr"/>
      <c r="H196" s="11" t="inlineStr"/>
      <c r="I196" s="12" t="n">
        <v>349</v>
      </c>
      <c r="J196" s="6" t="n">
        <v>15</v>
      </c>
      <c r="K196" s="7">
        <f>IF(I196="","",I196*(1+J196/100))</f>
        <v/>
      </c>
      <c r="L196" s="8" t="inlineStr"/>
      <c r="M196" s="9">
        <f>IF(OR(L196="",K196="",L196=0),"",
  (L196-K196)/L196*100)</f>
        <v/>
      </c>
      <c r="N196" s="10" t="inlineStr"/>
      <c r="O196" s="11" t="inlineStr"/>
      <c r="P196" s="11" t="inlineStr"/>
      <c r="Q196" s="11" t="inlineStr"/>
      <c r="R196" s="11" t="inlineStr">
        <is>
          <t>2026-03-12</t>
        </is>
      </c>
      <c r="S196" s="11" t="inlineStr">
        <is>
          <t>Hirschs 47th Anniversary Sale Feb-Mar 2026</t>
        </is>
      </c>
    </row>
    <row r="197">
      <c r="A197" s="3" t="inlineStr">
        <is>
          <t>TA 4220 G</t>
        </is>
      </c>
      <c r="B197" s="4" t="inlineStr"/>
      <c r="C197" s="4" t="inlineStr"/>
      <c r="D197" s="4" t="inlineStr"/>
      <c r="E197" s="3" t="inlineStr">
        <is>
          <t>Defy 800W Grey Glow Toaster</t>
        </is>
      </c>
      <c r="F197" s="4" t="inlineStr">
        <is>
          <t>Defy</t>
        </is>
      </c>
      <c r="G197" s="4" t="inlineStr"/>
      <c r="H197" s="4" t="inlineStr"/>
      <c r="I197" s="5" t="n">
        <v>449</v>
      </c>
      <c r="J197" s="6" t="n">
        <v>15</v>
      </c>
      <c r="K197" s="7">
        <f>IF(I197="","",I197*(1+J197/100))</f>
        <v/>
      </c>
      <c r="L197" s="8" t="inlineStr"/>
      <c r="M197" s="9">
        <f>IF(OR(L197="",K197="",L197=0),"",
  (L197-K197)/L197*100)</f>
        <v/>
      </c>
      <c r="N197" s="10" t="inlineStr"/>
      <c r="O197" s="4" t="inlineStr"/>
      <c r="P197" s="4" t="inlineStr"/>
      <c r="Q197" s="4" t="inlineStr"/>
      <c r="R197" s="4" t="inlineStr">
        <is>
          <t>2026-03-12</t>
        </is>
      </c>
      <c r="S197" s="4" t="inlineStr">
        <is>
          <t>Hirschs 47th Anniversary Sale Feb-Mar 2026</t>
        </is>
      </c>
    </row>
    <row r="198">
      <c r="A198" s="11" t="inlineStr">
        <is>
          <t>WK 5300 G</t>
        </is>
      </c>
      <c r="B198" s="11" t="inlineStr"/>
      <c r="C198" s="11" t="inlineStr"/>
      <c r="D198" s="11" t="inlineStr"/>
      <c r="E198" s="11" t="inlineStr">
        <is>
          <t>Defy 1.7lt Kettle Tilted Glass</t>
        </is>
      </c>
      <c r="F198" s="11" t="inlineStr">
        <is>
          <t>Defy</t>
        </is>
      </c>
      <c r="G198" s="11" t="inlineStr"/>
      <c r="H198" s="11" t="inlineStr"/>
      <c r="I198" s="12" t="n">
        <v>399</v>
      </c>
      <c r="J198" s="6" t="n">
        <v>15</v>
      </c>
      <c r="K198" s="7">
        <f>IF(I198="","",I198*(1+J198/100))</f>
        <v/>
      </c>
      <c r="L198" s="8" t="inlineStr"/>
      <c r="M198" s="9">
        <f>IF(OR(L198="",K198="",L198=0),"",
  (L198-K198)/L198*100)</f>
        <v/>
      </c>
      <c r="N198" s="10" t="inlineStr"/>
      <c r="O198" s="11" t="inlineStr"/>
      <c r="P198" s="11" t="inlineStr"/>
      <c r="Q198" s="11" t="inlineStr"/>
      <c r="R198" s="11" t="inlineStr">
        <is>
          <t>2026-03-12</t>
        </is>
      </c>
      <c r="S198" s="11" t="inlineStr">
        <is>
          <t>Hirschs 47th Anniversary Sale Feb-Mar 2026</t>
        </is>
      </c>
    </row>
    <row r="199">
      <c r="A199" s="3" t="inlineStr">
        <is>
          <t>SI 2322 CK</t>
        </is>
      </c>
      <c r="B199" s="4" t="inlineStr"/>
      <c r="C199" s="4" t="inlineStr"/>
      <c r="D199" s="4" t="inlineStr"/>
      <c r="E199" s="3" t="inlineStr">
        <is>
          <t>Defy 2200W Ceramic Soleplate Steam Iron</t>
        </is>
      </c>
      <c r="F199" s="4" t="inlineStr">
        <is>
          <t>Defy</t>
        </is>
      </c>
      <c r="G199" s="4" t="inlineStr"/>
      <c r="H199" s="4" t="inlineStr"/>
      <c r="I199" s="5" t="n">
        <v>249</v>
      </c>
      <c r="J199" s="6" t="n">
        <v>15</v>
      </c>
      <c r="K199" s="7">
        <f>IF(I199="","",I199*(1+J199/100))</f>
        <v/>
      </c>
      <c r="L199" s="8" t="inlineStr"/>
      <c r="M199" s="9">
        <f>IF(OR(L199="",K199="",L199=0),"",
  (L199-K199)/L199*100)</f>
        <v/>
      </c>
      <c r="N199" s="10" t="inlineStr"/>
      <c r="O199" s="4" t="inlineStr"/>
      <c r="P199" s="4" t="inlineStr"/>
      <c r="Q199" s="4" t="inlineStr"/>
      <c r="R199" s="4" t="inlineStr">
        <is>
          <t>2026-03-12</t>
        </is>
      </c>
      <c r="S199" s="4" t="inlineStr">
        <is>
          <t>Hirschs 47th Anniversary Sale Feb-Mar 2026</t>
        </is>
      </c>
    </row>
    <row r="200">
      <c r="A200" s="11" t="inlineStr">
        <is>
          <t>SN 80966</t>
        </is>
      </c>
      <c r="B200" s="11" t="inlineStr"/>
      <c r="C200" s="11" t="inlineStr"/>
      <c r="D200" s="11" t="inlineStr"/>
      <c r="E200" s="11" t="inlineStr">
        <is>
          <t>Liebherr 277L Plus Upright Freezer</t>
        </is>
      </c>
      <c r="F200" s="11" t="inlineStr">
        <is>
          <t>Liebherr</t>
        </is>
      </c>
      <c r="G200" s="11" t="inlineStr"/>
      <c r="H200" s="11" t="inlineStr"/>
      <c r="I200" s="12" t="n">
        <v>27999</v>
      </c>
      <c r="J200" s="6" t="n">
        <v>15</v>
      </c>
      <c r="K200" s="7">
        <f>IF(I200="","",I200*(1+J200/100))</f>
        <v/>
      </c>
      <c r="L200" s="8" t="inlineStr"/>
      <c r="M200" s="9">
        <f>IF(OR(L200="",K200="",L200=0),"",
  (L200-K200)/L200*100)</f>
        <v/>
      </c>
      <c r="N200" s="10" t="inlineStr"/>
      <c r="O200" s="11" t="inlineStr"/>
      <c r="P200" s="11" t="inlineStr"/>
      <c r="Q200" s="11" t="inlineStr"/>
      <c r="R200" s="11" t="inlineStr">
        <is>
          <t>2026-03-12</t>
        </is>
      </c>
      <c r="S200" s="11" t="inlineStr">
        <is>
          <t>Hirschs 47th Anniversary Sale Feb-Mar 2026</t>
        </is>
      </c>
    </row>
    <row r="201">
      <c r="A201" s="3" t="inlineStr">
        <is>
          <t>FRFCVG5501</t>
        </is>
      </c>
      <c r="B201" s="4" t="inlineStr"/>
      <c r="C201" s="4" t="inlineStr"/>
      <c r="D201" s="4" t="inlineStr"/>
      <c r="E201" s="3" t="inlineStr">
        <is>
          <t>Liebherr 472L Stainless Steel Freestanding Freezer</t>
        </is>
      </c>
      <c r="F201" s="4" t="inlineStr">
        <is>
          <t>Liebherr</t>
        </is>
      </c>
      <c r="G201" s="4" t="inlineStr"/>
      <c r="H201" s="4" t="inlineStr"/>
      <c r="I201" s="5" t="n">
        <v>44999</v>
      </c>
      <c r="J201" s="6" t="n">
        <v>15</v>
      </c>
      <c r="K201" s="7">
        <f>IF(I201="","",I201*(1+J201/100))</f>
        <v/>
      </c>
      <c r="L201" s="8" t="inlineStr"/>
      <c r="M201" s="9">
        <f>IF(OR(L201="",K201="",L201=0),"",
  (L201-K201)/L201*100)</f>
        <v/>
      </c>
      <c r="N201" s="10" t="inlineStr"/>
      <c r="O201" s="4" t="inlineStr"/>
      <c r="P201" s="4" t="inlineStr"/>
      <c r="Q201" s="4" t="inlineStr"/>
      <c r="R201" s="4" t="inlineStr">
        <is>
          <t>2026-03-12</t>
        </is>
      </c>
      <c r="S201" s="4" t="inlineStr">
        <is>
          <t>Hirschs 47th Anniversary Sale Feb-Mar 2026</t>
        </is>
      </c>
    </row>
    <row r="202">
      <c r="A202" s="11" t="inlineStr">
        <is>
          <t>FRFCVG5501</t>
        </is>
      </c>
      <c r="B202" s="11" t="inlineStr"/>
      <c r="C202" s="11" t="inlineStr"/>
      <c r="D202" s="11" t="inlineStr"/>
      <c r="E202" s="11" t="inlineStr">
        <is>
          <t>Liebherr 571L Stainless Steel Freestanding Fridge</t>
        </is>
      </c>
      <c r="F202" s="11" t="inlineStr">
        <is>
          <t>Liebherr</t>
        </is>
      </c>
      <c r="G202" s="11" t="inlineStr"/>
      <c r="H202" s="11" t="inlineStr"/>
      <c r="I202" s="12" t="n">
        <v>39999</v>
      </c>
      <c r="J202" s="6" t="n">
        <v>15</v>
      </c>
      <c r="K202" s="7">
        <f>IF(I202="","",I202*(1+J202/100))</f>
        <v/>
      </c>
      <c r="L202" s="8" t="inlineStr"/>
      <c r="M202" s="9">
        <f>IF(OR(L202="",K202="",L202=0),"",
  (L202-K202)/L202*100)</f>
        <v/>
      </c>
      <c r="N202" s="10" t="inlineStr"/>
      <c r="O202" s="11" t="inlineStr"/>
      <c r="P202" s="11" t="inlineStr"/>
      <c r="Q202" s="11" t="inlineStr"/>
      <c r="R202" s="11" t="inlineStr">
        <is>
          <t>2026-03-12</t>
        </is>
      </c>
      <c r="S202" s="11" t="inlineStr">
        <is>
          <t>Hirschs 47th Anniversary Sale Feb-Mar 2026</t>
        </is>
      </c>
    </row>
    <row r="203">
      <c r="A203" s="3" t="inlineStr">
        <is>
          <t>87777</t>
        </is>
      </c>
      <c r="B203" s="4" t="inlineStr"/>
      <c r="C203" s="4" t="inlineStr"/>
      <c r="D203" s="4" t="inlineStr"/>
      <c r="E203" s="3" t="inlineStr">
        <is>
          <t>Smeg Porsche x SMEG Breakfast Set</t>
        </is>
      </c>
      <c r="F203" s="4" t="inlineStr">
        <is>
          <t>Smeg</t>
        </is>
      </c>
      <c r="G203" s="4" t="inlineStr"/>
      <c r="H203" s="4" t="inlineStr"/>
      <c r="I203" s="5" t="n">
        <v>7999</v>
      </c>
      <c r="J203" s="6" t="n">
        <v>15</v>
      </c>
      <c r="K203" s="7">
        <f>IF(I203="","",I203*(1+J203/100))</f>
        <v/>
      </c>
      <c r="L203" s="8" t="inlineStr"/>
      <c r="M203" s="9">
        <f>IF(OR(L203="",K203="",L203=0),"",
  (L203-K203)/L203*100)</f>
        <v/>
      </c>
      <c r="N203" s="10" t="inlineStr"/>
      <c r="O203" s="4" t="inlineStr"/>
      <c r="P203" s="4" t="inlineStr"/>
      <c r="Q203" s="4" t="inlineStr"/>
      <c r="R203" s="4" t="inlineStr">
        <is>
          <t>2026-03-12</t>
        </is>
      </c>
      <c r="S203" s="4" t="inlineStr">
        <is>
          <t>Hirschs 47th Anniversary Sale Feb-Mar 2026</t>
        </is>
      </c>
    </row>
    <row r="204">
      <c r="A204" s="11" t="inlineStr">
        <is>
          <t>BLF03PSGEU</t>
        </is>
      </c>
      <c r="B204" s="11" t="inlineStr"/>
      <c r="C204" s="11" t="inlineStr"/>
      <c r="D204" s="11" t="inlineStr"/>
      <c r="E204" s="11" t="inlineStr">
        <is>
          <t>Smeg Porsche x SMEG Blender</t>
        </is>
      </c>
      <c r="F204" s="11" t="inlineStr">
        <is>
          <t>Smeg</t>
        </is>
      </c>
      <c r="G204" s="11" t="inlineStr"/>
      <c r="H204" s="11" t="inlineStr"/>
      <c r="I204" s="12" t="n">
        <v>9999</v>
      </c>
      <c r="J204" s="6" t="n">
        <v>15</v>
      </c>
      <c r="K204" s="7">
        <f>IF(I204="","",I204*(1+J204/100))</f>
        <v/>
      </c>
      <c r="L204" s="8" t="inlineStr"/>
      <c r="M204" s="9">
        <f>IF(OR(L204="",K204="",L204=0),"",
  (L204-K204)/L204*100)</f>
        <v/>
      </c>
      <c r="N204" s="10" t="inlineStr"/>
      <c r="O204" s="11" t="inlineStr"/>
      <c r="P204" s="11" t="inlineStr"/>
      <c r="Q204" s="11" t="inlineStr"/>
      <c r="R204" s="11" t="inlineStr">
        <is>
          <t>2026-03-12</t>
        </is>
      </c>
      <c r="S204" s="11" t="inlineStr">
        <is>
          <t>Hirschs 47th Anniversary Sale Feb-Mar 2026</t>
        </is>
      </c>
    </row>
    <row r="205">
      <c r="A205" s="3" t="inlineStr">
        <is>
          <t>FAB28RDPGS6</t>
        </is>
      </c>
      <c r="B205" s="4" t="inlineStr"/>
      <c r="C205" s="4" t="inlineStr"/>
      <c r="D205" s="4" t="inlineStr"/>
      <c r="E205" s="3" t="inlineStr">
        <is>
          <t>Smeg Porsche x SMEG Retro Fridge</t>
        </is>
      </c>
      <c r="F205" s="4" t="inlineStr">
        <is>
          <t>Smeg</t>
        </is>
      </c>
      <c r="G205" s="4" t="inlineStr"/>
      <c r="H205" s="4" t="inlineStr"/>
      <c r="I205" s="5" t="n">
        <v>84999</v>
      </c>
      <c r="J205" s="6" t="n">
        <v>15</v>
      </c>
      <c r="K205" s="7">
        <f>IF(I205="","",I205*(1+J205/100))</f>
        <v/>
      </c>
      <c r="L205" s="8" t="inlineStr"/>
      <c r="M205" s="9">
        <f>IF(OR(L205="",K205="",L205=0),"",
  (L205-K205)/L205*100)</f>
        <v/>
      </c>
      <c r="N205" s="10" t="inlineStr"/>
      <c r="O205" s="4" t="inlineStr"/>
      <c r="P205" s="4" t="inlineStr"/>
      <c r="Q205" s="4" t="inlineStr"/>
      <c r="R205" s="4" t="inlineStr">
        <is>
          <t>2026-03-12</t>
        </is>
      </c>
      <c r="S205" s="4" t="inlineStr">
        <is>
          <t>Hirschs 47th Anniversary Sale Feb-Mar 2026</t>
        </is>
      </c>
    </row>
    <row r="206">
      <c r="A206" s="11" t="inlineStr">
        <is>
          <t>DCF02CREU</t>
        </is>
      </c>
      <c r="B206" s="11" t="inlineStr"/>
      <c r="C206" s="11" t="inlineStr"/>
      <c r="D206" s="11" t="inlineStr"/>
      <c r="E206" s="11" t="inlineStr">
        <is>
          <t>Smeg Filter Coffee Machine</t>
        </is>
      </c>
      <c r="F206" s="11" t="inlineStr">
        <is>
          <t>Smeg</t>
        </is>
      </c>
      <c r="G206" s="11" t="inlineStr"/>
      <c r="H206" s="11" t="inlineStr"/>
      <c r="I206" s="12" t="n">
        <v>3799</v>
      </c>
      <c r="J206" s="6" t="n">
        <v>15</v>
      </c>
      <c r="K206" s="7">
        <f>IF(I206="","",I206*(1+J206/100))</f>
        <v/>
      </c>
      <c r="L206" s="8" t="inlineStr"/>
      <c r="M206" s="9">
        <f>IF(OR(L206="",K206="",L206=0),"",
  (L206-K206)/L206*100)</f>
        <v/>
      </c>
      <c r="N206" s="10" t="inlineStr"/>
      <c r="O206" s="11" t="inlineStr"/>
      <c r="P206" s="11" t="inlineStr"/>
      <c r="Q206" s="11" t="inlineStr"/>
      <c r="R206" s="11" t="inlineStr">
        <is>
          <t>2026-03-12</t>
        </is>
      </c>
      <c r="S206" s="11" t="inlineStr">
        <is>
          <t>Hirschs 47th Anniversary Sale Feb-Mar 2026</t>
        </is>
      </c>
    </row>
    <row r="207">
      <c r="A207" s="3" t="inlineStr">
        <is>
          <t>MFF02CREU</t>
        </is>
      </c>
      <c r="B207" s="4" t="inlineStr"/>
      <c r="C207" s="4" t="inlineStr"/>
      <c r="D207" s="4" t="inlineStr"/>
      <c r="E207" s="3" t="inlineStr">
        <is>
          <t>Smeg Milk Frother</t>
        </is>
      </c>
      <c r="F207" s="4" t="inlineStr">
        <is>
          <t>Smeg</t>
        </is>
      </c>
      <c r="G207" s="4" t="inlineStr"/>
      <c r="H207" s="4" t="inlineStr"/>
      <c r="I207" s="5" t="n">
        <v>1699</v>
      </c>
      <c r="J207" s="6" t="n">
        <v>15</v>
      </c>
      <c r="K207" s="7">
        <f>IF(I207="","",I207*(1+J207/100))</f>
        <v/>
      </c>
      <c r="L207" s="8" t="inlineStr"/>
      <c r="M207" s="9">
        <f>IF(OR(L207="",K207="",L207=0),"",
  (L207-K207)/L207*100)</f>
        <v/>
      </c>
      <c r="N207" s="10" t="inlineStr"/>
      <c r="O207" s="4" t="inlineStr"/>
      <c r="P207" s="4" t="inlineStr"/>
      <c r="Q207" s="4" t="inlineStr"/>
      <c r="R207" s="4" t="inlineStr">
        <is>
          <t>2026-03-12</t>
        </is>
      </c>
      <c r="S207" s="4" t="inlineStr">
        <is>
          <t>Hirschs 47th Anniversary Sale Feb-Mar 2026</t>
        </is>
      </c>
    </row>
    <row r="208">
      <c r="A208" s="11" t="inlineStr">
        <is>
          <t>SKC01SBM</t>
        </is>
      </c>
      <c r="B208" s="11" t="inlineStr"/>
      <c r="C208" s="11" t="inlineStr"/>
      <c r="D208" s="11" t="inlineStr"/>
      <c r="E208" s="11" t="inlineStr">
        <is>
          <t>Smeg Soda Maker</t>
        </is>
      </c>
      <c r="F208" s="11" t="inlineStr">
        <is>
          <t>Smeg</t>
        </is>
      </c>
      <c r="G208" s="11" t="inlineStr"/>
      <c r="H208" s="11" t="inlineStr"/>
      <c r="I208" s="12" t="n">
        <v>3499</v>
      </c>
      <c r="J208" s="6" t="n">
        <v>15</v>
      </c>
      <c r="K208" s="7">
        <f>IF(I208="","",I208*(1+J208/100))</f>
        <v/>
      </c>
      <c r="L208" s="8" t="inlineStr"/>
      <c r="M208" s="9">
        <f>IF(OR(L208="",K208="",L208=0),"",
  (L208-K208)/L208*100)</f>
        <v/>
      </c>
      <c r="N208" s="10" t="inlineStr"/>
      <c r="O208" s="11" t="inlineStr"/>
      <c r="P208" s="11" t="inlineStr"/>
      <c r="Q208" s="11" t="inlineStr"/>
      <c r="R208" s="11" t="inlineStr">
        <is>
          <t>2026-03-12</t>
        </is>
      </c>
      <c r="S208" s="11" t="inlineStr">
        <is>
          <t>Hirschs 47th Anniversary Sale Feb-Mar 2026</t>
        </is>
      </c>
    </row>
    <row r="209">
      <c r="A209" s="3" t="inlineStr">
        <is>
          <t>BCC12SIMEU</t>
        </is>
      </c>
      <c r="B209" s="4" t="inlineStr"/>
      <c r="C209" s="4" t="inlineStr"/>
      <c r="D209" s="4" t="inlineStr"/>
      <c r="E209" s="3" t="inlineStr">
        <is>
          <t>Smeg Bean-to-cup Coffee Machine</t>
        </is>
      </c>
      <c r="F209" s="4" t="inlineStr">
        <is>
          <t>Smeg</t>
        </is>
      </c>
      <c r="G209" s="4" t="inlineStr"/>
      <c r="H209" s="4" t="inlineStr"/>
      <c r="I209" s="5" t="n">
        <v>9999</v>
      </c>
      <c r="J209" s="6" t="n">
        <v>15</v>
      </c>
      <c r="K209" s="7">
        <f>IF(I209="","",I209*(1+J209/100))</f>
        <v/>
      </c>
      <c r="L209" s="8" t="inlineStr"/>
      <c r="M209" s="9">
        <f>IF(OR(L209="",K209="",L209=0),"",
  (L209-K209)/L209*100)</f>
        <v/>
      </c>
      <c r="N209" s="10" t="inlineStr"/>
      <c r="O209" s="4" t="inlineStr"/>
      <c r="P209" s="4" t="inlineStr"/>
      <c r="Q209" s="4" t="inlineStr"/>
      <c r="R209" s="4" t="inlineStr">
        <is>
          <t>2026-03-12</t>
        </is>
      </c>
      <c r="S209" s="4" t="inlineStr">
        <is>
          <t>Hirschs 47th Anniversary Sale Feb-Mar 2026</t>
        </is>
      </c>
    </row>
    <row r="210">
      <c r="A210" s="11" t="inlineStr">
        <is>
          <t>15456</t>
        </is>
      </c>
      <c r="B210" s="11" t="inlineStr"/>
      <c r="C210" s="11" t="inlineStr"/>
      <c r="D210" s="11" t="inlineStr"/>
      <c r="E210" s="11" t="inlineStr">
        <is>
          <t>Smeg Kettle &amp; 2-Slice Toaster</t>
        </is>
      </c>
      <c r="F210" s="11" t="inlineStr">
        <is>
          <t>Smeg</t>
        </is>
      </c>
      <c r="G210" s="11" t="inlineStr"/>
      <c r="H210" s="11" t="inlineStr"/>
      <c r="I210" s="12" t="n">
        <v>3299</v>
      </c>
      <c r="J210" s="6" t="n">
        <v>15</v>
      </c>
      <c r="K210" s="7">
        <f>IF(I210="","",I210*(1+J210/100))</f>
        <v/>
      </c>
      <c r="L210" s="8" t="inlineStr"/>
      <c r="M210" s="9">
        <f>IF(OR(L210="",K210="",L210=0),"",
  (L210-K210)/L210*100)</f>
        <v/>
      </c>
      <c r="N210" s="10" t="inlineStr"/>
      <c r="O210" s="11" t="inlineStr"/>
      <c r="P210" s="11" t="inlineStr"/>
      <c r="Q210" s="11" t="inlineStr"/>
      <c r="R210" s="11" t="inlineStr">
        <is>
          <t>2026-03-12</t>
        </is>
      </c>
      <c r="S210" s="11" t="inlineStr">
        <is>
          <t>Hirschs 47th Anniversary Sale Feb-Mar 2026</t>
        </is>
      </c>
    </row>
    <row r="211">
      <c r="A211" s="3" t="inlineStr">
        <is>
          <t>PBF01BLEU</t>
        </is>
      </c>
      <c r="B211" s="4" t="inlineStr"/>
      <c r="C211" s="4" t="inlineStr"/>
      <c r="D211" s="4" t="inlineStr"/>
      <c r="E211" s="3" t="inlineStr">
        <is>
          <t>Smeg Personal Blender</t>
        </is>
      </c>
      <c r="F211" s="4" t="inlineStr">
        <is>
          <t>Smeg</t>
        </is>
      </c>
      <c r="G211" s="4" t="inlineStr"/>
      <c r="H211" s="4" t="inlineStr"/>
      <c r="I211" s="5" t="n">
        <v>1999</v>
      </c>
      <c r="J211" s="6" t="n">
        <v>15</v>
      </c>
      <c r="K211" s="7">
        <f>IF(I211="","",I211*(1+J211/100))</f>
        <v/>
      </c>
      <c r="L211" s="8" t="inlineStr"/>
      <c r="M211" s="9">
        <f>IF(OR(L211="",K211="",L211=0),"",
  (L211-K211)/L211*100)</f>
        <v/>
      </c>
      <c r="N211" s="10" t="inlineStr"/>
      <c r="O211" s="4" t="inlineStr"/>
      <c r="P211" s="4" t="inlineStr"/>
      <c r="Q211" s="4" t="inlineStr"/>
      <c r="R211" s="4" t="inlineStr">
        <is>
          <t>2026-03-12</t>
        </is>
      </c>
      <c r="S211" s="4" t="inlineStr">
        <is>
          <t>Hirschs 47th Anniversary Sale Feb-Mar 2026</t>
        </is>
      </c>
    </row>
    <row r="212">
      <c r="A212" s="11" t="inlineStr">
        <is>
          <t>KSC01SLMWW</t>
        </is>
      </c>
      <c r="B212" s="11" t="inlineStr"/>
      <c r="C212" s="11" t="inlineStr"/>
      <c r="D212" s="11" t="inlineStr"/>
      <c r="E212" s="11" t="inlineStr">
        <is>
          <t>Smeg Digital Kitchen Scale</t>
        </is>
      </c>
      <c r="F212" s="11" t="inlineStr">
        <is>
          <t>Smeg</t>
        </is>
      </c>
      <c r="G212" s="11" t="inlineStr"/>
      <c r="H212" s="11" t="inlineStr"/>
      <c r="I212" s="12" t="n">
        <v>2795</v>
      </c>
      <c r="J212" s="6" t="n">
        <v>15</v>
      </c>
      <c r="K212" s="7">
        <f>IF(I212="","",I212*(1+J212/100))</f>
        <v/>
      </c>
      <c r="L212" s="8" t="inlineStr"/>
      <c r="M212" s="9">
        <f>IF(OR(L212="",K212="",L212=0),"",
  (L212-K212)/L212*100)</f>
        <v/>
      </c>
      <c r="N212" s="10" t="inlineStr"/>
      <c r="O212" s="11" t="inlineStr"/>
      <c r="P212" s="11" t="inlineStr"/>
      <c r="Q212" s="11" t="inlineStr"/>
      <c r="R212" s="11" t="inlineStr">
        <is>
          <t>2026-03-12</t>
        </is>
      </c>
      <c r="S212" s="11" t="inlineStr">
        <is>
          <t>Hirschs 47th Anniversary Sale Feb-Mar 2026</t>
        </is>
      </c>
    </row>
    <row r="213">
      <c r="A213" s="3" t="inlineStr">
        <is>
          <t>BLC02EGMEU</t>
        </is>
      </c>
      <c r="B213" s="4" t="inlineStr"/>
      <c r="C213" s="4" t="inlineStr"/>
      <c r="D213" s="4" t="inlineStr"/>
      <c r="E213" s="3" t="inlineStr">
        <is>
          <t>Smeg High-Performance Blender</t>
        </is>
      </c>
      <c r="F213" s="4" t="inlineStr">
        <is>
          <t>Smeg</t>
        </is>
      </c>
      <c r="G213" s="4" t="inlineStr"/>
      <c r="H213" s="4" t="inlineStr"/>
      <c r="I213" s="5" t="n">
        <v>11499</v>
      </c>
      <c r="J213" s="6" t="n">
        <v>15</v>
      </c>
      <c r="K213" s="7">
        <f>IF(I213="","",I213*(1+J213/100))</f>
        <v/>
      </c>
      <c r="L213" s="8" t="inlineStr"/>
      <c r="M213" s="9">
        <f>IF(OR(L213="",K213="",L213=0),"",
  (L213-K213)/L213*100)</f>
        <v/>
      </c>
      <c r="N213" s="10" t="inlineStr"/>
      <c r="O213" s="4" t="inlineStr"/>
      <c r="P213" s="4" t="inlineStr"/>
      <c r="Q213" s="4" t="inlineStr"/>
      <c r="R213" s="4" t="inlineStr">
        <is>
          <t>2026-03-12</t>
        </is>
      </c>
      <c r="S213" s="4" t="inlineStr">
        <is>
          <t>Hirschs 47th Anniversary Sale Feb-Mar 2026</t>
        </is>
      </c>
    </row>
    <row r="214">
      <c r="A214" s="11" t="inlineStr">
        <is>
          <t>SMF02CREU</t>
        </is>
      </c>
      <c r="B214" s="11" t="inlineStr"/>
      <c r="C214" s="11" t="inlineStr"/>
      <c r="D214" s="11" t="inlineStr"/>
      <c r="E214" s="11" t="inlineStr">
        <is>
          <t>Smeg Stand Mixer</t>
        </is>
      </c>
      <c r="F214" s="11" t="inlineStr">
        <is>
          <t>Smeg</t>
        </is>
      </c>
      <c r="G214" s="11" t="inlineStr"/>
      <c r="H214" s="11" t="inlineStr"/>
      <c r="I214" s="12" t="n">
        <v>8499</v>
      </c>
      <c r="J214" s="6" t="n">
        <v>15</v>
      </c>
      <c r="K214" s="7">
        <f>IF(I214="","",I214*(1+J214/100))</f>
        <v/>
      </c>
      <c r="L214" s="8" t="inlineStr"/>
      <c r="M214" s="9">
        <f>IF(OR(L214="",K214="",L214=0),"",
  (L214-K214)/L214*100)</f>
        <v/>
      </c>
      <c r="N214" s="10" t="inlineStr"/>
      <c r="O214" s="11" t="inlineStr"/>
      <c r="P214" s="11" t="inlineStr"/>
      <c r="Q214" s="11" t="inlineStr"/>
      <c r="R214" s="11" t="inlineStr">
        <is>
          <t>2026-03-12</t>
        </is>
      </c>
      <c r="S214" s="11" t="inlineStr">
        <is>
          <t>Hirschs 47th Anniversary Sale Feb-Mar 2026</t>
        </is>
      </c>
    </row>
    <row r="215">
      <c r="A215" s="3" t="inlineStr">
        <is>
          <t>HBF02CREU</t>
        </is>
      </c>
      <c r="B215" s="4" t="inlineStr"/>
      <c r="C215" s="4" t="inlineStr"/>
      <c r="D215" s="4" t="inlineStr"/>
      <c r="E215" s="3" t="inlineStr">
        <is>
          <t>Smeg Hand Blender</t>
        </is>
      </c>
      <c r="F215" s="4" t="inlineStr">
        <is>
          <t>Smeg</t>
        </is>
      </c>
      <c r="G215" s="4" t="inlineStr"/>
      <c r="H215" s="4" t="inlineStr"/>
      <c r="I215" s="5" t="n">
        <v>2299</v>
      </c>
      <c r="J215" s="6" t="n">
        <v>15</v>
      </c>
      <c r="K215" s="7">
        <f>IF(I215="","",I215*(1+J215/100))</f>
        <v/>
      </c>
      <c r="L215" s="8" t="inlineStr"/>
      <c r="M215" s="9">
        <f>IF(OR(L215="",K215="",L215=0),"",
  (L215-K215)/L215*100)</f>
        <v/>
      </c>
      <c r="N215" s="10" t="inlineStr"/>
      <c r="O215" s="4" t="inlineStr"/>
      <c r="P215" s="4" t="inlineStr"/>
      <c r="Q215" s="4" t="inlineStr"/>
      <c r="R215" s="4" t="inlineStr">
        <is>
          <t>2026-03-12</t>
        </is>
      </c>
      <c r="S215" s="4" t="inlineStr">
        <is>
          <t>Hirschs 47th Anniversary Sale Feb-Mar 2026</t>
        </is>
      </c>
    </row>
    <row r="216">
      <c r="A216" s="11" t="inlineStr">
        <is>
          <t>WBFG1</t>
        </is>
      </c>
      <c r="B216" s="11" t="inlineStr"/>
      <c r="C216" s="11" t="inlineStr"/>
      <c r="D216" s="11" t="inlineStr"/>
      <c r="E216" s="11" t="inlineStr">
        <is>
          <t>Smeg 500ml Insulated Water Bottle</t>
        </is>
      </c>
      <c r="F216" s="11" t="inlineStr">
        <is>
          <t>Smeg</t>
        </is>
      </c>
      <c r="G216" s="11" t="inlineStr"/>
      <c r="H216" s="11" t="inlineStr"/>
      <c r="I216" s="12" t="n">
        <v>849</v>
      </c>
      <c r="J216" s="6" t="n">
        <v>15</v>
      </c>
      <c r="K216" s="7">
        <f>IF(I216="","",I216*(1+J216/100))</f>
        <v/>
      </c>
      <c r="L216" s="8" t="inlineStr"/>
      <c r="M216" s="9">
        <f>IF(OR(L216="",K216="",L216=0),"",
  (L216-K216)/L216*100)</f>
        <v/>
      </c>
      <c r="N216" s="10" t="inlineStr"/>
      <c r="O216" s="11" t="inlineStr"/>
      <c r="P216" s="11" t="inlineStr"/>
      <c r="Q216" s="11" t="inlineStr"/>
      <c r="R216" s="11" t="inlineStr">
        <is>
          <t>2026-03-12</t>
        </is>
      </c>
      <c r="S216" s="11" t="inlineStr">
        <is>
          <t>Hirschs 47th Anniversary Sale Feb-Mar 2026</t>
        </is>
      </c>
    </row>
    <row r="217">
      <c r="A217" s="3" t="inlineStr">
        <is>
          <t>MOE25X</t>
        </is>
      </c>
      <c r="B217" s="4" t="inlineStr"/>
      <c r="C217" s="4" t="inlineStr"/>
      <c r="D217" s="4" t="inlineStr"/>
      <c r="E217" s="3" t="inlineStr">
        <is>
          <t>Smeg 60" Microwave Oven</t>
        </is>
      </c>
      <c r="F217" s="4" t="inlineStr">
        <is>
          <t>Smeg</t>
        </is>
      </c>
      <c r="G217" s="4" t="inlineStr"/>
      <c r="H217" s="4" t="inlineStr"/>
      <c r="I217" s="5" t="n">
        <v>6699</v>
      </c>
      <c r="J217" s="6" t="n">
        <v>15</v>
      </c>
      <c r="K217" s="7">
        <f>IF(I217="","",I217*(1+J217/100))</f>
        <v/>
      </c>
      <c r="L217" s="8" t="inlineStr"/>
      <c r="M217" s="9">
        <f>IF(OR(L217="",K217="",L217=0),"",
  (L217-K217)/L217*100)</f>
        <v/>
      </c>
      <c r="N217" s="10" t="inlineStr"/>
      <c r="O217" s="4" t="inlineStr"/>
      <c r="P217" s="4" t="inlineStr"/>
      <c r="Q217" s="4" t="inlineStr"/>
      <c r="R217" s="4" t="inlineStr">
        <is>
          <t>2026-03-12</t>
        </is>
      </c>
      <c r="S217" s="4" t="inlineStr">
        <is>
          <t>Hirschs 47th Anniversary Sale Feb-Mar 2026</t>
        </is>
      </c>
    </row>
    <row r="218">
      <c r="A218" s="11" t="inlineStr">
        <is>
          <t>DFF590</t>
        </is>
      </c>
      <c r="B218" s="11" t="inlineStr"/>
      <c r="C218" s="11" t="inlineStr"/>
      <c r="D218" s="11" t="inlineStr"/>
      <c r="E218" s="11" t="inlineStr">
        <is>
          <t>Defy 91cm 601lt Multi-Door Dark Inox</t>
        </is>
      </c>
      <c r="F218" s="11" t="inlineStr">
        <is>
          <t>Defy</t>
        </is>
      </c>
      <c r="G218" s="11" t="inlineStr"/>
      <c r="H218" s="11" t="inlineStr"/>
      <c r="I218" s="12" t="n">
        <v>18499</v>
      </c>
      <c r="J218" s="6" t="n">
        <v>15</v>
      </c>
      <c r="K218" s="7">
        <f>IF(I218="","",I218*(1+J218/100))</f>
        <v/>
      </c>
      <c r="L218" s="8" t="inlineStr"/>
      <c r="M218" s="9">
        <f>IF(OR(L218="",K218="",L218=0),"",
  (L218-K218)/L218*100)</f>
        <v/>
      </c>
      <c r="N218" s="10" t="inlineStr"/>
      <c r="O218" s="11" t="inlineStr"/>
      <c r="P218" s="11" t="inlineStr"/>
      <c r="Q218" s="11" t="inlineStr"/>
      <c r="R218" s="11" t="inlineStr">
        <is>
          <t>2026-03-12</t>
        </is>
      </c>
      <c r="S218" s="11" t="inlineStr">
        <is>
          <t>Hirschs 47th Anniversary Sale Feb-Mar 2026</t>
        </is>
      </c>
    </row>
    <row r="219">
      <c r="A219" s="3" t="inlineStr">
        <is>
          <t>DFF663</t>
        </is>
      </c>
      <c r="B219" s="4" t="inlineStr"/>
      <c r="C219" s="4" t="inlineStr"/>
      <c r="D219" s="4" t="inlineStr"/>
      <c r="E219" s="3" t="inlineStr">
        <is>
          <t>Defy 100cm 614lt Side By Side Dark Inox NATURELIGHT</t>
        </is>
      </c>
      <c r="F219" s="4" t="inlineStr">
        <is>
          <t>Defy</t>
        </is>
      </c>
      <c r="G219" s="4" t="inlineStr"/>
      <c r="H219" s="4" t="inlineStr"/>
      <c r="I219" s="5" t="n">
        <v>14999</v>
      </c>
      <c r="J219" s="6" t="n">
        <v>15</v>
      </c>
      <c r="K219" s="7">
        <f>IF(I219="","",I219*(1+J219/100))</f>
        <v/>
      </c>
      <c r="L219" s="8" t="inlineStr"/>
      <c r="M219" s="9">
        <f>IF(OR(L219="",K219="",L219=0),"",
  (L219-K219)/L219*100)</f>
        <v/>
      </c>
      <c r="N219" s="10" t="inlineStr"/>
      <c r="O219" s="4" t="inlineStr"/>
      <c r="P219" s="4" t="inlineStr"/>
      <c r="Q219" s="4" t="inlineStr"/>
      <c r="R219" s="4" t="inlineStr">
        <is>
          <t>2026-03-12</t>
        </is>
      </c>
      <c r="S219" s="4" t="inlineStr">
        <is>
          <t>Hirschs 47th Anniversary Sale Feb-Mar 2026</t>
        </is>
      </c>
    </row>
    <row r="220">
      <c r="A220" s="11" t="inlineStr">
        <is>
          <t>DFF636</t>
        </is>
      </c>
      <c r="B220" s="11" t="inlineStr"/>
      <c r="C220" s="11" t="inlineStr"/>
      <c r="D220" s="11" t="inlineStr"/>
      <c r="E220" s="11" t="inlineStr">
        <is>
          <t>Defy 91cm 559lt Side By Side Dark Inox NATURELIGHT</t>
        </is>
      </c>
      <c r="F220" s="11" t="inlineStr">
        <is>
          <t>Defy</t>
        </is>
      </c>
      <c r="G220" s="11" t="inlineStr"/>
      <c r="H220" s="11" t="inlineStr"/>
      <c r="I220" s="12" t="n">
        <v>10999</v>
      </c>
      <c r="J220" s="6" t="n">
        <v>15</v>
      </c>
      <c r="K220" s="7">
        <f>IF(I220="","",I220*(1+J220/100))</f>
        <v/>
      </c>
      <c r="L220" s="8" t="inlineStr"/>
      <c r="M220" s="9">
        <f>IF(OR(L220="",K220="",L220=0),"",
  (L220-K220)/L220*100)</f>
        <v/>
      </c>
      <c r="N220" s="10" t="inlineStr"/>
      <c r="O220" s="11" t="inlineStr"/>
      <c r="P220" s="11" t="inlineStr"/>
      <c r="Q220" s="11" t="inlineStr"/>
      <c r="R220" s="11" t="inlineStr">
        <is>
          <t>2026-03-12</t>
        </is>
      </c>
      <c r="S220" s="11" t="inlineStr">
        <is>
          <t>Hirschs 47th Anniversary Sale Feb-Mar 2026</t>
        </is>
      </c>
    </row>
    <row r="221">
      <c r="A221" s="3" t="inlineStr">
        <is>
          <t>DUF250</t>
        </is>
      </c>
      <c r="B221" s="4" t="inlineStr"/>
      <c r="C221" s="4" t="inlineStr"/>
      <c r="D221" s="4" t="inlineStr"/>
      <c r="E221" s="3" t="inlineStr">
        <is>
          <t>Defy 60cm 250lt Full Freezer Titanium Inox</t>
        </is>
      </c>
      <c r="F221" s="4" t="inlineStr">
        <is>
          <t>Defy</t>
        </is>
      </c>
      <c r="G221" s="4" t="inlineStr"/>
      <c r="H221" s="4" t="inlineStr"/>
      <c r="I221" s="5" t="n">
        <v>10999</v>
      </c>
      <c r="J221" s="6" t="n">
        <v>15</v>
      </c>
      <c r="K221" s="7">
        <f>IF(I221="","",I221*(1+J221/100))</f>
        <v/>
      </c>
      <c r="L221" s="8" t="inlineStr"/>
      <c r="M221" s="9">
        <f>IF(OR(L221="",K221="",L221=0),"",
  (L221-K221)/L221*100)</f>
        <v/>
      </c>
      <c r="N221" s="10" t="inlineStr"/>
      <c r="O221" s="4" t="inlineStr"/>
      <c r="P221" s="4" t="inlineStr"/>
      <c r="Q221" s="4" t="inlineStr"/>
      <c r="R221" s="4" t="inlineStr">
        <is>
          <t>2026-03-12</t>
        </is>
      </c>
      <c r="S221" s="4" t="inlineStr">
        <is>
          <t>Hirschs 47th Anniversary Sale Feb-Mar 2026</t>
        </is>
      </c>
    </row>
    <row r="222">
      <c r="A222" s="11" t="inlineStr">
        <is>
          <t>DFD458</t>
        </is>
      </c>
      <c r="B222" s="11" t="inlineStr"/>
      <c r="C222" s="11" t="inlineStr"/>
      <c r="D222" s="11" t="inlineStr"/>
      <c r="E222" s="11" t="inlineStr">
        <is>
          <t>Defy 60cm 343lt Full Fridge Titanium Inox</t>
        </is>
      </c>
      <c r="F222" s="11" t="inlineStr">
        <is>
          <t>Defy</t>
        </is>
      </c>
      <c r="G222" s="11" t="inlineStr"/>
      <c r="H222" s="11" t="inlineStr"/>
      <c r="I222" s="12" t="n">
        <v>10999</v>
      </c>
      <c r="J222" s="6" t="n">
        <v>15</v>
      </c>
      <c r="K222" s="7">
        <f>IF(I222="","",I222*(1+J222/100))</f>
        <v/>
      </c>
      <c r="L222" s="8" t="inlineStr"/>
      <c r="M222" s="9">
        <f>IF(OR(L222="",K222="",L222=0),"",
  (L222-K222)/L222*100)</f>
        <v/>
      </c>
      <c r="N222" s="10" t="inlineStr"/>
      <c r="O222" s="11" t="inlineStr"/>
      <c r="P222" s="11" t="inlineStr"/>
      <c r="Q222" s="11" t="inlineStr"/>
      <c r="R222" s="11" t="inlineStr">
        <is>
          <t>2026-03-12</t>
        </is>
      </c>
      <c r="S222" s="11" t="inlineStr">
        <is>
          <t>Hirschs 47th Anniversary Sale Feb-Mar 2026</t>
        </is>
      </c>
    </row>
    <row r="223">
      <c r="A223" s="3" t="inlineStr">
        <is>
          <t>DAC674</t>
        </is>
      </c>
      <c r="B223" s="4" t="inlineStr"/>
      <c r="C223" s="4" t="inlineStr"/>
      <c r="D223" s="4" t="inlineStr"/>
      <c r="E223" s="3" t="inlineStr">
        <is>
          <t>Defy 329lt Bottom Mounted Fridge/Freezer</t>
        </is>
      </c>
      <c r="F223" s="4" t="inlineStr">
        <is>
          <t>Defy</t>
        </is>
      </c>
      <c r="G223" s="4" t="inlineStr"/>
      <c r="H223" s="4" t="inlineStr"/>
      <c r="I223" s="5" t="n">
        <v>8499</v>
      </c>
      <c r="J223" s="6" t="n">
        <v>15</v>
      </c>
      <c r="K223" s="7">
        <f>IF(I223="","",I223*(1+J223/100))</f>
        <v/>
      </c>
      <c r="L223" s="8" t="inlineStr"/>
      <c r="M223" s="9">
        <f>IF(OR(L223="",K223="",L223=0),"",
  (L223-K223)/L223*100)</f>
        <v/>
      </c>
      <c r="N223" s="10" t="inlineStr"/>
      <c r="O223" s="4" t="inlineStr"/>
      <c r="P223" s="4" t="inlineStr"/>
      <c r="Q223" s="4" t="inlineStr"/>
      <c r="R223" s="4" t="inlineStr">
        <is>
          <t>2026-03-12</t>
        </is>
      </c>
      <c r="S223" s="4" t="inlineStr">
        <is>
          <t>Hirschs 47th Anniversary Sale Feb-Mar 2026</t>
        </is>
      </c>
    </row>
    <row r="224">
      <c r="A224" s="11" t="inlineStr">
        <is>
          <t>DAC447</t>
        </is>
      </c>
      <c r="B224" s="11" t="inlineStr"/>
      <c r="C224" s="11" t="inlineStr"/>
      <c r="D224" s="11" t="inlineStr"/>
      <c r="E224" s="11" t="inlineStr">
        <is>
          <t>Defy 247lt Bottom Mounted Fridge/Freezer</t>
        </is>
      </c>
      <c r="F224" s="11" t="inlineStr">
        <is>
          <t>Defy</t>
        </is>
      </c>
      <c r="G224" s="11" t="inlineStr"/>
      <c r="H224" s="11" t="inlineStr"/>
      <c r="I224" s="12" t="n">
        <v>4999</v>
      </c>
      <c r="J224" s="6" t="n">
        <v>15</v>
      </c>
      <c r="K224" s="7">
        <f>IF(I224="","",I224*(1+J224/100))</f>
        <v/>
      </c>
      <c r="L224" s="8" t="inlineStr"/>
      <c r="M224" s="9">
        <f>IF(OR(L224="",K224="",L224=0),"",
  (L224-K224)/L224*100)</f>
        <v/>
      </c>
      <c r="N224" s="10" t="inlineStr"/>
      <c r="O224" s="11" t="inlineStr"/>
      <c r="P224" s="11" t="inlineStr"/>
      <c r="Q224" s="11" t="inlineStr"/>
      <c r="R224" s="11" t="inlineStr">
        <is>
          <t>2026-03-12</t>
        </is>
      </c>
      <c r="S224" s="11" t="inlineStr">
        <is>
          <t>Hirschs 47th Anniversary Sale Feb-Mar 2026</t>
        </is>
      </c>
    </row>
    <row r="225">
      <c r="A225" s="3" t="inlineStr">
        <is>
          <t>DAW398</t>
        </is>
      </c>
      <c r="B225" s="4" t="inlineStr"/>
      <c r="C225" s="4" t="inlineStr"/>
      <c r="D225" s="4" t="inlineStr"/>
      <c r="E225" s="3" t="inlineStr">
        <is>
          <t>Defy 12kg STEAMCURE EcoColdWash Front Loader</t>
        </is>
      </c>
      <c r="F225" s="4" t="inlineStr">
        <is>
          <t>Defy</t>
        </is>
      </c>
      <c r="G225" s="4" t="inlineStr"/>
      <c r="H225" s="4" t="inlineStr"/>
      <c r="I225" s="5" t="n">
        <v>8999</v>
      </c>
      <c r="J225" s="6" t="n">
        <v>15</v>
      </c>
      <c r="K225" s="7">
        <f>IF(I225="","",I225*(1+J225/100))</f>
        <v/>
      </c>
      <c r="L225" s="8" t="inlineStr"/>
      <c r="M225" s="9">
        <f>IF(OR(L225="",K225="",L225=0),"",
  (L225-K225)/L225*100)</f>
        <v/>
      </c>
      <c r="N225" s="10" t="inlineStr"/>
      <c r="O225" s="4" t="inlineStr"/>
      <c r="P225" s="4" t="inlineStr"/>
      <c r="Q225" s="4" t="inlineStr"/>
      <c r="R225" s="4" t="inlineStr">
        <is>
          <t>2026-03-12</t>
        </is>
      </c>
      <c r="S225" s="4" t="inlineStr">
        <is>
          <t>Hirschs 47th Anniversary Sale Feb-Mar 2026</t>
        </is>
      </c>
    </row>
    <row r="226">
      <c r="A226" s="11" t="inlineStr">
        <is>
          <t>DAW399</t>
        </is>
      </c>
      <c r="B226" s="11" t="inlineStr"/>
      <c r="C226" s="11" t="inlineStr"/>
      <c r="D226" s="11" t="inlineStr"/>
      <c r="E226" s="11" t="inlineStr">
        <is>
          <t>Defy 9kg STEAMCURE Front Loader</t>
        </is>
      </c>
      <c r="F226" s="11" t="inlineStr">
        <is>
          <t>Defy</t>
        </is>
      </c>
      <c r="G226" s="11" t="inlineStr"/>
      <c r="H226" s="11" t="inlineStr"/>
      <c r="I226" s="12" t="n">
        <v>6499</v>
      </c>
      <c r="J226" s="6" t="n">
        <v>15</v>
      </c>
      <c r="K226" s="7">
        <f>IF(I226="","",I226*(1+J226/100))</f>
        <v/>
      </c>
      <c r="L226" s="8" t="inlineStr"/>
      <c r="M226" s="9">
        <f>IF(OR(L226="",K226="",L226=0),"",
  (L226-K226)/L226*100)</f>
        <v/>
      </c>
      <c r="N226" s="10" t="inlineStr"/>
      <c r="O226" s="11" t="inlineStr"/>
      <c r="P226" s="11" t="inlineStr"/>
      <c r="Q226" s="11" t="inlineStr"/>
      <c r="R226" s="11" t="inlineStr">
        <is>
          <t>2026-03-12</t>
        </is>
      </c>
      <c r="S226" s="11" t="inlineStr">
        <is>
          <t>Hirschs 47th Anniversary Sale Feb-Mar 2026</t>
        </is>
      </c>
    </row>
    <row r="227">
      <c r="A227" s="3" t="inlineStr">
        <is>
          <t>DAW392</t>
        </is>
      </c>
      <c r="B227" s="4" t="inlineStr"/>
      <c r="C227" s="4" t="inlineStr"/>
      <c r="D227" s="4" t="inlineStr"/>
      <c r="E227" s="3" t="inlineStr">
        <is>
          <t>Defy 6kg STEAMCURE Front Loader</t>
        </is>
      </c>
      <c r="F227" s="4" t="inlineStr">
        <is>
          <t>Defy</t>
        </is>
      </c>
      <c r="G227" s="4" t="inlineStr"/>
      <c r="H227" s="4" t="inlineStr"/>
      <c r="I227" s="5" t="n">
        <v>3999</v>
      </c>
      <c r="J227" s="6" t="n">
        <v>15</v>
      </c>
      <c r="K227" s="7">
        <f>IF(I227="","",I227*(1+J227/100))</f>
        <v/>
      </c>
      <c r="L227" s="8" t="inlineStr"/>
      <c r="M227" s="9">
        <f>IF(OR(L227="",K227="",L227=0),"",
  (L227-K227)/L227*100)</f>
        <v/>
      </c>
      <c r="N227" s="10" t="inlineStr"/>
      <c r="O227" s="4" t="inlineStr"/>
      <c r="P227" s="4" t="inlineStr"/>
      <c r="Q227" s="4" t="inlineStr"/>
      <c r="R227" s="4" t="inlineStr">
        <is>
          <t>2026-03-12</t>
        </is>
      </c>
      <c r="S227" s="4" t="inlineStr">
        <is>
          <t>Hirschs 47th Anniversary Sale Feb-Mar 2026</t>
        </is>
      </c>
    </row>
    <row r="228">
      <c r="A228" s="11" t="inlineStr">
        <is>
          <t>DWD429</t>
        </is>
      </c>
      <c r="B228" s="11" t="inlineStr"/>
      <c r="C228" s="11" t="inlineStr"/>
      <c r="D228" s="11" t="inlineStr"/>
      <c r="E228" s="11" t="inlineStr">
        <is>
          <t>Defy 9/5kg Washer Dryer Manhattan Grey</t>
        </is>
      </c>
      <c r="F228" s="11" t="inlineStr">
        <is>
          <t>Defy</t>
        </is>
      </c>
      <c r="G228" s="11" t="inlineStr"/>
      <c r="H228" s="11" t="inlineStr"/>
      <c r="I228" s="12" t="n">
        <v>7499</v>
      </c>
      <c r="J228" s="6" t="n">
        <v>15</v>
      </c>
      <c r="K228" s="7">
        <f>IF(I228="","",I228*(1+J228/100))</f>
        <v/>
      </c>
      <c r="L228" s="8" t="inlineStr"/>
      <c r="M228" s="9">
        <f>IF(OR(L228="",K228="",L228=0),"",
  (L228-K228)/L228*100)</f>
        <v/>
      </c>
      <c r="N228" s="10" t="inlineStr"/>
      <c r="O228" s="11" t="inlineStr"/>
      <c r="P228" s="11" t="inlineStr"/>
      <c r="Q228" s="11" t="inlineStr"/>
      <c r="R228" s="11" t="inlineStr">
        <is>
          <t>2026-03-12</t>
        </is>
      </c>
      <c r="S228" s="11" t="inlineStr">
        <is>
          <t>Hirschs 47th Anniversary Sale Feb-Mar 2026</t>
        </is>
      </c>
    </row>
    <row r="229">
      <c r="A229" s="3" t="inlineStr">
        <is>
          <t>DTD324</t>
        </is>
      </c>
      <c r="B229" s="4" t="inlineStr"/>
      <c r="C229" s="4" t="inlineStr"/>
      <c r="D229" s="4" t="inlineStr"/>
      <c r="E229" s="3" t="inlineStr">
        <is>
          <t>Defy 9kg Heat Pump Tumble Dryer</t>
        </is>
      </c>
      <c r="F229" s="4" t="inlineStr">
        <is>
          <t>Defy</t>
        </is>
      </c>
      <c r="G229" s="4" t="inlineStr"/>
      <c r="H229" s="4" t="inlineStr"/>
      <c r="I229" s="5" t="n">
        <v>8999</v>
      </c>
      <c r="J229" s="6" t="n">
        <v>15</v>
      </c>
      <c r="K229" s="7">
        <f>IF(I229="","",I229*(1+J229/100))</f>
        <v/>
      </c>
      <c r="L229" s="8" t="inlineStr"/>
      <c r="M229" s="9">
        <f>IF(OR(L229="",K229="",L229=0),"",
  (L229-K229)/L229*100)</f>
        <v/>
      </c>
      <c r="N229" s="10" t="inlineStr"/>
      <c r="O229" s="4" t="inlineStr"/>
      <c r="P229" s="4" t="inlineStr"/>
      <c r="Q229" s="4" t="inlineStr"/>
      <c r="R229" s="4" t="inlineStr">
        <is>
          <t>2026-03-12</t>
        </is>
      </c>
      <c r="S229" s="4" t="inlineStr">
        <is>
          <t>Hirschs 47th Anniversary Sale Feb-Mar 2026</t>
        </is>
      </c>
    </row>
    <row r="230">
      <c r="A230" s="11" t="inlineStr">
        <is>
          <t>DTD236</t>
        </is>
      </c>
      <c r="B230" s="11" t="inlineStr"/>
      <c r="C230" s="11" t="inlineStr"/>
      <c r="D230" s="11" t="inlineStr"/>
      <c r="E230" s="11" t="inlineStr">
        <is>
          <t>Defy 6kg Air Vented Tumble Dryer</t>
        </is>
      </c>
      <c r="F230" s="11" t="inlineStr">
        <is>
          <t>Defy</t>
        </is>
      </c>
      <c r="G230" s="11" t="inlineStr"/>
      <c r="H230" s="11" t="inlineStr"/>
      <c r="I230" s="12" t="n">
        <v>4499</v>
      </c>
      <c r="J230" s="6" t="n">
        <v>15</v>
      </c>
      <c r="K230" s="7">
        <f>IF(I230="","",I230*(1+J230/100))</f>
        <v/>
      </c>
      <c r="L230" s="8" t="inlineStr"/>
      <c r="M230" s="9">
        <f>IF(OR(L230="",K230="",L230=0),"",
  (L230-K230)/L230*100)</f>
        <v/>
      </c>
      <c r="N230" s="10" t="inlineStr"/>
      <c r="O230" s="11" t="inlineStr"/>
      <c r="P230" s="11" t="inlineStr"/>
      <c r="Q230" s="11" t="inlineStr"/>
      <c r="R230" s="11" t="inlineStr">
        <is>
          <t>2026-03-12</t>
        </is>
      </c>
      <c r="S230" s="11" t="inlineStr">
        <is>
          <t>Hirschs 47th Anniversary Sale Feb-Mar 2026</t>
        </is>
      </c>
    </row>
    <row r="231">
      <c r="A231" s="3" t="inlineStr">
        <is>
          <t>DDW377</t>
        </is>
      </c>
      <c r="B231" s="4" t="inlineStr"/>
      <c r="C231" s="4" t="inlineStr"/>
      <c r="D231" s="4" t="inlineStr"/>
      <c r="E231" s="3" t="inlineStr">
        <is>
          <t>Defy 15 Place Setting Dishwasher</t>
        </is>
      </c>
      <c r="F231" s="4" t="inlineStr">
        <is>
          <t>Defy</t>
        </is>
      </c>
      <c r="G231" s="4" t="inlineStr"/>
      <c r="H231" s="4" t="inlineStr"/>
      <c r="I231" s="5" t="n">
        <v>9999</v>
      </c>
      <c r="J231" s="6" t="n">
        <v>15</v>
      </c>
      <c r="K231" s="7">
        <f>IF(I231="","",I231*(1+J231/100))</f>
        <v/>
      </c>
      <c r="L231" s="8" t="inlineStr"/>
      <c r="M231" s="9">
        <f>IF(OR(L231="",K231="",L231=0),"",
  (L231-K231)/L231*100)</f>
        <v/>
      </c>
      <c r="N231" s="10" t="inlineStr"/>
      <c r="O231" s="4" t="inlineStr"/>
      <c r="P231" s="4" t="inlineStr"/>
      <c r="Q231" s="4" t="inlineStr"/>
      <c r="R231" s="4" t="inlineStr">
        <is>
          <t>2026-03-12</t>
        </is>
      </c>
      <c r="S231" s="4" t="inlineStr">
        <is>
          <t>Hirschs 47th Anniversary Sale Feb-Mar 2026</t>
        </is>
      </c>
    </row>
    <row r="232">
      <c r="A232" s="11" t="inlineStr">
        <is>
          <t>DDW257</t>
        </is>
      </c>
      <c r="B232" s="11" t="inlineStr"/>
      <c r="C232" s="11" t="inlineStr"/>
      <c r="D232" s="11" t="inlineStr"/>
      <c r="E232" s="11" t="inlineStr">
        <is>
          <t>Defy 15 Place Setting Dishwasher Inox</t>
        </is>
      </c>
      <c r="F232" s="11" t="inlineStr">
        <is>
          <t>Defy</t>
        </is>
      </c>
      <c r="G232" s="11" t="inlineStr"/>
      <c r="H232" s="11" t="inlineStr"/>
      <c r="I232" s="12" t="n">
        <v>6499</v>
      </c>
      <c r="J232" s="6" t="n">
        <v>15</v>
      </c>
      <c r="K232" s="7">
        <f>IF(I232="","",I232*(1+J232/100))</f>
        <v/>
      </c>
      <c r="L232" s="8" t="inlineStr"/>
      <c r="M232" s="9">
        <f>IF(OR(L232="",K232="",L232=0),"",
  (L232-K232)/L232*100)</f>
        <v/>
      </c>
      <c r="N232" s="10" t="inlineStr"/>
      <c r="O232" s="11" t="inlineStr"/>
      <c r="P232" s="11" t="inlineStr"/>
      <c r="Q232" s="11" t="inlineStr"/>
      <c r="R232" s="11" t="inlineStr">
        <is>
          <t>2026-03-12</t>
        </is>
      </c>
      <c r="S232" s="11" t="inlineStr">
        <is>
          <t>Hirschs 47th Anniversary Sale Feb-Mar 2026</t>
        </is>
      </c>
    </row>
    <row r="233">
      <c r="A233" s="3" t="inlineStr">
        <is>
          <t>DDW242</t>
        </is>
      </c>
      <c r="B233" s="4" t="inlineStr"/>
      <c r="C233" s="4" t="inlineStr"/>
      <c r="D233" s="4" t="inlineStr"/>
      <c r="E233" s="3" t="inlineStr">
        <is>
          <t>Defy 13 Place Setting Dishwasher Manhattan Grey</t>
        </is>
      </c>
      <c r="F233" s="4" t="inlineStr">
        <is>
          <t>Defy</t>
        </is>
      </c>
      <c r="G233" s="4" t="inlineStr"/>
      <c r="H233" s="4" t="inlineStr"/>
      <c r="I233" s="5" t="n">
        <v>4999</v>
      </c>
      <c r="J233" s="6" t="n">
        <v>15</v>
      </c>
      <c r="K233" s="7">
        <f>IF(I233="","",I233*(1+J233/100))</f>
        <v/>
      </c>
      <c r="L233" s="8" t="inlineStr"/>
      <c r="M233" s="9">
        <f>IF(OR(L233="",K233="",L233=0),"",
  (L233-K233)/L233*100)</f>
        <v/>
      </c>
      <c r="N233" s="10" t="inlineStr"/>
      <c r="O233" s="4" t="inlineStr"/>
      <c r="P233" s="4" t="inlineStr"/>
      <c r="Q233" s="4" t="inlineStr"/>
      <c r="R233" s="4" t="inlineStr">
        <is>
          <t>2026-03-12</t>
        </is>
      </c>
      <c r="S233" s="4" t="inlineStr">
        <is>
          <t>Hirschs 47th Anniversary Sale Feb-Mar 2026</t>
        </is>
      </c>
    </row>
    <row r="234">
      <c r="A234" s="11" t="inlineStr">
        <is>
          <t>HJG6832EG02</t>
        </is>
      </c>
      <c r="B234" s="11" t="inlineStr"/>
      <c r="C234" s="11" t="inlineStr"/>
      <c r="D234" s="11" t="inlineStr"/>
      <c r="E234" s="11" t="inlineStr">
        <is>
          <t>Bosch 76L Built-in Oven Serie 6</t>
        </is>
      </c>
      <c r="F234" s="11" t="inlineStr">
        <is>
          <t>Bosch</t>
        </is>
      </c>
      <c r="G234" s="11" t="inlineStr"/>
      <c r="H234" s="11" t="inlineStr"/>
      <c r="I234" s="12" t="n">
        <v>9999</v>
      </c>
      <c r="J234" s="6" t="n">
        <v>15</v>
      </c>
      <c r="K234" s="7">
        <f>IF(I234="","",I234*(1+J234/100))</f>
        <v/>
      </c>
      <c r="L234" s="8" t="inlineStr"/>
      <c r="M234" s="9">
        <f>IF(OR(L234="",K234="",L234=0),"",
  (L234-K234)/L234*100)</f>
        <v/>
      </c>
      <c r="N234" s="10" t="inlineStr"/>
      <c r="O234" s="11" t="inlineStr"/>
      <c r="P234" s="11" t="inlineStr"/>
      <c r="Q234" s="11" t="inlineStr"/>
      <c r="R234" s="11" t="inlineStr">
        <is>
          <t>2026-03-12</t>
        </is>
      </c>
      <c r="S234" s="11" t="inlineStr">
        <is>
          <t>Hirschs 47th Anniversary Sale Feb-Mar 2026</t>
        </is>
      </c>
    </row>
    <row r="235">
      <c r="A235" s="3" t="inlineStr">
        <is>
          <t>81488</t>
        </is>
      </c>
      <c r="B235" s="4" t="inlineStr"/>
      <c r="C235" s="4" t="inlineStr"/>
      <c r="D235" s="4" t="inlineStr"/>
      <c r="E235" s="3" t="inlineStr">
        <is>
          <t>Bosch 71L Multifunction Oven</t>
        </is>
      </c>
      <c r="F235" s="4" t="inlineStr">
        <is>
          <t>Bosch</t>
        </is>
      </c>
      <c r="G235" s="4" t="inlineStr"/>
      <c r="H235" s="4" t="inlineStr"/>
      <c r="I235" s="5" t="n">
        <v>13999</v>
      </c>
      <c r="J235" s="6" t="n">
        <v>15</v>
      </c>
      <c r="K235" s="7">
        <f>IF(I235="","",I235*(1+J235/100))</f>
        <v/>
      </c>
      <c r="L235" s="8" t="inlineStr"/>
      <c r="M235" s="9">
        <f>IF(OR(L235="",K235="",L235=0),"",
  (L235-K235)/L235*100)</f>
        <v/>
      </c>
      <c r="N235" s="10" t="inlineStr"/>
      <c r="O235" s="4" t="inlineStr"/>
      <c r="P235" s="4" t="inlineStr"/>
      <c r="Q235" s="4" t="inlineStr"/>
      <c r="R235" s="4" t="inlineStr">
        <is>
          <t>2026-03-12</t>
        </is>
      </c>
      <c r="S235" s="4" t="inlineStr">
        <is>
          <t>Hirschs 47th Anniversary Sale Feb-Mar 2026</t>
        </is>
      </c>
    </row>
    <row r="236">
      <c r="A236" s="11" t="inlineStr">
        <is>
          <t>PUG61KAA5E</t>
        </is>
      </c>
      <c r="B236" s="11" t="inlineStr"/>
      <c r="C236" s="11" t="inlineStr"/>
      <c r="D236" s="11" t="inlineStr"/>
      <c r="E236" s="11" t="inlineStr">
        <is>
          <t>Bosch 60cm Induction Hob Serie 2</t>
        </is>
      </c>
      <c r="F236" s="11" t="inlineStr">
        <is>
          <t>Bosch</t>
        </is>
      </c>
      <c r="G236" s="11" t="inlineStr"/>
      <c r="H236" s="11" t="inlineStr"/>
      <c r="I236" s="12" t="n">
        <v>4699</v>
      </c>
      <c r="J236" s="6" t="n">
        <v>15</v>
      </c>
      <c r="K236" s="7">
        <f>IF(I236="","",I236*(1+J236/100))</f>
        <v/>
      </c>
      <c r="L236" s="8" t="inlineStr"/>
      <c r="M236" s="9">
        <f>IF(OR(L236="",K236="",L236=0),"",
  (L236-K236)/L236*100)</f>
        <v/>
      </c>
      <c r="N236" s="10" t="inlineStr"/>
      <c r="O236" s="11" t="inlineStr"/>
      <c r="P236" s="11" t="inlineStr"/>
      <c r="Q236" s="11" t="inlineStr"/>
      <c r="R236" s="11" t="inlineStr">
        <is>
          <t>2026-03-12</t>
        </is>
      </c>
      <c r="S236" s="11" t="inlineStr">
        <is>
          <t>Hirschs 47th Anniversary Sale Feb-Mar 2026</t>
        </is>
      </c>
    </row>
    <row r="237">
      <c r="A237" s="3" t="inlineStr">
        <is>
          <t>PPP6A6B90Z</t>
        </is>
      </c>
      <c r="B237" s="4" t="inlineStr"/>
      <c r="C237" s="4" t="inlineStr"/>
      <c r="D237" s="4" t="inlineStr"/>
      <c r="E237" s="3" t="inlineStr">
        <is>
          <t>Bosch 60cm Gas Hob Serie 6</t>
        </is>
      </c>
      <c r="F237" s="4" t="inlineStr">
        <is>
          <t>Bosch</t>
        </is>
      </c>
      <c r="G237" s="4" t="inlineStr"/>
      <c r="H237" s="4" t="inlineStr"/>
      <c r="I237" s="5" t="n">
        <v>5799</v>
      </c>
      <c r="J237" s="6" t="n">
        <v>15</v>
      </c>
      <c r="K237" s="7">
        <f>IF(I237="","",I237*(1+J237/100))</f>
        <v/>
      </c>
      <c r="L237" s="8" t="inlineStr"/>
      <c r="M237" s="9">
        <f>IF(OR(L237="",K237="",L237=0),"",
  (L237-K237)/L237*100)</f>
        <v/>
      </c>
      <c r="N237" s="10" t="inlineStr"/>
      <c r="O237" s="4" t="inlineStr"/>
      <c r="P237" s="4" t="inlineStr"/>
      <c r="Q237" s="4" t="inlineStr"/>
      <c r="R237" s="4" t="inlineStr">
        <is>
          <t>2026-03-12</t>
        </is>
      </c>
      <c r="S237" s="4" t="inlineStr">
        <is>
          <t>Hirschs 47th Anniversary Sale Feb-Mar 2026</t>
        </is>
      </c>
    </row>
    <row r="238">
      <c r="A238" s="11" t="inlineStr">
        <is>
          <t>DWK66FP362</t>
        </is>
      </c>
      <c r="B238" s="11" t="inlineStr"/>
      <c r="C238" s="11" t="inlineStr"/>
      <c r="D238" s="11" t="inlineStr"/>
      <c r="E238" s="11" t="inlineStr">
        <is>
          <t>Bosch 60cm Wall Mounted Extractor</t>
        </is>
      </c>
      <c r="F238" s="11" t="inlineStr">
        <is>
          <t>Bosch</t>
        </is>
      </c>
      <c r="G238" s="11" t="inlineStr"/>
      <c r="H238" s="11" t="inlineStr"/>
      <c r="I238" s="12" t="n">
        <v>4299</v>
      </c>
      <c r="J238" s="6" t="n">
        <v>15</v>
      </c>
      <c r="K238" s="7">
        <f>IF(I238="","",I238*(1+J238/100))</f>
        <v/>
      </c>
      <c r="L238" s="8" t="inlineStr"/>
      <c r="M238" s="9">
        <f>IF(OR(L238="",K238="",L238=0),"",
  (L238-K238)/L238*100)</f>
        <v/>
      </c>
      <c r="N238" s="10" t="inlineStr"/>
      <c r="O238" s="11" t="inlineStr"/>
      <c r="P238" s="11" t="inlineStr"/>
      <c r="Q238" s="11" t="inlineStr"/>
      <c r="R238" s="11" t="inlineStr">
        <is>
          <t>2026-03-12</t>
        </is>
      </c>
      <c r="S238" s="11" t="inlineStr">
        <is>
          <t>Hirschs 47th Anniversary Sale Feb-Mar 2026</t>
        </is>
      </c>
    </row>
    <row r="239">
      <c r="A239" s="3" t="inlineStr">
        <is>
          <t>85794</t>
        </is>
      </c>
      <c r="B239" s="4" t="inlineStr"/>
      <c r="C239" s="4" t="inlineStr"/>
      <c r="D239" s="4" t="inlineStr"/>
      <c r="E239" s="3" t="inlineStr">
        <is>
          <t>Bosch 90cm Hybrid Gas Cooker</t>
        </is>
      </c>
      <c r="F239" s="4" t="inlineStr">
        <is>
          <t>Bosch</t>
        </is>
      </c>
      <c r="G239" s="4" t="inlineStr"/>
      <c r="H239" s="4" t="inlineStr"/>
      <c r="I239" s="5" t="n">
        <v>24999</v>
      </c>
      <c r="J239" s="6" t="n">
        <v>15</v>
      </c>
      <c r="K239" s="7">
        <f>IF(I239="","",I239*(1+J239/100))</f>
        <v/>
      </c>
      <c r="L239" s="8" t="inlineStr"/>
      <c r="M239" s="9">
        <f>IF(OR(L239="",K239="",L239=0),"",
  (L239-K239)/L239*100)</f>
        <v/>
      </c>
      <c r="N239" s="10" t="inlineStr"/>
      <c r="O239" s="4" t="inlineStr"/>
      <c r="P239" s="4" t="inlineStr"/>
      <c r="Q239" s="4" t="inlineStr"/>
      <c r="R239" s="4" t="inlineStr">
        <is>
          <t>2026-03-12</t>
        </is>
      </c>
      <c r="S239" s="4" t="inlineStr">
        <is>
          <t>Hirschs 47th Anniversary Sale Feb-Mar 2026</t>
        </is>
      </c>
    </row>
    <row r="240">
      <c r="A240" s="11" t="inlineStr">
        <is>
          <t>WGK254ZX2A</t>
        </is>
      </c>
      <c r="B240" s="11" t="inlineStr"/>
      <c r="C240" s="11" t="inlineStr"/>
      <c r="D240" s="11" t="inlineStr"/>
      <c r="E240" s="11" t="inlineStr">
        <is>
          <t>Bosch 10kg Washing Machine Serie 6</t>
        </is>
      </c>
      <c r="F240" s="11" t="inlineStr">
        <is>
          <t>Bosch</t>
        </is>
      </c>
      <c r="G240" s="11" t="inlineStr"/>
      <c r="H240" s="11" t="inlineStr"/>
      <c r="I240" s="12" t="n">
        <v>9999</v>
      </c>
      <c r="J240" s="6" t="n">
        <v>15</v>
      </c>
      <c r="K240" s="7">
        <f>IF(I240="","",I240*(1+J240/100))</f>
        <v/>
      </c>
      <c r="L240" s="8" t="inlineStr"/>
      <c r="M240" s="9">
        <f>IF(OR(L240="",K240="",L240=0),"",
  (L240-K240)/L240*100)</f>
        <v/>
      </c>
      <c r="N240" s="10" t="inlineStr"/>
      <c r="O240" s="11" t="inlineStr"/>
      <c r="P240" s="11" t="inlineStr"/>
      <c r="Q240" s="11" t="inlineStr"/>
      <c r="R240" s="11" t="inlineStr">
        <is>
          <t>2026-03-12</t>
        </is>
      </c>
      <c r="S240" s="11" t="inlineStr">
        <is>
          <t>Hirschs 47th Anniversary Sale Feb-Mar 2026</t>
        </is>
      </c>
    </row>
    <row r="241">
      <c r="A241" s="3" t="inlineStr">
        <is>
          <t>WPG1411XZA</t>
        </is>
      </c>
      <c r="B241" s="4" t="inlineStr"/>
      <c r="C241" s="4" t="inlineStr"/>
      <c r="D241" s="4" t="inlineStr"/>
      <c r="E241" s="3" t="inlineStr">
        <is>
          <t>Bosch 9kg Condenser Tumble Dryer Serie 6</t>
        </is>
      </c>
      <c r="F241" s="4" t="inlineStr">
        <is>
          <t>Bosch</t>
        </is>
      </c>
      <c r="G241" s="4" t="inlineStr"/>
      <c r="H241" s="4" t="inlineStr"/>
      <c r="I241" s="5" t="n">
        <v>9999</v>
      </c>
      <c r="J241" s="6" t="n">
        <v>15</v>
      </c>
      <c r="K241" s="7">
        <f>IF(I241="","",I241*(1+J241/100))</f>
        <v/>
      </c>
      <c r="L241" s="8" t="inlineStr"/>
      <c r="M241" s="9">
        <f>IF(OR(L241="",K241="",L241=0),"",
  (L241-K241)/L241*100)</f>
        <v/>
      </c>
      <c r="N241" s="10" t="inlineStr"/>
      <c r="O241" s="4" t="inlineStr"/>
      <c r="P241" s="4" t="inlineStr"/>
      <c r="Q241" s="4" t="inlineStr"/>
      <c r="R241" s="4" t="inlineStr">
        <is>
          <t>2026-03-12</t>
        </is>
      </c>
      <c r="S241" s="4" t="inlineStr">
        <is>
          <t>Hirschs 47th Anniversary Sale Feb-Mar 2026</t>
        </is>
      </c>
    </row>
    <row r="242">
      <c r="A242" s="11" t="inlineStr">
        <is>
          <t>SMS6HMI04Z</t>
        </is>
      </c>
      <c r="B242" s="11" t="inlineStr"/>
      <c r="C242" s="11" t="inlineStr"/>
      <c r="D242" s="11" t="inlineStr"/>
      <c r="E242" s="11" t="inlineStr">
        <is>
          <t>Bosch 13 Place Dishwasher Serie 6</t>
        </is>
      </c>
      <c r="F242" s="11" t="inlineStr">
        <is>
          <t>Bosch</t>
        </is>
      </c>
      <c r="G242" s="11" t="inlineStr"/>
      <c r="H242" s="11" t="inlineStr"/>
      <c r="I242" s="12" t="n">
        <v>9999</v>
      </c>
      <c r="J242" s="6" t="n">
        <v>15</v>
      </c>
      <c r="K242" s="7">
        <f>IF(I242="","",I242*(1+J242/100))</f>
        <v/>
      </c>
      <c r="L242" s="8" t="inlineStr"/>
      <c r="M242" s="9">
        <f>IF(OR(L242="",K242="",L242=0),"",
  (L242-K242)/L242*100)</f>
        <v/>
      </c>
      <c r="N242" s="10" t="inlineStr"/>
      <c r="O242" s="11" t="inlineStr"/>
      <c r="P242" s="11" t="inlineStr"/>
      <c r="Q242" s="11" t="inlineStr"/>
      <c r="R242" s="11" t="inlineStr">
        <is>
          <t>2026-03-12</t>
        </is>
      </c>
      <c r="S242" s="11" t="inlineStr">
        <is>
          <t>Hirschs 47th Anniversary Sale Feb-Mar 2026</t>
        </is>
      </c>
    </row>
    <row r="243">
      <c r="A243" s="3" t="inlineStr">
        <is>
          <t>SM56ECI02Z</t>
        </is>
      </c>
      <c r="B243" s="4" t="inlineStr"/>
      <c r="C243" s="4" t="inlineStr"/>
      <c r="D243" s="4" t="inlineStr"/>
      <c r="E243" s="3" t="inlineStr">
        <is>
          <t>Bosch 14 Place Dishwasher Serie 8</t>
        </is>
      </c>
      <c r="F243" s="4" t="inlineStr">
        <is>
          <t>Bosch</t>
        </is>
      </c>
      <c r="G243" s="4" t="inlineStr"/>
      <c r="H243" s="4" t="inlineStr"/>
      <c r="I243" s="5" t="n">
        <v>14999</v>
      </c>
      <c r="J243" s="6" t="n">
        <v>15</v>
      </c>
      <c r="K243" s="7">
        <f>IF(I243="","",I243*(1+J243/100))</f>
        <v/>
      </c>
      <c r="L243" s="8" t="inlineStr"/>
      <c r="M243" s="9">
        <f>IF(OR(L243="",K243="",L243=0),"",
  (L243-K243)/L243*100)</f>
        <v/>
      </c>
      <c r="N243" s="10" t="inlineStr"/>
      <c r="O243" s="4" t="inlineStr"/>
      <c r="P243" s="4" t="inlineStr"/>
      <c r="Q243" s="4" t="inlineStr"/>
      <c r="R243" s="4" t="inlineStr">
        <is>
          <t>2026-03-12</t>
        </is>
      </c>
      <c r="S243" s="4" t="inlineStr">
        <is>
          <t>Hirschs 47th Anniversary Sale Feb-Mar 2026</t>
        </is>
      </c>
    </row>
    <row r="244">
      <c r="A244" s="11" t="inlineStr">
        <is>
          <t>KFN96VPEA</t>
        </is>
      </c>
      <c r="B244" s="11" t="inlineStr"/>
      <c r="C244" s="11" t="inlineStr"/>
      <c r="D244" s="11" t="inlineStr"/>
      <c r="E244" s="11" t="inlineStr">
        <is>
          <t>Bosch 483L French door fridge Serie 4</t>
        </is>
      </c>
      <c r="F244" s="11" t="inlineStr">
        <is>
          <t>Bosch</t>
        </is>
      </c>
      <c r="G244" s="11" t="inlineStr"/>
      <c r="H244" s="11" t="inlineStr"/>
      <c r="I244" s="12" t="n">
        <v>29999</v>
      </c>
      <c r="J244" s="6" t="n">
        <v>15</v>
      </c>
      <c r="K244" s="7">
        <f>IF(I244="","",I244*(1+J244/100))</f>
        <v/>
      </c>
      <c r="L244" s="8" t="inlineStr"/>
      <c r="M244" s="9">
        <f>IF(OR(L244="",K244="",L244=0),"",
  (L244-K244)/L244*100)</f>
        <v/>
      </c>
      <c r="N244" s="10" t="inlineStr"/>
      <c r="O244" s="11" t="inlineStr"/>
      <c r="P244" s="11" t="inlineStr"/>
      <c r="Q244" s="11" t="inlineStr"/>
      <c r="R244" s="11" t="inlineStr">
        <is>
          <t>2026-03-12</t>
        </is>
      </c>
      <c r="S244" s="11" t="inlineStr">
        <is>
          <t>Hirschs 47th Anniversary Sale Feb-Mar 2026</t>
        </is>
      </c>
    </row>
    <row r="245">
      <c r="A245" s="3" t="inlineStr">
        <is>
          <t>KSV33NI31Z</t>
        </is>
      </c>
      <c r="B245" s="4" t="inlineStr"/>
      <c r="C245" s="4" t="inlineStr"/>
      <c r="D245" s="4" t="inlineStr"/>
      <c r="E245" s="3" t="inlineStr">
        <is>
          <t>Bosch 324L Freestanding Fridge Serie 3</t>
        </is>
      </c>
      <c r="F245" s="4" t="inlineStr">
        <is>
          <t>Bosch</t>
        </is>
      </c>
      <c r="G245" s="4" t="inlineStr"/>
      <c r="H245" s="4" t="inlineStr"/>
      <c r="I245" s="5" t="n">
        <v>12999</v>
      </c>
      <c r="J245" s="6" t="n">
        <v>15</v>
      </c>
      <c r="K245" s="7">
        <f>IF(I245="","",I245*(1+J245/100))</f>
        <v/>
      </c>
      <c r="L245" s="8" t="inlineStr"/>
      <c r="M245" s="9">
        <f>IF(OR(L245="",K245="",L245=0),"",
  (L245-K245)/L245*100)</f>
        <v/>
      </c>
      <c r="N245" s="10" t="inlineStr"/>
      <c r="O245" s="4" t="inlineStr"/>
      <c r="P245" s="4" t="inlineStr"/>
      <c r="Q245" s="4" t="inlineStr"/>
      <c r="R245" s="4" t="inlineStr">
        <is>
          <t>2026-03-12</t>
        </is>
      </c>
      <c r="S245" s="4" t="inlineStr">
        <is>
          <t>Hirschs 47th Anniversary Sale Feb-Mar 2026</t>
        </is>
      </c>
    </row>
    <row r="246">
      <c r="A246" s="11" t="inlineStr">
        <is>
          <t>GSN33V131Z</t>
        </is>
      </c>
      <c r="B246" s="11" t="inlineStr"/>
      <c r="C246" s="11" t="inlineStr"/>
      <c r="D246" s="11" t="inlineStr"/>
      <c r="E246" s="11" t="inlineStr">
        <is>
          <t>Bosch 225L Freestanding Freezer Serie 4</t>
        </is>
      </c>
      <c r="F246" s="11" t="inlineStr">
        <is>
          <t>Bosch</t>
        </is>
      </c>
      <c r="G246" s="11" t="inlineStr"/>
      <c r="H246" s="11" t="inlineStr"/>
      <c r="I246" s="12" t="n">
        <v>12999</v>
      </c>
      <c r="J246" s="6" t="n">
        <v>15</v>
      </c>
      <c r="K246" s="7">
        <f>IF(I246="","",I246*(1+J246/100))</f>
        <v/>
      </c>
      <c r="L246" s="8" t="inlineStr"/>
      <c r="M246" s="9">
        <f>IF(OR(L246="",K246="",L246=0),"",
  (L246-K246)/L246*100)</f>
        <v/>
      </c>
      <c r="N246" s="10" t="inlineStr"/>
      <c r="O246" s="11" t="inlineStr"/>
      <c r="P246" s="11" t="inlineStr"/>
      <c r="Q246" s="11" t="inlineStr"/>
      <c r="R246" s="11" t="inlineStr">
        <is>
          <t>2026-03-12</t>
        </is>
      </c>
      <c r="S246" s="11" t="inlineStr">
        <is>
          <t>Hirschs 47th Anniversary Sale Feb-Mar 2026</t>
        </is>
      </c>
    </row>
    <row r="247">
      <c r="A247" s="3" t="inlineStr">
        <is>
          <t>TAT4P44OSB</t>
        </is>
      </c>
      <c r="B247" s="4" t="inlineStr"/>
      <c r="C247" s="4" t="inlineStr"/>
      <c r="D247" s="4" t="inlineStr"/>
      <c r="E247" s="3" t="inlineStr">
        <is>
          <t>Bosch Toaster DesignLine Graphite</t>
        </is>
      </c>
      <c r="F247" s="4" t="inlineStr">
        <is>
          <t>Bosch</t>
        </is>
      </c>
      <c r="G247" s="4" t="inlineStr"/>
      <c r="H247" s="4" t="inlineStr"/>
      <c r="I247" s="5" t="n">
        <v>1399</v>
      </c>
      <c r="J247" s="6" t="n">
        <v>15</v>
      </c>
      <c r="K247" s="7">
        <f>IF(I247="","",I247*(1+J247/100))</f>
        <v/>
      </c>
      <c r="L247" s="8" t="inlineStr"/>
      <c r="M247" s="9">
        <f>IF(OR(L247="",K247="",L247=0),"",
  (L247-K247)/L247*100)</f>
        <v/>
      </c>
      <c r="N247" s="10" t="inlineStr"/>
      <c r="O247" s="4" t="inlineStr"/>
      <c r="P247" s="4" t="inlineStr"/>
      <c r="Q247" s="4" t="inlineStr"/>
      <c r="R247" s="4" t="inlineStr">
        <is>
          <t>2026-03-12</t>
        </is>
      </c>
      <c r="S247" s="4" t="inlineStr">
        <is>
          <t>Hirschs 47th Anniversary Sale Feb-Mar 2026</t>
        </is>
      </c>
    </row>
    <row r="248">
      <c r="A248" s="11" t="inlineStr">
        <is>
          <t>TWK5P4B2S</t>
        </is>
      </c>
      <c r="B248" s="11" t="inlineStr"/>
      <c r="C248" s="11" t="inlineStr"/>
      <c r="D248" s="11" t="inlineStr"/>
      <c r="E248" s="11" t="inlineStr">
        <is>
          <t>Bosch Kettle DesignLine Graphite</t>
        </is>
      </c>
      <c r="F248" s="11" t="inlineStr">
        <is>
          <t>Bosch</t>
        </is>
      </c>
      <c r="G248" s="11" t="inlineStr"/>
      <c r="H248" s="11" t="inlineStr"/>
      <c r="I248" s="12" t="n">
        <v>999</v>
      </c>
      <c r="J248" s="6" t="n">
        <v>15</v>
      </c>
      <c r="K248" s="7">
        <f>IF(I248="","",I248*(1+J248/100))</f>
        <v/>
      </c>
      <c r="L248" s="8" t="inlineStr"/>
      <c r="M248" s="9">
        <f>IF(OR(L248="",K248="",L248=0),"",
  (L248-K248)/L248*100)</f>
        <v/>
      </c>
      <c r="N248" s="10" t="inlineStr"/>
      <c r="O248" s="11" t="inlineStr"/>
      <c r="P248" s="11" t="inlineStr"/>
      <c r="Q248" s="11" t="inlineStr"/>
      <c r="R248" s="11" t="inlineStr">
        <is>
          <t>2026-03-12</t>
        </is>
      </c>
      <c r="S248" s="11" t="inlineStr">
        <is>
          <t>Hirschs 47th Anniversary Sale Feb-Mar 2026</t>
        </is>
      </c>
    </row>
    <row r="249">
      <c r="A249" s="3" t="inlineStr">
        <is>
          <t>TWK86P13P</t>
        </is>
      </c>
      <c r="B249" s="4" t="inlineStr"/>
      <c r="C249" s="4" t="inlineStr"/>
      <c r="D249" s="4" t="inlineStr"/>
      <c r="E249" s="3" t="inlineStr">
        <is>
          <t>Bosch Kettle Styline Black</t>
        </is>
      </c>
      <c r="F249" s="4" t="inlineStr">
        <is>
          <t>Bosch</t>
        </is>
      </c>
      <c r="G249" s="4" t="inlineStr"/>
      <c r="H249" s="4" t="inlineStr"/>
      <c r="I249" s="5" t="n">
        <v>1699</v>
      </c>
      <c r="J249" s="6" t="n">
        <v>15</v>
      </c>
      <c r="K249" s="7">
        <f>IF(I249="","",I249*(1+J249/100))</f>
        <v/>
      </c>
      <c r="L249" s="8" t="inlineStr"/>
      <c r="M249" s="9">
        <f>IF(OR(L249="",K249="",L249=0),"",
  (L249-K249)/L249*100)</f>
        <v/>
      </c>
      <c r="N249" s="10" t="inlineStr"/>
      <c r="O249" s="4" t="inlineStr"/>
      <c r="P249" s="4" t="inlineStr"/>
      <c r="Q249" s="4" t="inlineStr"/>
      <c r="R249" s="4" t="inlineStr">
        <is>
          <t>2026-03-12</t>
        </is>
      </c>
      <c r="S249" s="4" t="inlineStr">
        <is>
          <t>Hirschs 47th Anniversary Sale Feb-Mar 2026</t>
        </is>
      </c>
    </row>
    <row r="250">
      <c r="A250" s="11" t="inlineStr">
        <is>
          <t>TWK86P11P</t>
        </is>
      </c>
      <c r="B250" s="11" t="inlineStr"/>
      <c r="C250" s="11" t="inlineStr"/>
      <c r="D250" s="11" t="inlineStr"/>
      <c r="E250" s="11" t="inlineStr">
        <is>
          <t>Bosch Kettle Styline White</t>
        </is>
      </c>
      <c r="F250" s="11" t="inlineStr">
        <is>
          <t>Bosch</t>
        </is>
      </c>
      <c r="G250" s="11" t="inlineStr"/>
      <c r="H250" s="11" t="inlineStr"/>
      <c r="I250" s="12" t="n">
        <v>1699</v>
      </c>
      <c r="J250" s="6" t="n">
        <v>15</v>
      </c>
      <c r="K250" s="7">
        <f>IF(I250="","",I250*(1+J250/100))</f>
        <v/>
      </c>
      <c r="L250" s="8" t="inlineStr"/>
      <c r="M250" s="9">
        <f>IF(OR(L250="",K250="",L250=0),"",
  (L250-K250)/L250*100)</f>
        <v/>
      </c>
      <c r="N250" s="10" t="inlineStr"/>
      <c r="O250" s="11" t="inlineStr"/>
      <c r="P250" s="11" t="inlineStr"/>
      <c r="Q250" s="11" t="inlineStr"/>
      <c r="R250" s="11" t="inlineStr">
        <is>
          <t>2026-03-12</t>
        </is>
      </c>
      <c r="S250" s="11" t="inlineStr">
        <is>
          <t>Hirschs 47th Anniversary Sale Feb-Mar 2026</t>
        </is>
      </c>
    </row>
    <row r="251">
      <c r="A251" s="3" t="inlineStr">
        <is>
          <t>TSM6A013B</t>
        </is>
      </c>
      <c r="B251" s="4" t="inlineStr"/>
      <c r="C251" s="4" t="inlineStr"/>
      <c r="D251" s="4" t="inlineStr"/>
      <c r="E251" s="3" t="inlineStr">
        <is>
          <t>Bosch 180W Coffee grinder</t>
        </is>
      </c>
      <c r="F251" s="4" t="inlineStr">
        <is>
          <t>Bosch</t>
        </is>
      </c>
      <c r="G251" s="4" t="inlineStr"/>
      <c r="H251" s="4" t="inlineStr"/>
      <c r="I251" s="5" t="n">
        <v>269</v>
      </c>
      <c r="J251" s="6" t="n">
        <v>15</v>
      </c>
      <c r="K251" s="7">
        <f>IF(I251="","",I251*(1+J251/100))</f>
        <v/>
      </c>
      <c r="L251" s="8" t="inlineStr"/>
      <c r="M251" s="9">
        <f>IF(OR(L251="",K251="",L251=0),"",
  (L251-K251)/L251*100)</f>
        <v/>
      </c>
      <c r="N251" s="10" t="inlineStr"/>
      <c r="O251" s="4" t="inlineStr"/>
      <c r="P251" s="4" t="inlineStr"/>
      <c r="Q251" s="4" t="inlineStr"/>
      <c r="R251" s="4" t="inlineStr">
        <is>
          <t>2026-03-12</t>
        </is>
      </c>
      <c r="S251" s="4" t="inlineStr">
        <is>
          <t>Hirschs 47th Anniversary Sale Feb-Mar 2026</t>
        </is>
      </c>
    </row>
    <row r="252">
      <c r="A252" s="11" t="inlineStr">
        <is>
          <t>TAT8613N</t>
        </is>
      </c>
      <c r="B252" s="11" t="inlineStr"/>
      <c r="C252" s="11" t="inlineStr"/>
      <c r="D252" s="11" t="inlineStr"/>
      <c r="E252" s="11" t="inlineStr">
        <is>
          <t>Bosch Compact toaster Styline Black</t>
        </is>
      </c>
      <c r="F252" s="11" t="inlineStr">
        <is>
          <t>Bosch</t>
        </is>
      </c>
      <c r="G252" s="11" t="inlineStr"/>
      <c r="H252" s="11" t="inlineStr"/>
      <c r="I252" s="12" t="n">
        <v>1699</v>
      </c>
      <c r="J252" s="6" t="n">
        <v>15</v>
      </c>
      <c r="K252" s="7">
        <f>IF(I252="","",I252*(1+J252/100))</f>
        <v/>
      </c>
      <c r="L252" s="8" t="inlineStr"/>
      <c r="M252" s="9">
        <f>IF(OR(L252="",K252="",L252=0),"",
  (L252-K252)/L252*100)</f>
        <v/>
      </c>
      <c r="N252" s="10" t="inlineStr"/>
      <c r="O252" s="11" t="inlineStr"/>
      <c r="P252" s="11" t="inlineStr"/>
      <c r="Q252" s="11" t="inlineStr"/>
      <c r="R252" s="11" t="inlineStr">
        <is>
          <t>2026-03-12</t>
        </is>
      </c>
      <c r="S252" s="11" t="inlineStr">
        <is>
          <t>Hirschs 47th Anniversary Sale Feb-Mar 2026</t>
        </is>
      </c>
    </row>
    <row r="253">
      <c r="A253" s="3" t="inlineStr">
        <is>
          <t>TAT8611N</t>
        </is>
      </c>
      <c r="B253" s="4" t="inlineStr"/>
      <c r="C253" s="4" t="inlineStr"/>
      <c r="D253" s="4" t="inlineStr"/>
      <c r="E253" s="3" t="inlineStr">
        <is>
          <t>Bosch Compact toaster Styline White</t>
        </is>
      </c>
      <c r="F253" s="4" t="inlineStr">
        <is>
          <t>Bosch</t>
        </is>
      </c>
      <c r="G253" s="4" t="inlineStr"/>
      <c r="H253" s="4" t="inlineStr"/>
      <c r="I253" s="5" t="n">
        <v>1699</v>
      </c>
      <c r="J253" s="6" t="n">
        <v>15</v>
      </c>
      <c r="K253" s="7">
        <f>IF(I253="","",I253*(1+J253/100))</f>
        <v/>
      </c>
      <c r="L253" s="8" t="inlineStr"/>
      <c r="M253" s="9">
        <f>IF(OR(L253="",K253="",L253=0),"",
  (L253-K253)/L253*100)</f>
        <v/>
      </c>
      <c r="N253" s="10" t="inlineStr"/>
      <c r="O253" s="4" t="inlineStr"/>
      <c r="P253" s="4" t="inlineStr"/>
      <c r="Q253" s="4" t="inlineStr"/>
      <c r="R253" s="4" t="inlineStr">
        <is>
          <t>2026-03-12</t>
        </is>
      </c>
      <c r="S253" s="4" t="inlineStr">
        <is>
          <t>Hirschs 47th Anniversary Sale Feb-Mar 2026</t>
        </is>
      </c>
    </row>
    <row r="254">
      <c r="A254" s="11" t="inlineStr">
        <is>
          <t>MES3500</t>
        </is>
      </c>
      <c r="B254" s="11" t="inlineStr"/>
      <c r="C254" s="11" t="inlineStr"/>
      <c r="D254" s="11" t="inlineStr"/>
      <c r="E254" s="11" t="inlineStr">
        <is>
          <t>Bosch Centrifugal juicer VitaJuice 3</t>
        </is>
      </c>
      <c r="F254" s="11" t="inlineStr">
        <is>
          <t>Bosch</t>
        </is>
      </c>
      <c r="G254" s="11" t="inlineStr"/>
      <c r="H254" s="11" t="inlineStr"/>
      <c r="I254" s="12" t="n">
        <v>1999</v>
      </c>
      <c r="J254" s="6" t="n">
        <v>15</v>
      </c>
      <c r="K254" s="7">
        <f>IF(I254="","",I254*(1+J254/100))</f>
        <v/>
      </c>
      <c r="L254" s="8" t="inlineStr"/>
      <c r="M254" s="9">
        <f>IF(OR(L254="",K254="",L254=0),"",
  (L254-K254)/L254*100)</f>
        <v/>
      </c>
      <c r="N254" s="10" t="inlineStr"/>
      <c r="O254" s="11" t="inlineStr"/>
      <c r="P254" s="11" t="inlineStr"/>
      <c r="Q254" s="11" t="inlineStr"/>
      <c r="R254" s="11" t="inlineStr">
        <is>
          <t>2026-03-12</t>
        </is>
      </c>
      <c r="S254" s="11" t="inlineStr">
        <is>
          <t>Hirschs 47th Anniversary Sale Feb-Mar 2026</t>
        </is>
      </c>
    </row>
    <row r="255">
      <c r="A255" s="3" t="inlineStr">
        <is>
          <t>TCG4215</t>
        </is>
      </c>
      <c r="B255" s="4" t="inlineStr"/>
      <c r="C255" s="4" t="inlineStr"/>
      <c r="D255" s="4" t="inlineStr"/>
      <c r="E255" s="3" t="inlineStr">
        <is>
          <t>Bosch Contact Grill 2000W Silver</t>
        </is>
      </c>
      <c r="F255" s="4" t="inlineStr">
        <is>
          <t>Bosch</t>
        </is>
      </c>
      <c r="G255" s="4" t="inlineStr"/>
      <c r="H255" s="4" t="inlineStr"/>
      <c r="I255" s="5" t="n">
        <v>1899</v>
      </c>
      <c r="J255" s="6" t="n">
        <v>15</v>
      </c>
      <c r="K255" s="7">
        <f>IF(I255="","",I255*(1+J255/100))</f>
        <v/>
      </c>
      <c r="L255" s="8" t="inlineStr"/>
      <c r="M255" s="9">
        <f>IF(OR(L255="",K255="",L255=0),"",
  (L255-K255)/L255*100)</f>
        <v/>
      </c>
      <c r="N255" s="10" t="inlineStr"/>
      <c r="O255" s="4" t="inlineStr"/>
      <c r="P255" s="4" t="inlineStr"/>
      <c r="Q255" s="4" t="inlineStr"/>
      <c r="R255" s="4" t="inlineStr">
        <is>
          <t>2026-03-12</t>
        </is>
      </c>
      <c r="S255" s="4" t="inlineStr">
        <is>
          <t>Hirschs 47th Anniversary Sale Feb-Mar 2026</t>
        </is>
      </c>
    </row>
    <row r="256">
      <c r="A256" s="11" t="inlineStr">
        <is>
          <t>BCS71PRTSC</t>
        </is>
      </c>
      <c r="B256" s="11" t="inlineStr"/>
      <c r="C256" s="11" t="inlineStr"/>
      <c r="D256" s="11" t="inlineStr"/>
      <c r="E256" s="11" t="inlineStr">
        <is>
          <t>Bosch Rechargeable Vacuum Cleaner Unlimited 7 ProAnimal</t>
        </is>
      </c>
      <c r="F256" s="11" t="inlineStr">
        <is>
          <t>Bosch</t>
        </is>
      </c>
      <c r="G256" s="11" t="inlineStr"/>
      <c r="H256" s="11" t="inlineStr"/>
      <c r="I256" s="12" t="n">
        <v>5799</v>
      </c>
      <c r="J256" s="6" t="n">
        <v>15</v>
      </c>
      <c r="K256" s="7">
        <f>IF(I256="","",I256*(1+J256/100))</f>
        <v/>
      </c>
      <c r="L256" s="8" t="inlineStr"/>
      <c r="M256" s="9">
        <f>IF(OR(L256="",K256="",L256=0),"",
  (L256-K256)/L256*100)</f>
        <v/>
      </c>
      <c r="N256" s="10" t="inlineStr"/>
      <c r="O256" s="11" t="inlineStr"/>
      <c r="P256" s="11" t="inlineStr"/>
      <c r="Q256" s="11" t="inlineStr"/>
      <c r="R256" s="11" t="inlineStr">
        <is>
          <t>2026-03-12</t>
        </is>
      </c>
      <c r="S256" s="11" t="inlineStr">
        <is>
          <t>Hirschs 47th Anniversary Sale Feb-Mar 2026</t>
        </is>
      </c>
    </row>
    <row r="257">
      <c r="A257" s="3" t="inlineStr">
        <is>
          <t>BBH32OO03</t>
        </is>
      </c>
      <c r="B257" s="4" t="inlineStr"/>
      <c r="C257" s="4" t="inlineStr"/>
      <c r="D257" s="4" t="inlineStr"/>
      <c r="E257" s="3" t="inlineStr">
        <is>
          <t>Bosch 25.2V Cordless Handstick Vacuum Cleaner Flexxo</t>
        </is>
      </c>
      <c r="F257" s="4" t="inlineStr">
        <is>
          <t>Bosch</t>
        </is>
      </c>
      <c r="G257" s="4" t="inlineStr"/>
      <c r="H257" s="4" t="inlineStr"/>
      <c r="I257" s="5" t="n">
        <v>2999</v>
      </c>
      <c r="J257" s="6" t="n">
        <v>15</v>
      </c>
      <c r="K257" s="7">
        <f>IF(I257="","",I257*(1+J257/100))</f>
        <v/>
      </c>
      <c r="L257" s="8" t="inlineStr"/>
      <c r="M257" s="9">
        <f>IF(OR(L257="",K257="",L257=0),"",
  (L257-K257)/L257*100)</f>
        <v/>
      </c>
      <c r="N257" s="10" t="inlineStr"/>
      <c r="O257" s="4" t="inlineStr"/>
      <c r="P257" s="4" t="inlineStr"/>
      <c r="Q257" s="4" t="inlineStr"/>
      <c r="R257" s="4" t="inlineStr">
        <is>
          <t>2026-03-12</t>
        </is>
      </c>
      <c r="S257" s="4" t="inlineStr">
        <is>
          <t>Hirschs 47th Anniversary Sale Feb-Mar 2026</t>
        </is>
      </c>
    </row>
    <row r="258">
      <c r="A258" s="11" t="inlineStr">
        <is>
          <t>TQ903R03</t>
        </is>
      </c>
      <c r="B258" s="11" t="inlineStr"/>
      <c r="C258" s="11" t="inlineStr"/>
      <c r="D258" s="11" t="inlineStr"/>
      <c r="E258" s="11" t="inlineStr">
        <is>
          <t>Bosch Siemens TQ903R03 Fully automatic coffee machine</t>
        </is>
      </c>
      <c r="F258" s="11" t="inlineStr">
        <is>
          <t>Bosch</t>
        </is>
      </c>
      <c r="G258" s="11" t="inlineStr"/>
      <c r="H258" s="11" t="inlineStr"/>
      <c r="I258" s="12" t="n">
        <v>23999</v>
      </c>
      <c r="J258" s="6" t="n">
        <v>15</v>
      </c>
      <c r="K258" s="7">
        <f>IF(I258="","",I258*(1+J258/100))</f>
        <v/>
      </c>
      <c r="L258" s="8" t="inlineStr"/>
      <c r="M258" s="9">
        <f>IF(OR(L258="",K258="",L258=0),"",
  (L258-K258)/L258*100)</f>
        <v/>
      </c>
      <c r="N258" s="10" t="inlineStr"/>
      <c r="O258" s="11" t="inlineStr"/>
      <c r="P258" s="11" t="inlineStr"/>
      <c r="Q258" s="11" t="inlineStr"/>
      <c r="R258" s="11" t="inlineStr">
        <is>
          <t>2026-03-12</t>
        </is>
      </c>
      <c r="S258" s="11" t="inlineStr">
        <is>
          <t>Hirschs 47th Anniversary Sale Feb-Mar 2026</t>
        </is>
      </c>
    </row>
    <row r="259">
      <c r="A259" s="3" t="inlineStr">
        <is>
          <t>TQ515R03</t>
        </is>
      </c>
      <c r="B259" s="4" t="inlineStr"/>
      <c r="C259" s="4" t="inlineStr"/>
      <c r="D259" s="4" t="inlineStr"/>
      <c r="E259" s="3" t="inlineStr">
        <is>
          <t>Bosch Siemens TQ515R03 Fully Automatic Coffee Machine</t>
        </is>
      </c>
      <c r="F259" s="4" t="inlineStr">
        <is>
          <t>Bosch</t>
        </is>
      </c>
      <c r="G259" s="4" t="inlineStr"/>
      <c r="H259" s="4" t="inlineStr"/>
      <c r="I259" s="5" t="n">
        <v>17999</v>
      </c>
      <c r="J259" s="6" t="n">
        <v>15</v>
      </c>
      <c r="K259" s="7">
        <f>IF(I259="","",I259*(1+J259/100))</f>
        <v/>
      </c>
      <c r="L259" s="8" t="inlineStr"/>
      <c r="M259" s="9">
        <f>IF(OR(L259="",K259="",L259=0),"",
  (L259-K259)/L259*100)</f>
        <v/>
      </c>
      <c r="N259" s="10" t="inlineStr"/>
      <c r="O259" s="4" t="inlineStr"/>
      <c r="P259" s="4" t="inlineStr"/>
      <c r="Q259" s="4" t="inlineStr"/>
      <c r="R259" s="4" t="inlineStr">
        <is>
          <t>2026-03-12</t>
        </is>
      </c>
      <c r="S259" s="4" t="inlineStr">
        <is>
          <t>Hirschs 47th Anniversary Sale Feb-Mar 2026</t>
        </is>
      </c>
    </row>
    <row r="260">
      <c r="A260" s="11" t="inlineStr">
        <is>
          <t>TE655203RW</t>
        </is>
      </c>
      <c r="B260" s="11" t="inlineStr"/>
      <c r="C260" s="11" t="inlineStr"/>
      <c r="D260" s="11" t="inlineStr"/>
      <c r="E260" s="11" t="inlineStr">
        <is>
          <t>Bosch Siemens TE655203RW Fully Automatic Coffee Machine</t>
        </is>
      </c>
      <c r="F260" s="11" t="inlineStr">
        <is>
          <t>Bosch</t>
        </is>
      </c>
      <c r="G260" s="11" t="inlineStr"/>
      <c r="H260" s="11" t="inlineStr"/>
      <c r="I260" s="12" t="n">
        <v>13999</v>
      </c>
      <c r="J260" s="6" t="n">
        <v>15</v>
      </c>
      <c r="K260" s="7">
        <f>IF(I260="","",I260*(1+J260/100))</f>
        <v/>
      </c>
      <c r="L260" s="8" t="inlineStr"/>
      <c r="M260" s="9">
        <f>IF(OR(L260="",K260="",L260=0),"",
  (L260-K260)/L260*100)</f>
        <v/>
      </c>
      <c r="N260" s="10" t="inlineStr"/>
      <c r="O260" s="11" t="inlineStr"/>
      <c r="P260" s="11" t="inlineStr"/>
      <c r="Q260" s="11" t="inlineStr"/>
      <c r="R260" s="11" t="inlineStr">
        <is>
          <t>2026-03-12</t>
        </is>
      </c>
      <c r="S260" s="11" t="inlineStr">
        <is>
          <t>Hirschs 47th Anniversary Sale Feb-Mar 2026</t>
        </is>
      </c>
    </row>
    <row r="261">
      <c r="A261" s="3" t="inlineStr">
        <is>
          <t>DBO768</t>
        </is>
      </c>
      <c r="B261" s="4" t="inlineStr"/>
      <c r="C261" s="4" t="inlineStr"/>
      <c r="D261" s="4" t="inlineStr"/>
      <c r="E261" s="3" t="inlineStr">
        <is>
          <t>Defy Gemini THERMOFAN Double Oven Mirror</t>
        </is>
      </c>
      <c r="F261" s="4" t="inlineStr">
        <is>
          <t>Defy</t>
        </is>
      </c>
      <c r="G261" s="4" t="inlineStr"/>
      <c r="H261" s="4" t="inlineStr"/>
      <c r="I261" s="5" t="n">
        <v>14999</v>
      </c>
      <c r="J261" s="6" t="n">
        <v>15</v>
      </c>
      <c r="K261" s="7">
        <f>IF(I261="","",I261*(1+J261/100))</f>
        <v/>
      </c>
      <c r="L261" s="8" t="inlineStr"/>
      <c r="M261" s="9">
        <f>IF(OR(L261="",K261="",L261=0),"",
  (L261-K261)/L261*100)</f>
        <v/>
      </c>
      <c r="N261" s="10" t="inlineStr"/>
      <c r="O261" s="4" t="inlineStr"/>
      <c r="P261" s="4" t="inlineStr"/>
      <c r="Q261" s="4" t="inlineStr"/>
      <c r="R261" s="4" t="inlineStr">
        <is>
          <t>2026-03-12</t>
        </is>
      </c>
      <c r="S261" s="4" t="inlineStr">
        <is>
          <t>Hirschs 47th Anniversary Sale Feb-Mar 2026</t>
        </is>
      </c>
    </row>
    <row r="262">
      <c r="A262" s="11" t="inlineStr">
        <is>
          <t>DBO774</t>
        </is>
      </c>
      <c r="B262" s="11" t="inlineStr"/>
      <c r="C262" s="11" t="inlineStr"/>
      <c r="D262" s="11" t="inlineStr"/>
      <c r="E262" s="11" t="inlineStr">
        <is>
          <t>Defy Gemini THERMOFAN Eye-Level Oven</t>
        </is>
      </c>
      <c r="F262" s="11" t="inlineStr">
        <is>
          <t>Defy</t>
        </is>
      </c>
      <c r="G262" s="11" t="inlineStr"/>
      <c r="H262" s="11" t="inlineStr"/>
      <c r="I262" s="12" t="n">
        <v>10499</v>
      </c>
      <c r="J262" s="6" t="n">
        <v>15</v>
      </c>
      <c r="K262" s="7">
        <f>IF(I262="","",I262*(1+J262/100))</f>
        <v/>
      </c>
      <c r="L262" s="8" t="inlineStr"/>
      <c r="M262" s="9">
        <f>IF(OR(L262="",K262="",L262=0),"",
  (L262-K262)/L262*100)</f>
        <v/>
      </c>
      <c r="N262" s="10" t="inlineStr"/>
      <c r="O262" s="11" t="inlineStr"/>
      <c r="P262" s="11" t="inlineStr"/>
      <c r="Q262" s="11" t="inlineStr"/>
      <c r="R262" s="11" t="inlineStr">
        <is>
          <t>2026-03-12</t>
        </is>
      </c>
      <c r="S262" s="11" t="inlineStr">
        <is>
          <t>Hirschs 47th Anniversary Sale Feb-Mar 2026</t>
        </is>
      </c>
    </row>
    <row r="263">
      <c r="A263" s="3" t="inlineStr">
        <is>
          <t>DBO499</t>
        </is>
      </c>
      <c r="B263" s="4" t="inlineStr"/>
      <c r="C263" s="4" t="inlineStr"/>
      <c r="D263" s="4" t="inlineStr"/>
      <c r="E263" s="3" t="inlineStr">
        <is>
          <t>Defy Slimline Touch Control THERMOFAN Eye-Level Oven</t>
        </is>
      </c>
      <c r="F263" s="4" t="inlineStr">
        <is>
          <t>Defy</t>
        </is>
      </c>
      <c r="G263" s="4" t="inlineStr"/>
      <c r="H263" s="4" t="inlineStr"/>
      <c r="I263" s="5" t="n">
        <v>7999</v>
      </c>
      <c r="J263" s="6" t="n">
        <v>15</v>
      </c>
      <c r="K263" s="7">
        <f>IF(I263="","",I263*(1+J263/100))</f>
        <v/>
      </c>
      <c r="L263" s="8" t="inlineStr"/>
      <c r="M263" s="9">
        <f>IF(OR(L263="",K263="",L263=0),"",
  (L263-K263)/L263*100)</f>
        <v/>
      </c>
      <c r="N263" s="10" t="inlineStr"/>
      <c r="O263" s="4" t="inlineStr"/>
      <c r="P263" s="4" t="inlineStr"/>
      <c r="Q263" s="4" t="inlineStr"/>
      <c r="R263" s="4" t="inlineStr">
        <is>
          <t>2026-03-12</t>
        </is>
      </c>
      <c r="S263" s="4" t="inlineStr">
        <is>
          <t>Hirschs 47th Anniversary Sale Feb-Mar 2026</t>
        </is>
      </c>
    </row>
    <row r="264">
      <c r="A264" s="11" t="inlineStr">
        <is>
          <t>DBO483E</t>
        </is>
      </c>
      <c r="B264" s="11" t="inlineStr"/>
      <c r="C264" s="11" t="inlineStr"/>
      <c r="D264" s="11" t="inlineStr"/>
      <c r="E264" s="11" t="inlineStr">
        <is>
          <t>Defy Slimline Eye-Level Oven Black Glass</t>
        </is>
      </c>
      <c r="F264" s="11" t="inlineStr">
        <is>
          <t>Defy</t>
        </is>
      </c>
      <c r="G264" s="11" t="inlineStr"/>
      <c r="H264" s="11" t="inlineStr"/>
      <c r="I264" s="12" t="n">
        <v>3499</v>
      </c>
      <c r="J264" s="6" t="n">
        <v>15</v>
      </c>
      <c r="K264" s="7">
        <f>IF(I264="","",I264*(1+J264/100))</f>
        <v/>
      </c>
      <c r="L264" s="8" t="inlineStr"/>
      <c r="M264" s="9">
        <f>IF(OR(L264="",K264="",L264=0),"",
  (L264-K264)/L264*100)</f>
        <v/>
      </c>
      <c r="N264" s="10" t="inlineStr"/>
      <c r="O264" s="11" t="inlineStr"/>
      <c r="P264" s="11" t="inlineStr"/>
      <c r="Q264" s="11" t="inlineStr"/>
      <c r="R264" s="11" t="inlineStr">
        <is>
          <t>2026-03-12</t>
        </is>
      </c>
      <c r="S264" s="11" t="inlineStr">
        <is>
          <t>Hirschs 47th Anniversary Sale Feb-Mar 2026</t>
        </is>
      </c>
    </row>
    <row r="265">
      <c r="A265" s="3" t="inlineStr">
        <is>
          <t>DCB832E</t>
        </is>
      </c>
      <c r="B265" s="4" t="inlineStr"/>
      <c r="C265" s="4" t="inlineStr"/>
      <c r="D265" s="4" t="inlineStr"/>
      <c r="E265" s="3" t="inlineStr">
        <is>
          <t>Defy Slimline Multifunction Box Set</t>
        </is>
      </c>
      <c r="F265" s="4" t="inlineStr">
        <is>
          <t>Defy</t>
        </is>
      </c>
      <c r="G265" s="4" t="inlineStr"/>
      <c r="H265" s="4" t="inlineStr"/>
      <c r="I265" s="5" t="n">
        <v>5999</v>
      </c>
      <c r="J265" s="6" t="n">
        <v>15</v>
      </c>
      <c r="K265" s="7">
        <f>IF(I265="","",I265*(1+J265/100))</f>
        <v/>
      </c>
      <c r="L265" s="8" t="inlineStr"/>
      <c r="M265" s="9">
        <f>IF(OR(L265="",K265="",L265=0),"",
  (L265-K265)/L265*100)</f>
        <v/>
      </c>
      <c r="N265" s="10" t="inlineStr"/>
      <c r="O265" s="4" t="inlineStr"/>
      <c r="P265" s="4" t="inlineStr"/>
      <c r="Q265" s="4" t="inlineStr"/>
      <c r="R265" s="4" t="inlineStr">
        <is>
          <t>2026-03-12</t>
        </is>
      </c>
      <c r="S265" s="4" t="inlineStr">
        <is>
          <t>Hirschs 47th Anniversary Sale Feb-Mar 2026</t>
        </is>
      </c>
    </row>
    <row r="266">
      <c r="A266" s="11" t="inlineStr">
        <is>
          <t>DHG902</t>
        </is>
      </c>
      <c r="B266" s="11" t="inlineStr"/>
      <c r="C266" s="11" t="inlineStr"/>
      <c r="D266" s="11" t="inlineStr"/>
      <c r="E266" s="11" t="inlineStr">
        <is>
          <t>Defy 90cm Dual Fuel Gas &amp; Electric Hob Black Glass</t>
        </is>
      </c>
      <c r="F266" s="11" t="inlineStr">
        <is>
          <t>Defy</t>
        </is>
      </c>
      <c r="G266" s="11" t="inlineStr"/>
      <c r="H266" s="11" t="inlineStr"/>
      <c r="I266" s="12" t="n">
        <v>6999</v>
      </c>
      <c r="J266" s="6" t="n">
        <v>15</v>
      </c>
      <c r="K266" s="7">
        <f>IF(I266="","",I266*(1+J266/100))</f>
        <v/>
      </c>
      <c r="L266" s="8" t="inlineStr"/>
      <c r="M266" s="9">
        <f>IF(OR(L266="",K266="",L266=0),"",
  (L266-K266)/L266*100)</f>
        <v/>
      </c>
      <c r="N266" s="10" t="inlineStr"/>
      <c r="O266" s="11" t="inlineStr"/>
      <c r="P266" s="11" t="inlineStr"/>
      <c r="Q266" s="11" t="inlineStr"/>
      <c r="R266" s="11" t="inlineStr">
        <is>
          <t>2026-03-12</t>
        </is>
      </c>
      <c r="S266" s="11" t="inlineStr">
        <is>
          <t>Hirschs 47th Anniversary Sale Feb-Mar 2026</t>
        </is>
      </c>
    </row>
    <row r="267">
      <c r="A267" s="3" t="inlineStr">
        <is>
          <t>DHG701</t>
        </is>
      </c>
      <c r="B267" s="4" t="inlineStr"/>
      <c r="C267" s="4" t="inlineStr"/>
      <c r="D267" s="4" t="inlineStr"/>
      <c r="E267" s="3" t="inlineStr">
        <is>
          <t>Defy 70cm Gemini Gas on Glass Hob with Wok Burner</t>
        </is>
      </c>
      <c r="F267" s="4" t="inlineStr">
        <is>
          <t>Defy</t>
        </is>
      </c>
      <c r="G267" s="4" t="inlineStr"/>
      <c r="H267" s="4" t="inlineStr"/>
      <c r="I267" s="5" t="n">
        <v>5699</v>
      </c>
      <c r="J267" s="6" t="n">
        <v>15</v>
      </c>
      <c r="K267" s="7">
        <f>IF(I267="","",I267*(1+J267/100))</f>
        <v/>
      </c>
      <c r="L267" s="8" t="inlineStr"/>
      <c r="M267" s="9">
        <f>IF(OR(L267="",K267="",L267=0),"",
  (L267-K267)/L267*100)</f>
        <v/>
      </c>
      <c r="N267" s="10" t="inlineStr"/>
      <c r="O267" s="4" t="inlineStr"/>
      <c r="P267" s="4" t="inlineStr"/>
      <c r="Q267" s="4" t="inlineStr"/>
      <c r="R267" s="4" t="inlineStr">
        <is>
          <t>2026-03-12</t>
        </is>
      </c>
      <c r="S267" s="4" t="inlineStr">
        <is>
          <t>Hirschs 47th Anniversary Sale Feb-Mar 2026</t>
        </is>
      </c>
    </row>
    <row r="268">
      <c r="A268" s="11" t="inlineStr">
        <is>
          <t>DHG506</t>
        </is>
      </c>
      <c r="B268" s="11" t="inlineStr"/>
      <c r="C268" s="11" t="inlineStr"/>
      <c r="D268" s="11" t="inlineStr"/>
      <c r="E268" s="11" t="inlineStr">
        <is>
          <t>Defy 60cm Gemini Dual Fuel Gas &amp; Electric Hob Black Glass</t>
        </is>
      </c>
      <c r="F268" s="11" t="inlineStr">
        <is>
          <t>Defy</t>
        </is>
      </c>
      <c r="G268" s="11" t="inlineStr"/>
      <c r="H268" s="11" t="inlineStr"/>
      <c r="I268" s="12" t="n">
        <v>4999</v>
      </c>
      <c r="J268" s="6" t="n">
        <v>15</v>
      </c>
      <c r="K268" s="7">
        <f>IF(I268="","",I268*(1+J268/100))</f>
        <v/>
      </c>
      <c r="L268" s="8" t="inlineStr"/>
      <c r="M268" s="9">
        <f>IF(OR(L268="",K268="",L268=0),"",
  (L268-K268)/L268*100)</f>
        <v/>
      </c>
      <c r="N268" s="10" t="inlineStr"/>
      <c r="O268" s="11" t="inlineStr"/>
      <c r="P268" s="11" t="inlineStr"/>
      <c r="Q268" s="11" t="inlineStr"/>
      <c r="R268" s="11" t="inlineStr">
        <is>
          <t>2026-03-12</t>
        </is>
      </c>
      <c r="S268" s="11" t="inlineStr">
        <is>
          <t>Hirschs 47th Anniversary Sale Feb-Mar 2026</t>
        </is>
      </c>
    </row>
    <row r="269">
      <c r="A269" s="3" t="inlineStr">
        <is>
          <t>DGS90GEB</t>
        </is>
      </c>
      <c r="B269" s="4" t="inlineStr"/>
      <c r="C269" s="4" t="inlineStr"/>
      <c r="D269" s="4" t="inlineStr"/>
      <c r="E269" s="3" t="inlineStr">
        <is>
          <t>Defy 90cm Multifunction Gas/Electric Range Cooker Black</t>
        </is>
      </c>
      <c r="F269" s="4" t="inlineStr">
        <is>
          <t>Defy</t>
        </is>
      </c>
      <c r="G269" s="4" t="inlineStr"/>
      <c r="H269" s="4" t="inlineStr"/>
      <c r="I269" s="5" t="n">
        <v>12999</v>
      </c>
      <c r="J269" s="6" t="n">
        <v>15</v>
      </c>
      <c r="K269" s="7">
        <f>IF(I269="","",I269*(1+J269/100))</f>
        <v/>
      </c>
      <c r="L269" s="8" t="inlineStr"/>
      <c r="M269" s="9">
        <f>IF(OR(L269="",K269="",L269=0),"",
  (L269-K269)/L269*100)</f>
        <v/>
      </c>
      <c r="N269" s="10" t="inlineStr"/>
      <c r="O269" s="4" t="inlineStr"/>
      <c r="P269" s="4" t="inlineStr"/>
      <c r="Q269" s="4" t="inlineStr"/>
      <c r="R269" s="4" t="inlineStr">
        <is>
          <t>2026-03-12</t>
        </is>
      </c>
      <c r="S269" s="4" t="inlineStr">
        <is>
          <t>Hirschs 47th Anniversary Sale Feb-Mar 2026</t>
        </is>
      </c>
    </row>
    <row r="270">
      <c r="A270" s="11" t="inlineStr">
        <is>
          <t>DGS606</t>
        </is>
      </c>
      <c r="B270" s="11" t="inlineStr"/>
      <c r="C270" s="11" t="inlineStr"/>
      <c r="D270" s="11" t="inlineStr"/>
      <c r="E270" s="11" t="inlineStr">
        <is>
          <t>Defy 60cm THERMOFAN 4 Burner Gas/Electric Stove</t>
        </is>
      </c>
      <c r="F270" s="11" t="inlineStr">
        <is>
          <t>Defy</t>
        </is>
      </c>
      <c r="G270" s="11" t="inlineStr"/>
      <c r="H270" s="11" t="inlineStr"/>
      <c r="I270" s="12" t="n">
        <v>7499</v>
      </c>
      <c r="J270" s="6" t="n">
        <v>15</v>
      </c>
      <c r="K270" s="7">
        <f>IF(I270="","",I270*(1+J270/100))</f>
        <v/>
      </c>
      <c r="L270" s="8" t="inlineStr"/>
      <c r="M270" s="9">
        <f>IF(OR(L270="",K270="",L270=0),"",
  (L270-K270)/L270*100)</f>
        <v/>
      </c>
      <c r="N270" s="10" t="inlineStr"/>
      <c r="O270" s="11" t="inlineStr"/>
      <c r="P270" s="11" t="inlineStr"/>
      <c r="Q270" s="11" t="inlineStr"/>
      <c r="R270" s="11" t="inlineStr">
        <is>
          <t>2026-03-12</t>
        </is>
      </c>
      <c r="S270" s="11" t="inlineStr">
        <is>
          <t>Hirschs 47th Anniversary Sale Feb-Mar 2026</t>
        </is>
      </c>
    </row>
    <row r="271">
      <c r="A271" s="3" t="inlineStr">
        <is>
          <t>DSS554</t>
        </is>
      </c>
      <c r="B271" s="4" t="inlineStr"/>
      <c r="C271" s="4" t="inlineStr"/>
      <c r="D271" s="4" t="inlineStr"/>
      <c r="E271" s="3" t="inlineStr">
        <is>
          <t>Defy 50cm 4 Plate Compact Electric Stove Black</t>
        </is>
      </c>
      <c r="F271" s="4" t="inlineStr">
        <is>
          <t>Defy</t>
        </is>
      </c>
      <c r="G271" s="4" t="inlineStr"/>
      <c r="H271" s="4" t="inlineStr"/>
      <c r="I271" s="5" t="n">
        <v>3699</v>
      </c>
      <c r="J271" s="6" t="n">
        <v>15</v>
      </c>
      <c r="K271" s="7">
        <f>IF(I271="","",I271*(1+J271/100))</f>
        <v/>
      </c>
      <c r="L271" s="8" t="inlineStr"/>
      <c r="M271" s="9">
        <f>IF(OR(L271="",K271="",L271=0),"",
  (L271-K271)/L271*100)</f>
        <v/>
      </c>
      <c r="N271" s="10" t="inlineStr"/>
      <c r="O271" s="4" t="inlineStr"/>
      <c r="P271" s="4" t="inlineStr"/>
      <c r="Q271" s="4" t="inlineStr"/>
      <c r="R271" s="4" t="inlineStr">
        <is>
          <t>2026-03-12</t>
        </is>
      </c>
      <c r="S271" s="4" t="inlineStr">
        <is>
          <t>Hirschs 47th Anniversary Sale Feb-Mar 2026</t>
        </is>
      </c>
    </row>
    <row r="272">
      <c r="A272" s="11" t="inlineStr">
        <is>
          <t>DCH90CB</t>
        </is>
      </c>
      <c r="B272" s="11" t="inlineStr"/>
      <c r="C272" s="11" t="inlineStr"/>
      <c r="D272" s="11" t="inlineStr"/>
      <c r="E272" s="11" t="inlineStr">
        <is>
          <t>Defy 90cm Chimney Hood Black</t>
        </is>
      </c>
      <c r="F272" s="11" t="inlineStr">
        <is>
          <t>Defy</t>
        </is>
      </c>
      <c r="G272" s="11" t="inlineStr"/>
      <c r="H272" s="11" t="inlineStr"/>
      <c r="I272" s="12" t="n">
        <v>2799</v>
      </c>
      <c r="J272" s="6" t="n">
        <v>15</v>
      </c>
      <c r="K272" s="7">
        <f>IF(I272="","",I272*(1+J272/100))</f>
        <v/>
      </c>
      <c r="L272" s="8" t="inlineStr"/>
      <c r="M272" s="9">
        <f>IF(OR(L272="",K272="",L272=0),"",
  (L272-K272)/L272*100)</f>
        <v/>
      </c>
      <c r="N272" s="10" t="inlineStr"/>
      <c r="O272" s="11" t="inlineStr"/>
      <c r="P272" s="11" t="inlineStr"/>
      <c r="Q272" s="11" t="inlineStr"/>
      <c r="R272" s="11" t="inlineStr">
        <is>
          <t>2026-03-12</t>
        </is>
      </c>
      <c r="S272" s="11" t="inlineStr">
        <is>
          <t>Hirschs 47th Anniversary Sale Feb-Mar 2026</t>
        </is>
      </c>
    </row>
    <row r="273">
      <c r="A273" s="3" t="inlineStr">
        <is>
          <t>DCH60CSS</t>
        </is>
      </c>
      <c r="B273" s="4" t="inlineStr"/>
      <c r="C273" s="4" t="inlineStr"/>
      <c r="D273" s="4" t="inlineStr"/>
      <c r="E273" s="3" t="inlineStr">
        <is>
          <t>Defy 60cm Chimney Hood Stainless Steel</t>
        </is>
      </c>
      <c r="F273" s="4" t="inlineStr">
        <is>
          <t>Defy</t>
        </is>
      </c>
      <c r="G273" s="4" t="inlineStr"/>
      <c r="H273" s="4" t="inlineStr"/>
      <c r="I273" s="5" t="n">
        <v>1899</v>
      </c>
      <c r="J273" s="6" t="n">
        <v>15</v>
      </c>
      <c r="K273" s="7">
        <f>IF(I273="","",I273*(1+J273/100))</f>
        <v/>
      </c>
      <c r="L273" s="8" t="inlineStr"/>
      <c r="M273" s="9">
        <f>IF(OR(L273="",K273="",L273=0),"",
  (L273-K273)/L273*100)</f>
        <v/>
      </c>
      <c r="N273" s="10" t="inlineStr"/>
      <c r="O273" s="4" t="inlineStr"/>
      <c r="P273" s="4" t="inlineStr"/>
      <c r="Q273" s="4" t="inlineStr"/>
      <c r="R273" s="4" t="inlineStr">
        <is>
          <t>2026-03-12</t>
        </is>
      </c>
      <c r="S273" s="4" t="inlineStr">
        <is>
          <t>Hirschs 47th Anniversary Sale Feb-Mar 2026</t>
        </is>
      </c>
    </row>
    <row r="274">
      <c r="A274" s="11" t="inlineStr">
        <is>
          <t>DMO134</t>
        </is>
      </c>
      <c r="B274" s="11" t="inlineStr"/>
      <c r="C274" s="11" t="inlineStr"/>
      <c r="D274" s="11" t="inlineStr"/>
      <c r="E274" s="11" t="inlineStr">
        <is>
          <t>Defy 34L Digital Grill Microwave Black</t>
        </is>
      </c>
      <c r="F274" s="11" t="inlineStr">
        <is>
          <t>Defy</t>
        </is>
      </c>
      <c r="G274" s="11" t="inlineStr"/>
      <c r="H274" s="11" t="inlineStr"/>
      <c r="I274" s="12" t="n">
        <v>1999</v>
      </c>
      <c r="J274" s="6" t="n">
        <v>15</v>
      </c>
      <c r="K274" s="7">
        <f>IF(I274="","",I274*(1+J274/100))</f>
        <v/>
      </c>
      <c r="L274" s="8" t="inlineStr"/>
      <c r="M274" s="9">
        <f>IF(OR(L274="",K274="",L274=0),"",
  (L274-K274)/L274*100)</f>
        <v/>
      </c>
      <c r="N274" s="10" t="inlineStr"/>
      <c r="O274" s="11" t="inlineStr"/>
      <c r="P274" s="11" t="inlineStr"/>
      <c r="Q274" s="11" t="inlineStr"/>
      <c r="R274" s="11" t="inlineStr">
        <is>
          <t>2026-03-12</t>
        </is>
      </c>
      <c r="S274" s="11" t="inlineStr">
        <is>
          <t>Hirschs 47th Anniversary Sale Feb-Mar 2026</t>
        </is>
      </c>
    </row>
    <row r="275">
      <c r="A275" s="3" t="inlineStr">
        <is>
          <t>?</t>
        </is>
      </c>
      <c r="B275" s="4" t="inlineStr"/>
      <c r="C275" s="4" t="inlineStr"/>
      <c r="D275" s="4" t="inlineStr"/>
      <c r="E275" s="3" t="inlineStr">
        <is>
          <t>SnoMaster Ice-Maker</t>
        </is>
      </c>
      <c r="F275" s="4" t="inlineStr">
        <is>
          <t>SnoMaster</t>
        </is>
      </c>
      <c r="G275" s="4" t="inlineStr"/>
      <c r="H275" s="4" t="inlineStr"/>
      <c r="I275" s="5" t="n">
        <v>1899</v>
      </c>
      <c r="J275" s="6" t="n">
        <v>15</v>
      </c>
      <c r="K275" s="7">
        <f>IF(I275="","",I275*(1+J275/100))</f>
        <v/>
      </c>
      <c r="L275" s="8" t="inlineStr"/>
      <c r="M275" s="9">
        <f>IF(OR(L275="",K275="",L275=0),"",
  (L275-K275)/L275*100)</f>
        <v/>
      </c>
      <c r="N275" s="10" t="inlineStr"/>
      <c r="O275" s="4" t="inlineStr"/>
      <c r="P275" s="4" t="inlineStr"/>
      <c r="Q275" s="4" t="inlineStr"/>
      <c r="R275" s="4" t="inlineStr">
        <is>
          <t>2026-03-12</t>
        </is>
      </c>
      <c r="S275" s="4" t="inlineStr">
        <is>
          <t>Hirschs 47th Anniversary Sale Feb-Mar 2026</t>
        </is>
      </c>
    </row>
    <row r="276">
      <c r="A276" s="11" t="inlineStr">
        <is>
          <t>85583</t>
        </is>
      </c>
      <c r="B276" s="11" t="inlineStr"/>
      <c r="C276" s="11" t="inlineStr"/>
      <c r="D276" s="11" t="inlineStr"/>
      <c r="E276" s="11" t="inlineStr">
        <is>
          <t>SnoMaster Counter-Top Ball Ice-Maker</t>
        </is>
      </c>
      <c r="F276" s="11" t="inlineStr">
        <is>
          <t>SnoMaster</t>
        </is>
      </c>
      <c r="G276" s="11" t="inlineStr"/>
      <c r="H276" s="11" t="inlineStr"/>
      <c r="I276" s="12" t="n">
        <v>5899</v>
      </c>
      <c r="J276" s="6" t="n">
        <v>15</v>
      </c>
      <c r="K276" s="7">
        <f>IF(I276="","",I276*(1+J276/100))</f>
        <v/>
      </c>
      <c r="L276" s="8" t="inlineStr"/>
      <c r="M276" s="9">
        <f>IF(OR(L276="",K276="",L276=0),"",
  (L276-K276)/L276*100)</f>
        <v/>
      </c>
      <c r="N276" s="10" t="inlineStr"/>
      <c r="O276" s="11" t="inlineStr"/>
      <c r="P276" s="11" t="inlineStr"/>
      <c r="Q276" s="11" t="inlineStr"/>
      <c r="R276" s="11" t="inlineStr">
        <is>
          <t>2026-03-12</t>
        </is>
      </c>
      <c r="S276" s="11" t="inlineStr">
        <is>
          <t>Hirschs 47th Anniversary Sale Feb-Mar 2026</t>
        </is>
      </c>
    </row>
    <row r="277">
      <c r="A277" s="3" t="inlineStr">
        <is>
          <t>87505</t>
        </is>
      </c>
      <c r="B277" s="4" t="inlineStr"/>
      <c r="C277" s="4" t="inlineStr"/>
      <c r="D277" s="4" t="inlineStr"/>
      <c r="E277" s="3" t="inlineStr">
        <is>
          <t>SnoMaster Plumbed-In Bullet Type Ice-Maker Black</t>
        </is>
      </c>
      <c r="F277" s="4" t="inlineStr">
        <is>
          <t>SnoMaster</t>
        </is>
      </c>
      <c r="G277" s="4" t="inlineStr"/>
      <c r="H277" s="4" t="inlineStr"/>
      <c r="I277" s="5" t="n">
        <v>10999</v>
      </c>
      <c r="J277" s="6" t="n">
        <v>15</v>
      </c>
      <c r="K277" s="7">
        <f>IF(I277="","",I277*(1+J277/100))</f>
        <v/>
      </c>
      <c r="L277" s="8" t="inlineStr"/>
      <c r="M277" s="9">
        <f>IF(OR(L277="",K277="",L277=0),"",
  (L277-K277)/L277*100)</f>
        <v/>
      </c>
      <c r="N277" s="10" t="inlineStr"/>
      <c r="O277" s="4" t="inlineStr"/>
      <c r="P277" s="4" t="inlineStr"/>
      <c r="Q277" s="4" t="inlineStr"/>
      <c r="R277" s="4" t="inlineStr">
        <is>
          <t>2026-03-12</t>
        </is>
      </c>
      <c r="S277" s="4" t="inlineStr">
        <is>
          <t>Hirschs 47th Anniversary Sale Feb-Mar 2026</t>
        </is>
      </c>
    </row>
    <row r="278">
      <c r="A278" s="11" t="inlineStr">
        <is>
          <t>62452</t>
        </is>
      </c>
      <c r="B278" s="11" t="inlineStr"/>
      <c r="C278" s="11" t="inlineStr"/>
      <c r="D278" s="11" t="inlineStr"/>
      <c r="E278" s="11" t="inlineStr">
        <is>
          <t>SnoMaster Ice-Maker Plumbed-In Bullet Stainless Steel</t>
        </is>
      </c>
      <c r="F278" s="11" t="inlineStr">
        <is>
          <t>SnoMaster</t>
        </is>
      </c>
      <c r="G278" s="11" t="inlineStr"/>
      <c r="H278" s="11" t="inlineStr"/>
      <c r="I278" s="12" t="n">
        <v>18999</v>
      </c>
      <c r="J278" s="6" t="n">
        <v>15</v>
      </c>
      <c r="K278" s="7">
        <f>IF(I278="","",I278*(1+J278/100))</f>
        <v/>
      </c>
      <c r="L278" s="8" t="inlineStr"/>
      <c r="M278" s="9">
        <f>IF(OR(L278="",K278="",L278=0),"",
  (L278-K278)/L278*100)</f>
        <v/>
      </c>
      <c r="N278" s="10" t="inlineStr"/>
      <c r="O278" s="11" t="inlineStr"/>
      <c r="P278" s="11" t="inlineStr"/>
      <c r="Q278" s="11" t="inlineStr"/>
      <c r="R278" s="11" t="inlineStr">
        <is>
          <t>2026-03-12</t>
        </is>
      </c>
      <c r="S278" s="11" t="inlineStr">
        <is>
          <t>Hirschs 47th Anniversary Sale Feb-Mar 2026</t>
        </is>
      </c>
    </row>
    <row r="279">
      <c r="A279" s="3" t="inlineStr">
        <is>
          <t>85577</t>
        </is>
      </c>
      <c r="B279" s="4" t="inlineStr"/>
      <c r="C279" s="4" t="inlineStr"/>
      <c r="D279" s="4" t="inlineStr"/>
      <c r="E279" s="3" t="inlineStr">
        <is>
          <t>SnoMaster 88L Under-Counter Beverage Cooler</t>
        </is>
      </c>
      <c r="F279" s="4" t="inlineStr">
        <is>
          <t>SnoMaster</t>
        </is>
      </c>
      <c r="G279" s="4" t="inlineStr"/>
      <c r="H279" s="4" t="inlineStr"/>
      <c r="I279" s="5" t="n">
        <v>5999</v>
      </c>
      <c r="J279" s="6" t="n">
        <v>15</v>
      </c>
      <c r="K279" s="7">
        <f>IF(I279="","",I279*(1+J279/100))</f>
        <v/>
      </c>
      <c r="L279" s="8" t="inlineStr"/>
      <c r="M279" s="9">
        <f>IF(OR(L279="",K279="",L279=0),"",
  (L279-K279)/L279*100)</f>
        <v/>
      </c>
      <c r="N279" s="10" t="inlineStr"/>
      <c r="O279" s="4" t="inlineStr"/>
      <c r="P279" s="4" t="inlineStr"/>
      <c r="Q279" s="4" t="inlineStr"/>
      <c r="R279" s="4" t="inlineStr">
        <is>
          <t>2026-03-12</t>
        </is>
      </c>
      <c r="S279" s="4" t="inlineStr">
        <is>
          <t>Hirschs 47th Anniversary Sale Feb-Mar 2026</t>
        </is>
      </c>
    </row>
    <row r="280">
      <c r="A280" s="11" t="inlineStr">
        <is>
          <t>62443</t>
        </is>
      </c>
      <c r="B280" s="11" t="inlineStr"/>
      <c r="C280" s="11" t="inlineStr"/>
      <c r="D280" s="11" t="inlineStr"/>
      <c r="E280" s="11" t="inlineStr">
        <is>
          <t>SnoMaster 14 Bottle Pro Series Dual Zone Wine Cooler</t>
        </is>
      </c>
      <c r="F280" s="11" t="inlineStr">
        <is>
          <t>SnoMaster</t>
        </is>
      </c>
      <c r="G280" s="11" t="inlineStr"/>
      <c r="H280" s="11" t="inlineStr"/>
      <c r="I280" s="12" t="n">
        <v>17999</v>
      </c>
      <c r="J280" s="6" t="n">
        <v>15</v>
      </c>
      <c r="K280" s="7">
        <f>IF(I280="","",I280*(1+J280/100))</f>
        <v/>
      </c>
      <c r="L280" s="8" t="inlineStr"/>
      <c r="M280" s="9">
        <f>IF(OR(L280="",K280="",L280=0),"",
  (L280-K280)/L280*100)</f>
        <v/>
      </c>
      <c r="N280" s="10" t="inlineStr"/>
      <c r="O280" s="11" t="inlineStr"/>
      <c r="P280" s="11" t="inlineStr"/>
      <c r="Q280" s="11" t="inlineStr"/>
      <c r="R280" s="11" t="inlineStr">
        <is>
          <t>2026-03-12</t>
        </is>
      </c>
      <c r="S280" s="11" t="inlineStr">
        <is>
          <t>Hirschs 47th Anniversary Sale Feb-Mar 2026</t>
        </is>
      </c>
    </row>
    <row r="281">
      <c r="A281" s="3" t="inlineStr">
        <is>
          <t>86745</t>
        </is>
      </c>
      <c r="B281" s="4" t="inlineStr"/>
      <c r="C281" s="4" t="inlineStr"/>
      <c r="D281" s="4" t="inlineStr"/>
      <c r="E281" s="3" t="inlineStr">
        <is>
          <t>SnoMaster 30 Bottle Single Zone Wine Cooler</t>
        </is>
      </c>
      <c r="F281" s="4" t="inlineStr">
        <is>
          <t>SnoMaster</t>
        </is>
      </c>
      <c r="G281" s="4" t="inlineStr"/>
      <c r="H281" s="4" t="inlineStr"/>
      <c r="I281" s="5" t="n">
        <v>8999</v>
      </c>
      <c r="J281" s="6" t="n">
        <v>15</v>
      </c>
      <c r="K281" s="7">
        <f>IF(I281="","",I281*(1+J281/100))</f>
        <v/>
      </c>
      <c r="L281" s="8" t="inlineStr"/>
      <c r="M281" s="9">
        <f>IF(OR(L281="",K281="",L281=0),"",
  (L281-K281)/L281*100)</f>
        <v/>
      </c>
      <c r="N281" s="10" t="inlineStr"/>
      <c r="O281" s="4" t="inlineStr"/>
      <c r="P281" s="4" t="inlineStr"/>
      <c r="Q281" s="4" t="inlineStr"/>
      <c r="R281" s="4" t="inlineStr">
        <is>
          <t>2026-03-12</t>
        </is>
      </c>
      <c r="S281" s="4" t="inlineStr">
        <is>
          <t>Hirschs 47th Anniversary Sale Feb-Mar 2026</t>
        </is>
      </c>
    </row>
    <row r="282">
      <c r="A282" s="11" t="inlineStr">
        <is>
          <t>85578</t>
        </is>
      </c>
      <c r="B282" s="11" t="inlineStr"/>
      <c r="C282" s="11" t="inlineStr"/>
      <c r="D282" s="11" t="inlineStr"/>
      <c r="E282" s="11" t="inlineStr">
        <is>
          <t>SnoMaster 28 Bottle Single Zone Wine Cooler</t>
        </is>
      </c>
      <c r="F282" s="11" t="inlineStr">
        <is>
          <t>SnoMaster</t>
        </is>
      </c>
      <c r="G282" s="11" t="inlineStr"/>
      <c r="H282" s="11" t="inlineStr"/>
      <c r="I282" s="12" t="n">
        <v>6499</v>
      </c>
      <c r="J282" s="6" t="n">
        <v>15</v>
      </c>
      <c r="K282" s="7">
        <f>IF(I282="","",I282*(1+J282/100))</f>
        <v/>
      </c>
      <c r="L282" s="8" t="inlineStr"/>
      <c r="M282" s="9">
        <f>IF(OR(L282="",K282="",L282=0),"",
  (L282-K282)/L282*100)</f>
        <v/>
      </c>
      <c r="N282" s="10" t="inlineStr"/>
      <c r="O282" s="11" t="inlineStr"/>
      <c r="P282" s="11" t="inlineStr"/>
      <c r="Q282" s="11" t="inlineStr"/>
      <c r="R282" s="11" t="inlineStr">
        <is>
          <t>2026-03-12</t>
        </is>
      </c>
      <c r="S282" s="11" t="inlineStr">
        <is>
          <t>Hirschs 47th Anniversary Sale Feb-Mar 2026</t>
        </is>
      </c>
    </row>
    <row r="283">
      <c r="A283" s="3" t="inlineStr">
        <is>
          <t>85625</t>
        </is>
      </c>
      <c r="B283" s="4" t="inlineStr"/>
      <c r="C283" s="4" t="inlineStr"/>
      <c r="D283" s="4" t="inlineStr"/>
      <c r="E283" s="3" t="inlineStr">
        <is>
          <t>SnoMaster 300L Under-Counter Sliding Door Beverage Cooler</t>
        </is>
      </c>
      <c r="F283" s="4" t="inlineStr">
        <is>
          <t>SnoMaster</t>
        </is>
      </c>
      <c r="G283" s="4" t="inlineStr"/>
      <c r="H283" s="4" t="inlineStr"/>
      <c r="I283" s="5" t="n">
        <v>16499</v>
      </c>
      <c r="J283" s="6" t="n">
        <v>15</v>
      </c>
      <c r="K283" s="7">
        <f>IF(I283="","",I283*(1+J283/100))</f>
        <v/>
      </c>
      <c r="L283" s="8" t="inlineStr"/>
      <c r="M283" s="9">
        <f>IF(OR(L283="",K283="",L283=0),"",
  (L283-K283)/L283*100)</f>
        <v/>
      </c>
      <c r="N283" s="10" t="inlineStr"/>
      <c r="O283" s="4" t="inlineStr"/>
      <c r="P283" s="4" t="inlineStr"/>
      <c r="Q283" s="4" t="inlineStr"/>
      <c r="R283" s="4" t="inlineStr">
        <is>
          <t>2026-03-12</t>
        </is>
      </c>
      <c r="S283" s="4" t="inlineStr">
        <is>
          <t>Hirschs 47th Anniversary Sale Feb-Mar 2026</t>
        </is>
      </c>
    </row>
    <row r="284">
      <c r="A284" s="13" t="inlineStr"/>
      <c r="B284" s="11" t="inlineStr"/>
      <c r="C284" s="11" t="inlineStr"/>
      <c r="D284" s="11" t="inlineStr"/>
      <c r="E284" s="11" t="inlineStr">
        <is>
          <t>SnoMaster 400L Under-Counter Beverage Cooler</t>
        </is>
      </c>
      <c r="F284" s="11" t="inlineStr">
        <is>
          <t>SnoMaster</t>
        </is>
      </c>
      <c r="G284" s="11" t="inlineStr"/>
      <c r="H284" s="11" t="inlineStr"/>
      <c r="I284" s="12" t="n">
        <v>21999</v>
      </c>
      <c r="J284" s="6" t="n">
        <v>15</v>
      </c>
      <c r="K284" s="7">
        <f>IF(I284="","",I284*(1+J284/100))</f>
        <v/>
      </c>
      <c r="L284" s="8" t="inlineStr"/>
      <c r="M284" s="9">
        <f>IF(OR(L284="",K284="",L284=0),"",
  (L284-K284)/L284*100)</f>
        <v/>
      </c>
      <c r="N284" s="10" t="inlineStr"/>
      <c r="O284" s="11" t="inlineStr"/>
      <c r="P284" s="11" t="inlineStr"/>
      <c r="Q284" s="11" t="inlineStr"/>
      <c r="R284" s="11" t="inlineStr">
        <is>
          <t>2026-03-12</t>
        </is>
      </c>
      <c r="S284" s="11" t="inlineStr">
        <is>
          <t>Hirschs 47th Anniversary Sale Feb-Mar 2026</t>
        </is>
      </c>
    </row>
    <row r="285">
      <c r="A285" s="3" t="inlineStr">
        <is>
          <t>64083</t>
        </is>
      </c>
      <c r="B285" s="4" t="inlineStr"/>
      <c r="C285" s="4" t="inlineStr"/>
      <c r="D285" s="4" t="inlineStr"/>
      <c r="E285" s="3" t="inlineStr">
        <is>
          <t>SnoMaster 158 Bottle Pro Series Dual Zone Wine Cooler</t>
        </is>
      </c>
      <c r="F285" s="4" t="inlineStr">
        <is>
          <t>SnoMaster</t>
        </is>
      </c>
      <c r="G285" s="4" t="inlineStr"/>
      <c r="H285" s="4" t="inlineStr"/>
      <c r="I285" s="5" t="n">
        <v>39999</v>
      </c>
      <c r="J285" s="6" t="n">
        <v>15</v>
      </c>
      <c r="K285" s="7">
        <f>IF(I285="","",I285*(1+J285/100))</f>
        <v/>
      </c>
      <c r="L285" s="8" t="inlineStr"/>
      <c r="M285" s="9">
        <f>IF(OR(L285="",K285="",L285=0),"",
  (L285-K285)/L285*100)</f>
        <v/>
      </c>
      <c r="N285" s="10" t="inlineStr"/>
      <c r="O285" s="4" t="inlineStr"/>
      <c r="P285" s="4" t="inlineStr"/>
      <c r="Q285" s="4" t="inlineStr"/>
      <c r="R285" s="4" t="inlineStr">
        <is>
          <t>2026-03-12</t>
        </is>
      </c>
      <c r="S285" s="4" t="inlineStr">
        <is>
          <t>Hirschs 47th Anniversary Sale Feb-Mar 2026</t>
        </is>
      </c>
    </row>
    <row r="286">
      <c r="A286" s="11" t="inlineStr">
        <is>
          <t>MY-CS6037WPP2</t>
        </is>
      </c>
      <c r="B286" s="11" t="inlineStr"/>
      <c r="C286" s="11" t="inlineStr"/>
      <c r="D286" s="11" t="inlineStr"/>
      <c r="E286" s="11" t="inlineStr">
        <is>
          <t>Midea 8L Electric Pressure Cooker</t>
        </is>
      </c>
      <c r="F286" s="11" t="inlineStr">
        <is>
          <t>Midea</t>
        </is>
      </c>
      <c r="G286" s="11" t="inlineStr"/>
      <c r="H286" s="11" t="inlineStr"/>
      <c r="I286" s="12" t="n">
        <v>1499</v>
      </c>
      <c r="J286" s="6" t="n">
        <v>15</v>
      </c>
      <c r="K286" s="7">
        <f>IF(I286="","",I286*(1+J286/100))</f>
        <v/>
      </c>
      <c r="L286" s="8" t="inlineStr"/>
      <c r="M286" s="9">
        <f>IF(OR(L286="",K286="",L286=0),"",
  (L286-K286)/L286*100)</f>
        <v/>
      </c>
      <c r="N286" s="10" t="inlineStr"/>
      <c r="O286" s="11" t="inlineStr"/>
      <c r="P286" s="11" t="inlineStr"/>
      <c r="Q286" s="11" t="inlineStr"/>
      <c r="R286" s="11" t="inlineStr">
        <is>
          <t>2026-03-12</t>
        </is>
      </c>
      <c r="S286" s="11" t="inlineStr">
        <is>
          <t>Hirschs 47th Anniversary Sale Feb-Mar 2026</t>
        </is>
      </c>
    </row>
    <row r="287">
      <c r="A287" s="3" t="inlineStr">
        <is>
          <t>HM050BLACK</t>
        </is>
      </c>
      <c r="B287" s="4" t="inlineStr"/>
      <c r="C287" s="4" t="inlineStr"/>
      <c r="D287" s="4" t="inlineStr"/>
      <c r="E287" s="3" t="inlineStr">
        <is>
          <t>Midea 20L Inverter Black Microwave</t>
        </is>
      </c>
      <c r="F287" s="4" t="inlineStr">
        <is>
          <t>Midea</t>
        </is>
      </c>
      <c r="G287" s="4" t="inlineStr"/>
      <c r="H287" s="4" t="inlineStr"/>
      <c r="I287" s="5" t="n">
        <v>729</v>
      </c>
      <c r="J287" s="6" t="n">
        <v>15</v>
      </c>
      <c r="K287" s="7">
        <f>IF(I287="","",I287*(1+J287/100))</f>
        <v/>
      </c>
      <c r="L287" s="8" t="inlineStr"/>
      <c r="M287" s="9">
        <f>IF(OR(L287="",K287="",L287=0),"",
  (L287-K287)/L287*100)</f>
        <v/>
      </c>
      <c r="N287" s="10" t="inlineStr"/>
      <c r="O287" s="4" t="inlineStr"/>
      <c r="P287" s="4" t="inlineStr"/>
      <c r="Q287" s="4" t="inlineStr"/>
      <c r="R287" s="4" t="inlineStr">
        <is>
          <t>2026-03-12</t>
        </is>
      </c>
      <c r="S287" s="4" t="inlineStr">
        <is>
          <t>Hirschs 47th Anniversary Sale Feb-Mar 2026</t>
        </is>
      </c>
    </row>
    <row r="288">
      <c r="A288" s="11" t="inlineStr">
        <is>
          <t>EM361-SILVER</t>
        </is>
      </c>
      <c r="B288" s="11" t="inlineStr"/>
      <c r="C288" s="11" t="inlineStr"/>
      <c r="D288" s="11" t="inlineStr"/>
      <c r="E288" s="11" t="inlineStr">
        <is>
          <t>Midea 30L Silver Microwave With Inverter</t>
        </is>
      </c>
      <c r="F288" s="11" t="inlineStr">
        <is>
          <t>Midea</t>
        </is>
      </c>
      <c r="G288" s="11" t="inlineStr"/>
      <c r="H288" s="11" t="inlineStr"/>
      <c r="I288" s="12" t="n">
        <v>1199</v>
      </c>
      <c r="J288" s="6" t="n">
        <v>15</v>
      </c>
      <c r="K288" s="7">
        <f>IF(I288="","",I288*(1+J288/100))</f>
        <v/>
      </c>
      <c r="L288" s="8" t="inlineStr"/>
      <c r="M288" s="9">
        <f>IF(OR(L288="",K288="",L288=0),"",
  (L288-K288)/L288*100)</f>
        <v/>
      </c>
      <c r="N288" s="10" t="inlineStr"/>
      <c r="O288" s="11" t="inlineStr"/>
      <c r="P288" s="11" t="inlineStr"/>
      <c r="Q288" s="11" t="inlineStr"/>
      <c r="R288" s="11" t="inlineStr">
        <is>
          <t>2026-03-12</t>
        </is>
      </c>
      <c r="S288" s="11" t="inlineStr">
        <is>
          <t>Hirschs 47th Anniversary Sale Feb-Mar 2026</t>
        </is>
      </c>
    </row>
    <row r="289">
      <c r="A289" s="13" t="inlineStr"/>
      <c r="B289" s="4" t="inlineStr"/>
      <c r="C289" s="4" t="inlineStr"/>
      <c r="D289" s="4" t="inlineStr"/>
      <c r="E289" s="3" t="inlineStr">
        <is>
          <t>Midea 12/8KG Washer Dryer Combo</t>
        </is>
      </c>
      <c r="F289" s="4" t="inlineStr">
        <is>
          <t>Midea</t>
        </is>
      </c>
      <c r="G289" s="4" t="inlineStr"/>
      <c r="H289" s="4" t="inlineStr"/>
      <c r="I289" s="5" t="n">
        <v>9999</v>
      </c>
      <c r="J289" s="6" t="n">
        <v>15</v>
      </c>
      <c r="K289" s="7">
        <f>IF(I289="","",I289*(1+J289/100))</f>
        <v/>
      </c>
      <c r="L289" s="8" t="inlineStr"/>
      <c r="M289" s="9">
        <f>IF(OR(L289="",K289="",L289=0),"",
  (L289-K289)/L289*100)</f>
        <v/>
      </c>
      <c r="N289" s="10" t="inlineStr"/>
      <c r="O289" s="4" t="inlineStr"/>
      <c r="P289" s="4" t="inlineStr"/>
      <c r="Q289" s="4" t="inlineStr"/>
      <c r="R289" s="4" t="inlineStr">
        <is>
          <t>2026-03-12</t>
        </is>
      </c>
      <c r="S289" s="4" t="inlineStr">
        <is>
          <t>Hirschs 47th Anniversary Sale Feb-Mar 2026</t>
        </is>
      </c>
    </row>
    <row r="290">
      <c r="A290" s="11" t="inlineStr">
        <is>
          <t>YL20371-BLACK</t>
        </is>
      </c>
      <c r="B290" s="11" t="inlineStr"/>
      <c r="C290" s="11" t="inlineStr"/>
      <c r="D290" s="11" t="inlineStr"/>
      <c r="E290" s="11" t="inlineStr">
        <is>
          <t>Midea Countertop Loading Water Dispenser</t>
        </is>
      </c>
      <c r="F290" s="11" t="inlineStr">
        <is>
          <t>Midea</t>
        </is>
      </c>
      <c r="G290" s="11" t="inlineStr"/>
      <c r="H290" s="11" t="inlineStr"/>
      <c r="I290" s="12" t="n">
        <v>2299</v>
      </c>
      <c r="J290" s="6" t="n">
        <v>15</v>
      </c>
      <c r="K290" s="7">
        <f>IF(I290="","",I290*(1+J290/100))</f>
        <v/>
      </c>
      <c r="L290" s="8" t="inlineStr"/>
      <c r="M290" s="9">
        <f>IF(OR(L290="",K290="",L290=0),"",
  (L290-K290)/L290*100)</f>
        <v/>
      </c>
      <c r="N290" s="10" t="inlineStr"/>
      <c r="O290" s="11" t="inlineStr"/>
      <c r="P290" s="11" t="inlineStr"/>
      <c r="Q290" s="11" t="inlineStr"/>
      <c r="R290" s="11" t="inlineStr">
        <is>
          <t>2026-03-12</t>
        </is>
      </c>
      <c r="S290" s="11" t="inlineStr">
        <is>
          <t>Hirschs 47th Anniversary Sale Feb-Mar 2026</t>
        </is>
      </c>
    </row>
    <row r="291">
      <c r="A291" s="3" t="inlineStr">
        <is>
          <t>BL1192B-BLACK</t>
        </is>
      </c>
      <c r="B291" s="4" t="inlineStr"/>
      <c r="C291" s="4" t="inlineStr"/>
      <c r="D291" s="4" t="inlineStr"/>
      <c r="E291" s="3" t="inlineStr">
        <is>
          <t>Midea 2L Extreme Blender</t>
        </is>
      </c>
      <c r="F291" s="4" t="inlineStr">
        <is>
          <t>Midea</t>
        </is>
      </c>
      <c r="G291" s="4" t="inlineStr"/>
      <c r="H291" s="4" t="inlineStr"/>
      <c r="I291" s="5" t="n">
        <v>1799</v>
      </c>
      <c r="J291" s="6" t="n">
        <v>15</v>
      </c>
      <c r="K291" s="7">
        <f>IF(I291="","",I291*(1+J291/100))</f>
        <v/>
      </c>
      <c r="L291" s="8" t="inlineStr"/>
      <c r="M291" s="9">
        <f>IF(OR(L291="",K291="",L291=0),"",
  (L291-K291)/L291*100)</f>
        <v/>
      </c>
      <c r="N291" s="10" t="inlineStr"/>
      <c r="O291" s="4" t="inlineStr"/>
      <c r="P291" s="4" t="inlineStr"/>
      <c r="Q291" s="4" t="inlineStr"/>
      <c r="R291" s="4" t="inlineStr">
        <is>
          <t>2026-03-12</t>
        </is>
      </c>
      <c r="S291" s="4" t="inlineStr">
        <is>
          <t>Hirschs 47th Anniversary Sale Feb-Mar 2026</t>
        </is>
      </c>
    </row>
    <row r="292">
      <c r="A292" s="11" t="inlineStr">
        <is>
          <t>P018-23M8</t>
        </is>
      </c>
      <c r="B292" s="11" t="inlineStr"/>
      <c r="C292" s="11" t="inlineStr"/>
      <c r="D292" s="11" t="inlineStr"/>
      <c r="E292" s="11" t="inlineStr">
        <is>
          <t>Midea Circulation Fan</t>
        </is>
      </c>
      <c r="F292" s="11" t="inlineStr">
        <is>
          <t>Midea</t>
        </is>
      </c>
      <c r="G292" s="11" t="inlineStr"/>
      <c r="H292" s="11" t="inlineStr"/>
      <c r="I292" s="12" t="n">
        <v>1499</v>
      </c>
      <c r="J292" s="6" t="n">
        <v>15</v>
      </c>
      <c r="K292" s="7">
        <f>IF(I292="","",I292*(1+J292/100))</f>
        <v/>
      </c>
      <c r="L292" s="8" t="inlineStr"/>
      <c r="M292" s="9">
        <f>IF(OR(L292="",K292="",L292=0),"",
  (L292-K292)/L292*100)</f>
        <v/>
      </c>
      <c r="N292" s="10" t="inlineStr"/>
      <c r="O292" s="11" t="inlineStr"/>
      <c r="P292" s="11" t="inlineStr"/>
      <c r="Q292" s="11" t="inlineStr"/>
      <c r="R292" s="11" t="inlineStr">
        <is>
          <t>2026-03-12</t>
        </is>
      </c>
      <c r="S292" s="11" t="inlineStr">
        <is>
          <t>Hirschs 47th Anniversary Sale Feb-Mar 2026</t>
        </is>
      </c>
    </row>
    <row r="293">
      <c r="A293" s="3" t="inlineStr">
        <is>
          <t>SCV33-EM33</t>
        </is>
      </c>
      <c r="B293" s="4" t="inlineStr"/>
      <c r="C293" s="4" t="inlineStr"/>
      <c r="D293" s="4" t="inlineStr"/>
      <c r="E293" s="3" t="inlineStr">
        <is>
          <t>Midea 90CH Curved Glass Extractor Fan</t>
        </is>
      </c>
      <c r="F293" s="4" t="inlineStr">
        <is>
          <t>Midea</t>
        </is>
      </c>
      <c r="G293" s="4" t="inlineStr"/>
      <c r="H293" s="4" t="inlineStr"/>
      <c r="I293" s="5" t="n">
        <v>3999</v>
      </c>
      <c r="J293" s="6" t="n">
        <v>15</v>
      </c>
      <c r="K293" s="7">
        <f>IF(I293="","",I293*(1+J293/100))</f>
        <v/>
      </c>
      <c r="L293" s="8" t="inlineStr"/>
      <c r="M293" s="9">
        <f>IF(OR(L293="",K293="",L293=0),"",
  (L293-K293)/L293*100)</f>
        <v/>
      </c>
      <c r="N293" s="10" t="inlineStr"/>
      <c r="O293" s="4" t="inlineStr"/>
      <c r="P293" s="4" t="inlineStr"/>
      <c r="Q293" s="4" t="inlineStr"/>
      <c r="R293" s="4" t="inlineStr">
        <is>
          <t>2026-03-12</t>
        </is>
      </c>
      <c r="S293" s="4" t="inlineStr">
        <is>
          <t>Hirschs 47th Anniversary Sale Feb-Mar 2026</t>
        </is>
      </c>
    </row>
    <row r="294">
      <c r="A294" s="11" t="inlineStr">
        <is>
          <t>MC-IP74</t>
        </is>
      </c>
      <c r="B294" s="11" t="inlineStr"/>
      <c r="C294" s="11" t="inlineStr"/>
      <c r="D294" s="11" t="inlineStr"/>
      <c r="E294" s="11" t="inlineStr">
        <is>
          <t>Midea 60CM Induction Hob With Touch Control</t>
        </is>
      </c>
      <c r="F294" s="11" t="inlineStr">
        <is>
          <t>Midea</t>
        </is>
      </c>
      <c r="G294" s="11" t="inlineStr"/>
      <c r="H294" s="11" t="inlineStr"/>
      <c r="I294" s="12" t="n">
        <v>3999</v>
      </c>
      <c r="J294" s="6" t="n">
        <v>15</v>
      </c>
      <c r="K294" s="7">
        <f>IF(I294="","",I294*(1+J294/100))</f>
        <v/>
      </c>
      <c r="L294" s="8" t="inlineStr"/>
      <c r="M294" s="9">
        <f>IF(OR(L294="",K294="",L294=0),"",
  (L294-K294)/L294*100)</f>
        <v/>
      </c>
      <c r="N294" s="10" t="inlineStr"/>
      <c r="O294" s="11" t="inlineStr"/>
      <c r="P294" s="11" t="inlineStr"/>
      <c r="Q294" s="11" t="inlineStr"/>
      <c r="R294" s="11" t="inlineStr">
        <is>
          <t>2026-03-12</t>
        </is>
      </c>
      <c r="S294" s="11" t="inlineStr">
        <is>
          <t>Hirschs 47th Anniversary Sale Feb-Mar 2026</t>
        </is>
      </c>
    </row>
    <row r="295">
      <c r="A295" s="3" t="inlineStr">
        <is>
          <t>90GG-055</t>
        </is>
      </c>
      <c r="B295" s="4" t="inlineStr"/>
      <c r="C295" s="4" t="inlineStr"/>
      <c r="D295" s="4" t="inlineStr"/>
      <c r="E295" s="3" t="inlineStr">
        <is>
          <t>Midea 90CM Black Gas On Glass Hob</t>
        </is>
      </c>
      <c r="F295" s="4" t="inlineStr">
        <is>
          <t>Midea</t>
        </is>
      </c>
      <c r="G295" s="4" t="inlineStr"/>
      <c r="H295" s="4" t="inlineStr"/>
      <c r="I295" s="5" t="n">
        <v>4999</v>
      </c>
      <c r="J295" s="6" t="n">
        <v>15</v>
      </c>
      <c r="K295" s="7">
        <f>IF(I295="","",I295*(1+J295/100))</f>
        <v/>
      </c>
      <c r="L295" s="8" t="inlineStr"/>
      <c r="M295" s="9">
        <f>IF(OR(L295="",K295="",L295=0),"",
  (L295-K295)/L295*100)</f>
        <v/>
      </c>
      <c r="N295" s="10" t="inlineStr"/>
      <c r="O295" s="4" t="inlineStr"/>
      <c r="P295" s="4" t="inlineStr"/>
      <c r="Q295" s="4" t="inlineStr"/>
      <c r="R295" s="4" t="inlineStr">
        <is>
          <t>2026-03-12</t>
        </is>
      </c>
      <c r="S295" s="4" t="inlineStr">
        <is>
          <t>Hirschs 47th Anniversary Sale Feb-Mar 2026</t>
        </is>
      </c>
    </row>
    <row r="296">
      <c r="A296" s="11" t="inlineStr">
        <is>
          <t>DHW53180</t>
        </is>
      </c>
      <c r="B296" s="11" t="inlineStr"/>
      <c r="C296" s="11" t="inlineStr"/>
      <c r="D296" s="11" t="inlineStr"/>
      <c r="E296" s="11" t="inlineStr">
        <is>
          <t>Midea 13 Place Dishwasher</t>
        </is>
      </c>
      <c r="F296" s="11" t="inlineStr">
        <is>
          <t>Midea</t>
        </is>
      </c>
      <c r="G296" s="11" t="inlineStr"/>
      <c r="H296" s="11" t="inlineStr"/>
      <c r="I296" s="12" t="n">
        <v>4999</v>
      </c>
      <c r="J296" s="6" t="n">
        <v>15</v>
      </c>
      <c r="K296" s="7">
        <f>IF(I296="","",I296*(1+J296/100))</f>
        <v/>
      </c>
      <c r="L296" s="8" t="inlineStr"/>
      <c r="M296" s="9">
        <f>IF(OR(L296="",K296="",L296=0),"",
  (L296-K296)/L296*100)</f>
        <v/>
      </c>
      <c r="N296" s="10" t="inlineStr"/>
      <c r="O296" s="11" t="inlineStr"/>
      <c r="P296" s="11" t="inlineStr"/>
      <c r="Q296" s="11" t="inlineStr"/>
      <c r="R296" s="11" t="inlineStr">
        <is>
          <t>2026-03-12</t>
        </is>
      </c>
      <c r="S296" s="11" t="inlineStr">
        <is>
          <t>Hirschs 47th Anniversary Sale Feb-Mar 2026</t>
        </is>
      </c>
    </row>
    <row r="297">
      <c r="A297" s="3" t="inlineStr">
        <is>
          <t>MF200D100WB-1</t>
        </is>
      </c>
      <c r="B297" s="4" t="inlineStr"/>
      <c r="C297" s="4" t="inlineStr"/>
      <c r="D297" s="4" t="inlineStr"/>
      <c r="E297" s="3" t="inlineStr">
        <is>
          <t>Midea 10/7KG Washer Dryer Combo</t>
        </is>
      </c>
      <c r="F297" s="4" t="inlineStr">
        <is>
          <t>Midea</t>
        </is>
      </c>
      <c r="G297" s="4" t="inlineStr"/>
      <c r="H297" s="4" t="inlineStr"/>
      <c r="I297" s="5" t="n">
        <v>7999</v>
      </c>
      <c r="J297" s="6" t="n">
        <v>15</v>
      </c>
      <c r="K297" s="7">
        <f>IF(I297="","",I297*(1+J297/100))</f>
        <v/>
      </c>
      <c r="L297" s="8" t="inlineStr"/>
      <c r="M297" s="9">
        <f>IF(OR(L297="",K297="",L297=0),"",
  (L297-K297)/L297*100)</f>
        <v/>
      </c>
      <c r="N297" s="10" t="inlineStr"/>
      <c r="O297" s="4" t="inlineStr"/>
      <c r="P297" s="4" t="inlineStr"/>
      <c r="Q297" s="4" t="inlineStr"/>
      <c r="R297" s="4" t="inlineStr">
        <is>
          <t>2026-03-12</t>
        </is>
      </c>
      <c r="S297" s="4" t="inlineStr">
        <is>
          <t>Hirschs 47th Anniversary Sale Feb-Mar 2026</t>
        </is>
      </c>
    </row>
    <row r="298">
      <c r="A298" s="11" t="inlineStr">
        <is>
          <t>65M90D2</t>
        </is>
      </c>
      <c r="B298" s="11" t="inlineStr"/>
      <c r="C298" s="11" t="inlineStr"/>
      <c r="D298" s="11" t="inlineStr"/>
      <c r="E298" s="11" t="inlineStr">
        <is>
          <t>Midea 70L Built-In Electric Oven</t>
        </is>
      </c>
      <c r="F298" s="11" t="inlineStr">
        <is>
          <t>Midea</t>
        </is>
      </c>
      <c r="G298" s="11" t="inlineStr"/>
      <c r="H298" s="11" t="inlineStr"/>
      <c r="I298" s="12" t="n">
        <v>4999</v>
      </c>
      <c r="J298" s="6" t="n">
        <v>15</v>
      </c>
      <c r="K298" s="7">
        <f>IF(I298="","",I298*(1+J298/100))</f>
        <v/>
      </c>
      <c r="L298" s="8" t="inlineStr"/>
      <c r="M298" s="9">
        <f>IF(OR(L298="",K298="",L298=0),"",
  (L298-K298)/L298*100)</f>
        <v/>
      </c>
      <c r="N298" s="10" t="inlineStr"/>
      <c r="O298" s="11" t="inlineStr"/>
      <c r="P298" s="11" t="inlineStr"/>
      <c r="Q298" s="11" t="inlineStr"/>
      <c r="R298" s="11" t="inlineStr">
        <is>
          <t>2026-03-12</t>
        </is>
      </c>
      <c r="S298" s="11" t="inlineStr">
        <is>
          <t>Hirschs 47th Anniversary Sale Feb-Mar 2026</t>
        </is>
      </c>
    </row>
    <row r="299">
      <c r="A299" s="3" t="inlineStr">
        <is>
          <t>65M60H</t>
        </is>
      </c>
      <c r="B299" s="4" t="inlineStr"/>
      <c r="C299" s="4" t="inlineStr"/>
      <c r="D299" s="4" t="inlineStr"/>
      <c r="E299" s="3" t="inlineStr">
        <is>
          <t>Midea 67L Built-In Electric Oven</t>
        </is>
      </c>
      <c r="F299" s="4" t="inlineStr">
        <is>
          <t>Midea</t>
        </is>
      </c>
      <c r="G299" s="4" t="inlineStr"/>
      <c r="H299" s="4" t="inlineStr"/>
      <c r="I299" s="5" t="n">
        <v>3999</v>
      </c>
      <c r="J299" s="6" t="n">
        <v>15</v>
      </c>
      <c r="K299" s="7">
        <f>IF(I299="","",I299*(1+J299/100))</f>
        <v/>
      </c>
      <c r="L299" s="8" t="inlineStr"/>
      <c r="M299" s="9">
        <f>IF(OR(L299="",K299="",L299=0),"",
  (L299-K299)/L299*100)</f>
        <v/>
      </c>
      <c r="N299" s="10" t="inlineStr"/>
      <c r="O299" s="4" t="inlineStr"/>
      <c r="P299" s="4" t="inlineStr"/>
      <c r="Q299" s="4" t="inlineStr"/>
      <c r="R299" s="4" t="inlineStr">
        <is>
          <t>2026-03-12</t>
        </is>
      </c>
      <c r="S299" s="4" t="inlineStr">
        <is>
          <t>Hirschs 47th Anniversary Sale Feb-Mar 2026</t>
        </is>
      </c>
    </row>
    <row r="300">
      <c r="A300" s="11" t="inlineStr">
        <is>
          <t>YL30385-S</t>
        </is>
      </c>
      <c r="B300" s="11" t="inlineStr"/>
      <c r="C300" s="11" t="inlineStr"/>
      <c r="D300" s="11" t="inlineStr"/>
      <c r="E300" s="11" t="inlineStr">
        <is>
          <t>Midea Bottom Loading Water Dispenser</t>
        </is>
      </c>
      <c r="F300" s="11" t="inlineStr">
        <is>
          <t>Midea</t>
        </is>
      </c>
      <c r="G300" s="11" t="inlineStr"/>
      <c r="H300" s="11" t="inlineStr"/>
      <c r="I300" s="12" t="n">
        <v>3499</v>
      </c>
      <c r="J300" s="6" t="n">
        <v>15</v>
      </c>
      <c r="K300" s="7">
        <f>IF(I300="","",I300*(1+J300/100))</f>
        <v/>
      </c>
      <c r="L300" s="8" t="inlineStr"/>
      <c r="M300" s="9">
        <f>IF(OR(L300="",K300="",L300=0),"",
  (L300-K300)/L300*100)</f>
        <v/>
      </c>
      <c r="N300" s="10" t="inlineStr"/>
      <c r="O300" s="11" t="inlineStr"/>
      <c r="P300" s="11" t="inlineStr"/>
      <c r="Q300" s="11" t="inlineStr"/>
      <c r="R300" s="11" t="inlineStr">
        <is>
          <t>2026-03-12</t>
        </is>
      </c>
      <c r="S300" s="11" t="inlineStr">
        <is>
          <t>Hirschs 47th Anniversary Sale Feb-Mar 2026</t>
        </is>
      </c>
    </row>
    <row r="301">
      <c r="A301" s="3" t="inlineStr">
        <is>
          <t>BZE-INV-09</t>
        </is>
      </c>
      <c r="B301" s="4" t="inlineStr"/>
      <c r="C301" s="4" t="inlineStr"/>
      <c r="D301" s="4" t="inlineStr"/>
      <c r="E301" s="3" t="inlineStr">
        <is>
          <t>Midea BZE-INV-09 Inverter Aircon</t>
        </is>
      </c>
      <c r="F301" s="4" t="inlineStr">
        <is>
          <t>Midea</t>
        </is>
      </c>
      <c r="G301" s="4" t="inlineStr"/>
      <c r="H301" s="4" t="inlineStr"/>
      <c r="I301" s="5" t="n">
        <v>8999</v>
      </c>
      <c r="J301" s="6" t="n">
        <v>15</v>
      </c>
      <c r="K301" s="7">
        <f>IF(I301="","",I301*(1+J301/100))</f>
        <v/>
      </c>
      <c r="L301" s="8" t="inlineStr"/>
      <c r="M301" s="9">
        <f>IF(OR(L301="",K301="",L301=0),"",
  (L301-K301)/L301*100)</f>
        <v/>
      </c>
      <c r="N301" s="10" t="inlineStr"/>
      <c r="O301" s="4" t="inlineStr"/>
      <c r="P301" s="4" t="inlineStr"/>
      <c r="Q301" s="4" t="inlineStr"/>
      <c r="R301" s="4" t="inlineStr">
        <is>
          <t>2026-03-12</t>
        </is>
      </c>
      <c r="S301" s="4" t="inlineStr">
        <is>
          <t>Hirschs 47th Anniversary Sale Feb-Mar 2026</t>
        </is>
      </c>
    </row>
    <row r="302">
      <c r="A302" s="11" t="inlineStr">
        <is>
          <t>BZE-INV-12</t>
        </is>
      </c>
      <c r="B302" s="11" t="inlineStr"/>
      <c r="C302" s="11" t="inlineStr"/>
      <c r="D302" s="11" t="inlineStr"/>
      <c r="E302" s="11" t="inlineStr">
        <is>
          <t>Midea BZE-INV-12 Inverter Aircon</t>
        </is>
      </c>
      <c r="F302" s="11" t="inlineStr">
        <is>
          <t>Midea</t>
        </is>
      </c>
      <c r="G302" s="11" t="inlineStr"/>
      <c r="H302" s="11" t="inlineStr"/>
      <c r="I302" s="12" t="n">
        <v>9999</v>
      </c>
      <c r="J302" s="6" t="n">
        <v>15</v>
      </c>
      <c r="K302" s="7">
        <f>IF(I302="","",I302*(1+J302/100))</f>
        <v/>
      </c>
      <c r="L302" s="8" t="inlineStr"/>
      <c r="M302" s="9">
        <f>IF(OR(L302="",K302="",L302=0),"",
  (L302-K302)/L302*100)</f>
        <v/>
      </c>
      <c r="N302" s="10" t="inlineStr"/>
      <c r="O302" s="11" t="inlineStr"/>
      <c r="P302" s="11" t="inlineStr"/>
      <c r="Q302" s="11" t="inlineStr"/>
      <c r="R302" s="11" t="inlineStr">
        <is>
          <t>2026-03-12</t>
        </is>
      </c>
      <c r="S302" s="11" t="inlineStr">
        <is>
          <t>Hirschs 47th Anniversary Sale Feb-Mar 2026</t>
        </is>
      </c>
    </row>
    <row r="303">
      <c r="A303" s="3" t="inlineStr">
        <is>
          <t>BZE-INV-24</t>
        </is>
      </c>
      <c r="B303" s="4" t="inlineStr"/>
      <c r="C303" s="4" t="inlineStr"/>
      <c r="D303" s="4" t="inlineStr"/>
      <c r="E303" s="3" t="inlineStr">
        <is>
          <t>Midea BZE-INV-24 Inverter Aircon</t>
        </is>
      </c>
      <c r="F303" s="4" t="inlineStr">
        <is>
          <t>Midea</t>
        </is>
      </c>
      <c r="G303" s="4" t="inlineStr"/>
      <c r="H303" s="4" t="inlineStr"/>
      <c r="I303" s="5" t="n">
        <v>18999</v>
      </c>
      <c r="J303" s="6" t="n">
        <v>15</v>
      </c>
      <c r="K303" s="7">
        <f>IF(I303="","",I303*(1+J303/100))</f>
        <v/>
      </c>
      <c r="L303" s="8" t="inlineStr"/>
      <c r="M303" s="9">
        <f>IF(OR(L303="",K303="",L303=0),"",
  (L303-K303)/L303*100)</f>
        <v/>
      </c>
      <c r="N303" s="10" t="inlineStr"/>
      <c r="O303" s="4" t="inlineStr"/>
      <c r="P303" s="4" t="inlineStr"/>
      <c r="Q303" s="4" t="inlineStr"/>
      <c r="R303" s="4" t="inlineStr">
        <is>
          <t>2026-03-12</t>
        </is>
      </c>
      <c r="S303" s="4" t="inlineStr">
        <is>
          <t>Hirschs 47th Anniversary Sale Feb-Mar 2026</t>
        </is>
      </c>
    </row>
    <row r="304">
      <c r="A304" s="11" t="inlineStr">
        <is>
          <t>INVEXT-12-R32</t>
        </is>
      </c>
      <c r="B304" s="11" t="inlineStr"/>
      <c r="C304" s="11" t="inlineStr"/>
      <c r="D304" s="11" t="inlineStr"/>
      <c r="E304" s="11" t="inlineStr">
        <is>
          <t>Midea Xtreme Inverter Energy Saving Inverter Aircon</t>
        </is>
      </c>
      <c r="F304" s="11" t="inlineStr">
        <is>
          <t>Midea</t>
        </is>
      </c>
      <c r="G304" s="11" t="inlineStr"/>
      <c r="H304" s="11" t="inlineStr"/>
      <c r="I304" s="12" t="n">
        <v>8699</v>
      </c>
      <c r="J304" s="6" t="n">
        <v>15</v>
      </c>
      <c r="K304" s="7">
        <f>IF(I304="","",I304*(1+J304/100))</f>
        <v/>
      </c>
      <c r="L304" s="8" t="inlineStr"/>
      <c r="M304" s="9">
        <f>IF(OR(L304="",K304="",L304=0),"",
  (L304-K304)/L304*100)</f>
        <v/>
      </c>
      <c r="N304" s="10" t="inlineStr"/>
      <c r="O304" s="11" t="inlineStr"/>
      <c r="P304" s="11" t="inlineStr"/>
      <c r="Q304" s="11" t="inlineStr"/>
      <c r="R304" s="11" t="inlineStr">
        <is>
          <t>2026-03-12</t>
        </is>
      </c>
      <c r="S304" s="11" t="inlineStr">
        <is>
          <t>Hirschs 47th Anniversary Sale Feb-Mar 2026</t>
        </is>
      </c>
    </row>
    <row r="305">
      <c r="A305" s="3" t="inlineStr">
        <is>
          <t>MPPX-12HR/N7</t>
        </is>
      </c>
      <c r="B305" s="4" t="inlineStr"/>
      <c r="C305" s="4" t="inlineStr"/>
      <c r="D305" s="4" t="inlineStr"/>
      <c r="E305" s="3" t="inlineStr">
        <is>
          <t>Midea 12000 BTU Portable Air Conditioner</t>
        </is>
      </c>
      <c r="F305" s="4" t="inlineStr">
        <is>
          <t>Midea</t>
        </is>
      </c>
      <c r="G305" s="4" t="inlineStr"/>
      <c r="H305" s="4" t="inlineStr"/>
      <c r="I305" s="5" t="n">
        <v>5999</v>
      </c>
      <c r="J305" s="6" t="n">
        <v>15</v>
      </c>
      <c r="K305" s="7">
        <f>IF(I305="","",I305*(1+J305/100))</f>
        <v/>
      </c>
      <c r="L305" s="8" t="inlineStr"/>
      <c r="M305" s="9">
        <f>IF(OR(L305="",K305="",L305=0),"",
  (L305-K305)/L305*100)</f>
        <v/>
      </c>
      <c r="N305" s="10" t="inlineStr"/>
      <c r="O305" s="4" t="inlineStr"/>
      <c r="P305" s="4" t="inlineStr"/>
      <c r="Q305" s="4" t="inlineStr"/>
      <c r="R305" s="4" t="inlineStr">
        <is>
          <t>2026-03-12</t>
        </is>
      </c>
      <c r="S305" s="4" t="inlineStr">
        <is>
          <t>Hirschs 47th Anniversary Sale Feb-Mar 2026</t>
        </is>
      </c>
    </row>
    <row r="306">
      <c r="A306" s="11" t="inlineStr">
        <is>
          <t>MA200W110T</t>
        </is>
      </c>
      <c r="B306" s="11" t="inlineStr"/>
      <c r="C306" s="11" t="inlineStr"/>
      <c r="D306" s="11" t="inlineStr"/>
      <c r="E306" s="11" t="inlineStr">
        <is>
          <t>Midea 11KG Top Loader Dark Grey</t>
        </is>
      </c>
      <c r="F306" s="11" t="inlineStr">
        <is>
          <t>Midea</t>
        </is>
      </c>
      <c r="G306" s="11" t="inlineStr"/>
      <c r="H306" s="11" t="inlineStr"/>
      <c r="I306" s="12" t="n">
        <v>4399</v>
      </c>
      <c r="J306" s="6" t="n">
        <v>15</v>
      </c>
      <c r="K306" s="7">
        <f>IF(I306="","",I306*(1+J306/100))</f>
        <v/>
      </c>
      <c r="L306" s="8" t="inlineStr"/>
      <c r="M306" s="9">
        <f>IF(OR(L306="",K306="",L306=0),"",
  (L306-K306)/L306*100)</f>
        <v/>
      </c>
      <c r="N306" s="10" t="inlineStr"/>
      <c r="O306" s="11" t="inlineStr"/>
      <c r="P306" s="11" t="inlineStr"/>
      <c r="Q306" s="11" t="inlineStr"/>
      <c r="R306" s="11" t="inlineStr">
        <is>
          <t>2026-03-12</t>
        </is>
      </c>
      <c r="S306" s="11" t="inlineStr">
        <is>
          <t>Hirschs 47th Anniversary Sale Feb-Mar 2026</t>
        </is>
      </c>
    </row>
    <row r="307">
      <c r="A307" s="3" t="inlineStr">
        <is>
          <t>MA320W160B-T</t>
        </is>
      </c>
      <c r="B307" s="4" t="inlineStr"/>
      <c r="C307" s="4" t="inlineStr"/>
      <c r="D307" s="4" t="inlineStr"/>
      <c r="E307" s="3" t="inlineStr">
        <is>
          <t>Midea 16KG Top Loader Titanium</t>
        </is>
      </c>
      <c r="F307" s="4" t="inlineStr">
        <is>
          <t>Midea</t>
        </is>
      </c>
      <c r="G307" s="4" t="inlineStr"/>
      <c r="H307" s="4" t="inlineStr"/>
      <c r="I307" s="5" t="n">
        <v>5999</v>
      </c>
      <c r="J307" s="6" t="n">
        <v>15</v>
      </c>
      <c r="K307" s="7">
        <f>IF(I307="","",I307*(1+J307/100))</f>
        <v/>
      </c>
      <c r="L307" s="8" t="inlineStr"/>
      <c r="M307" s="9">
        <f>IF(OR(L307="",K307="",L307=0),"",
  (L307-K307)/L307*100)</f>
        <v/>
      </c>
      <c r="N307" s="10" t="inlineStr"/>
      <c r="O307" s="4" t="inlineStr"/>
      <c r="P307" s="4" t="inlineStr"/>
      <c r="Q307" s="4" t="inlineStr"/>
      <c r="R307" s="4" t="inlineStr">
        <is>
          <t>2026-03-12</t>
        </is>
      </c>
      <c r="S307" s="4" t="inlineStr">
        <is>
          <t>Hirschs 47th Anniversary Sale Feb-Mar 2026</t>
        </is>
      </c>
    </row>
    <row r="308">
      <c r="A308" s="11" t="inlineStr">
        <is>
          <t>MA350W210-G</t>
        </is>
      </c>
      <c r="B308" s="11" t="inlineStr"/>
      <c r="C308" s="11" t="inlineStr"/>
      <c r="D308" s="11" t="inlineStr"/>
      <c r="E308" s="11" t="inlineStr">
        <is>
          <t>Midea 21KG Top Loader Light Commercial</t>
        </is>
      </c>
      <c r="F308" s="11" t="inlineStr">
        <is>
          <t>Midea</t>
        </is>
      </c>
      <c r="G308" s="11" t="inlineStr"/>
      <c r="H308" s="11" t="inlineStr"/>
      <c r="I308" s="12" t="n">
        <v>7999</v>
      </c>
      <c r="J308" s="6" t="n">
        <v>15</v>
      </c>
      <c r="K308" s="7">
        <f>IF(I308="","",I308*(1+J308/100))</f>
        <v/>
      </c>
      <c r="L308" s="8" t="inlineStr"/>
      <c r="M308" s="9">
        <f>IF(OR(L308="",K308="",L308=0),"",
  (L308-K308)/L308*100)</f>
        <v/>
      </c>
      <c r="N308" s="10" t="inlineStr"/>
      <c r="O308" s="11" t="inlineStr"/>
      <c r="P308" s="11" t="inlineStr"/>
      <c r="Q308" s="11" t="inlineStr"/>
      <c r="R308" s="11" t="inlineStr">
        <is>
          <t>2026-03-12</t>
        </is>
      </c>
      <c r="S308" s="11" t="inlineStr">
        <is>
          <t>Hirschs 47th Anniversary Sale Feb-Mar 2026</t>
        </is>
      </c>
    </row>
    <row r="309">
      <c r="A309" s="3" t="inlineStr">
        <is>
          <t>MF200W100WB-T</t>
        </is>
      </c>
      <c r="B309" s="4" t="inlineStr"/>
      <c r="C309" s="4" t="inlineStr"/>
      <c r="D309" s="4" t="inlineStr"/>
      <c r="E309" s="3" t="inlineStr">
        <is>
          <t>Midea 10KG Front Loader With Inverter</t>
        </is>
      </c>
      <c r="F309" s="4" t="inlineStr">
        <is>
          <t>Midea</t>
        </is>
      </c>
      <c r="G309" s="4" t="inlineStr"/>
      <c r="H309" s="4" t="inlineStr"/>
      <c r="I309" s="5" t="n">
        <v>6999</v>
      </c>
      <c r="J309" s="6" t="n">
        <v>15</v>
      </c>
      <c r="K309" s="7">
        <f>IF(I309="","",I309*(1+J309/100))</f>
        <v/>
      </c>
      <c r="L309" s="8" t="inlineStr"/>
      <c r="M309" s="9">
        <f>IF(OR(L309="",K309="",L309=0),"",
  (L309-K309)/L309*100)</f>
        <v/>
      </c>
      <c r="N309" s="10" t="inlineStr"/>
      <c r="O309" s="4" t="inlineStr"/>
      <c r="P309" s="4" t="inlineStr"/>
      <c r="Q309" s="4" t="inlineStr"/>
      <c r="R309" s="4" t="inlineStr">
        <is>
          <t>2026-03-12</t>
        </is>
      </c>
      <c r="S309" s="4" t="inlineStr">
        <is>
          <t>Hirschs 47th Anniversary Sale Feb-Mar 2026</t>
        </is>
      </c>
    </row>
    <row r="310">
      <c r="A310" s="11" t="inlineStr">
        <is>
          <t>MD200W100WB-T</t>
        </is>
      </c>
      <c r="B310" s="11" t="inlineStr"/>
      <c r="C310" s="11" t="inlineStr"/>
      <c r="D310" s="11" t="inlineStr"/>
      <c r="E310" s="11" t="inlineStr">
        <is>
          <t>Midea 10KG Heat Pump Dryer With Inverter</t>
        </is>
      </c>
      <c r="F310" s="11" t="inlineStr">
        <is>
          <t>Midea</t>
        </is>
      </c>
      <c r="G310" s="11" t="inlineStr"/>
      <c r="H310" s="11" t="inlineStr"/>
      <c r="I310" s="12" t="n">
        <v>8999</v>
      </c>
      <c r="J310" s="6" t="n">
        <v>15</v>
      </c>
      <c r="K310" s="7">
        <f>IF(I310="","",I310*(1+J310/100))</f>
        <v/>
      </c>
      <c r="L310" s="8" t="inlineStr"/>
      <c r="M310" s="9">
        <f>IF(OR(L310="",K310="",L310=0),"",
  (L310-K310)/L310*100)</f>
        <v/>
      </c>
      <c r="N310" s="10" t="inlineStr"/>
      <c r="O310" s="11" t="inlineStr"/>
      <c r="P310" s="11" t="inlineStr"/>
      <c r="Q310" s="11" t="inlineStr"/>
      <c r="R310" s="11" t="inlineStr">
        <is>
          <t>2026-03-12</t>
        </is>
      </c>
      <c r="S310" s="11" t="inlineStr">
        <is>
          <t>Hirschs 47th Anniversary Sale Feb-Mar 2026</t>
        </is>
      </c>
    </row>
    <row r="311">
      <c r="A311" s="3" t="inlineStr">
        <is>
          <t>HD-216FN-BLACK</t>
        </is>
      </c>
      <c r="B311" s="4" t="inlineStr"/>
      <c r="C311" s="4" t="inlineStr"/>
      <c r="D311" s="4" t="inlineStr"/>
      <c r="E311" s="3" t="inlineStr">
        <is>
          <t>Midea 173L Fridge Top Mount Freezer</t>
        </is>
      </c>
      <c r="F311" s="4" t="inlineStr">
        <is>
          <t>Midea</t>
        </is>
      </c>
      <c r="G311" s="4" t="inlineStr"/>
      <c r="H311" s="4" t="inlineStr"/>
      <c r="I311" s="5" t="n">
        <v>3499</v>
      </c>
      <c r="J311" s="6" t="n">
        <v>15</v>
      </c>
      <c r="K311" s="7">
        <f>IF(I311="","",I311*(1+J311/100))</f>
        <v/>
      </c>
      <c r="L311" s="8" t="inlineStr"/>
      <c r="M311" s="9">
        <f>IF(OR(L311="",K311="",L311=0),"",
  (L311-K311)/L311*100)</f>
        <v/>
      </c>
      <c r="N311" s="10" t="inlineStr"/>
      <c r="O311" s="4" t="inlineStr"/>
      <c r="P311" s="4" t="inlineStr"/>
      <c r="Q311" s="4" t="inlineStr"/>
      <c r="R311" s="4" t="inlineStr">
        <is>
          <t>2026-03-12</t>
        </is>
      </c>
      <c r="S311" s="4" t="inlineStr">
        <is>
          <t>Hirschs 47th Anniversary Sale Feb-Mar 2026</t>
        </is>
      </c>
    </row>
    <row r="312">
      <c r="A312" s="11" t="inlineStr">
        <is>
          <t>HD-359RWEN</t>
        </is>
      </c>
      <c r="B312" s="11" t="inlineStr"/>
      <c r="C312" s="11" t="inlineStr"/>
      <c r="D312" s="11" t="inlineStr"/>
      <c r="E312" s="11" t="inlineStr">
        <is>
          <t>Midea 262L Frost Free Fridge</t>
        </is>
      </c>
      <c r="F312" s="11" t="inlineStr">
        <is>
          <t>Midea</t>
        </is>
      </c>
      <c r="G312" s="11" t="inlineStr"/>
      <c r="H312" s="11" t="inlineStr"/>
      <c r="I312" s="12" t="n">
        <v>5499</v>
      </c>
      <c r="J312" s="6" t="n">
        <v>15</v>
      </c>
      <c r="K312" s="7">
        <f>IF(I312="","",I312*(1+J312/100))</f>
        <v/>
      </c>
      <c r="L312" s="8" t="inlineStr"/>
      <c r="M312" s="9">
        <f>IF(OR(L312="",K312="",L312=0),"",
  (L312-K312)/L312*100)</f>
        <v/>
      </c>
      <c r="N312" s="10" t="inlineStr"/>
      <c r="O312" s="11" t="inlineStr"/>
      <c r="P312" s="11" t="inlineStr"/>
      <c r="Q312" s="11" t="inlineStr"/>
      <c r="R312" s="11" t="inlineStr">
        <is>
          <t>2026-03-12</t>
        </is>
      </c>
      <c r="S312" s="11" t="inlineStr">
        <is>
          <t>Hirschs 47th Anniversary Sale Feb-Mar 2026</t>
        </is>
      </c>
    </row>
    <row r="313">
      <c r="A313" s="3" t="inlineStr">
        <is>
          <t>HD-359RWEN-WD</t>
        </is>
      </c>
      <c r="B313" s="4" t="inlineStr"/>
      <c r="C313" s="4" t="inlineStr"/>
      <c r="D313" s="4" t="inlineStr"/>
      <c r="E313" s="3" t="inlineStr">
        <is>
          <t>Midea 262L Bottom Mount With Dispenser</t>
        </is>
      </c>
      <c r="F313" s="4" t="inlineStr">
        <is>
          <t>Midea</t>
        </is>
      </c>
      <c r="G313" s="4" t="inlineStr"/>
      <c r="H313" s="4" t="inlineStr"/>
      <c r="I313" s="5" t="n">
        <v>5999</v>
      </c>
      <c r="J313" s="6" t="n">
        <v>15</v>
      </c>
      <c r="K313" s="7">
        <f>IF(I313="","",I313*(1+J313/100))</f>
        <v/>
      </c>
      <c r="L313" s="8" t="inlineStr"/>
      <c r="M313" s="9">
        <f>IF(OR(L313="",K313="",L313=0),"",
  (L313-K313)/L313*100)</f>
        <v/>
      </c>
      <c r="N313" s="10" t="inlineStr"/>
      <c r="O313" s="4" t="inlineStr"/>
      <c r="P313" s="4" t="inlineStr"/>
      <c r="Q313" s="4" t="inlineStr"/>
      <c r="R313" s="4" t="inlineStr">
        <is>
          <t>2026-03-12</t>
        </is>
      </c>
      <c r="S313" s="4" t="inlineStr">
        <is>
          <t>Hirschs 47th Anniversary Sale Feb-Mar 2026</t>
        </is>
      </c>
    </row>
    <row r="314">
      <c r="A314" s="11" t="inlineStr">
        <is>
          <t>HS-772PWE</t>
        </is>
      </c>
      <c r="B314" s="11" t="inlineStr"/>
      <c r="C314" s="11" t="inlineStr"/>
      <c r="D314" s="11" t="inlineStr"/>
      <c r="E314" s="11" t="inlineStr">
        <is>
          <t>Midea 595L Switch Fridge or Freezer</t>
        </is>
      </c>
      <c r="F314" s="11" t="inlineStr">
        <is>
          <t>Midea</t>
        </is>
      </c>
      <c r="G314" s="11" t="inlineStr"/>
      <c r="H314" s="11" t="inlineStr"/>
      <c r="I314" s="12" t="n">
        <v>17999</v>
      </c>
      <c r="J314" s="6" t="n">
        <v>15</v>
      </c>
      <c r="K314" s="7">
        <f>IF(I314="","",I314*(1+J314/100))</f>
        <v/>
      </c>
      <c r="L314" s="8" t="inlineStr"/>
      <c r="M314" s="9">
        <f>IF(OR(L314="",K314="",L314=0),"",
  (L314-K314)/L314*100)</f>
        <v/>
      </c>
      <c r="N314" s="10" t="inlineStr"/>
      <c r="O314" s="11" t="inlineStr"/>
      <c r="P314" s="11" t="inlineStr"/>
      <c r="Q314" s="11" t="inlineStr"/>
      <c r="R314" s="11" t="inlineStr">
        <is>
          <t>2026-03-12</t>
        </is>
      </c>
      <c r="S314" s="11" t="inlineStr">
        <is>
          <t>Hirschs 47th Anniversary Sale Feb-Mar 2026</t>
        </is>
      </c>
    </row>
    <row r="315">
      <c r="A315" s="3" t="inlineStr">
        <is>
          <t>HB736G1B1</t>
        </is>
      </c>
      <c r="B315" s="4" t="inlineStr"/>
      <c r="C315" s="4" t="inlineStr"/>
      <c r="D315" s="4" t="inlineStr"/>
      <c r="E315" s="3" t="inlineStr">
        <is>
          <t>Siemens HB736G1B1 60cm Built-in Oven iQ700</t>
        </is>
      </c>
      <c r="F315" s="4" t="inlineStr">
        <is>
          <t>Siemens</t>
        </is>
      </c>
      <c r="G315" s="4" t="inlineStr"/>
      <c r="H315" s="4" t="inlineStr"/>
      <c r="I315" s="5" t="n">
        <v>16999</v>
      </c>
      <c r="J315" s="6" t="n">
        <v>15</v>
      </c>
      <c r="K315" s="7">
        <f>IF(I315="","",I315*(1+J315/100))</f>
        <v/>
      </c>
      <c r="L315" s="8" t="inlineStr"/>
      <c r="M315" s="9">
        <f>IF(OR(L315="",K315="",L315=0),"",
  (L315-K315)/L315*100)</f>
        <v/>
      </c>
      <c r="N315" s="10" t="inlineStr"/>
      <c r="O315" s="4" t="inlineStr"/>
      <c r="P315" s="4" t="inlineStr"/>
      <c r="Q315" s="4" t="inlineStr"/>
      <c r="R315" s="4" t="inlineStr">
        <is>
          <t>2026-03-12</t>
        </is>
      </c>
      <c r="S315" s="4" t="inlineStr">
        <is>
          <t>Hirschs 47th Anniversary Sale Feb-Mar 2026</t>
        </is>
      </c>
    </row>
    <row r="316">
      <c r="A316" s="11" t="inlineStr">
        <is>
          <t>HM736GAB1</t>
        </is>
      </c>
      <c r="B316" s="11" t="inlineStr"/>
      <c r="C316" s="11" t="inlineStr"/>
      <c r="D316" s="11" t="inlineStr"/>
      <c r="E316" s="11" t="inlineStr">
        <is>
          <t>Siemens HM736GAB1 60cm Built-in Oven with Microwave iQ700</t>
        </is>
      </c>
      <c r="F316" s="11" t="inlineStr">
        <is>
          <t>Siemens</t>
        </is>
      </c>
      <c r="G316" s="11" t="inlineStr"/>
      <c r="H316" s="11" t="inlineStr"/>
      <c r="I316" s="12" t="n">
        <v>29999</v>
      </c>
      <c r="J316" s="6" t="n">
        <v>15</v>
      </c>
      <c r="K316" s="7">
        <f>IF(I316="","",I316*(1+J316/100))</f>
        <v/>
      </c>
      <c r="L316" s="8" t="inlineStr"/>
      <c r="M316" s="9">
        <f>IF(OR(L316="",K316="",L316=0),"",
  (L316-K316)/L316*100)</f>
        <v/>
      </c>
      <c r="N316" s="10" t="inlineStr"/>
      <c r="O316" s="11" t="inlineStr"/>
      <c r="P316" s="11" t="inlineStr"/>
      <c r="Q316" s="11" t="inlineStr"/>
      <c r="R316" s="11" t="inlineStr">
        <is>
          <t>2026-03-12</t>
        </is>
      </c>
      <c r="S316" s="11" t="inlineStr">
        <is>
          <t>Hirschs 47th Anniversary Sale Feb-Mar 2026</t>
        </is>
      </c>
    </row>
    <row r="317">
      <c r="A317" s="3" t="inlineStr">
        <is>
          <t>VB554DFR0</t>
        </is>
      </c>
      <c r="B317" s="4" t="inlineStr"/>
      <c r="C317" s="4" t="inlineStr"/>
      <c r="D317" s="4" t="inlineStr"/>
      <c r="E317" s="3" t="inlineStr">
        <is>
          <t>Siemens VB554DFR0 90cm built-in oven</t>
        </is>
      </c>
      <c r="F317" s="4" t="inlineStr">
        <is>
          <t>Siemens</t>
        </is>
      </c>
      <c r="G317" s="4" t="inlineStr"/>
      <c r="H317" s="4" t="inlineStr"/>
      <c r="I317" s="5" t="n">
        <v>24999</v>
      </c>
      <c r="J317" s="6" t="n">
        <v>15</v>
      </c>
      <c r="K317" s="7">
        <f>IF(I317="","",I317*(1+J317/100))</f>
        <v/>
      </c>
      <c r="L317" s="8" t="inlineStr"/>
      <c r="M317" s="9">
        <f>IF(OR(L317="",K317="",L317=0),"",
  (L317-K317)/L317*100)</f>
        <v/>
      </c>
      <c r="N317" s="10" t="inlineStr"/>
      <c r="O317" s="4" t="inlineStr"/>
      <c r="P317" s="4" t="inlineStr"/>
      <c r="Q317" s="4" t="inlineStr"/>
      <c r="R317" s="4" t="inlineStr">
        <is>
          <t>2026-03-12</t>
        </is>
      </c>
      <c r="S317" s="4" t="inlineStr">
        <is>
          <t>Hirschs 47th Anniversary Sale Feb-Mar 2026</t>
        </is>
      </c>
    </row>
    <row r="318">
      <c r="A318" s="11" t="inlineStr">
        <is>
          <t>CT718L1B0</t>
        </is>
      </c>
      <c r="B318" s="11" t="inlineStr"/>
      <c r="C318" s="11" t="inlineStr"/>
      <c r="D318" s="11" t="inlineStr"/>
      <c r="E318" s="11" t="inlineStr">
        <is>
          <t>Siemens CT718L1B0 iQ700 Automatic Coffee Machine</t>
        </is>
      </c>
      <c r="F318" s="11" t="inlineStr">
        <is>
          <t>Siemens</t>
        </is>
      </c>
      <c r="G318" s="11" t="inlineStr"/>
      <c r="H318" s="11" t="inlineStr"/>
      <c r="I318" s="12" t="n">
        <v>37999</v>
      </c>
      <c r="J318" s="6" t="n">
        <v>15</v>
      </c>
      <c r="K318" s="7">
        <f>IF(I318="","",I318*(1+J318/100))</f>
        <v/>
      </c>
      <c r="L318" s="8" t="inlineStr"/>
      <c r="M318" s="9">
        <f>IF(OR(L318="",K318="",L318=0),"",
  (L318-K318)/L318*100)</f>
        <v/>
      </c>
      <c r="N318" s="10" t="inlineStr"/>
      <c r="O318" s="11" t="inlineStr"/>
      <c r="P318" s="11" t="inlineStr"/>
      <c r="Q318" s="11" t="inlineStr"/>
      <c r="R318" s="11" t="inlineStr">
        <is>
          <t>2026-03-12</t>
        </is>
      </c>
      <c r="S318" s="11" t="inlineStr">
        <is>
          <t>Hirschs 47th Anniversary Sale Feb-Mar 2026</t>
        </is>
      </c>
    </row>
    <row r="319">
      <c r="A319" s="3" t="inlineStr">
        <is>
          <t>EX675LEC1E</t>
        </is>
      </c>
      <c r="B319" s="4" t="inlineStr"/>
      <c r="C319" s="4" t="inlineStr"/>
      <c r="D319" s="4" t="inlineStr"/>
      <c r="E319" s="3" t="inlineStr">
        <is>
          <t>Siemens EX675LEC1E 60cm Induction hob</t>
        </is>
      </c>
      <c r="F319" s="4" t="inlineStr">
        <is>
          <t>Siemens</t>
        </is>
      </c>
      <c r="G319" s="4" t="inlineStr"/>
      <c r="H319" s="4" t="inlineStr"/>
      <c r="I319" s="5" t="n">
        <v>13999</v>
      </c>
      <c r="J319" s="6" t="n">
        <v>15</v>
      </c>
      <c r="K319" s="7">
        <f>IF(I319="","",I319*(1+J319/100))</f>
        <v/>
      </c>
      <c r="L319" s="8" t="inlineStr"/>
      <c r="M319" s="9">
        <f>IF(OR(L319="",K319="",L319=0),"",
  (L319-K319)/L319*100)</f>
        <v/>
      </c>
      <c r="N319" s="10" t="inlineStr"/>
      <c r="O319" s="4" t="inlineStr"/>
      <c r="P319" s="4" t="inlineStr"/>
      <c r="Q319" s="4" t="inlineStr"/>
      <c r="R319" s="4" t="inlineStr">
        <is>
          <t>2026-03-12</t>
        </is>
      </c>
      <c r="S319" s="4" t="inlineStr">
        <is>
          <t>Hirschs 47th Anniversary Sale Feb-Mar 2026</t>
        </is>
      </c>
    </row>
    <row r="320">
      <c r="A320" s="11" t="inlineStr">
        <is>
          <t>EX975LVC1E</t>
        </is>
      </c>
      <c r="B320" s="11" t="inlineStr"/>
      <c r="C320" s="11" t="inlineStr"/>
      <c r="D320" s="11" t="inlineStr"/>
      <c r="E320" s="11" t="inlineStr">
        <is>
          <t>Siemens EX975LVC1E 90cm Flex Induction Hob Black Glass</t>
        </is>
      </c>
      <c r="F320" s="11" t="inlineStr">
        <is>
          <t>Siemens</t>
        </is>
      </c>
      <c r="G320" s="11" t="inlineStr"/>
      <c r="H320" s="11" t="inlineStr"/>
      <c r="I320" s="12" t="n">
        <v>17999</v>
      </c>
      <c r="J320" s="6" t="n">
        <v>15</v>
      </c>
      <c r="K320" s="7">
        <f>IF(I320="","",I320*(1+J320/100))</f>
        <v/>
      </c>
      <c r="L320" s="8" t="inlineStr"/>
      <c r="M320" s="9">
        <f>IF(OR(L320="",K320="",L320=0),"",
  (L320-K320)/L320*100)</f>
        <v/>
      </c>
      <c r="N320" s="10" t="inlineStr"/>
      <c r="O320" s="11" t="inlineStr"/>
      <c r="P320" s="11" t="inlineStr"/>
      <c r="Q320" s="11" t="inlineStr"/>
      <c r="R320" s="11" t="inlineStr">
        <is>
          <t>2026-03-12</t>
        </is>
      </c>
      <c r="S320" s="11" t="inlineStr">
        <is>
          <t>Hirschs 47th Anniversary Sale Feb-Mar 2026</t>
        </is>
      </c>
    </row>
    <row r="321">
      <c r="A321" s="3" t="inlineStr">
        <is>
          <t>WG568200ZA</t>
        </is>
      </c>
      <c r="B321" s="4" t="inlineStr"/>
      <c r="C321" s="4" t="inlineStr"/>
      <c r="D321" s="4" t="inlineStr"/>
      <c r="E321" s="3" t="inlineStr">
        <is>
          <t>Siemens WG568200ZA iQ500 10kg Washing Machine</t>
        </is>
      </c>
      <c r="F321" s="4" t="inlineStr">
        <is>
          <t>Siemens</t>
        </is>
      </c>
      <c r="G321" s="4" t="inlineStr"/>
      <c r="H321" s="4" t="inlineStr"/>
      <c r="I321" s="5" t="n">
        <v>18999</v>
      </c>
      <c r="J321" s="6" t="n">
        <v>15</v>
      </c>
      <c r="K321" s="7">
        <f>IF(I321="","",I321*(1+J321/100))</f>
        <v/>
      </c>
      <c r="L321" s="8" t="inlineStr"/>
      <c r="M321" s="9">
        <f>IF(OR(L321="",K321="",L321=0),"",
  (L321-K321)/L321*100)</f>
        <v/>
      </c>
      <c r="N321" s="10" t="inlineStr"/>
      <c r="O321" s="4" t="inlineStr"/>
      <c r="P321" s="4" t="inlineStr"/>
      <c r="Q321" s="4" t="inlineStr"/>
      <c r="R321" s="4" t="inlineStr">
        <is>
          <t>2026-03-12</t>
        </is>
      </c>
      <c r="S321" s="4" t="inlineStr">
        <is>
          <t>Hirschs 47th Anniversary Sale Feb-Mar 2026</t>
        </is>
      </c>
    </row>
    <row r="322">
      <c r="A322" s="11" t="inlineStr">
        <is>
          <t>WQ45B2A0ZA</t>
        </is>
      </c>
      <c r="B322" s="11" t="inlineStr"/>
      <c r="C322" s="11" t="inlineStr"/>
      <c r="D322" s="11" t="inlineStr"/>
      <c r="E322" s="11" t="inlineStr">
        <is>
          <t>Siemens WQ45B2A0ZA iQ700 9kg Tumble Dryer</t>
        </is>
      </c>
      <c r="F322" s="11" t="inlineStr">
        <is>
          <t>Siemens</t>
        </is>
      </c>
      <c r="G322" s="11" t="inlineStr"/>
      <c r="H322" s="11" t="inlineStr"/>
      <c r="I322" s="12" t="n">
        <v>17999</v>
      </c>
      <c r="J322" s="6" t="n">
        <v>15</v>
      </c>
      <c r="K322" s="7">
        <f>IF(I322="","",I322*(1+J322/100))</f>
        <v/>
      </c>
      <c r="L322" s="8" t="inlineStr"/>
      <c r="M322" s="9">
        <f>IF(OR(L322="",K322="",L322=0),"",
  (L322-K322)/L322*100)</f>
        <v/>
      </c>
      <c r="N322" s="10" t="inlineStr"/>
      <c r="O322" s="11" t="inlineStr"/>
      <c r="P322" s="11" t="inlineStr"/>
      <c r="Q322" s="11" t="inlineStr"/>
      <c r="R322" s="11" t="inlineStr">
        <is>
          <t>2026-03-12</t>
        </is>
      </c>
      <c r="S322" s="11" t="inlineStr">
        <is>
          <t>Hirschs 47th Anniversary Sale Feb-Mar 2026</t>
        </is>
      </c>
    </row>
    <row r="323">
      <c r="A323" s="3" t="inlineStr">
        <is>
          <t>SN73HXQ1CZ</t>
        </is>
      </c>
      <c r="B323" s="4" t="inlineStr"/>
      <c r="C323" s="4" t="inlineStr"/>
      <c r="D323" s="4" t="inlineStr"/>
      <c r="E323" s="3" t="inlineStr">
        <is>
          <t>Siemens SN73HXQ1CZ iQ300 13 Place Built-in Dishwasher</t>
        </is>
      </c>
      <c r="F323" s="4" t="inlineStr">
        <is>
          <t>Siemens</t>
        </is>
      </c>
      <c r="G323" s="4" t="inlineStr"/>
      <c r="H323" s="4" t="inlineStr"/>
      <c r="I323" s="5" t="n">
        <v>14999</v>
      </c>
      <c r="J323" s="6" t="n">
        <v>15</v>
      </c>
      <c r="K323" s="7">
        <f>IF(I323="","",I323*(1+J323/100))</f>
        <v/>
      </c>
      <c r="L323" s="8" t="inlineStr"/>
      <c r="M323" s="9">
        <f>IF(OR(L323="",K323="",L323=0),"",
  (L323-K323)/L323*100)</f>
        <v/>
      </c>
      <c r="N323" s="10" t="inlineStr"/>
      <c r="O323" s="4" t="inlineStr"/>
      <c r="P323" s="4" t="inlineStr"/>
      <c r="Q323" s="4" t="inlineStr"/>
      <c r="R323" s="4" t="inlineStr">
        <is>
          <t>2026-03-12</t>
        </is>
      </c>
      <c r="S323" s="4" t="inlineStr">
        <is>
          <t>Hirschs 47th Anniversary Sale Feb-Mar 2026</t>
        </is>
      </c>
    </row>
    <row r="324">
      <c r="A324" s="11" t="inlineStr">
        <is>
          <t>SN25ECO2MZ</t>
        </is>
      </c>
      <c r="B324" s="11" t="inlineStr"/>
      <c r="C324" s="11" t="inlineStr"/>
      <c r="D324" s="11" t="inlineStr"/>
      <c r="E324" s="11" t="inlineStr">
        <is>
          <t>Siemens SN25ECO2MZ Water Champion 65cm Freestanding Dishwasher</t>
        </is>
      </c>
      <c r="F324" s="11" t="inlineStr">
        <is>
          <t>Siemens</t>
        </is>
      </c>
      <c r="G324" s="11" t="inlineStr"/>
      <c r="H324" s="11" t="inlineStr"/>
      <c r="I324" s="12" t="n">
        <v>11999</v>
      </c>
      <c r="J324" s="6" t="n">
        <v>15</v>
      </c>
      <c r="K324" s="7">
        <f>IF(I324="","",I324*(1+J324/100))</f>
        <v/>
      </c>
      <c r="L324" s="8" t="inlineStr"/>
      <c r="M324" s="9">
        <f>IF(OR(L324="",K324="",L324=0),"",
  (L324-K324)/L324*100)</f>
        <v/>
      </c>
      <c r="N324" s="10" t="inlineStr"/>
      <c r="O324" s="11" t="inlineStr"/>
      <c r="P324" s="11" t="inlineStr"/>
      <c r="Q324" s="11" t="inlineStr"/>
      <c r="R324" s="11" t="inlineStr">
        <is>
          <t>2026-03-12</t>
        </is>
      </c>
      <c r="S324" s="11" t="inlineStr">
        <is>
          <t>Hirschs 47th Anniversary Sale Feb-Mar 2026</t>
        </is>
      </c>
    </row>
    <row r="325">
      <c r="A325" s="3" t="inlineStr">
        <is>
          <t>SN27ZW03CZ</t>
        </is>
      </c>
      <c r="B325" s="4" t="inlineStr"/>
      <c r="C325" s="4" t="inlineStr"/>
      <c r="D325" s="4" t="inlineStr"/>
      <c r="E325" s="3" t="inlineStr">
        <is>
          <t>Siemens SN27ZW03CZ iQ500 60cm Dishwasher White</t>
        </is>
      </c>
      <c r="F325" s="4" t="inlineStr">
        <is>
          <t>Siemens</t>
        </is>
      </c>
      <c r="G325" s="4" t="inlineStr"/>
      <c r="H325" s="4" t="inlineStr"/>
      <c r="I325" s="5" t="n">
        <v>14499</v>
      </c>
      <c r="J325" s="6" t="n">
        <v>15</v>
      </c>
      <c r="K325" s="7">
        <f>IF(I325="","",I325*(1+J325/100))</f>
        <v/>
      </c>
      <c r="L325" s="8" t="inlineStr"/>
      <c r="M325" s="9">
        <f>IF(OR(L325="",K325="",L325=0),"",
  (L325-K325)/L325*100)</f>
        <v/>
      </c>
      <c r="N325" s="10" t="inlineStr"/>
      <c r="O325" s="4" t="inlineStr"/>
      <c r="P325" s="4" t="inlineStr"/>
      <c r="Q325" s="4" t="inlineStr"/>
      <c r="R325" s="4" t="inlineStr">
        <is>
          <t>2026-03-12</t>
        </is>
      </c>
      <c r="S325" s="4" t="inlineStr">
        <is>
          <t>Hirschs 47th Anniversary Sale Feb-Mar 2026</t>
        </is>
      </c>
    </row>
    <row r="326">
      <c r="A326" s="11" t="inlineStr">
        <is>
          <t>B1710C1B1</t>
        </is>
      </c>
      <c r="B326" s="11" t="inlineStr"/>
      <c r="C326" s="11" t="inlineStr"/>
      <c r="D326" s="11" t="inlineStr"/>
      <c r="E326" s="11" t="inlineStr">
        <is>
          <t>Siemens B1710C1B1 iQ200 Runner drawer</t>
        </is>
      </c>
      <c r="F326" s="11" t="inlineStr">
        <is>
          <t>Siemens</t>
        </is>
      </c>
      <c r="G326" s="11" t="inlineStr"/>
      <c r="H326" s="11" t="inlineStr"/>
      <c r="I326" s="12" t="n">
        <v>12999</v>
      </c>
      <c r="J326" s="6" t="n">
        <v>15</v>
      </c>
      <c r="K326" s="7">
        <f>IF(I326="","",I326*(1+J326/100))</f>
        <v/>
      </c>
      <c r="L326" s="8" t="inlineStr"/>
      <c r="M326" s="9">
        <f>IF(OR(L326="",K326="",L326=0),"",
  (L326-K326)/L326*100)</f>
        <v/>
      </c>
      <c r="N326" s="10" t="inlineStr"/>
      <c r="O326" s="11" t="inlineStr"/>
      <c r="P326" s="11" t="inlineStr"/>
      <c r="Q326" s="11" t="inlineStr"/>
      <c r="R326" s="11" t="inlineStr">
        <is>
          <t>2026-03-12</t>
        </is>
      </c>
      <c r="S326" s="11" t="inlineStr">
        <is>
          <t>Hirschs 47th Anniversary Sale Feb-Mar 2026</t>
        </is>
      </c>
    </row>
    <row r="327">
      <c r="A327" s="3" t="inlineStr">
        <is>
          <t>KU21RVFE0</t>
        </is>
      </c>
      <c r="B327" s="4" t="inlineStr"/>
      <c r="C327" s="4" t="inlineStr"/>
      <c r="D327" s="4" t="inlineStr"/>
      <c r="E327" s="3" t="inlineStr">
        <is>
          <t>Siemens KU21RVFE0 iQ300 59.8cm Built-in Bar Fridge</t>
        </is>
      </c>
      <c r="F327" s="4" t="inlineStr">
        <is>
          <t>Siemens</t>
        </is>
      </c>
      <c r="G327" s="4" t="inlineStr"/>
      <c r="H327" s="4" t="inlineStr"/>
      <c r="I327" s="5" t="n">
        <v>16999</v>
      </c>
      <c r="J327" s="6" t="n">
        <v>15</v>
      </c>
      <c r="K327" s="7">
        <f>IF(I327="","",I327*(1+J327/100))</f>
        <v/>
      </c>
      <c r="L327" s="8" t="inlineStr"/>
      <c r="M327" s="9">
        <f>IF(OR(L327="",K327="",L327=0),"",
  (L327-K327)/L327*100)</f>
        <v/>
      </c>
      <c r="N327" s="10" t="inlineStr"/>
      <c r="O327" s="4" t="inlineStr"/>
      <c r="P327" s="4" t="inlineStr"/>
      <c r="Q327" s="4" t="inlineStr"/>
      <c r="R327" s="4" t="inlineStr">
        <is>
          <t>2026-03-12</t>
        </is>
      </c>
      <c r="S327" s="4" t="inlineStr">
        <is>
          <t>Hirschs 47th Anniversary Sale Feb-Mar 2026</t>
        </is>
      </c>
    </row>
    <row r="328">
      <c r="A328" s="11" t="inlineStr">
        <is>
          <t>GI81NAEF0Z</t>
        </is>
      </c>
      <c r="B328" s="11" t="inlineStr"/>
      <c r="C328" s="11" t="inlineStr"/>
      <c r="D328" s="11" t="inlineStr"/>
      <c r="E328" s="11" t="inlineStr">
        <is>
          <t>Siemens GI81NAEF0Z iQ500 211 Litre integrated full freezer</t>
        </is>
      </c>
      <c r="F328" s="11" t="inlineStr">
        <is>
          <t>Siemens</t>
        </is>
      </c>
      <c r="G328" s="11" t="inlineStr"/>
      <c r="H328" s="11" t="inlineStr"/>
      <c r="I328" s="12" t="n">
        <v>24999</v>
      </c>
      <c r="J328" s="6" t="n">
        <v>15</v>
      </c>
      <c r="K328" s="7">
        <f>IF(I328="","",I328*(1+J328/100))</f>
        <v/>
      </c>
      <c r="L328" s="8" t="inlineStr"/>
      <c r="M328" s="9">
        <f>IF(OR(L328="",K328="",L328=0),"",
  (L328-K328)/L328*100)</f>
        <v/>
      </c>
      <c r="N328" s="10" t="inlineStr"/>
      <c r="O328" s="11" t="inlineStr"/>
      <c r="P328" s="11" t="inlineStr"/>
      <c r="Q328" s="11" t="inlineStr"/>
      <c r="R328" s="11" t="inlineStr">
        <is>
          <t>2026-03-12</t>
        </is>
      </c>
      <c r="S328" s="11" t="inlineStr">
        <is>
          <t>Hirschs 47th Anniversary Sale Feb-Mar 2026</t>
        </is>
      </c>
    </row>
    <row r="329">
      <c r="A329" s="3" t="inlineStr">
        <is>
          <t>KI81RAF30Z</t>
        </is>
      </c>
      <c r="B329" s="4" t="inlineStr"/>
      <c r="C329" s="4" t="inlineStr"/>
      <c r="D329" s="4" t="inlineStr"/>
      <c r="E329" s="3" t="inlineStr">
        <is>
          <t>Siemens KI81RAF30Z iQ500 319 Litre integrated full fridge</t>
        </is>
      </c>
      <c r="F329" s="4" t="inlineStr">
        <is>
          <t>Siemens</t>
        </is>
      </c>
      <c r="G329" s="4" t="inlineStr"/>
      <c r="H329" s="4" t="inlineStr"/>
      <c r="I329" s="5" t="n">
        <v>24999</v>
      </c>
      <c r="J329" s="6" t="n">
        <v>15</v>
      </c>
      <c r="K329" s="7">
        <f>IF(I329="","",I329*(1+J329/100))</f>
        <v/>
      </c>
      <c r="L329" s="8" t="inlineStr"/>
      <c r="M329" s="9">
        <f>IF(OR(L329="",K329="",L329=0),"",
  (L329-K329)/L329*100)</f>
        <v/>
      </c>
      <c r="N329" s="10" t="inlineStr"/>
      <c r="O329" s="4" t="inlineStr"/>
      <c r="P329" s="4" t="inlineStr"/>
      <c r="Q329" s="4" t="inlineStr"/>
      <c r="R329" s="4" t="inlineStr">
        <is>
          <t>2026-03-12</t>
        </is>
      </c>
      <c r="S329" s="4" t="inlineStr">
        <is>
          <t>Hirschs 47th Anniversary Sale Feb-Mar 2026</t>
        </is>
      </c>
    </row>
    <row r="330">
      <c r="A330" s="11" t="inlineStr">
        <is>
          <t>04/95EX837NR</t>
        </is>
      </c>
      <c r="B330" s="11" t="inlineStr"/>
      <c r="C330" s="11" t="inlineStr"/>
      <c r="D330" s="11" t="inlineStr"/>
      <c r="E330" s="11" t="inlineStr">
        <is>
          <t>Elba 90cm Matte Black 5 Burner Gas Electric Freestanding Cooker</t>
        </is>
      </c>
      <c r="F330" s="11" t="inlineStr">
        <is>
          <t>Elba</t>
        </is>
      </c>
      <c r="G330" s="11" t="inlineStr"/>
      <c r="H330" s="11" t="inlineStr"/>
      <c r="I330" s="12" t="n">
        <v>16999</v>
      </c>
      <c r="J330" s="6" t="n">
        <v>15</v>
      </c>
      <c r="K330" s="7">
        <f>IF(I330="","",I330*(1+J330/100))</f>
        <v/>
      </c>
      <c r="L330" s="8" t="inlineStr"/>
      <c r="M330" s="9">
        <f>IF(OR(L330="",K330="",L330=0),"",
  (L330-K330)/L330*100)</f>
        <v/>
      </c>
      <c r="N330" s="10" t="inlineStr"/>
      <c r="O330" s="11" t="inlineStr"/>
      <c r="P330" s="11" t="inlineStr"/>
      <c r="Q330" s="11" t="inlineStr"/>
      <c r="R330" s="11" t="inlineStr">
        <is>
          <t>2026-03-12</t>
        </is>
      </c>
      <c r="S330" s="11" t="inlineStr">
        <is>
          <t>Hirschs 47th Anniversary Sale Feb-Mar 2026</t>
        </is>
      </c>
    </row>
    <row r="331">
      <c r="A331" s="3" t="inlineStr">
        <is>
          <t>04/96CL727NR</t>
        </is>
      </c>
      <c r="B331" s="4" t="inlineStr"/>
      <c r="C331" s="4" t="inlineStr"/>
      <c r="D331" s="4" t="inlineStr"/>
      <c r="E331" s="3" t="inlineStr">
        <is>
          <t>Elba 90cm Stainless Steel 4 Burner Gas Stove</t>
        </is>
      </c>
      <c r="F331" s="4" t="inlineStr">
        <is>
          <t>Elba</t>
        </is>
      </c>
      <c r="G331" s="4" t="inlineStr"/>
      <c r="H331" s="4" t="inlineStr"/>
      <c r="I331" s="5" t="n">
        <v>15999</v>
      </c>
      <c r="J331" s="6" t="n">
        <v>15</v>
      </c>
      <c r="K331" s="7">
        <f>IF(I331="","",I331*(1+J331/100))</f>
        <v/>
      </c>
      <c r="L331" s="8" t="inlineStr"/>
      <c r="M331" s="9">
        <f>IF(OR(L331="",K331="",L331=0),"",
  (L331-K331)/L331*100)</f>
        <v/>
      </c>
      <c r="N331" s="10" t="inlineStr"/>
      <c r="O331" s="4" t="inlineStr"/>
      <c r="P331" s="4" t="inlineStr"/>
      <c r="Q331" s="4" t="inlineStr"/>
      <c r="R331" s="4" t="inlineStr">
        <is>
          <t>2026-03-12</t>
        </is>
      </c>
      <c r="S331" s="4" t="inlineStr">
        <is>
          <t>Hirschs 47th Anniversary Sale Feb-Mar 2026</t>
        </is>
      </c>
    </row>
    <row r="332">
      <c r="A332" s="11" t="inlineStr">
        <is>
          <t>04/64CL442N</t>
        </is>
      </c>
      <c r="B332" s="11" t="inlineStr"/>
      <c r="C332" s="11" t="inlineStr"/>
      <c r="D332" s="11" t="inlineStr"/>
      <c r="E332" s="11" t="inlineStr">
        <is>
          <t>Elba 60cm Gas 4 Burner Stove</t>
        </is>
      </c>
      <c r="F332" s="11" t="inlineStr">
        <is>
          <t>Elba</t>
        </is>
      </c>
      <c r="G332" s="11" t="inlineStr"/>
      <c r="H332" s="11" t="inlineStr"/>
      <c r="I332" s="12" t="n">
        <v>9999</v>
      </c>
      <c r="J332" s="6" t="n">
        <v>15</v>
      </c>
      <c r="K332" s="7">
        <f>IF(I332="","",I332*(1+J332/100))</f>
        <v/>
      </c>
      <c r="L332" s="8" t="inlineStr"/>
      <c r="M332" s="9">
        <f>IF(OR(L332="",K332="",L332=0),"",
  (L332-K332)/L332*100)</f>
        <v/>
      </c>
      <c r="N332" s="10" t="inlineStr"/>
      <c r="O332" s="11" t="inlineStr"/>
      <c r="P332" s="11" t="inlineStr"/>
      <c r="Q332" s="11" t="inlineStr"/>
      <c r="R332" s="11" t="inlineStr">
        <is>
          <t>2026-03-12</t>
        </is>
      </c>
      <c r="S332" s="11" t="inlineStr">
        <is>
          <t>Hirschs 47th Anniversary Sale Feb-Mar 2026</t>
        </is>
      </c>
    </row>
    <row r="333">
      <c r="A333" s="3" t="inlineStr">
        <is>
          <t>02/A1AK1460Z</t>
        </is>
      </c>
      <c r="B333" s="4" t="inlineStr"/>
      <c r="C333" s="4" t="inlineStr"/>
      <c r="D333" s="4" t="inlineStr"/>
      <c r="E333" s="3" t="inlineStr">
        <is>
          <t>Elba 60cm Gas Oven</t>
        </is>
      </c>
      <c r="F333" s="4" t="inlineStr">
        <is>
          <t>Elba</t>
        </is>
      </c>
      <c r="G333" s="4" t="inlineStr"/>
      <c r="H333" s="4" t="inlineStr"/>
      <c r="I333" s="5" t="n">
        <v>11499</v>
      </c>
      <c r="J333" s="6" t="n">
        <v>15</v>
      </c>
      <c r="K333" s="7">
        <f>IF(I333="","",I333*(1+J333/100))</f>
        <v/>
      </c>
      <c r="L333" s="8" t="inlineStr"/>
      <c r="M333" s="9">
        <f>IF(OR(L333="",K333="",L333=0),"",
  (L333-K333)/L333*100)</f>
        <v/>
      </c>
      <c r="N333" s="10" t="inlineStr"/>
      <c r="O333" s="4" t="inlineStr"/>
      <c r="P333" s="4" t="inlineStr"/>
      <c r="Q333" s="4" t="inlineStr"/>
      <c r="R333" s="4" t="inlineStr">
        <is>
          <t>2026-03-12</t>
        </is>
      </c>
      <c r="S333" s="4" t="inlineStr">
        <is>
          <t>Hirschs 47th Anniversary Sale Feb-Mar 2026</t>
        </is>
      </c>
    </row>
    <row r="334">
      <c r="A334" s="11" t="inlineStr">
        <is>
          <t>83152</t>
        </is>
      </c>
      <c r="B334" s="11" t="inlineStr"/>
      <c r="C334" s="11" t="inlineStr"/>
      <c r="D334" s="11" t="inlineStr"/>
      <c r="E334" s="11" t="inlineStr">
        <is>
          <t>Elba 60cm Black 4 Burner Gas On Glass Hob</t>
        </is>
      </c>
      <c r="F334" s="11" t="inlineStr">
        <is>
          <t>Elba</t>
        </is>
      </c>
      <c r="G334" s="11" t="inlineStr"/>
      <c r="H334" s="11" t="inlineStr"/>
      <c r="I334" s="12" t="n">
        <v>4299</v>
      </c>
      <c r="J334" s="6" t="n">
        <v>15</v>
      </c>
      <c r="K334" s="7">
        <f>IF(I334="","",I334*(1+J334/100))</f>
        <v/>
      </c>
      <c r="L334" s="8" t="inlineStr"/>
      <c r="M334" s="9">
        <f>IF(OR(L334="",K334="",L334=0),"",
  (L334-K334)/L334*100)</f>
        <v/>
      </c>
      <c r="N334" s="10" t="inlineStr"/>
      <c r="O334" s="11" t="inlineStr"/>
      <c r="P334" s="11" t="inlineStr"/>
      <c r="Q334" s="11" t="inlineStr"/>
      <c r="R334" s="11" t="inlineStr">
        <is>
          <t>2026-03-12</t>
        </is>
      </c>
      <c r="S334" s="11" t="inlineStr">
        <is>
          <t>Hirschs 47th Anniversary Sale Feb-Mar 2026</t>
        </is>
      </c>
    </row>
    <row r="335">
      <c r="A335" s="3" t="inlineStr">
        <is>
          <t>02/L641T</t>
        </is>
      </c>
      <c r="B335" s="4" t="inlineStr"/>
      <c r="C335" s="4" t="inlineStr"/>
      <c r="D335" s="4" t="inlineStr"/>
      <c r="E335" s="3" t="inlineStr">
        <is>
          <t>Elba 60cm Black 4-Zone Induction Hob</t>
        </is>
      </c>
      <c r="F335" s="4" t="inlineStr">
        <is>
          <t>Elba</t>
        </is>
      </c>
      <c r="G335" s="4" t="inlineStr"/>
      <c r="H335" s="4" t="inlineStr"/>
      <c r="I335" s="5" t="n">
        <v>3999</v>
      </c>
      <c r="J335" s="6" t="n">
        <v>15</v>
      </c>
      <c r="K335" s="7">
        <f>IF(I335="","",I335*(1+J335/100))</f>
        <v/>
      </c>
      <c r="L335" s="8" t="inlineStr"/>
      <c r="M335" s="9">
        <f>IF(OR(L335="",K335="",L335=0),"",
  (L335-K335)/L335*100)</f>
        <v/>
      </c>
      <c r="N335" s="10" t="inlineStr"/>
      <c r="O335" s="4" t="inlineStr"/>
      <c r="P335" s="4" t="inlineStr"/>
      <c r="Q335" s="4" t="inlineStr"/>
      <c r="R335" s="4" t="inlineStr">
        <is>
          <t>2026-03-12</t>
        </is>
      </c>
      <c r="S335" s="4" t="inlineStr">
        <is>
          <t>Hirschs 47th Anniversary Sale Feb-Mar 2026</t>
        </is>
      </c>
    </row>
    <row r="336">
      <c r="A336" s="13" t="inlineStr"/>
      <c r="B336" s="11" t="inlineStr"/>
      <c r="C336" s="11" t="inlineStr"/>
      <c r="D336" s="11" t="inlineStr"/>
      <c r="E336" s="11" t="inlineStr">
        <is>
          <t>Elba elica Missy 60cm Chimney Extractor</t>
        </is>
      </c>
      <c r="F336" s="11" t="inlineStr">
        <is>
          <t>Elba</t>
        </is>
      </c>
      <c r="G336" s="11" t="inlineStr"/>
      <c r="H336" s="11" t="inlineStr"/>
      <c r="I336" s="12" t="n">
        <v>2199</v>
      </c>
      <c r="J336" s="6" t="n">
        <v>15</v>
      </c>
      <c r="K336" s="7">
        <f>IF(I336="","",I336*(1+J336/100))</f>
        <v/>
      </c>
      <c r="L336" s="8" t="inlineStr"/>
      <c r="M336" s="9">
        <f>IF(OR(L336="",K336="",L336=0),"",
  (L336-K336)/L336*100)</f>
        <v/>
      </c>
      <c r="N336" s="10" t="inlineStr"/>
      <c r="O336" s="11" t="inlineStr"/>
      <c r="P336" s="11" t="inlineStr"/>
      <c r="Q336" s="11" t="inlineStr"/>
      <c r="R336" s="11" t="inlineStr">
        <is>
          <t>2026-03-12</t>
        </is>
      </c>
      <c r="S336" s="11" t="inlineStr">
        <is>
          <t>Hirschs 47th Anniversary Sale Feb-Mar 2026</t>
        </is>
      </c>
    </row>
    <row r="337">
      <c r="A337" s="3" t="inlineStr">
        <is>
          <t>02/ELIC960</t>
        </is>
      </c>
      <c r="B337" s="4" t="inlineStr"/>
      <c r="C337" s="4" t="inlineStr"/>
      <c r="D337" s="4" t="inlineStr"/>
      <c r="E337" s="3" t="inlineStr">
        <is>
          <t>Elba 90cm Stainless Steel Black Glass Electric Multifunction Oven</t>
        </is>
      </c>
      <c r="F337" s="4" t="inlineStr">
        <is>
          <t>Elba</t>
        </is>
      </c>
      <c r="G337" s="4" t="inlineStr"/>
      <c r="H337" s="4" t="inlineStr"/>
      <c r="I337" s="5" t="n">
        <v>18999</v>
      </c>
      <c r="J337" s="6" t="n">
        <v>15</v>
      </c>
      <c r="K337" s="7">
        <f>IF(I337="","",I337*(1+J337/100))</f>
        <v/>
      </c>
      <c r="L337" s="8" t="inlineStr"/>
      <c r="M337" s="9">
        <f>IF(OR(L337="",K337="",L337=0),"",
  (L337-K337)/L337*100)</f>
        <v/>
      </c>
      <c r="N337" s="10" t="inlineStr"/>
      <c r="O337" s="4" t="inlineStr"/>
      <c r="P337" s="4" t="inlineStr"/>
      <c r="Q337" s="4" t="inlineStr"/>
      <c r="R337" s="4" t="inlineStr">
        <is>
          <t>2026-03-12</t>
        </is>
      </c>
      <c r="S337" s="4" t="inlineStr">
        <is>
          <t>Hirschs 47th Anniversary Sale Feb-Mar 2026</t>
        </is>
      </c>
    </row>
    <row r="338">
      <c r="A338" s="11" t="inlineStr">
        <is>
          <t>TRI-6465</t>
        </is>
      </c>
      <c r="B338" s="11" t="inlineStr"/>
      <c r="C338" s="11" t="inlineStr"/>
      <c r="D338" s="11" t="inlineStr"/>
      <c r="E338" s="11" t="inlineStr">
        <is>
          <t>Elba 90cm Black 5 Burner Gas On Glass Hob</t>
        </is>
      </c>
      <c r="F338" s="11" t="inlineStr">
        <is>
          <t>Elba</t>
        </is>
      </c>
      <c r="G338" s="11" t="inlineStr"/>
      <c r="H338" s="11" t="inlineStr"/>
      <c r="I338" s="12" t="n">
        <v>6999</v>
      </c>
      <c r="J338" s="6" t="n">
        <v>15</v>
      </c>
      <c r="K338" s="7">
        <f>IF(I338="","",I338*(1+J338/100))</f>
        <v/>
      </c>
      <c r="L338" s="8" t="inlineStr"/>
      <c r="M338" s="9">
        <f>IF(OR(L338="",K338="",L338=0),"",
  (L338-K338)/L338*100)</f>
        <v/>
      </c>
      <c r="N338" s="10" t="inlineStr"/>
      <c r="O338" s="11" t="inlineStr"/>
      <c r="P338" s="11" t="inlineStr"/>
      <c r="Q338" s="11" t="inlineStr"/>
      <c r="R338" s="11" t="inlineStr">
        <is>
          <t>2026-03-12</t>
        </is>
      </c>
      <c r="S338" s="11" t="inlineStr">
        <is>
          <t>Hirschs 47th Anniversary Sale Feb-Mar 2026</t>
        </is>
      </c>
    </row>
    <row r="339">
      <c r="A339" s="3" t="inlineStr">
        <is>
          <t>02/L33-CF</t>
        </is>
      </c>
      <c r="B339" s="4" t="inlineStr"/>
      <c r="C339" s="4" t="inlineStr"/>
      <c r="D339" s="4" t="inlineStr"/>
      <c r="E339" s="3" t="inlineStr">
        <is>
          <t>Elba 30cm 2 Place Black Ceran Hob</t>
        </is>
      </c>
      <c r="F339" s="4" t="inlineStr">
        <is>
          <t>Elba</t>
        </is>
      </c>
      <c r="G339" s="4" t="inlineStr"/>
      <c r="H339" s="4" t="inlineStr"/>
      <c r="I339" s="5" t="n">
        <v>1999</v>
      </c>
      <c r="J339" s="6" t="n">
        <v>15</v>
      </c>
      <c r="K339" s="7">
        <f>IF(I339="","",I339*(1+J339/100))</f>
        <v/>
      </c>
      <c r="L339" s="8" t="inlineStr"/>
      <c r="M339" s="9">
        <f>IF(OR(L339="",K339="",L339=0),"",
  (L339-K339)/L339*100)</f>
        <v/>
      </c>
      <c r="N339" s="10" t="inlineStr"/>
      <c r="O339" s="4" t="inlineStr"/>
      <c r="P339" s="4" t="inlineStr"/>
      <c r="Q339" s="4" t="inlineStr"/>
      <c r="R339" s="4" t="inlineStr">
        <is>
          <t>2026-03-12</t>
        </is>
      </c>
      <c r="S339" s="4" t="inlineStr">
        <is>
          <t>Hirschs 47th Anniversary Sale Feb-Mar 2026</t>
        </is>
      </c>
    </row>
    <row r="340">
      <c r="A340" s="11" t="inlineStr">
        <is>
          <t>75548</t>
        </is>
      </c>
      <c r="B340" s="11" t="inlineStr"/>
      <c r="C340" s="11" t="inlineStr"/>
      <c r="D340" s="11" t="inlineStr"/>
      <c r="E340" s="11" t="inlineStr">
        <is>
          <t>Elba elica 90cm Pyramid Style Extractor</t>
        </is>
      </c>
      <c r="F340" s="11" t="inlineStr">
        <is>
          <t>Elba</t>
        </is>
      </c>
      <c r="G340" s="11" t="inlineStr"/>
      <c r="H340" s="11" t="inlineStr"/>
      <c r="I340" s="12" t="n">
        <v>2599</v>
      </c>
      <c r="J340" s="6" t="n">
        <v>15</v>
      </c>
      <c r="K340" s="7">
        <f>IF(I340="","",I340*(1+J340/100))</f>
        <v/>
      </c>
      <c r="L340" s="8" t="inlineStr"/>
      <c r="M340" s="9">
        <f>IF(OR(L340="",K340="",L340=0),"",
  (L340-K340)/L340*100)</f>
        <v/>
      </c>
      <c r="N340" s="10" t="inlineStr"/>
      <c r="O340" s="11" t="inlineStr"/>
      <c r="P340" s="11" t="inlineStr"/>
      <c r="Q340" s="11" t="inlineStr"/>
      <c r="R340" s="11" t="inlineStr">
        <is>
          <t>2026-03-12</t>
        </is>
      </c>
      <c r="S340" s="11" t="inlineStr">
        <is>
          <t>Hirschs 47th Anniversary Sale Feb-Mar 2026</t>
        </is>
      </c>
    </row>
    <row r="341">
      <c r="A341" s="3" t="inlineStr">
        <is>
          <t>KBF 639/2 ME WATER</t>
        </is>
      </c>
      <c r="B341" s="4" t="inlineStr"/>
      <c r="C341" s="4" t="inlineStr"/>
      <c r="D341" s="4" t="inlineStr"/>
      <c r="E341" s="3" t="inlineStr">
        <is>
          <t>KIC KBF 639/2 ME WATER 346L Bottom Freezer</t>
        </is>
      </c>
      <c r="F341" s="4" t="inlineStr">
        <is>
          <t>KIC</t>
        </is>
      </c>
      <c r="G341" s="4" t="inlineStr"/>
      <c r="H341" s="4" t="inlineStr"/>
      <c r="I341" s="5" t="n">
        <v>6999</v>
      </c>
      <c r="J341" s="6" t="n">
        <v>15</v>
      </c>
      <c r="K341" s="7">
        <f>IF(I341="","",I341*(1+J341/100))</f>
        <v/>
      </c>
      <c r="L341" s="8" t="inlineStr"/>
      <c r="M341" s="9">
        <f>IF(OR(L341="",K341="",L341=0),"",
  (L341-K341)/L341*100)</f>
        <v/>
      </c>
      <c r="N341" s="10" t="inlineStr"/>
      <c r="O341" s="4" t="inlineStr"/>
      <c r="P341" s="4" t="inlineStr"/>
      <c r="Q341" s="4" t="inlineStr"/>
      <c r="R341" s="4" t="inlineStr">
        <is>
          <t>2026-03-12</t>
        </is>
      </c>
      <c r="S341" s="4" t="inlineStr">
        <is>
          <t>Hirschs 47th Anniversary Sale Feb-Mar 2026</t>
        </is>
      </c>
    </row>
    <row r="342">
      <c r="A342" s="11" t="inlineStr">
        <is>
          <t>KBF 635/2 GR WATER</t>
        </is>
      </c>
      <c r="B342" s="11" t="inlineStr"/>
      <c r="C342" s="11" t="inlineStr"/>
      <c r="D342" s="11" t="inlineStr"/>
      <c r="E342" s="11" t="inlineStr">
        <is>
          <t>KIC KBF 635/2 GR WATER 346L Bottom Freezer</t>
        </is>
      </c>
      <c r="F342" s="11" t="inlineStr">
        <is>
          <t>KIC</t>
        </is>
      </c>
      <c r="G342" s="11" t="inlineStr"/>
      <c r="H342" s="11" t="inlineStr"/>
      <c r="I342" s="12" t="n">
        <v>6699</v>
      </c>
      <c r="J342" s="6" t="n">
        <v>15</v>
      </c>
      <c r="K342" s="7">
        <f>IF(I342="","",I342*(1+J342/100))</f>
        <v/>
      </c>
      <c r="L342" s="8" t="inlineStr"/>
      <c r="M342" s="9">
        <f>IF(OR(L342="",K342="",L342=0),"",
  (L342-K342)/L342*100)</f>
        <v/>
      </c>
      <c r="N342" s="10" t="inlineStr"/>
      <c r="O342" s="11" t="inlineStr"/>
      <c r="P342" s="11" t="inlineStr"/>
      <c r="Q342" s="11" t="inlineStr"/>
      <c r="R342" s="11" t="inlineStr">
        <is>
          <t>2026-03-12</t>
        </is>
      </c>
      <c r="S342" s="11" t="inlineStr">
        <is>
          <t>Hirschs 47th Anniversary Sale Feb-Mar 2026</t>
        </is>
      </c>
    </row>
    <row r="343">
      <c r="A343" s="3" t="inlineStr">
        <is>
          <t>KBF 631/2 GR</t>
        </is>
      </c>
      <c r="B343" s="4" t="inlineStr"/>
      <c r="C343" s="4" t="inlineStr"/>
      <c r="D343" s="4" t="inlineStr"/>
      <c r="E343" s="3" t="inlineStr">
        <is>
          <t>KIC KBF 631/2 GR 231L Bottom Freezer</t>
        </is>
      </c>
      <c r="F343" s="4" t="inlineStr">
        <is>
          <t>KIC</t>
        </is>
      </c>
      <c r="G343" s="4" t="inlineStr"/>
      <c r="H343" s="4" t="inlineStr"/>
      <c r="I343" s="5" t="n">
        <v>6299</v>
      </c>
      <c r="J343" s="6" t="n">
        <v>15</v>
      </c>
      <c r="K343" s="7">
        <f>IF(I343="","",I343*(1+J343/100))</f>
        <v/>
      </c>
      <c r="L343" s="8" t="inlineStr"/>
      <c r="M343" s="9">
        <f>IF(OR(L343="",K343="",L343=0),"",
  (L343-K343)/L343*100)</f>
        <v/>
      </c>
      <c r="N343" s="10" t="inlineStr"/>
      <c r="O343" s="4" t="inlineStr"/>
      <c r="P343" s="4" t="inlineStr"/>
      <c r="Q343" s="4" t="inlineStr"/>
      <c r="R343" s="4" t="inlineStr">
        <is>
          <t>2026-03-12</t>
        </is>
      </c>
      <c r="S343" s="4" t="inlineStr">
        <is>
          <t>Hirschs 47th Anniversary Sale Feb-Mar 2026</t>
        </is>
      </c>
    </row>
    <row r="344">
      <c r="A344" s="11" t="inlineStr">
        <is>
          <t>KBF 525/2 ME</t>
        </is>
      </c>
      <c r="B344" s="11" t="inlineStr"/>
      <c r="C344" s="11" t="inlineStr"/>
      <c r="D344" s="11" t="inlineStr"/>
      <c r="E344" s="11" t="inlineStr">
        <is>
          <t>KIC KBF 525/2 ME 230L Bottom Freezer</t>
        </is>
      </c>
      <c r="F344" s="11" t="inlineStr">
        <is>
          <t>KIC</t>
        </is>
      </c>
      <c r="G344" s="11" t="inlineStr"/>
      <c r="H344" s="11" t="inlineStr"/>
      <c r="I344" s="12" t="n">
        <v>5299</v>
      </c>
      <c r="J344" s="6" t="n">
        <v>15</v>
      </c>
      <c r="K344" s="7">
        <f>IF(I344="","",I344*(1+J344/100))</f>
        <v/>
      </c>
      <c r="L344" s="8" t="inlineStr"/>
      <c r="M344" s="9">
        <f>IF(OR(L344="",K344="",L344=0),"",
  (L344-K344)/L344*100)</f>
        <v/>
      </c>
      <c r="N344" s="10" t="inlineStr"/>
      <c r="O344" s="11" t="inlineStr"/>
      <c r="P344" s="11" t="inlineStr"/>
      <c r="Q344" s="11" t="inlineStr"/>
      <c r="R344" s="11" t="inlineStr">
        <is>
          <t>2026-03-12</t>
        </is>
      </c>
      <c r="S344" s="11" t="inlineStr">
        <is>
          <t>Hirschs 47th Anniversary Sale Feb-Mar 2026</t>
        </is>
      </c>
    </row>
    <row r="345">
      <c r="A345" s="3" t="inlineStr">
        <is>
          <t>KTF 518/2 ME</t>
        </is>
      </c>
      <c r="B345" s="4" t="inlineStr"/>
      <c r="C345" s="4" t="inlineStr"/>
      <c r="D345" s="4" t="inlineStr"/>
      <c r="E345" s="3" t="inlineStr">
        <is>
          <t>KIC KTF 518/2 ME 171L Top Freezer</t>
        </is>
      </c>
      <c r="F345" s="4" t="inlineStr">
        <is>
          <t>KIC</t>
        </is>
      </c>
      <c r="G345" s="4" t="inlineStr"/>
      <c r="H345" s="4" t="inlineStr"/>
      <c r="I345" s="5" t="n">
        <v>3899</v>
      </c>
      <c r="J345" s="6" t="n">
        <v>15</v>
      </c>
      <c r="K345" s="7">
        <f>IF(I345="","",I345*(1+J345/100))</f>
        <v/>
      </c>
      <c r="L345" s="8" t="inlineStr"/>
      <c r="M345" s="9">
        <f>IF(OR(L345="",K345="",L345=0),"",
  (L345-K345)/L345*100)</f>
        <v/>
      </c>
      <c r="N345" s="10" t="inlineStr"/>
      <c r="O345" s="4" t="inlineStr"/>
      <c r="P345" s="4" t="inlineStr"/>
      <c r="Q345" s="4" t="inlineStr"/>
      <c r="R345" s="4" t="inlineStr">
        <is>
          <t>2026-03-12</t>
        </is>
      </c>
      <c r="S345" s="4" t="inlineStr">
        <is>
          <t>Hirschs 47th Anniversary Sale Feb-Mar 2026</t>
        </is>
      </c>
    </row>
    <row r="346">
      <c r="A346" s="11" t="inlineStr">
        <is>
          <t>KFL 812 GR</t>
        </is>
      </c>
      <c r="B346" s="11" t="inlineStr"/>
      <c r="C346" s="11" t="inlineStr"/>
      <c r="D346" s="11" t="inlineStr"/>
      <c r="E346" s="11" t="inlineStr">
        <is>
          <t>KIC KFL 812 GR 8kg Washing Machine Eco-Logic</t>
        </is>
      </c>
      <c r="F346" s="11" t="inlineStr">
        <is>
          <t>KIC</t>
        </is>
      </c>
      <c r="G346" s="11" t="inlineStr"/>
      <c r="H346" s="11" t="inlineStr"/>
      <c r="I346" s="12" t="n">
        <v>5299</v>
      </c>
      <c r="J346" s="6" t="n">
        <v>15</v>
      </c>
      <c r="K346" s="7">
        <f>IF(I346="","",I346*(1+J346/100))</f>
        <v/>
      </c>
      <c r="L346" s="8" t="inlineStr"/>
      <c r="M346" s="9">
        <f>IF(OR(L346="",K346="",L346=0),"",
  (L346-K346)/L346*100)</f>
        <v/>
      </c>
      <c r="N346" s="10" t="inlineStr"/>
      <c r="O346" s="11" t="inlineStr"/>
      <c r="P346" s="11" t="inlineStr"/>
      <c r="Q346" s="11" t="inlineStr"/>
      <c r="R346" s="11" t="inlineStr">
        <is>
          <t>2026-03-12</t>
        </is>
      </c>
      <c r="S346" s="11" t="inlineStr">
        <is>
          <t>Hirschs 47th Anniversary Sale Feb-Mar 2026</t>
        </is>
      </c>
    </row>
    <row r="347">
      <c r="A347" s="3" t="inlineStr">
        <is>
          <t>KCG 305 GR</t>
        </is>
      </c>
      <c r="B347" s="4" t="inlineStr"/>
      <c r="C347" s="4" t="inlineStr"/>
      <c r="D347" s="4" t="inlineStr"/>
      <c r="E347" s="3" t="inlineStr">
        <is>
          <t>KIC KCG 305 GR 278L Chest Freezer</t>
        </is>
      </c>
      <c r="F347" s="4" t="inlineStr">
        <is>
          <t>KIC</t>
        </is>
      </c>
      <c r="G347" s="4" t="inlineStr"/>
      <c r="H347" s="4" t="inlineStr"/>
      <c r="I347" s="5" t="n">
        <v>4999</v>
      </c>
      <c r="J347" s="6" t="n">
        <v>15</v>
      </c>
      <c r="K347" s="7">
        <f>IF(I347="","",I347*(1+J347/100))</f>
        <v/>
      </c>
      <c r="L347" s="8" t="inlineStr"/>
      <c r="M347" s="9">
        <f>IF(OR(L347="",K347="",L347=0),"",
  (L347-K347)/L347*100)</f>
        <v/>
      </c>
      <c r="N347" s="10" t="inlineStr"/>
      <c r="O347" s="4" t="inlineStr"/>
      <c r="P347" s="4" t="inlineStr"/>
      <c r="Q347" s="4" t="inlineStr"/>
      <c r="R347" s="4" t="inlineStr">
        <is>
          <t>2026-03-12</t>
        </is>
      </c>
      <c r="S347" s="4" t="inlineStr">
        <is>
          <t>Hirschs 47th Anniversary Sale Feb-Mar 2026</t>
        </is>
      </c>
    </row>
    <row r="348">
      <c r="A348" s="11" t="inlineStr">
        <is>
          <t>KCG 575 WH</t>
        </is>
      </c>
      <c r="B348" s="11" t="inlineStr"/>
      <c r="C348" s="11" t="inlineStr"/>
      <c r="D348" s="11" t="inlineStr"/>
      <c r="E348" s="11" t="inlineStr">
        <is>
          <t>KIC KCG 575 WH 537L Chest Freezer</t>
        </is>
      </c>
      <c r="F348" s="11" t="inlineStr">
        <is>
          <t>KIC</t>
        </is>
      </c>
      <c r="G348" s="11" t="inlineStr"/>
      <c r="H348" s="11" t="inlineStr"/>
      <c r="I348" s="12" t="n">
        <v>7299</v>
      </c>
      <c r="J348" s="6" t="n">
        <v>15</v>
      </c>
      <c r="K348" s="7">
        <f>IF(I348="","",I348*(1+J348/100))</f>
        <v/>
      </c>
      <c r="L348" s="8" t="inlineStr"/>
      <c r="M348" s="9">
        <f>IF(OR(L348="",K348="",L348=0),"",
  (L348-K348)/L348*100)</f>
        <v/>
      </c>
      <c r="N348" s="10" t="inlineStr"/>
      <c r="O348" s="11" t="inlineStr"/>
      <c r="P348" s="11" t="inlineStr"/>
      <c r="Q348" s="11" t="inlineStr"/>
      <c r="R348" s="11" t="inlineStr">
        <is>
          <t>2026-03-12</t>
        </is>
      </c>
      <c r="S348" s="11" t="inlineStr">
        <is>
          <t>Hirschs 47th Anniversary Sale Feb-Mar 2026</t>
        </is>
      </c>
    </row>
    <row r="349">
      <c r="A349" s="3" t="inlineStr">
        <is>
          <t>AEGZA366DUFBI</t>
        </is>
      </c>
      <c r="B349" s="4" t="inlineStr"/>
      <c r="C349" s="4" t="inlineStr"/>
      <c r="D349" s="4" t="inlineStr"/>
      <c r="E349" s="3" t="inlineStr">
        <is>
          <t>AEG Upright Fridge 340L</t>
        </is>
      </c>
      <c r="F349" s="4" t="inlineStr">
        <is>
          <t>AEG</t>
        </is>
      </c>
      <c r="G349" s="4" t="inlineStr"/>
      <c r="H349" s="4" t="inlineStr"/>
      <c r="I349" s="5" t="n">
        <v>11999</v>
      </c>
      <c r="J349" s="6" t="n">
        <v>15</v>
      </c>
      <c r="K349" s="7">
        <f>IF(I349="","",I349*(1+J349/100))</f>
        <v/>
      </c>
      <c r="L349" s="8" t="inlineStr"/>
      <c r="M349" s="9">
        <f>IF(OR(L349="",K349="",L349=0),"",
  (L349-K349)/L349*100)</f>
        <v/>
      </c>
      <c r="N349" s="10" t="inlineStr"/>
      <c r="O349" s="4" t="inlineStr"/>
      <c r="P349" s="4" t="inlineStr"/>
      <c r="Q349" s="4" t="inlineStr"/>
      <c r="R349" s="4" t="inlineStr">
        <is>
          <t>2026-03-12</t>
        </is>
      </c>
      <c r="S349" s="4" t="inlineStr">
        <is>
          <t>Hirschs 47th Anniversary Sale Feb-Mar 2026</t>
        </is>
      </c>
    </row>
    <row r="350">
      <c r="A350" s="11" t="inlineStr">
        <is>
          <t>AEGL6MFL</t>
        </is>
      </c>
      <c r="B350" s="11" t="inlineStr"/>
      <c r="C350" s="11" t="inlineStr"/>
      <c r="D350" s="11" t="inlineStr"/>
      <c r="E350" s="11" t="inlineStr">
        <is>
          <t>AEG 10KG Inverter Front Loader</t>
        </is>
      </c>
      <c r="F350" s="11" t="inlineStr">
        <is>
          <t>AEG</t>
        </is>
      </c>
      <c r="G350" s="11" t="inlineStr"/>
      <c r="H350" s="11" t="inlineStr"/>
      <c r="I350" s="12" t="n">
        <v>9999</v>
      </c>
      <c r="J350" s="6" t="n">
        <v>15</v>
      </c>
      <c r="K350" s="7">
        <f>IF(I350="","",I350*(1+J350/100))</f>
        <v/>
      </c>
      <c r="L350" s="8" t="inlineStr"/>
      <c r="M350" s="9">
        <f>IF(OR(L350="",K350="",L350=0),"",
  (L350-K350)/L350*100)</f>
        <v/>
      </c>
      <c r="N350" s="10" t="inlineStr"/>
      <c r="O350" s="11" t="inlineStr"/>
      <c r="P350" s="11" t="inlineStr"/>
      <c r="Q350" s="11" t="inlineStr"/>
      <c r="R350" s="11" t="inlineStr">
        <is>
          <t>2026-03-12</t>
        </is>
      </c>
      <c r="S350" s="11" t="inlineStr">
        <is>
          <t>Hirschs 47th Anniversary Sale Feb-Mar 2026</t>
        </is>
      </c>
    </row>
    <row r="351">
      <c r="A351" s="3" t="inlineStr">
        <is>
          <t>AEGZK0IHPDT</t>
        </is>
      </c>
      <c r="B351" s="4" t="inlineStr"/>
      <c r="C351" s="4" t="inlineStr"/>
      <c r="D351" s="4" t="inlineStr"/>
      <c r="E351" s="3" t="inlineStr">
        <is>
          <t>AEG 10KG Heat Pump Dryer</t>
        </is>
      </c>
      <c r="F351" s="4" t="inlineStr">
        <is>
          <t>AEG</t>
        </is>
      </c>
      <c r="G351" s="4" t="inlineStr"/>
      <c r="H351" s="4" t="inlineStr"/>
      <c r="I351" s="5" t="n">
        <v>13999</v>
      </c>
      <c r="J351" s="6" t="n">
        <v>15</v>
      </c>
      <c r="K351" s="7">
        <f>IF(I351="","",I351*(1+J351/100))</f>
        <v/>
      </c>
      <c r="L351" s="8" t="inlineStr"/>
      <c r="M351" s="9">
        <f>IF(OR(L351="",K351="",L351=0),"",
  (L351-K351)/L351*100)</f>
        <v/>
      </c>
      <c r="N351" s="10" t="inlineStr"/>
      <c r="O351" s="4" t="inlineStr"/>
      <c r="P351" s="4" t="inlineStr"/>
      <c r="Q351" s="4" t="inlineStr"/>
      <c r="R351" s="4" t="inlineStr">
        <is>
          <t>2026-03-12</t>
        </is>
      </c>
      <c r="S351" s="4" t="inlineStr">
        <is>
          <t>Hirschs 47th Anniversary Sale Feb-Mar 2026</t>
        </is>
      </c>
    </row>
    <row r="352">
      <c r="A352" s="11" t="inlineStr">
        <is>
          <t>AEGZA265DUFBI</t>
        </is>
      </c>
      <c r="B352" s="11" t="inlineStr"/>
      <c r="C352" s="11" t="inlineStr"/>
      <c r="D352" s="11" t="inlineStr"/>
      <c r="E352" s="11" t="inlineStr">
        <is>
          <t>AEG Upright Freezer 340L</t>
        </is>
      </c>
      <c r="F352" s="11" t="inlineStr">
        <is>
          <t>AEG</t>
        </is>
      </c>
      <c r="G352" s="11" t="inlineStr"/>
      <c r="H352" s="11" t="inlineStr"/>
      <c r="I352" s="12" t="n">
        <v>11999</v>
      </c>
      <c r="J352" s="6" t="n">
        <v>15</v>
      </c>
      <c r="K352" s="7">
        <f>IF(I352="","",I352*(1+J352/100))</f>
        <v/>
      </c>
      <c r="L352" s="8" t="inlineStr"/>
      <c r="M352" s="9">
        <f>IF(OR(L352="",K352="",L352=0),"",
  (L352-K352)/L352*100)</f>
        <v/>
      </c>
      <c r="N352" s="10" t="inlineStr"/>
      <c r="O352" s="11" t="inlineStr"/>
      <c r="P352" s="11" t="inlineStr"/>
      <c r="Q352" s="11" t="inlineStr"/>
      <c r="R352" s="11" t="inlineStr">
        <is>
          <t>2026-03-12</t>
        </is>
      </c>
      <c r="S352" s="11" t="inlineStr">
        <is>
          <t>Hirschs 47th Anniversary Sale Feb-Mar 2026</t>
        </is>
      </c>
    </row>
    <row r="353">
      <c r="A353" s="3" t="inlineStr">
        <is>
          <t>AEGZAM07CZAI</t>
        </is>
      </c>
      <c r="B353" s="4" t="inlineStr"/>
      <c r="C353" s="4" t="inlineStr"/>
      <c r="D353" s="4" t="inlineStr"/>
      <c r="E353" s="3" t="inlineStr">
        <is>
          <t>AEG 60CM T-Shaped Cooker Hood</t>
        </is>
      </c>
      <c r="F353" s="4" t="inlineStr">
        <is>
          <t>AEG</t>
        </is>
      </c>
      <c r="G353" s="4" t="inlineStr"/>
      <c r="H353" s="4" t="inlineStr"/>
      <c r="I353" s="5" t="n">
        <v>4999</v>
      </c>
      <c r="J353" s="6" t="n">
        <v>15</v>
      </c>
      <c r="K353" s="7">
        <f>IF(I353="","",I353*(1+J353/100))</f>
        <v/>
      </c>
      <c r="L353" s="8" t="inlineStr"/>
      <c r="M353" s="9">
        <f>IF(OR(L353="",K353="",L353=0),"",
  (L353-K353)/L353*100)</f>
        <v/>
      </c>
      <c r="N353" s="10" t="inlineStr"/>
      <c r="O353" s="4" t="inlineStr"/>
      <c r="P353" s="4" t="inlineStr"/>
      <c r="Q353" s="4" t="inlineStr"/>
      <c r="R353" s="4" t="inlineStr">
        <is>
          <t>2026-03-12</t>
        </is>
      </c>
      <c r="S353" s="4" t="inlineStr">
        <is>
          <t>Hirschs 47th Anniversary Sale Feb-Mar 2026</t>
        </is>
      </c>
    </row>
    <row r="354">
      <c r="A354" s="11" t="inlineStr">
        <is>
          <t>AEGI50CCB+ISI</t>
        </is>
      </c>
      <c r="B354" s="11" t="inlineStr"/>
      <c r="C354" s="11" t="inlineStr"/>
      <c r="D354" s="11" t="inlineStr"/>
      <c r="E354" s="11" t="inlineStr">
        <is>
          <t>AEG 60CM Ceran Built-In Hob SCHOTT</t>
        </is>
      </c>
      <c r="F354" s="11" t="inlineStr">
        <is>
          <t>AEG</t>
        </is>
      </c>
      <c r="G354" s="11" t="inlineStr"/>
      <c r="H354" s="11" t="inlineStr"/>
      <c r="I354" s="12" t="n">
        <v>4999</v>
      </c>
      <c r="J354" s="6" t="n">
        <v>15</v>
      </c>
      <c r="K354" s="7">
        <f>IF(I354="","",I354*(1+J354/100))</f>
        <v/>
      </c>
      <c r="L354" s="8" t="inlineStr"/>
      <c r="M354" s="9">
        <f>IF(OR(L354="",K354="",L354=0),"",
  (L354-K354)/L354*100)</f>
        <v/>
      </c>
      <c r="N354" s="10" t="inlineStr"/>
      <c r="O354" s="11" t="inlineStr"/>
      <c r="P354" s="11" t="inlineStr"/>
      <c r="Q354" s="11" t="inlineStr"/>
      <c r="R354" s="11" t="inlineStr">
        <is>
          <t>2026-03-12</t>
        </is>
      </c>
      <c r="S354" s="11" t="inlineStr">
        <is>
          <t>Hirschs 47th Anniversary Sale Feb-Mar 2026</t>
        </is>
      </c>
    </row>
    <row r="355">
      <c r="A355" s="3" t="inlineStr">
        <is>
          <t>AEGZA66NO42</t>
        </is>
      </c>
      <c r="B355" s="4" t="inlineStr"/>
      <c r="C355" s="4" t="inlineStr"/>
      <c r="D355" s="4" t="inlineStr"/>
      <c r="E355" s="3" t="inlineStr">
        <is>
          <t>AEG 14 Place Dishwasher With Satellite Wash</t>
        </is>
      </c>
      <c r="F355" s="4" t="inlineStr">
        <is>
          <t>AEG</t>
        </is>
      </c>
      <c r="G355" s="4" t="inlineStr"/>
      <c r="H355" s="4" t="inlineStr"/>
      <c r="I355" s="5" t="n">
        <v>9999</v>
      </c>
      <c r="J355" s="6" t="n">
        <v>15</v>
      </c>
      <c r="K355" s="7">
        <f>IF(I355="","",I355*(1+J355/100))</f>
        <v/>
      </c>
      <c r="L355" s="8" t="inlineStr"/>
      <c r="M355" s="9">
        <f>IF(OR(L355="",K355="",L355=0),"",
  (L355-K355)/L355*100)</f>
        <v/>
      </c>
      <c r="N355" s="10" t="inlineStr"/>
      <c r="O355" s="4" t="inlineStr"/>
      <c r="P355" s="4" t="inlineStr"/>
      <c r="Q355" s="4" t="inlineStr"/>
      <c r="R355" s="4" t="inlineStr">
        <is>
          <t>2026-03-12</t>
        </is>
      </c>
      <c r="S355" s="4" t="inlineStr">
        <is>
          <t>Hirschs 47th Anniversary Sale Feb-Mar 2026</t>
        </is>
      </c>
    </row>
    <row r="356">
      <c r="A356" s="11" t="inlineStr">
        <is>
          <t>AEGZA64KOD2</t>
        </is>
      </c>
      <c r="B356" s="11" t="inlineStr"/>
      <c r="C356" s="11" t="inlineStr"/>
      <c r="D356" s="11" t="inlineStr"/>
      <c r="E356" s="11" t="inlineStr">
        <is>
          <t>AEG 60CM Built-In Pyrolytic Oven</t>
        </is>
      </c>
      <c r="F356" s="11" t="inlineStr">
        <is>
          <t>AEG</t>
        </is>
      </c>
      <c r="G356" s="11" t="inlineStr"/>
      <c r="H356" s="11" t="inlineStr"/>
      <c r="I356" s="12" t="n">
        <v>14999</v>
      </c>
      <c r="J356" s="6" t="n">
        <v>15</v>
      </c>
      <c r="K356" s="7">
        <f>IF(I356="","",I356*(1+J356/100))</f>
        <v/>
      </c>
      <c r="L356" s="8" t="inlineStr"/>
      <c r="M356" s="9">
        <f>IF(OR(L356="",K356="",L356=0),"",
  (L356-K356)/L356*100)</f>
        <v/>
      </c>
      <c r="N356" s="10" t="inlineStr"/>
      <c r="O356" s="11" t="inlineStr"/>
      <c r="P356" s="11" t="inlineStr"/>
      <c r="Q356" s="11" t="inlineStr"/>
      <c r="R356" s="11" t="inlineStr">
        <is>
          <t>2026-03-12</t>
        </is>
      </c>
      <c r="S356" s="11" t="inlineStr">
        <is>
          <t>Hirschs 47th Anniversary Sale Feb-Mar 2026</t>
        </is>
      </c>
    </row>
    <row r="357">
      <c r="A357" s="3" t="inlineStr">
        <is>
          <t>AEGZA20BRAO2</t>
        </is>
      </c>
      <c r="B357" s="4" t="inlineStr"/>
      <c r="C357" s="4" t="inlineStr"/>
      <c r="D357" s="4" t="inlineStr"/>
      <c r="E357" s="3" t="inlineStr">
        <is>
          <t>AEG 60CM Built-In Oven With Air Fryer &amp; Heatwrap</t>
        </is>
      </c>
      <c r="F357" s="4" t="inlineStr">
        <is>
          <t>AEG</t>
        </is>
      </c>
      <c r="G357" s="4" t="inlineStr"/>
      <c r="H357" s="4" t="inlineStr"/>
      <c r="I357" s="5" t="n">
        <v>10999</v>
      </c>
      <c r="J357" s="6" t="n">
        <v>15</v>
      </c>
      <c r="K357" s="7">
        <f>IF(I357="","",I357*(1+J357/100))</f>
        <v/>
      </c>
      <c r="L357" s="8" t="inlineStr"/>
      <c r="M357" s="9">
        <f>IF(OR(L357="",K357="",L357=0),"",
  (L357-K357)/L357*100)</f>
        <v/>
      </c>
      <c r="N357" s="10" t="inlineStr"/>
      <c r="O357" s="4" t="inlineStr"/>
      <c r="P357" s="4" t="inlineStr"/>
      <c r="Q357" s="4" t="inlineStr"/>
      <c r="R357" s="4" t="inlineStr">
        <is>
          <t>2026-03-12</t>
        </is>
      </c>
      <c r="S357" s="4" t="inlineStr">
        <is>
          <t>Hirschs 47th Anniversary Sale Feb-Mar 2026</t>
        </is>
      </c>
    </row>
    <row r="358">
      <c r="A358" s="11" t="inlineStr">
        <is>
          <t>AEGZAJDTNV</t>
        </is>
      </c>
      <c r="B358" s="11" t="inlineStr"/>
      <c r="C358" s="11" t="inlineStr"/>
      <c r="D358" s="11" t="inlineStr"/>
      <c r="E358" s="11" t="inlineStr">
        <is>
          <t>AEG 15 Place Dishwasher With Inverter Motor &amp; Satellite Wash</t>
        </is>
      </c>
      <c r="F358" s="11" t="inlineStr">
        <is>
          <t>AEG</t>
        </is>
      </c>
      <c r="G358" s="11" t="inlineStr"/>
      <c r="H358" s="11" t="inlineStr"/>
      <c r="I358" s="12" t="n">
        <v>13999</v>
      </c>
      <c r="J358" s="6" t="n">
        <v>15</v>
      </c>
      <c r="K358" s="7">
        <f>IF(I358="","",I358*(1+J358/100))</f>
        <v/>
      </c>
      <c r="L358" s="8" t="inlineStr"/>
      <c r="M358" s="9">
        <f>IF(OR(L358="",K358="",L358=0),"",
  (L358-K358)/L358*100)</f>
        <v/>
      </c>
      <c r="N358" s="10" t="inlineStr"/>
      <c r="O358" s="11" t="inlineStr"/>
      <c r="P358" s="11" t="inlineStr"/>
      <c r="Q358" s="11" t="inlineStr"/>
      <c r="R358" s="11" t="inlineStr">
        <is>
          <t>2026-03-12</t>
        </is>
      </c>
      <c r="S358" s="11" t="inlineStr">
        <is>
          <t>Hirschs 47th Anniversary Sale Feb-Mar 2026</t>
        </is>
      </c>
    </row>
    <row r="359">
      <c r="A359" s="3" t="inlineStr">
        <is>
          <t>AEGZAMR453</t>
        </is>
      </c>
      <c r="B359" s="4" t="inlineStr"/>
      <c r="C359" s="4" t="inlineStr"/>
      <c r="D359" s="4" t="inlineStr"/>
      <c r="E359" s="3" t="inlineStr">
        <is>
          <t>AEG 90CM Stainless Steel Gas/Electric Stove</t>
        </is>
      </c>
      <c r="F359" s="4" t="inlineStr">
        <is>
          <t>AEG</t>
        </is>
      </c>
      <c r="G359" s="4" t="inlineStr"/>
      <c r="H359" s="4" t="inlineStr"/>
      <c r="I359" s="5" t="n">
        <v>19999</v>
      </c>
      <c r="J359" s="6" t="n">
        <v>15</v>
      </c>
      <c r="K359" s="7">
        <f>IF(I359="","",I359*(1+J359/100))</f>
        <v/>
      </c>
      <c r="L359" s="8" t="inlineStr"/>
      <c r="M359" s="9">
        <f>IF(OR(L359="",K359="",L359=0),"",
  (L359-K359)/L359*100)</f>
        <v/>
      </c>
      <c r="N359" s="10" t="inlineStr"/>
      <c r="O359" s="4" t="inlineStr"/>
      <c r="P359" s="4" t="inlineStr"/>
      <c r="Q359" s="4" t="inlineStr"/>
      <c r="R359" s="4" t="inlineStr">
        <is>
          <t>2026-03-12</t>
        </is>
      </c>
      <c r="S359" s="4" t="inlineStr">
        <is>
          <t>Hirschs 47th Anniversary Sale Feb-Mar 2026</t>
        </is>
      </c>
    </row>
    <row r="360">
      <c r="A360" s="11" t="inlineStr">
        <is>
          <t>AEGI4GOSB-IT1</t>
        </is>
      </c>
      <c r="B360" s="11" t="inlineStr"/>
      <c r="C360" s="11" t="inlineStr"/>
      <c r="D360" s="11" t="inlineStr"/>
      <c r="E360" s="11" t="inlineStr">
        <is>
          <t>AEG 60CM Gas On Glass Built-In Hob Timer</t>
        </is>
      </c>
      <c r="F360" s="11" t="inlineStr">
        <is>
          <t>AEG</t>
        </is>
      </c>
      <c r="G360" s="11" t="inlineStr"/>
      <c r="H360" s="11" t="inlineStr"/>
      <c r="I360" s="12" t="n">
        <v>5499</v>
      </c>
      <c r="J360" s="6" t="n">
        <v>15</v>
      </c>
      <c r="K360" s="7">
        <f>IF(I360="","",I360*(1+J360/100))</f>
        <v/>
      </c>
      <c r="L360" s="8" t="inlineStr"/>
      <c r="M360" s="9">
        <f>IF(OR(L360="",K360="",L360=0),"",
  (L360-K360)/L360*100)</f>
        <v/>
      </c>
      <c r="N360" s="10" t="inlineStr"/>
      <c r="O360" s="11" t="inlineStr"/>
      <c r="P360" s="11" t="inlineStr"/>
      <c r="Q360" s="11" t="inlineStr"/>
      <c r="R360" s="11" t="inlineStr">
        <is>
          <t>2026-03-12</t>
        </is>
      </c>
      <c r="S360" s="11" t="inlineStr">
        <is>
          <t>Hirschs 47th Anniversary Sale Feb-Mar 2026</t>
        </is>
      </c>
    </row>
    <row r="361">
      <c r="A361" s="3" t="inlineStr">
        <is>
          <t>85337</t>
        </is>
      </c>
      <c r="B361" s="4" t="inlineStr"/>
      <c r="C361" s="4" t="inlineStr"/>
      <c r="D361" s="4" t="inlineStr"/>
      <c r="E361" s="3" t="inlineStr">
        <is>
          <t>Miele Guard L1 Allergy Bagged Vacuum</t>
        </is>
      </c>
      <c r="F361" s="4" t="inlineStr">
        <is>
          <t>Miele</t>
        </is>
      </c>
      <c r="G361" s="4" t="inlineStr"/>
      <c r="H361" s="4" t="inlineStr"/>
      <c r="I361" s="5" t="n">
        <v>6299</v>
      </c>
      <c r="J361" s="6" t="n">
        <v>15</v>
      </c>
      <c r="K361" s="7">
        <f>IF(I361="","",I361*(1+J361/100))</f>
        <v/>
      </c>
      <c r="L361" s="8" t="inlineStr"/>
      <c r="M361" s="9">
        <f>IF(OR(L361="",K361="",L361=0),"",
  (L361-K361)/L361*100)</f>
        <v/>
      </c>
      <c r="N361" s="10" t="inlineStr"/>
      <c r="O361" s="4" t="inlineStr"/>
      <c r="P361" s="4" t="inlineStr"/>
      <c r="Q361" s="4" t="inlineStr"/>
      <c r="R361" s="4" t="inlineStr">
        <is>
          <t>2026-03-12</t>
        </is>
      </c>
      <c r="S361" s="4" t="inlineStr">
        <is>
          <t>Hirschs 47th Anniversary Sale Feb-Mar 2026</t>
        </is>
      </c>
    </row>
    <row r="362">
      <c r="A362" s="11" t="inlineStr">
        <is>
          <t>83164</t>
        </is>
      </c>
      <c r="B362" s="11" t="inlineStr"/>
      <c r="C362" s="11" t="inlineStr"/>
      <c r="D362" s="11" t="inlineStr"/>
      <c r="E362" s="11" t="inlineStr">
        <is>
          <t>Miele Duoflex HX1 Cordless Vacuum</t>
        </is>
      </c>
      <c r="F362" s="11" t="inlineStr">
        <is>
          <t>Miele</t>
        </is>
      </c>
      <c r="G362" s="11" t="inlineStr"/>
      <c r="H362" s="11" t="inlineStr"/>
      <c r="I362" s="12" t="n">
        <v>5999</v>
      </c>
      <c r="J362" s="6" t="n">
        <v>15</v>
      </c>
      <c r="K362" s="7">
        <f>IF(I362="","",I362*(1+J362/100))</f>
        <v/>
      </c>
      <c r="L362" s="8" t="inlineStr"/>
      <c r="M362" s="9">
        <f>IF(OR(L362="",K362="",L362=0),"",
  (L362-K362)/L362*100)</f>
        <v/>
      </c>
      <c r="N362" s="10" t="inlineStr"/>
      <c r="O362" s="11" t="inlineStr"/>
      <c r="P362" s="11" t="inlineStr"/>
      <c r="Q362" s="11" t="inlineStr"/>
      <c r="R362" s="11" t="inlineStr">
        <is>
          <t>2026-03-12</t>
        </is>
      </c>
      <c r="S362" s="11" t="inlineStr">
        <is>
          <t>Hirschs 47th Anniversary Sale Feb-Mar 2026</t>
        </is>
      </c>
    </row>
    <row r="363">
      <c r="A363" s="3" t="inlineStr">
        <is>
          <t>83166</t>
        </is>
      </c>
      <c r="B363" s="4" t="inlineStr"/>
      <c r="C363" s="4" t="inlineStr"/>
      <c r="D363" s="4" t="inlineStr"/>
      <c r="E363" s="3" t="inlineStr">
        <is>
          <t>Miele Duoflex HX1 Total Care Cordless Vacuum</t>
        </is>
      </c>
      <c r="F363" s="4" t="inlineStr">
        <is>
          <t>Miele</t>
        </is>
      </c>
      <c r="G363" s="4" t="inlineStr"/>
      <c r="H363" s="4" t="inlineStr"/>
      <c r="I363" s="5" t="n">
        <v>7499</v>
      </c>
      <c r="J363" s="6" t="n">
        <v>15</v>
      </c>
      <c r="K363" s="7">
        <f>IF(I363="","",I363*(1+J363/100))</f>
        <v/>
      </c>
      <c r="L363" s="8" t="inlineStr"/>
      <c r="M363" s="9">
        <f>IF(OR(L363="",K363="",L363=0),"",
  (L363-K363)/L363*100)</f>
        <v/>
      </c>
      <c r="N363" s="10" t="inlineStr"/>
      <c r="O363" s="4" t="inlineStr"/>
      <c r="P363" s="4" t="inlineStr"/>
      <c r="Q363" s="4" t="inlineStr"/>
      <c r="R363" s="4" t="inlineStr">
        <is>
          <t>2026-03-12</t>
        </is>
      </c>
      <c r="S363" s="4" t="inlineStr">
        <is>
          <t>Hirschs 47th Anniversary Sale Feb-Mar 2026</t>
        </is>
      </c>
    </row>
    <row r="364">
      <c r="A364" s="11" t="inlineStr">
        <is>
          <t>85338</t>
        </is>
      </c>
      <c r="B364" s="11" t="inlineStr"/>
      <c r="C364" s="11" t="inlineStr"/>
      <c r="D364" s="11" t="inlineStr"/>
      <c r="E364" s="11" t="inlineStr">
        <is>
          <t>Miele Guard L1 Comfort Bagged Vacuum</t>
        </is>
      </c>
      <c r="F364" s="11" t="inlineStr">
        <is>
          <t>Miele</t>
        </is>
      </c>
      <c r="G364" s="11" t="inlineStr"/>
      <c r="H364" s="11" t="inlineStr"/>
      <c r="I364" s="12" t="n">
        <v>9499</v>
      </c>
      <c r="J364" s="6" t="n">
        <v>15</v>
      </c>
      <c r="K364" s="7">
        <f>IF(I364="","",I364*(1+J364/100))</f>
        <v/>
      </c>
      <c r="L364" s="8" t="inlineStr"/>
      <c r="M364" s="9">
        <f>IF(OR(L364="",K364="",L364=0),"",
  (L364-K364)/L364*100)</f>
        <v/>
      </c>
      <c r="N364" s="10" t="inlineStr"/>
      <c r="O364" s="11" t="inlineStr"/>
      <c r="P364" s="11" t="inlineStr"/>
      <c r="Q364" s="11" t="inlineStr"/>
      <c r="R364" s="11" t="inlineStr">
        <is>
          <t>2026-03-12</t>
        </is>
      </c>
      <c r="S364" s="11" t="inlineStr">
        <is>
          <t>Hirschs 47th Anniversary Sale Feb-Mar 2026</t>
        </is>
      </c>
    </row>
    <row r="365">
      <c r="A365" s="3" t="inlineStr">
        <is>
          <t>85338</t>
        </is>
      </c>
      <c r="B365" s="4" t="inlineStr"/>
      <c r="C365" s="4" t="inlineStr"/>
      <c r="D365" s="4" t="inlineStr"/>
      <c r="E365" s="3" t="inlineStr">
        <is>
          <t>Miele Guard L1 Cat &amp; Dog Bagged Vacuum</t>
        </is>
      </c>
      <c r="F365" s="4" t="inlineStr">
        <is>
          <t>Miele</t>
        </is>
      </c>
      <c r="G365" s="4" t="inlineStr"/>
      <c r="H365" s="4" t="inlineStr"/>
      <c r="I365" s="5" t="n">
        <v>6999</v>
      </c>
      <c r="J365" s="6" t="n">
        <v>15</v>
      </c>
      <c r="K365" s="7">
        <f>IF(I365="","",I365*(1+J365/100))</f>
        <v/>
      </c>
      <c r="L365" s="8" t="inlineStr"/>
      <c r="M365" s="9">
        <f>IF(OR(L365="",K365="",L365=0),"",
  (L365-K365)/L365*100)</f>
        <v/>
      </c>
      <c r="N365" s="10" t="inlineStr"/>
      <c r="O365" s="4" t="inlineStr"/>
      <c r="P365" s="4" t="inlineStr"/>
      <c r="Q365" s="4" t="inlineStr"/>
      <c r="R365" s="4" t="inlineStr">
        <is>
          <t>2026-03-12</t>
        </is>
      </c>
      <c r="S365" s="4" t="inlineStr">
        <is>
          <t>Hirschs 47th Anniversary Sale Feb-Mar 2026</t>
        </is>
      </c>
    </row>
    <row r="366">
      <c r="A366" s="11" t="inlineStr">
        <is>
          <t>80928</t>
        </is>
      </c>
      <c r="B366" s="11" t="inlineStr"/>
      <c r="C366" s="11" t="inlineStr"/>
      <c r="D366" s="11" t="inlineStr"/>
      <c r="E366" s="11" t="inlineStr">
        <is>
          <t>Miele Triflex HX2 Cat &amp; Dog Cordless Vacuum</t>
        </is>
      </c>
      <c r="F366" s="11" t="inlineStr">
        <is>
          <t>Miele</t>
        </is>
      </c>
      <c r="G366" s="11" t="inlineStr"/>
      <c r="H366" s="11" t="inlineStr"/>
      <c r="I366" s="12" t="n">
        <v>10999</v>
      </c>
      <c r="J366" s="6" t="n">
        <v>15</v>
      </c>
      <c r="K366" s="7">
        <f>IF(I366="","",I366*(1+J366/100))</f>
        <v/>
      </c>
      <c r="L366" s="8" t="inlineStr"/>
      <c r="M366" s="9">
        <f>IF(OR(L366="",K366="",L366=0),"",
  (L366-K366)/L366*100)</f>
        <v/>
      </c>
      <c r="N366" s="10" t="inlineStr"/>
      <c r="O366" s="11" t="inlineStr"/>
      <c r="P366" s="11" t="inlineStr"/>
      <c r="Q366" s="11" t="inlineStr"/>
      <c r="R366" s="11" t="inlineStr">
        <is>
          <t>2026-03-12</t>
        </is>
      </c>
      <c r="S366" s="11" t="inlineStr">
        <is>
          <t>Hirschs 47th Anniversary Sale Feb-Mar 2026</t>
        </is>
      </c>
    </row>
    <row r="367">
      <c r="A367" s="3" t="inlineStr">
        <is>
          <t>H2465B</t>
        </is>
      </c>
      <c r="B367" s="4" t="inlineStr"/>
      <c r="C367" s="4" t="inlineStr"/>
      <c r="D367" s="4" t="inlineStr"/>
      <c r="E367" s="3" t="inlineStr">
        <is>
          <t>Miele H2465B Oven</t>
        </is>
      </c>
      <c r="F367" s="4" t="inlineStr">
        <is>
          <t>Miele</t>
        </is>
      </c>
      <c r="G367" s="4" t="inlineStr"/>
      <c r="H367" s="4" t="inlineStr"/>
      <c r="I367" s="5" t="n">
        <v>14999</v>
      </c>
      <c r="J367" s="6" t="n">
        <v>15</v>
      </c>
      <c r="K367" s="7">
        <f>IF(I367="","",I367*(1+J367/100))</f>
        <v/>
      </c>
      <c r="L367" s="8" t="inlineStr"/>
      <c r="M367" s="9">
        <f>IF(OR(L367="",K367="",L367=0),"",
  (L367-K367)/L367*100)</f>
        <v/>
      </c>
      <c r="N367" s="10" t="inlineStr"/>
      <c r="O367" s="4" t="inlineStr"/>
      <c r="P367" s="4" t="inlineStr"/>
      <c r="Q367" s="4" t="inlineStr"/>
      <c r="R367" s="4" t="inlineStr">
        <is>
          <t>2026-03-12</t>
        </is>
      </c>
      <c r="S367" s="4" t="inlineStr">
        <is>
          <t>Hirschs 47th Anniversary Sale Feb-Mar 2026</t>
        </is>
      </c>
    </row>
    <row r="368">
      <c r="A368" s="11" t="inlineStr">
        <is>
          <t>KM 7361 FL</t>
        </is>
      </c>
      <c r="B368" s="11" t="inlineStr"/>
      <c r="C368" s="11" t="inlineStr"/>
      <c r="D368" s="11" t="inlineStr"/>
      <c r="E368" s="11" t="inlineStr">
        <is>
          <t>Miele KM 7361 FL Hob</t>
        </is>
      </c>
      <c r="F368" s="11" t="inlineStr">
        <is>
          <t>Miele</t>
        </is>
      </c>
      <c r="G368" s="11" t="inlineStr"/>
      <c r="H368" s="11" t="inlineStr"/>
      <c r="I368" s="12" t="n">
        <v>19999</v>
      </c>
      <c r="J368" s="6" t="n">
        <v>15</v>
      </c>
      <c r="K368" s="7">
        <f>IF(I368="","",I368*(1+J368/100))</f>
        <v/>
      </c>
      <c r="L368" s="8" t="inlineStr"/>
      <c r="M368" s="9">
        <f>IF(OR(L368="",K368="",L368=0),"",
  (L368-K368)/L368*100)</f>
        <v/>
      </c>
      <c r="N368" s="10" t="inlineStr"/>
      <c r="O368" s="11" t="inlineStr"/>
      <c r="P368" s="11" t="inlineStr"/>
      <c r="Q368" s="11" t="inlineStr"/>
      <c r="R368" s="11" t="inlineStr">
        <is>
          <t>2026-03-12</t>
        </is>
      </c>
      <c r="S368" s="11" t="inlineStr">
        <is>
          <t>Hirschs 47th Anniversary Sale Feb-Mar 2026</t>
        </is>
      </c>
    </row>
    <row r="369">
      <c r="A369" s="3" t="inlineStr">
        <is>
          <t>H7260B</t>
        </is>
      </c>
      <c r="B369" s="4" t="inlineStr"/>
      <c r="C369" s="4" t="inlineStr"/>
      <c r="D369" s="4" t="inlineStr"/>
      <c r="E369" s="3" t="inlineStr">
        <is>
          <t>Miele H7260B Oven</t>
        </is>
      </c>
      <c r="F369" s="4" t="inlineStr">
        <is>
          <t>Miele</t>
        </is>
      </c>
      <c r="G369" s="4" t="inlineStr"/>
      <c r="H369" s="4" t="inlineStr"/>
      <c r="I369" s="5" t="n">
        <v>19999</v>
      </c>
      <c r="J369" s="6" t="n">
        <v>15</v>
      </c>
      <c r="K369" s="7">
        <f>IF(I369="","",I369*(1+J369/100))</f>
        <v/>
      </c>
      <c r="L369" s="8" t="inlineStr"/>
      <c r="M369" s="9">
        <f>IF(OR(L369="",K369="",L369=0),"",
  (L369-K369)/L369*100)</f>
        <v/>
      </c>
      <c r="N369" s="10" t="inlineStr"/>
      <c r="O369" s="4" t="inlineStr"/>
      <c r="P369" s="4" t="inlineStr"/>
      <c r="Q369" s="4" t="inlineStr"/>
      <c r="R369" s="4" t="inlineStr">
        <is>
          <t>2026-03-12</t>
        </is>
      </c>
      <c r="S369" s="4" t="inlineStr">
        <is>
          <t>Hirschs 47th Anniversary Sale Feb-Mar 2026</t>
        </is>
      </c>
    </row>
    <row r="370">
      <c r="A370" s="11" t="inlineStr">
        <is>
          <t>M7240</t>
        </is>
      </c>
      <c r="B370" s="11" t="inlineStr"/>
      <c r="C370" s="11" t="inlineStr"/>
      <c r="D370" s="11" t="inlineStr"/>
      <c r="E370" s="11" t="inlineStr">
        <is>
          <t>Miele M7240 Built-in microwave oven</t>
        </is>
      </c>
      <c r="F370" s="11" t="inlineStr">
        <is>
          <t>Miele</t>
        </is>
      </c>
      <c r="G370" s="11" t="inlineStr"/>
      <c r="H370" s="11" t="inlineStr"/>
      <c r="I370" s="12" t="n">
        <v>17999</v>
      </c>
      <c r="J370" s="6" t="n">
        <v>15</v>
      </c>
      <c r="K370" s="7">
        <f>IF(I370="","",I370*(1+J370/100))</f>
        <v/>
      </c>
      <c r="L370" s="8" t="inlineStr"/>
      <c r="M370" s="9">
        <f>IF(OR(L370="",K370="",L370=0),"",
  (L370-K370)/L370*100)</f>
        <v/>
      </c>
      <c r="N370" s="10" t="inlineStr"/>
      <c r="O370" s="11" t="inlineStr"/>
      <c r="P370" s="11" t="inlineStr"/>
      <c r="Q370" s="11" t="inlineStr"/>
      <c r="R370" s="11" t="inlineStr">
        <is>
          <t>2026-03-12</t>
        </is>
      </c>
      <c r="S370" s="11" t="inlineStr">
        <is>
          <t>Hirschs 47th Anniversary Sale Feb-Mar 2026</t>
        </is>
      </c>
    </row>
    <row r="371">
      <c r="A371" s="3" t="inlineStr">
        <is>
          <t>KFN 4795 AD</t>
        </is>
      </c>
      <c r="B371" s="4" t="inlineStr"/>
      <c r="C371" s="4" t="inlineStr"/>
      <c r="D371" s="4" t="inlineStr"/>
      <c r="E371" s="3" t="inlineStr">
        <is>
          <t>Miele KFN 4795 AD Freestanding fridge-freezer</t>
        </is>
      </c>
      <c r="F371" s="4" t="inlineStr">
        <is>
          <t>Miele</t>
        </is>
      </c>
      <c r="G371" s="4" t="inlineStr"/>
      <c r="H371" s="4" t="inlineStr"/>
      <c r="I371" s="5" t="n">
        <v>27999</v>
      </c>
      <c r="J371" s="6" t="n">
        <v>15</v>
      </c>
      <c r="K371" s="7">
        <f>IF(I371="","",I371*(1+J371/100))</f>
        <v/>
      </c>
      <c r="L371" s="8" t="inlineStr"/>
      <c r="M371" s="9">
        <f>IF(OR(L371="",K371="",L371=0),"",
  (L371-K371)/L371*100)</f>
        <v/>
      </c>
      <c r="N371" s="10" t="inlineStr"/>
      <c r="O371" s="4" t="inlineStr"/>
      <c r="P371" s="4" t="inlineStr"/>
      <c r="Q371" s="4" t="inlineStr"/>
      <c r="R371" s="4" t="inlineStr">
        <is>
          <t>2026-03-12</t>
        </is>
      </c>
      <c r="S371" s="4" t="inlineStr">
        <is>
          <t>Hirschs 47th Anniversary Sale Feb-Mar 2026</t>
        </is>
      </c>
    </row>
    <row r="372">
      <c r="A372" s="11" t="inlineStr">
        <is>
          <t>WOI118HT2SBA</t>
        </is>
      </c>
      <c r="B372" s="11" t="inlineStr"/>
      <c r="C372" s="11" t="inlineStr"/>
      <c r="D372" s="11" t="inlineStr"/>
      <c r="E372" s="11" t="inlineStr">
        <is>
          <t>Whirlpool WOI118HT2SBA</t>
        </is>
      </c>
      <c r="F372" s="11" t="inlineStr">
        <is>
          <t>Whirlpool</t>
        </is>
      </c>
      <c r="G372" s="11" t="inlineStr"/>
      <c r="H372" s="11" t="inlineStr"/>
      <c r="I372" s="12" t="n">
        <v>19999</v>
      </c>
      <c r="J372" s="6" t="n">
        <v>15</v>
      </c>
      <c r="K372" s="7">
        <f>IF(I372="","",I372*(1+J372/100))</f>
        <v/>
      </c>
      <c r="L372" s="8" t="inlineStr"/>
      <c r="M372" s="9">
        <f>IF(OR(L372="",K372="",L372=0),"",
  (L372-K372)/L372*100)</f>
        <v/>
      </c>
      <c r="N372" s="10" t="inlineStr"/>
      <c r="O372" s="11" t="inlineStr"/>
      <c r="P372" s="11" t="inlineStr"/>
      <c r="Q372" s="11" t="inlineStr"/>
      <c r="R372" s="11" t="inlineStr">
        <is>
          <t>2026-03-12</t>
        </is>
      </c>
      <c r="S372" s="11" t="inlineStr">
        <is>
          <t>Hirschs 47th Anniversary Sale Feb-Mar 2026</t>
        </is>
      </c>
    </row>
    <row r="373">
      <c r="A373" s="3" t="inlineStr">
        <is>
          <t>WOI78HT1SBA</t>
        </is>
      </c>
      <c r="B373" s="4" t="inlineStr"/>
      <c r="C373" s="4" t="inlineStr"/>
      <c r="D373" s="4" t="inlineStr"/>
      <c r="E373" s="3" t="inlineStr">
        <is>
          <t>Whirlpool WOI78HT1SBA</t>
        </is>
      </c>
      <c r="F373" s="4" t="inlineStr">
        <is>
          <t>Whirlpool</t>
        </is>
      </c>
      <c r="G373" s="4" t="inlineStr"/>
      <c r="H373" s="4" t="inlineStr"/>
      <c r="I373" s="5" t="n">
        <v>14999</v>
      </c>
      <c r="J373" s="6" t="n">
        <v>15</v>
      </c>
      <c r="K373" s="7">
        <f>IF(I373="","",I373*(1+J373/100))</f>
        <v/>
      </c>
      <c r="L373" s="8" t="inlineStr"/>
      <c r="M373" s="9">
        <f>IF(OR(L373="",K373="",L373=0),"",
  (L373-K373)/L373*100)</f>
        <v/>
      </c>
      <c r="N373" s="10" t="inlineStr"/>
      <c r="O373" s="4" t="inlineStr"/>
      <c r="P373" s="4" t="inlineStr"/>
      <c r="Q373" s="4" t="inlineStr"/>
      <c r="R373" s="4" t="inlineStr">
        <is>
          <t>2026-03-12</t>
        </is>
      </c>
      <c r="S373" s="4" t="inlineStr">
        <is>
          <t>Hirschs 47th Anniversary Sale Feb-Mar 2026</t>
        </is>
      </c>
    </row>
    <row r="374">
      <c r="A374" s="11" t="inlineStr">
        <is>
          <t>WOI558HM1SBA</t>
        </is>
      </c>
      <c r="B374" s="11" t="inlineStr"/>
      <c r="C374" s="11" t="inlineStr"/>
      <c r="D374" s="11" t="inlineStr"/>
      <c r="E374" s="11" t="inlineStr">
        <is>
          <t>Whirlpool WOI558HM1SBA</t>
        </is>
      </c>
      <c r="F374" s="11" t="inlineStr">
        <is>
          <t>Whirlpool</t>
        </is>
      </c>
      <c r="G374" s="11" t="inlineStr"/>
      <c r="H374" s="11" t="inlineStr"/>
      <c r="I374" s="12" t="n">
        <v>13499</v>
      </c>
      <c r="J374" s="6" t="n">
        <v>15</v>
      </c>
      <c r="K374" s="7">
        <f>IF(I374="","",I374*(1+J374/100))</f>
        <v/>
      </c>
      <c r="L374" s="8" t="inlineStr"/>
      <c r="M374" s="9">
        <f>IF(OR(L374="",K374="",L374=0),"",
  (L374-K374)/L374*100)</f>
        <v/>
      </c>
      <c r="N374" s="10" t="inlineStr"/>
      <c r="O374" s="11" t="inlineStr"/>
      <c r="P374" s="11" t="inlineStr"/>
      <c r="Q374" s="11" t="inlineStr"/>
      <c r="R374" s="11" t="inlineStr">
        <is>
          <t>2026-03-12</t>
        </is>
      </c>
      <c r="S374" s="11" t="inlineStr">
        <is>
          <t>Hirschs 47th Anniversary Sale Feb-Mar 2026</t>
        </is>
      </c>
    </row>
    <row r="375">
      <c r="A375" s="3" t="inlineStr">
        <is>
          <t>MWP 339 SB</t>
        </is>
      </c>
      <c r="B375" s="4" t="inlineStr"/>
      <c r="C375" s="4" t="inlineStr"/>
      <c r="D375" s="4" t="inlineStr"/>
      <c r="E375" s="3" t="inlineStr">
        <is>
          <t>Whirlpool MWP 339 SB Microwave</t>
        </is>
      </c>
      <c r="F375" s="4" t="inlineStr">
        <is>
          <t>Whirlpool</t>
        </is>
      </c>
      <c r="G375" s="4" t="inlineStr"/>
      <c r="H375" s="4" t="inlineStr"/>
      <c r="I375" s="5" t="n">
        <v>8999</v>
      </c>
      <c r="J375" s="6" t="n">
        <v>15</v>
      </c>
      <c r="K375" s="7">
        <f>IF(I375="","",I375*(1+J375/100))</f>
        <v/>
      </c>
      <c r="L375" s="8" t="inlineStr"/>
      <c r="M375" s="9">
        <f>IF(OR(L375="",K375="",L375=0),"",
  (L375-K375)/L375*100)</f>
        <v/>
      </c>
      <c r="N375" s="10" t="inlineStr"/>
      <c r="O375" s="4" t="inlineStr"/>
      <c r="P375" s="4" t="inlineStr"/>
      <c r="Q375" s="4" t="inlineStr"/>
      <c r="R375" s="4" t="inlineStr">
        <is>
          <t>2026-03-12</t>
        </is>
      </c>
      <c r="S375" s="4" t="inlineStr">
        <is>
          <t>Hirschs 47th Anniversary Sale Feb-Mar 2026</t>
        </is>
      </c>
    </row>
    <row r="376">
      <c r="A376" s="11" t="inlineStr">
        <is>
          <t>OMK58HU1B</t>
        </is>
      </c>
      <c r="B376" s="11" t="inlineStr"/>
      <c r="C376" s="11" t="inlineStr"/>
      <c r="D376" s="11" t="inlineStr"/>
      <c r="E376" s="11" t="inlineStr">
        <is>
          <t>Whirlpool OMK58HU1B</t>
        </is>
      </c>
      <c r="F376" s="11" t="inlineStr">
        <is>
          <t>Whirlpool</t>
        </is>
      </c>
      <c r="G376" s="11" t="inlineStr"/>
      <c r="H376" s="11" t="inlineStr"/>
      <c r="I376" s="12" t="n">
        <v>8999</v>
      </c>
      <c r="J376" s="6" t="n">
        <v>15</v>
      </c>
      <c r="K376" s="7">
        <f>IF(I376="","",I376*(1+J376/100))</f>
        <v/>
      </c>
      <c r="L376" s="8" t="inlineStr"/>
      <c r="M376" s="9">
        <f>IF(OR(L376="",K376="",L376=0),"",
  (L376-K376)/L376*100)</f>
        <v/>
      </c>
      <c r="N376" s="10" t="inlineStr"/>
      <c r="O376" s="11" t="inlineStr"/>
      <c r="P376" s="11" t="inlineStr"/>
      <c r="Q376" s="11" t="inlineStr"/>
      <c r="R376" s="11" t="inlineStr">
        <is>
          <t>2026-03-12</t>
        </is>
      </c>
      <c r="S376" s="11" t="inlineStr">
        <is>
          <t>Hirschs 47th Anniversary Sale Feb-Mar 2026</t>
        </is>
      </c>
    </row>
    <row r="377">
      <c r="A377" s="3" t="inlineStr">
        <is>
          <t>OMR55HROX</t>
        </is>
      </c>
      <c r="B377" s="4" t="inlineStr"/>
      <c r="C377" s="4" t="inlineStr"/>
      <c r="D377" s="4" t="inlineStr"/>
      <c r="E377" s="3" t="inlineStr">
        <is>
          <t>Whirlpool OMR55HROX</t>
        </is>
      </c>
      <c r="F377" s="4" t="inlineStr">
        <is>
          <t>Whirlpool</t>
        </is>
      </c>
      <c r="G377" s="4" t="inlineStr"/>
      <c r="H377" s="4" t="inlineStr"/>
      <c r="I377" s="5" t="n">
        <v>7499</v>
      </c>
      <c r="J377" s="6" t="n">
        <v>15</v>
      </c>
      <c r="K377" s="7">
        <f>IF(I377="","",I377*(1+J377/100))</f>
        <v/>
      </c>
      <c r="L377" s="8" t="inlineStr"/>
      <c r="M377" s="9">
        <f>IF(OR(L377="",K377="",L377=0),"",
  (L377-K377)/L377*100)</f>
        <v/>
      </c>
      <c r="N377" s="10" t="inlineStr"/>
      <c r="O377" s="4" t="inlineStr"/>
      <c r="P377" s="4" t="inlineStr"/>
      <c r="Q377" s="4" t="inlineStr"/>
      <c r="R377" s="4" t="inlineStr">
        <is>
          <t>2026-03-12</t>
        </is>
      </c>
      <c r="S377" s="4" t="inlineStr">
        <is>
          <t>Hirschs 47th Anniversary Sale Feb-Mar 2026</t>
        </is>
      </c>
    </row>
    <row r="378">
      <c r="A378" s="11" t="inlineStr">
        <is>
          <t>WCW1107HTSB ZA</t>
        </is>
      </c>
      <c r="B378" s="11" t="inlineStr"/>
      <c r="C378" s="11" t="inlineStr"/>
      <c r="D378" s="11" t="inlineStr"/>
      <c r="E378" s="11" t="inlineStr">
        <is>
          <t>Whirlpool WCW1107HTSB ZA</t>
        </is>
      </c>
      <c r="F378" s="11" t="inlineStr">
        <is>
          <t>Whirlpool</t>
        </is>
      </c>
      <c r="G378" s="11" t="inlineStr"/>
      <c r="H378" s="11" t="inlineStr"/>
      <c r="I378" s="12" t="n">
        <v>24999</v>
      </c>
      <c r="J378" s="6" t="n">
        <v>15</v>
      </c>
      <c r="K378" s="7">
        <f>IF(I378="","",I378*(1+J378/100))</f>
        <v/>
      </c>
      <c r="L378" s="8" t="inlineStr"/>
      <c r="M378" s="9">
        <f>IF(OR(L378="",K378="",L378=0),"",
  (L378-K378)/L378*100)</f>
        <v/>
      </c>
      <c r="N378" s="10" t="inlineStr"/>
      <c r="O378" s="11" t="inlineStr"/>
      <c r="P378" s="11" t="inlineStr"/>
      <c r="Q378" s="11" t="inlineStr"/>
      <c r="R378" s="11" t="inlineStr">
        <is>
          <t>2026-03-12</t>
        </is>
      </c>
      <c r="S378" s="11" t="inlineStr">
        <is>
          <t>Hirschs 47th Anniversary Sale Feb-Mar 2026</t>
        </is>
      </c>
    </row>
    <row r="379">
      <c r="A379" s="3" t="inlineStr">
        <is>
          <t>WCW707HTSB ZA</t>
        </is>
      </c>
      <c r="B379" s="4" t="inlineStr"/>
      <c r="C379" s="4" t="inlineStr"/>
      <c r="D379" s="4" t="inlineStr"/>
      <c r="E379" s="3" t="inlineStr">
        <is>
          <t>Whirlpool WCW707HTSB ZA</t>
        </is>
      </c>
      <c r="F379" s="4" t="inlineStr">
        <is>
          <t>Whirlpool</t>
        </is>
      </c>
      <c r="G379" s="4" t="inlineStr"/>
      <c r="H379" s="4" t="inlineStr"/>
      <c r="I379" s="5" t="n">
        <v>19999</v>
      </c>
      <c r="J379" s="6" t="n">
        <v>15</v>
      </c>
      <c r="K379" s="7">
        <f>IF(I379="","",I379*(1+J379/100))</f>
        <v/>
      </c>
      <c r="L379" s="8" t="inlineStr"/>
      <c r="M379" s="9">
        <f>IF(OR(L379="",K379="",L379=0),"",
  (L379-K379)/L379*100)</f>
        <v/>
      </c>
      <c r="N379" s="10" t="inlineStr"/>
      <c r="O379" s="4" t="inlineStr"/>
      <c r="P379" s="4" t="inlineStr"/>
      <c r="Q379" s="4" t="inlineStr"/>
      <c r="R379" s="4" t="inlineStr">
        <is>
          <t>2026-03-12</t>
        </is>
      </c>
      <c r="S379" s="4" t="inlineStr">
        <is>
          <t>Hirschs 47th Anniversary Sale Feb-Mar 2026</t>
        </is>
      </c>
    </row>
    <row r="380">
      <c r="A380" s="11" t="inlineStr">
        <is>
          <t>WMW57DMB ZA</t>
        </is>
      </c>
      <c r="B380" s="11" t="inlineStr"/>
      <c r="C380" s="11" t="inlineStr"/>
      <c r="D380" s="11" t="inlineStr"/>
      <c r="E380" s="11" t="inlineStr">
        <is>
          <t>Whirlpool WMW57DMB ZA</t>
        </is>
      </c>
      <c r="F380" s="11" t="inlineStr">
        <is>
          <t>Whirlpool</t>
        </is>
      </c>
      <c r="G380" s="11" t="inlineStr"/>
      <c r="H380" s="11" t="inlineStr"/>
      <c r="I380" s="12" t="n">
        <v>16999</v>
      </c>
      <c r="J380" s="6" t="n">
        <v>15</v>
      </c>
      <c r="K380" s="7">
        <f>IF(I380="","",I380*(1+J380/100))</f>
        <v/>
      </c>
      <c r="L380" s="8" t="inlineStr"/>
      <c r="M380" s="9">
        <f>IF(OR(L380="",K380="",L380=0),"",
  (L380-K380)/L380*100)</f>
        <v/>
      </c>
      <c r="N380" s="10" t="inlineStr"/>
      <c r="O380" s="11" t="inlineStr"/>
      <c r="P380" s="11" t="inlineStr"/>
      <c r="Q380" s="11" t="inlineStr"/>
      <c r="R380" s="11" t="inlineStr">
        <is>
          <t>2026-03-12</t>
        </is>
      </c>
      <c r="S380" s="11" t="inlineStr">
        <is>
          <t>Hirschs 47th Anniversary Sale Feb-Mar 2026</t>
        </is>
      </c>
    </row>
    <row r="381">
      <c r="A381" s="3" t="inlineStr">
        <is>
          <t>WHC18D021C1</t>
        </is>
      </c>
      <c r="B381" s="4" t="inlineStr"/>
      <c r="C381" s="4" t="inlineStr"/>
      <c r="D381" s="4" t="inlineStr"/>
      <c r="E381" s="3" t="inlineStr">
        <is>
          <t>Whirlpool WHC18D021C1 Fridge</t>
        </is>
      </c>
      <c r="F381" s="4" t="inlineStr">
        <is>
          <t>Whirlpool</t>
        </is>
      </c>
      <c r="G381" s="4" t="inlineStr"/>
      <c r="H381" s="4" t="inlineStr"/>
      <c r="I381" s="5" t="n">
        <v>19999</v>
      </c>
      <c r="J381" s="6" t="n">
        <v>15</v>
      </c>
      <c r="K381" s="7">
        <f>IF(I381="","",I381*(1+J381/100))</f>
        <v/>
      </c>
      <c r="L381" s="8" t="inlineStr"/>
      <c r="M381" s="9">
        <f>IF(OR(L381="",K381="",L381=0),"",
  (L381-K381)/L381*100)</f>
        <v/>
      </c>
      <c r="N381" s="10" t="inlineStr"/>
      <c r="O381" s="4" t="inlineStr"/>
      <c r="P381" s="4" t="inlineStr"/>
      <c r="Q381" s="4" t="inlineStr"/>
      <c r="R381" s="4" t="inlineStr">
        <is>
          <t>2026-03-12</t>
        </is>
      </c>
      <c r="S381" s="4" t="inlineStr">
        <is>
          <t>Hirschs 47th Anniversary Sale Feb-Mar 2026</t>
        </is>
      </c>
    </row>
    <row r="382">
      <c r="A382" s="11" t="inlineStr">
        <is>
          <t>WHSD18F043C1 SAF</t>
        </is>
      </c>
      <c r="B382" s="11" t="inlineStr"/>
      <c r="C382" s="11" t="inlineStr"/>
      <c r="D382" s="11" t="inlineStr"/>
      <c r="E382" s="11" t="inlineStr">
        <is>
          <t>Whirlpool WHSD18F043C1 SAF Fridge</t>
        </is>
      </c>
      <c r="F382" s="11" t="inlineStr">
        <is>
          <t>Whirlpool</t>
        </is>
      </c>
      <c r="G382" s="11" t="inlineStr"/>
      <c r="H382" s="11" t="inlineStr"/>
      <c r="I382" s="12" t="n">
        <v>19999</v>
      </c>
      <c r="J382" s="6" t="n">
        <v>15</v>
      </c>
      <c r="K382" s="7">
        <f>IF(I382="","",I382*(1+J382/100))</f>
        <v/>
      </c>
      <c r="L382" s="8" t="inlineStr"/>
      <c r="M382" s="9">
        <f>IF(OR(L382="",K382="",L382=0),"",
  (L382-K382)/L382*100)</f>
        <v/>
      </c>
      <c r="N382" s="10" t="inlineStr"/>
      <c r="O382" s="11" t="inlineStr"/>
      <c r="P382" s="11" t="inlineStr"/>
      <c r="Q382" s="11" t="inlineStr"/>
      <c r="R382" s="11" t="inlineStr">
        <is>
          <t>2026-03-12</t>
        </is>
      </c>
      <c r="S382" s="11" t="inlineStr">
        <is>
          <t>Hirschs 47th Anniversary Sale Feb-Mar 2026</t>
        </is>
      </c>
    </row>
    <row r="383">
      <c r="A383" s="3" t="inlineStr">
        <is>
          <t>WHSD18A063C1 SAF</t>
        </is>
      </c>
      <c r="B383" s="4" t="inlineStr"/>
      <c r="C383" s="4" t="inlineStr"/>
      <c r="D383" s="4" t="inlineStr"/>
      <c r="E383" s="3" t="inlineStr">
        <is>
          <t>Whirlpool WHSD18A063C1 SAF Fridge</t>
        </is>
      </c>
      <c r="F383" s="4" t="inlineStr">
        <is>
          <t>Whirlpool</t>
        </is>
      </c>
      <c r="G383" s="4" t="inlineStr"/>
      <c r="H383" s="4" t="inlineStr"/>
      <c r="I383" s="5" t="n">
        <v>19999</v>
      </c>
      <c r="J383" s="6" t="n">
        <v>15</v>
      </c>
      <c r="K383" s="7">
        <f>IF(I383="","",I383*(1+J383/100))</f>
        <v/>
      </c>
      <c r="L383" s="8" t="inlineStr"/>
      <c r="M383" s="9">
        <f>IF(OR(L383="",K383="",L383=0),"",
  (L383-K383)/L383*100)</f>
        <v/>
      </c>
      <c r="N383" s="10" t="inlineStr"/>
      <c r="O383" s="4" t="inlineStr"/>
      <c r="P383" s="4" t="inlineStr"/>
      <c r="Q383" s="4" t="inlineStr"/>
      <c r="R383" s="4" t="inlineStr">
        <is>
          <t>2026-03-12</t>
        </is>
      </c>
      <c r="S383" s="4" t="inlineStr">
        <is>
          <t>Hirschs 47th Anniversary Sale Feb-Mar 2026</t>
        </is>
      </c>
    </row>
    <row r="384">
      <c r="A384" s="11" t="inlineStr">
        <is>
          <t>CNE60532DI</t>
        </is>
      </c>
      <c r="B384" s="11" t="inlineStr"/>
      <c r="C384" s="11" t="inlineStr"/>
      <c r="D384" s="11" t="inlineStr"/>
      <c r="E384" s="11" t="inlineStr">
        <is>
          <t>Beko 84cm 530L French Door Fridge Inox</t>
        </is>
      </c>
      <c r="F384" s="11" t="inlineStr">
        <is>
          <t>Beko</t>
        </is>
      </c>
      <c r="G384" s="11" t="inlineStr"/>
      <c r="H384" s="11" t="inlineStr"/>
      <c r="I384" s="12" t="n">
        <v>21999</v>
      </c>
      <c r="J384" s="6" t="n">
        <v>15</v>
      </c>
      <c r="K384" s="7">
        <f>IF(I384="","",I384*(1+J384/100))</f>
        <v/>
      </c>
      <c r="L384" s="8" t="inlineStr"/>
      <c r="M384" s="9">
        <f>IF(OR(L384="",K384="",L384=0),"",
  (L384-K384)/L384*100)</f>
        <v/>
      </c>
      <c r="N384" s="10" t="inlineStr"/>
      <c r="O384" s="11" t="inlineStr"/>
      <c r="P384" s="11" t="inlineStr"/>
      <c r="Q384" s="11" t="inlineStr"/>
      <c r="R384" s="11" t="inlineStr">
        <is>
          <t>2026-03-12</t>
        </is>
      </c>
      <c r="S384" s="11" t="inlineStr">
        <is>
          <t>Hirschs 47th Anniversary Sale Feb-Mar 2026</t>
        </is>
      </c>
    </row>
    <row r="385">
      <c r="A385" s="3" t="inlineStr">
        <is>
          <t>GNO5321</t>
        </is>
      </c>
      <c r="B385" s="4" t="inlineStr"/>
      <c r="C385" s="4" t="inlineStr"/>
      <c r="D385" s="4" t="inlineStr"/>
      <c r="E385" s="3" t="inlineStr">
        <is>
          <t>Beko 90cm 512L Side By Side Dark Inox</t>
        </is>
      </c>
      <c r="F385" s="4" t="inlineStr">
        <is>
          <t>Beko</t>
        </is>
      </c>
      <c r="G385" s="4" t="inlineStr"/>
      <c r="H385" s="4" t="inlineStr"/>
      <c r="I385" s="5" t="n">
        <v>14999</v>
      </c>
      <c r="J385" s="6" t="n">
        <v>15</v>
      </c>
      <c r="K385" s="7">
        <f>IF(I385="","",I385*(1+J385/100))</f>
        <v/>
      </c>
      <c r="L385" s="8" t="inlineStr"/>
      <c r="M385" s="9">
        <f>IF(OR(L385="",K385="",L385=0),"",
  (L385-K385)/L385*100)</f>
        <v/>
      </c>
      <c r="N385" s="10" t="inlineStr"/>
      <c r="O385" s="4" t="inlineStr"/>
      <c r="P385" s="4" t="inlineStr"/>
      <c r="Q385" s="4" t="inlineStr"/>
      <c r="R385" s="4" t="inlineStr">
        <is>
          <t>2026-03-12</t>
        </is>
      </c>
      <c r="S385" s="4" t="inlineStr">
        <is>
          <t>Hirschs 47th Anniversary Sale Feb-Mar 2026</t>
        </is>
      </c>
    </row>
    <row r="386">
      <c r="A386" s="11" t="inlineStr">
        <is>
          <t>B3RCNE364HXB</t>
        </is>
      </c>
      <c r="B386" s="11" t="inlineStr"/>
      <c r="C386" s="11" t="inlineStr"/>
      <c r="D386" s="11" t="inlineStr"/>
      <c r="E386" s="11" t="inlineStr">
        <is>
          <t>Beko 60cm 316L Combi Fridge</t>
        </is>
      </c>
      <c r="F386" s="11" t="inlineStr">
        <is>
          <t>Beko</t>
        </is>
      </c>
      <c r="G386" s="11" t="inlineStr"/>
      <c r="H386" s="11" t="inlineStr"/>
      <c r="I386" s="12" t="n">
        <v>9999</v>
      </c>
      <c r="J386" s="6" t="n">
        <v>15</v>
      </c>
      <c r="K386" s="7">
        <f>IF(I386="","",I386*(1+J386/100))</f>
        <v/>
      </c>
      <c r="L386" s="8" t="inlineStr"/>
      <c r="M386" s="9">
        <f>IF(OR(L386="",K386="",L386=0),"",
  (L386-K386)/L386*100)</f>
        <v/>
      </c>
      <c r="N386" s="10" t="inlineStr"/>
      <c r="O386" s="11" t="inlineStr"/>
      <c r="P386" s="11" t="inlineStr"/>
      <c r="Q386" s="11" t="inlineStr"/>
      <c r="R386" s="11" t="inlineStr">
        <is>
          <t>2026-03-12</t>
        </is>
      </c>
      <c r="S386" s="11" t="inlineStr">
        <is>
          <t>Hirschs 47th Anniversary Sale Feb-Mar 2026</t>
        </is>
      </c>
    </row>
    <row r="387">
      <c r="A387" s="3" t="inlineStr">
        <is>
          <t>BSRMFNE314X</t>
        </is>
      </c>
      <c r="B387" s="4" t="inlineStr"/>
      <c r="C387" s="4" t="inlineStr"/>
      <c r="D387" s="4" t="inlineStr"/>
      <c r="E387" s="3" t="inlineStr">
        <is>
          <t>Beko 60cm 298L Upright Freezer Front Free</t>
        </is>
      </c>
      <c r="F387" s="4" t="inlineStr">
        <is>
          <t>Beko</t>
        </is>
      </c>
      <c r="G387" s="4" t="inlineStr"/>
      <c r="H387" s="4" t="inlineStr"/>
      <c r="I387" s="5" t="n">
        <v>12999</v>
      </c>
      <c r="J387" s="6" t="n">
        <v>15</v>
      </c>
      <c r="K387" s="7">
        <f>IF(I387="","",I387*(1+J387/100))</f>
        <v/>
      </c>
      <c r="L387" s="8" t="inlineStr"/>
      <c r="M387" s="9">
        <f>IF(OR(L387="",K387="",L387=0),"",
  (L387-K387)/L387*100)</f>
        <v/>
      </c>
      <c r="N387" s="10" t="inlineStr"/>
      <c r="O387" s="4" t="inlineStr"/>
      <c r="P387" s="4" t="inlineStr"/>
      <c r="Q387" s="4" t="inlineStr"/>
      <c r="R387" s="4" t="inlineStr">
        <is>
          <t>2026-03-12</t>
        </is>
      </c>
      <c r="S387" s="4" t="inlineStr">
        <is>
          <t>Hirschs 47th Anniversary Sale Feb-Mar 2026</t>
        </is>
      </c>
    </row>
    <row r="388">
      <c r="A388" s="11" t="inlineStr">
        <is>
          <t>BSRMLE444XR</t>
        </is>
      </c>
      <c r="B388" s="11" t="inlineStr"/>
      <c r="C388" s="11" t="inlineStr"/>
      <c r="D388" s="11" t="inlineStr"/>
      <c r="E388" s="11" t="inlineStr">
        <is>
          <t>Beko 60cm 365L Upright Fridge Front Free</t>
        </is>
      </c>
      <c r="F388" s="11" t="inlineStr">
        <is>
          <t>Beko</t>
        </is>
      </c>
      <c r="G388" s="11" t="inlineStr"/>
      <c r="H388" s="11" t="inlineStr"/>
      <c r="I388" s="12" t="n">
        <v>12999</v>
      </c>
      <c r="J388" s="6" t="n">
        <v>15</v>
      </c>
      <c r="K388" s="7">
        <f>IF(I388="","",I388*(1+J388/100))</f>
        <v/>
      </c>
      <c r="L388" s="8" t="inlineStr"/>
      <c r="M388" s="9">
        <f>IF(OR(L388="",K388="",L388=0),"",
  (L388-K388)/L388*100)</f>
        <v/>
      </c>
      <c r="N388" s="10" t="inlineStr"/>
      <c r="O388" s="11" t="inlineStr"/>
      <c r="P388" s="11" t="inlineStr"/>
      <c r="Q388" s="11" t="inlineStr"/>
      <c r="R388" s="11" t="inlineStr">
        <is>
          <t>2026-03-12</t>
        </is>
      </c>
      <c r="S388" s="11" t="inlineStr">
        <is>
          <t>Hirschs 47th Anniversary Sale Feb-Mar 2026</t>
        </is>
      </c>
    </row>
    <row r="389">
      <c r="A389" s="3" t="inlineStr">
        <is>
          <t>BAW206</t>
        </is>
      </c>
      <c r="B389" s="4" t="inlineStr"/>
      <c r="C389" s="4" t="inlineStr"/>
      <c r="D389" s="4" t="inlineStr"/>
      <c r="E389" s="3" t="inlineStr">
        <is>
          <t>Beko 7kg Front Loader Washing Machine</t>
        </is>
      </c>
      <c r="F389" s="4" t="inlineStr">
        <is>
          <t>Beko</t>
        </is>
      </c>
      <c r="G389" s="4" t="inlineStr"/>
      <c r="H389" s="4" t="inlineStr"/>
      <c r="I389" s="5" t="n">
        <v>5999</v>
      </c>
      <c r="J389" s="6" t="n">
        <v>15</v>
      </c>
      <c r="K389" s="7">
        <f>IF(I389="","",I389*(1+J389/100))</f>
        <v/>
      </c>
      <c r="L389" s="8" t="inlineStr"/>
      <c r="M389" s="9">
        <f>IF(OR(L389="",K389="",L389=0),"",
  (L389-K389)/L389*100)</f>
        <v/>
      </c>
      <c r="N389" s="10" t="inlineStr"/>
      <c r="O389" s="4" t="inlineStr"/>
      <c r="P389" s="4" t="inlineStr"/>
      <c r="Q389" s="4" t="inlineStr"/>
      <c r="R389" s="4" t="inlineStr">
        <is>
          <t>2026-03-12</t>
        </is>
      </c>
      <c r="S389" s="4" t="inlineStr">
        <is>
          <t>Hirschs 47th Anniversary Sale Feb-Mar 2026</t>
        </is>
      </c>
    </row>
    <row r="390">
      <c r="A390" s="11" t="inlineStr">
        <is>
          <t>BAW205</t>
        </is>
      </c>
      <c r="B390" s="11" t="inlineStr"/>
      <c r="C390" s="11" t="inlineStr"/>
      <c r="D390" s="11" t="inlineStr"/>
      <c r="E390" s="11" t="inlineStr">
        <is>
          <t>Beko 10kg Front Loader Washing Machine</t>
        </is>
      </c>
      <c r="F390" s="11" t="inlineStr">
        <is>
          <t>Beko</t>
        </is>
      </c>
      <c r="G390" s="11" t="inlineStr"/>
      <c r="H390" s="11" t="inlineStr"/>
      <c r="I390" s="12" t="n">
        <v>8999</v>
      </c>
      <c r="J390" s="6" t="n">
        <v>15</v>
      </c>
      <c r="K390" s="7">
        <f>IF(I390="","",I390*(1+J390/100))</f>
        <v/>
      </c>
      <c r="L390" s="8" t="inlineStr"/>
      <c r="M390" s="9">
        <f>IF(OR(L390="",K390="",L390=0),"",
  (L390-K390)/L390*100)</f>
        <v/>
      </c>
      <c r="N390" s="10" t="inlineStr"/>
      <c r="O390" s="11" t="inlineStr"/>
      <c r="P390" s="11" t="inlineStr"/>
      <c r="Q390" s="11" t="inlineStr"/>
      <c r="R390" s="11" t="inlineStr">
        <is>
          <t>2026-03-12</t>
        </is>
      </c>
      <c r="S390" s="11" t="inlineStr">
        <is>
          <t>Hirschs 47th Anniversary Sale Feb-Mar 2026</t>
        </is>
      </c>
    </row>
    <row r="391">
      <c r="A391" s="3" t="inlineStr">
        <is>
          <t>B3T4113IW</t>
        </is>
      </c>
      <c r="B391" s="4" t="inlineStr"/>
      <c r="C391" s="4" t="inlineStr"/>
      <c r="D391" s="4" t="inlineStr"/>
      <c r="E391" s="3" t="inlineStr">
        <is>
          <t>Beko 9kg Condenser Dryer Twilight Grey</t>
        </is>
      </c>
      <c r="F391" s="4" t="inlineStr">
        <is>
          <t>Beko</t>
        </is>
      </c>
      <c r="G391" s="4" t="inlineStr"/>
      <c r="H391" s="4" t="inlineStr"/>
      <c r="I391" s="5" t="n">
        <v>7999</v>
      </c>
      <c r="J391" s="6" t="n">
        <v>15</v>
      </c>
      <c r="K391" s="7">
        <f>IF(I391="","",I391*(1+J391/100))</f>
        <v/>
      </c>
      <c r="L391" s="8" t="inlineStr"/>
      <c r="M391" s="9">
        <f>IF(OR(L391="",K391="",L391=0),"",
  (L391-K391)/L391*100)</f>
        <v/>
      </c>
      <c r="N391" s="10" t="inlineStr"/>
      <c r="O391" s="4" t="inlineStr"/>
      <c r="P391" s="4" t="inlineStr"/>
      <c r="Q391" s="4" t="inlineStr"/>
      <c r="R391" s="4" t="inlineStr">
        <is>
          <t>2026-03-12</t>
        </is>
      </c>
      <c r="S391" s="4" t="inlineStr">
        <is>
          <t>Hirschs 47th Anniversary Sale Feb-Mar 2026</t>
        </is>
      </c>
    </row>
    <row r="392">
      <c r="A392" s="11" t="inlineStr">
        <is>
          <t>BST44139W</t>
        </is>
      </c>
      <c r="B392" s="11" t="inlineStr"/>
      <c r="C392" s="11" t="inlineStr"/>
      <c r="D392" s="11" t="inlineStr"/>
      <c r="E392" s="11" t="inlineStr">
        <is>
          <t>Beko 10kg Heat Pump Tumble Dryer</t>
        </is>
      </c>
      <c r="F392" s="11" t="inlineStr">
        <is>
          <t>Beko</t>
        </is>
      </c>
      <c r="G392" s="11" t="inlineStr"/>
      <c r="H392" s="11" t="inlineStr"/>
      <c r="I392" s="12" t="n">
        <v>10499</v>
      </c>
      <c r="J392" s="6" t="n">
        <v>15</v>
      </c>
      <c r="K392" s="7">
        <f>IF(I392="","",I392*(1+J392/100))</f>
        <v/>
      </c>
      <c r="L392" s="8" t="inlineStr"/>
      <c r="M392" s="9">
        <f>IF(OR(L392="",K392="",L392=0),"",
  (L392-K392)/L392*100)</f>
        <v/>
      </c>
      <c r="N392" s="10" t="inlineStr"/>
      <c r="O392" s="11" t="inlineStr"/>
      <c r="P392" s="11" t="inlineStr"/>
      <c r="Q392" s="11" t="inlineStr"/>
      <c r="R392" s="11" t="inlineStr">
        <is>
          <t>2026-03-12</t>
        </is>
      </c>
      <c r="S392" s="11" t="inlineStr">
        <is>
          <t>Hirschs 47th Anniversary Sale Feb-Mar 2026</t>
        </is>
      </c>
    </row>
    <row r="393">
      <c r="A393" s="3" t="inlineStr">
        <is>
          <t>BWD200</t>
        </is>
      </c>
      <c r="B393" s="4" t="inlineStr"/>
      <c r="C393" s="4" t="inlineStr"/>
      <c r="D393" s="4" t="inlineStr"/>
      <c r="E393" s="3" t="inlineStr">
        <is>
          <t>Beko 10/6kg Washer Dryer</t>
        </is>
      </c>
      <c r="F393" s="4" t="inlineStr">
        <is>
          <t>Beko</t>
        </is>
      </c>
      <c r="G393" s="4" t="inlineStr"/>
      <c r="H393" s="4" t="inlineStr"/>
      <c r="I393" s="5" t="n">
        <v>9999</v>
      </c>
      <c r="J393" s="6" t="n">
        <v>15</v>
      </c>
      <c r="K393" s="7">
        <f>IF(I393="","",I393*(1+J393/100))</f>
        <v/>
      </c>
      <c r="L393" s="8" t="inlineStr"/>
      <c r="M393" s="9">
        <f>IF(OR(L393="",K393="",L393=0),"",
  (L393-K393)/L393*100)</f>
        <v/>
      </c>
      <c r="N393" s="10" t="inlineStr"/>
      <c r="O393" s="4" t="inlineStr"/>
      <c r="P393" s="4" t="inlineStr"/>
      <c r="Q393" s="4" t="inlineStr"/>
      <c r="R393" s="4" t="inlineStr">
        <is>
          <t>2026-03-12</t>
        </is>
      </c>
      <c r="S393" s="4" t="inlineStr">
        <is>
          <t>Hirschs 47th Anniversary Sale Feb-Mar 2026</t>
        </is>
      </c>
    </row>
    <row r="394">
      <c r="A394" s="11" t="inlineStr">
        <is>
          <t>BOW202</t>
        </is>
      </c>
      <c r="B394" s="11" t="inlineStr"/>
      <c r="C394" s="11" t="inlineStr"/>
      <c r="D394" s="11" t="inlineStr"/>
      <c r="E394" s="11" t="inlineStr">
        <is>
          <t>Beko 13 Place Dishwasher Twilight Grey</t>
        </is>
      </c>
      <c r="F394" s="11" t="inlineStr">
        <is>
          <t>Beko</t>
        </is>
      </c>
      <c r="G394" s="11" t="inlineStr"/>
      <c r="H394" s="11" t="inlineStr"/>
      <c r="I394" s="12" t="n">
        <v>5999</v>
      </c>
      <c r="J394" s="6" t="n">
        <v>15</v>
      </c>
      <c r="K394" s="7">
        <f>IF(I394="","",I394*(1+J394/100))</f>
        <v/>
      </c>
      <c r="L394" s="8" t="inlineStr"/>
      <c r="M394" s="9">
        <f>IF(OR(L394="",K394="",L394=0),"",
  (L394-K394)/L394*100)</f>
        <v/>
      </c>
      <c r="N394" s="10" t="inlineStr"/>
      <c r="O394" s="11" t="inlineStr"/>
      <c r="P394" s="11" t="inlineStr"/>
      <c r="Q394" s="11" t="inlineStr"/>
      <c r="R394" s="11" t="inlineStr">
        <is>
          <t>2026-03-12</t>
        </is>
      </c>
      <c r="S394" s="11" t="inlineStr">
        <is>
          <t>Hirschs 47th Anniversary Sale Feb-Mar 2026</t>
        </is>
      </c>
    </row>
    <row r="395">
      <c r="A395" s="3" t="inlineStr">
        <is>
          <t>BOW203</t>
        </is>
      </c>
      <c r="B395" s="4" t="inlineStr"/>
      <c r="C395" s="4" t="inlineStr"/>
      <c r="D395" s="4" t="inlineStr"/>
      <c r="E395" s="3" t="inlineStr">
        <is>
          <t>Beko 15 Place Dishwasher Inox</t>
        </is>
      </c>
      <c r="F395" s="4" t="inlineStr">
        <is>
          <t>Beko</t>
        </is>
      </c>
      <c r="G395" s="4" t="inlineStr"/>
      <c r="H395" s="4" t="inlineStr"/>
      <c r="I395" s="5" t="n">
        <v>6999</v>
      </c>
      <c r="J395" s="6" t="n">
        <v>15</v>
      </c>
      <c r="K395" s="7">
        <f>IF(I395="","",I395*(1+J395/100))</f>
        <v/>
      </c>
      <c r="L395" s="8" t="inlineStr"/>
      <c r="M395" s="9">
        <f>IF(OR(L395="",K395="",L395=0),"",
  (L395-K395)/L395*100)</f>
        <v/>
      </c>
      <c r="N395" s="10" t="inlineStr"/>
      <c r="O395" s="4" t="inlineStr"/>
      <c r="P395" s="4" t="inlineStr"/>
      <c r="Q395" s="4" t="inlineStr"/>
      <c r="R395" s="4" t="inlineStr">
        <is>
          <t>2026-03-12</t>
        </is>
      </c>
      <c r="S395" s="4" t="inlineStr">
        <is>
          <t>Hirschs 47th Anniversary Sale Feb-Mar 2026</t>
        </is>
      </c>
    </row>
    <row r="396">
      <c r="A396" s="11" t="inlineStr">
        <is>
          <t>BCNA275E4FN</t>
        </is>
      </c>
      <c r="B396" s="11" t="inlineStr"/>
      <c r="C396" s="11" t="inlineStr"/>
      <c r="D396" s="11" t="inlineStr"/>
      <c r="E396" s="11" t="inlineStr">
        <is>
          <t>Beko 54cm Built In Combi Fridge</t>
        </is>
      </c>
      <c r="F396" s="11" t="inlineStr">
        <is>
          <t>Beko</t>
        </is>
      </c>
      <c r="G396" s="11" t="inlineStr"/>
      <c r="H396" s="11" t="inlineStr"/>
      <c r="I396" s="12" t="n">
        <v>14999</v>
      </c>
      <c r="J396" s="6" t="n">
        <v>15</v>
      </c>
      <c r="K396" s="7">
        <f>IF(I396="","",I396*(1+J396/100))</f>
        <v/>
      </c>
      <c r="L396" s="8" t="inlineStr"/>
      <c r="M396" s="9">
        <f>IF(OR(L396="",K396="",L396=0),"",
  (L396-K396)/L396*100)</f>
        <v/>
      </c>
      <c r="N396" s="10" t="inlineStr"/>
      <c r="O396" s="11" t="inlineStr"/>
      <c r="P396" s="11" t="inlineStr"/>
      <c r="Q396" s="11" t="inlineStr"/>
      <c r="R396" s="11" t="inlineStr">
        <is>
          <t>2026-03-12</t>
        </is>
      </c>
      <c r="S396" s="11" t="inlineStr">
        <is>
          <t>Hirschs 47th Anniversary Sale Feb-Mar 2026</t>
        </is>
      </c>
    </row>
    <row r="397">
      <c r="A397" s="3" t="inlineStr">
        <is>
          <t>DIN48Q21</t>
        </is>
      </c>
      <c r="B397" s="4" t="inlineStr"/>
      <c r="C397" s="4" t="inlineStr"/>
      <c r="D397" s="4" t="inlineStr"/>
      <c r="E397" s="3" t="inlineStr">
        <is>
          <t>Beko 14 Place Integrated Dishwasher</t>
        </is>
      </c>
      <c r="F397" s="4" t="inlineStr">
        <is>
          <t>Beko</t>
        </is>
      </c>
      <c r="G397" s="4" t="inlineStr"/>
      <c r="H397" s="4" t="inlineStr"/>
      <c r="I397" s="5" t="n">
        <v>9999</v>
      </c>
      <c r="J397" s="6" t="n">
        <v>15</v>
      </c>
      <c r="K397" s="7">
        <f>IF(I397="","",I397*(1+J397/100))</f>
        <v/>
      </c>
      <c r="L397" s="8" t="inlineStr"/>
      <c r="M397" s="9">
        <f>IF(OR(L397="",K397="",L397=0),"",
  (L397-K397)/L397*100)</f>
        <v/>
      </c>
      <c r="N397" s="10" t="inlineStr"/>
      <c r="O397" s="4" t="inlineStr"/>
      <c r="P397" s="4" t="inlineStr"/>
      <c r="Q397" s="4" t="inlineStr"/>
      <c r="R397" s="4" t="inlineStr">
        <is>
          <t>2026-03-12</t>
        </is>
      </c>
      <c r="S397" s="4" t="inlineStr">
        <is>
          <t>Hirschs 47th Anniversary Sale Feb-Mar 2026</t>
        </is>
      </c>
    </row>
    <row r="398">
      <c r="A398" s="11" t="inlineStr">
        <is>
          <t>CEG 7404 CJ</t>
        </is>
      </c>
      <c r="B398" s="11" t="inlineStr"/>
      <c r="C398" s="11" t="inlineStr"/>
      <c r="D398" s="11" t="inlineStr"/>
      <c r="E398" s="11" t="inlineStr">
        <is>
          <t>Beko Fully Automatic Coffee Machine CafeExperto</t>
        </is>
      </c>
      <c r="F398" s="11" t="inlineStr">
        <is>
          <t>Beko</t>
        </is>
      </c>
      <c r="G398" s="11" t="inlineStr"/>
      <c r="H398" s="11" t="inlineStr"/>
      <c r="I398" s="12" t="n">
        <v>6999</v>
      </c>
      <c r="J398" s="6" t="n">
        <v>15</v>
      </c>
      <c r="K398" s="7">
        <f>IF(I398="","",I398*(1+J398/100))</f>
        <v/>
      </c>
      <c r="L398" s="8" t="inlineStr"/>
      <c r="M398" s="9">
        <f>IF(OR(L398="",K398="",L398=0),"",
  (L398-K398)/L398*100)</f>
        <v/>
      </c>
      <c r="N398" s="10" t="inlineStr"/>
      <c r="O398" s="11" t="inlineStr"/>
      <c r="P398" s="11" t="inlineStr"/>
      <c r="Q398" s="11" t="inlineStr"/>
      <c r="R398" s="11" t="inlineStr">
        <is>
          <t>2026-03-12</t>
        </is>
      </c>
      <c r="S398" s="11" t="inlineStr">
        <is>
          <t>Hirschs 47th Anniversary Sale Feb-Mar 2026</t>
        </is>
      </c>
    </row>
    <row r="399">
      <c r="A399" s="3" t="inlineStr">
        <is>
          <t>BBWMT2290XS</t>
        </is>
      </c>
      <c r="B399" s="4" t="inlineStr"/>
      <c r="C399" s="4" t="inlineStr"/>
      <c r="D399" s="4" t="inlineStr"/>
      <c r="E399" s="3" t="inlineStr">
        <is>
          <t>Beko 90cm Twin Fan Oven Black</t>
        </is>
      </c>
      <c r="F399" s="4" t="inlineStr">
        <is>
          <t>Beko</t>
        </is>
      </c>
      <c r="G399" s="4" t="inlineStr"/>
      <c r="H399" s="4" t="inlineStr"/>
      <c r="I399" s="5" t="n">
        <v>15499</v>
      </c>
      <c r="J399" s="6" t="n">
        <v>15</v>
      </c>
      <c r="K399" s="7">
        <f>IF(I399="","",I399*(1+J399/100))</f>
        <v/>
      </c>
      <c r="L399" s="8" t="inlineStr"/>
      <c r="M399" s="9">
        <f>IF(OR(L399="",K399="",L399=0),"",
  (L399-K399)/L399*100)</f>
        <v/>
      </c>
      <c r="N399" s="10" t="inlineStr"/>
      <c r="O399" s="4" t="inlineStr"/>
      <c r="P399" s="4" t="inlineStr"/>
      <c r="Q399" s="4" t="inlineStr"/>
      <c r="R399" s="4" t="inlineStr">
        <is>
          <t>2026-03-12</t>
        </is>
      </c>
      <c r="S399" s="4" t="inlineStr">
        <is>
          <t>Hirschs 47th Anniversary Sale Feb-Mar 2026</t>
        </is>
      </c>
    </row>
    <row r="400">
      <c r="A400" s="11" t="inlineStr">
        <is>
          <t>NACM90BQ</t>
        </is>
      </c>
      <c r="B400" s="11" t="inlineStr"/>
      <c r="C400" s="11" t="inlineStr"/>
      <c r="D400" s="11" t="inlineStr"/>
      <c r="E400" s="11" t="inlineStr">
        <is>
          <t>Beko 90cm Gas on Glass Hob Black</t>
        </is>
      </c>
      <c r="F400" s="11" t="inlineStr">
        <is>
          <t>Beko</t>
        </is>
      </c>
      <c r="G400" s="11" t="inlineStr"/>
      <c r="H400" s="11" t="inlineStr"/>
      <c r="I400" s="12" t="n">
        <v>7999</v>
      </c>
      <c r="J400" s="6" t="n">
        <v>15</v>
      </c>
      <c r="K400" s="7">
        <f>IF(I400="","",I400*(1+J400/100))</f>
        <v/>
      </c>
      <c r="L400" s="8" t="inlineStr"/>
      <c r="M400" s="9">
        <f>IF(OR(L400="",K400="",L400=0),"",
  (L400-K400)/L400*100)</f>
        <v/>
      </c>
      <c r="N400" s="10" t="inlineStr"/>
      <c r="O400" s="11" t="inlineStr"/>
      <c r="P400" s="11" t="inlineStr"/>
      <c r="Q400" s="11" t="inlineStr"/>
      <c r="R400" s="11" t="inlineStr">
        <is>
          <t>2026-03-12</t>
        </is>
      </c>
      <c r="S400" s="11" t="inlineStr">
        <is>
          <t>Hirschs 47th Anniversary Sale Feb-Mar 2026</t>
        </is>
      </c>
    </row>
    <row r="401">
      <c r="A401" s="3" t="inlineStr">
        <is>
          <t>BCH1900B</t>
        </is>
      </c>
      <c r="B401" s="4" t="inlineStr"/>
      <c r="C401" s="4" t="inlineStr"/>
      <c r="D401" s="4" t="inlineStr"/>
      <c r="E401" s="3" t="inlineStr">
        <is>
          <t>Beko 90cm Inclined Hood Black Glass</t>
        </is>
      </c>
      <c r="F401" s="4" t="inlineStr">
        <is>
          <t>Beko</t>
        </is>
      </c>
      <c r="G401" s="4" t="inlineStr"/>
      <c r="H401" s="4" t="inlineStr"/>
      <c r="I401" s="5" t="n">
        <v>5499</v>
      </c>
      <c r="J401" s="6" t="n">
        <v>15</v>
      </c>
      <c r="K401" s="7">
        <f>IF(I401="","",I401*(1+J401/100))</f>
        <v/>
      </c>
      <c r="L401" s="8" t="inlineStr"/>
      <c r="M401" s="9">
        <f>IF(OR(L401="",K401="",L401=0),"",
  (L401-K401)/L401*100)</f>
        <v/>
      </c>
      <c r="N401" s="10" t="inlineStr"/>
      <c r="O401" s="4" t="inlineStr"/>
      <c r="P401" s="4" t="inlineStr"/>
      <c r="Q401" s="4" t="inlineStr"/>
      <c r="R401" s="4" t="inlineStr">
        <is>
          <t>2026-03-12</t>
        </is>
      </c>
      <c r="S401" s="4" t="inlineStr">
        <is>
          <t>Hirschs 47th Anniversary Sale Feb-Mar 2026</t>
        </is>
      </c>
    </row>
    <row r="402">
      <c r="A402" s="11" t="inlineStr">
        <is>
          <t>BBHS13000XMSE</t>
        </is>
      </c>
      <c r="B402" s="11" t="inlineStr"/>
      <c r="C402" s="11" t="inlineStr"/>
      <c r="D402" s="11" t="inlineStr"/>
      <c r="E402" s="11" t="inlineStr">
        <is>
          <t>Beko 60cm Steam Assisted Oven AER@perfect</t>
        </is>
      </c>
      <c r="F402" s="11" t="inlineStr">
        <is>
          <t>Beko</t>
        </is>
      </c>
      <c r="G402" s="11" t="inlineStr"/>
      <c r="H402" s="11" t="inlineStr"/>
      <c r="I402" s="12" t="n">
        <v>7499</v>
      </c>
      <c r="J402" s="6" t="n">
        <v>15</v>
      </c>
      <c r="K402" s="7">
        <f>IF(I402="","",I402*(1+J402/100))</f>
        <v/>
      </c>
      <c r="L402" s="8" t="inlineStr"/>
      <c r="M402" s="9">
        <f>IF(OR(L402="",K402="",L402=0),"",
  (L402-K402)/L402*100)</f>
        <v/>
      </c>
      <c r="N402" s="10" t="inlineStr"/>
      <c r="O402" s="11" t="inlineStr"/>
      <c r="P402" s="11" t="inlineStr"/>
      <c r="Q402" s="11" t="inlineStr"/>
      <c r="R402" s="11" t="inlineStr">
        <is>
          <t>2026-03-12</t>
        </is>
      </c>
      <c r="S402" s="11" t="inlineStr">
        <is>
          <t>Hirschs 47th Anniversary Sale Feb-Mar 2026</t>
        </is>
      </c>
    </row>
    <row r="403">
      <c r="A403" s="3" t="inlineStr">
        <is>
          <t>NACM131</t>
        </is>
      </c>
      <c r="B403" s="4" t="inlineStr"/>
      <c r="C403" s="4" t="inlineStr"/>
      <c r="D403" s="4" t="inlineStr"/>
      <c r="E403" s="3" t="inlineStr">
        <is>
          <t>Beko 65cm Gas on Glass Black Hob</t>
        </is>
      </c>
      <c r="F403" s="4" t="inlineStr">
        <is>
          <t>Beko</t>
        </is>
      </c>
      <c r="G403" s="4" t="inlineStr"/>
      <c r="H403" s="4" t="inlineStr"/>
      <c r="I403" s="5" t="n">
        <v>4999</v>
      </c>
      <c r="J403" s="6" t="n">
        <v>15</v>
      </c>
      <c r="K403" s="7">
        <f>IF(I403="","",I403*(1+J403/100))</f>
        <v/>
      </c>
      <c r="L403" s="8" t="inlineStr"/>
      <c r="M403" s="9">
        <f>IF(OR(L403="",K403="",L403=0),"",
  (L403-K403)/L403*100)</f>
        <v/>
      </c>
      <c r="N403" s="10" t="inlineStr"/>
      <c r="O403" s="4" t="inlineStr"/>
      <c r="P403" s="4" t="inlineStr"/>
      <c r="Q403" s="4" t="inlineStr"/>
      <c r="R403" s="4" t="inlineStr">
        <is>
          <t>2026-03-12</t>
        </is>
      </c>
      <c r="S403" s="4" t="inlineStr">
        <is>
          <t>Hirschs 47th Anniversary Sale Feb-Mar 2026</t>
        </is>
      </c>
    </row>
    <row r="404">
      <c r="A404" s="11" t="inlineStr">
        <is>
          <t>BHCA24Z2BBH0</t>
        </is>
      </c>
      <c r="B404" s="11" t="inlineStr"/>
      <c r="C404" s="11" t="inlineStr"/>
      <c r="D404" s="11" t="inlineStr"/>
      <c r="E404" s="11" t="inlineStr">
        <is>
          <t>Beko 60cm Black Glass Inclined Hood</t>
        </is>
      </c>
      <c r="F404" s="11" t="inlineStr">
        <is>
          <t>Beko</t>
        </is>
      </c>
      <c r="G404" s="11" t="inlineStr"/>
      <c r="H404" s="11" t="inlineStr"/>
      <c r="I404" s="12" t="n">
        <v>3499</v>
      </c>
      <c r="J404" s="6" t="n">
        <v>15</v>
      </c>
      <c r="K404" s="7">
        <f>IF(I404="","",I404*(1+J404/100))</f>
        <v/>
      </c>
      <c r="L404" s="8" t="inlineStr"/>
      <c r="M404" s="9">
        <f>IF(OR(L404="",K404="",L404=0),"",
  (L404-K404)/L404*100)</f>
        <v/>
      </c>
      <c r="N404" s="10" t="inlineStr"/>
      <c r="O404" s="11" t="inlineStr"/>
      <c r="P404" s="11" t="inlineStr"/>
      <c r="Q404" s="11" t="inlineStr"/>
      <c r="R404" s="11" t="inlineStr">
        <is>
          <t>2026-03-12</t>
        </is>
      </c>
      <c r="S404" s="11" t="inlineStr">
        <is>
          <t>Hirschs 47th Anniversary Sale Feb-Mar 2026</t>
        </is>
      </c>
    </row>
    <row r="405">
      <c r="A405" s="3" t="inlineStr">
        <is>
          <t>BMCB25433X</t>
        </is>
      </c>
      <c r="B405" s="4" t="inlineStr"/>
      <c r="C405" s="4" t="inlineStr"/>
      <c r="D405" s="4" t="inlineStr"/>
      <c r="E405" s="3" t="inlineStr">
        <is>
          <t>Beko 25L Microwave Oven with Grill Black</t>
        </is>
      </c>
      <c r="F405" s="4" t="inlineStr">
        <is>
          <t>Beko</t>
        </is>
      </c>
      <c r="G405" s="4" t="inlineStr"/>
      <c r="H405" s="4" t="inlineStr"/>
      <c r="I405" s="5" t="n">
        <v>6999</v>
      </c>
      <c r="J405" s="6" t="n">
        <v>15</v>
      </c>
      <c r="K405" s="7">
        <f>IF(I405="","",I405*(1+J405/100))</f>
        <v/>
      </c>
      <c r="L405" s="8" t="inlineStr"/>
      <c r="M405" s="9">
        <f>IF(OR(L405="",K405="",L405=0),"",
  (L405-K405)/L405*100)</f>
        <v/>
      </c>
      <c r="N405" s="10" t="inlineStr"/>
      <c r="O405" s="4" t="inlineStr"/>
      <c r="P405" s="4" t="inlineStr"/>
      <c r="Q405" s="4" t="inlineStr"/>
      <c r="R405" s="4" t="inlineStr">
        <is>
          <t>2026-03-12</t>
        </is>
      </c>
      <c r="S405" s="4" t="inlineStr">
        <is>
          <t>Hirschs 47th Anniversary Sale Feb-Mar 2026</t>
        </is>
      </c>
    </row>
    <row r="406">
      <c r="A406" s="11" t="inlineStr">
        <is>
          <t>BBOF26300X</t>
        </is>
      </c>
      <c r="B406" s="11" t="inlineStr"/>
      <c r="C406" s="11" t="inlineStr"/>
      <c r="D406" s="11" t="inlineStr"/>
      <c r="E406" s="11" t="inlineStr">
        <is>
          <t>Beko 60cm Stainless Steel Multifunction Built-in Oven</t>
        </is>
      </c>
      <c r="F406" s="11" t="inlineStr">
        <is>
          <t>Beko</t>
        </is>
      </c>
      <c r="G406" s="11" t="inlineStr"/>
      <c r="H406" s="11" t="inlineStr"/>
      <c r="I406" s="12" t="n">
        <v>9999</v>
      </c>
      <c r="J406" s="6" t="n">
        <v>15</v>
      </c>
      <c r="K406" s="7">
        <f>IF(I406="","",I406*(1+J406/100))</f>
        <v/>
      </c>
      <c r="L406" s="8" t="inlineStr"/>
      <c r="M406" s="9">
        <f>IF(OR(L406="",K406="",L406=0),"",
  (L406-K406)/L406*100)</f>
        <v/>
      </c>
      <c r="N406" s="10" t="inlineStr"/>
      <c r="O406" s="11" t="inlineStr"/>
      <c r="P406" s="11" t="inlineStr"/>
      <c r="Q406" s="11" t="inlineStr"/>
      <c r="R406" s="11" t="inlineStr">
        <is>
          <t>2026-03-12</t>
        </is>
      </c>
      <c r="S406" s="11" t="inlineStr">
        <is>
          <t>Hirschs 47th Anniversary Sale Feb-Mar 2026</t>
        </is>
      </c>
    </row>
    <row r="407">
      <c r="A407" s="3" t="inlineStr">
        <is>
          <t>HCE64401</t>
        </is>
      </c>
      <c r="B407" s="4" t="inlineStr"/>
      <c r="C407" s="4" t="inlineStr"/>
      <c r="D407" s="4" t="inlineStr"/>
      <c r="E407" s="3" t="inlineStr">
        <is>
          <t>Beko 60cm Vitroceramic Hob Black</t>
        </is>
      </c>
      <c r="F407" s="4" t="inlineStr">
        <is>
          <t>Beko</t>
        </is>
      </c>
      <c r="G407" s="4" t="inlineStr"/>
      <c r="H407" s="4" t="inlineStr"/>
      <c r="I407" s="5" t="n">
        <v>3699</v>
      </c>
      <c r="J407" s="6" t="n">
        <v>15</v>
      </c>
      <c r="K407" s="7">
        <f>IF(I407="","",I407*(1+J407/100))</f>
        <v/>
      </c>
      <c r="L407" s="8" t="inlineStr"/>
      <c r="M407" s="9">
        <f>IF(OR(L407="",K407="",L407=0),"",
  (L407-K407)/L407*100)</f>
        <v/>
      </c>
      <c r="N407" s="10" t="inlineStr"/>
      <c r="O407" s="4" t="inlineStr"/>
      <c r="P407" s="4" t="inlineStr"/>
      <c r="Q407" s="4" t="inlineStr"/>
      <c r="R407" s="4" t="inlineStr">
        <is>
          <t>2026-03-12</t>
        </is>
      </c>
      <c r="S407" s="4" t="inlineStr">
        <is>
          <t>Hirschs 47th Anniversary Sale Feb-Mar 2026</t>
        </is>
      </c>
    </row>
    <row r="408">
      <c r="A408" s="11" t="inlineStr">
        <is>
          <t>HCR61310XH</t>
        </is>
      </c>
      <c r="B408" s="11" t="inlineStr"/>
      <c r="C408" s="11" t="inlineStr"/>
      <c r="D408" s="11" t="inlineStr"/>
      <c r="E408" s="11" t="inlineStr">
        <is>
          <t>Beko 60cm Chimney Hood Inox</t>
        </is>
      </c>
      <c r="F408" s="11" t="inlineStr">
        <is>
          <t>Beko</t>
        </is>
      </c>
      <c r="G408" s="11" t="inlineStr"/>
      <c r="H408" s="11" t="inlineStr"/>
      <c r="I408" s="12" t="n">
        <v>2199</v>
      </c>
      <c r="J408" s="6" t="n">
        <v>15</v>
      </c>
      <c r="K408" s="7">
        <f>IF(I408="","",I408*(1+J408/100))</f>
        <v/>
      </c>
      <c r="L408" s="8" t="inlineStr"/>
      <c r="M408" s="9">
        <f>IF(OR(L408="",K408="",L408=0),"",
  (L408-K408)/L408*100)</f>
        <v/>
      </c>
      <c r="N408" s="10" t="inlineStr"/>
      <c r="O408" s="11" t="inlineStr"/>
      <c r="P408" s="11" t="inlineStr"/>
      <c r="Q408" s="11" t="inlineStr"/>
      <c r="R408" s="11" t="inlineStr">
        <is>
          <t>2026-03-12</t>
        </is>
      </c>
      <c r="S408" s="11" t="inlineStr">
        <is>
          <t>Hirschs 47th Anniversary Sale Feb-Mar 2026</t>
        </is>
      </c>
    </row>
    <row r="409">
      <c r="A409" s="3" t="inlineStr">
        <is>
          <t>FAL-90-SC3E</t>
        </is>
      </c>
      <c r="B409" s="4" t="inlineStr"/>
      <c r="C409" s="4" t="inlineStr"/>
      <c r="D409" s="4" t="inlineStr"/>
      <c r="E409" s="3" t="inlineStr">
        <is>
          <t>Falco 90cm Wall Mount Extractor FAL-90-SC3E</t>
        </is>
      </c>
      <c r="F409" s="4" t="inlineStr">
        <is>
          <t>Falco</t>
        </is>
      </c>
      <c r="G409" s="4" t="inlineStr"/>
      <c r="H409" s="4" t="inlineStr"/>
      <c r="I409" s="5" t="n">
        <v>7999</v>
      </c>
      <c r="J409" s="6" t="n">
        <v>15</v>
      </c>
      <c r="K409" s="7">
        <f>IF(I409="","",I409*(1+J409/100))</f>
        <v/>
      </c>
      <c r="L409" s="8" t="inlineStr"/>
      <c r="M409" s="9">
        <f>IF(OR(L409="",K409="",L409=0),"",
  (L409-K409)/L409*100)</f>
        <v/>
      </c>
      <c r="N409" s="10" t="inlineStr"/>
      <c r="O409" s="4" t="inlineStr"/>
      <c r="P409" s="4" t="inlineStr"/>
      <c r="Q409" s="4" t="inlineStr"/>
      <c r="R409" s="4" t="inlineStr">
        <is>
          <t>2026-03-12</t>
        </is>
      </c>
      <c r="S409" s="4" t="inlineStr">
        <is>
          <t>Hirschs 47th Anniversary Sale Feb-Mar 2026</t>
        </is>
      </c>
    </row>
    <row r="410">
      <c r="A410" s="11" t="inlineStr">
        <is>
          <t>FAL-90-IS90A</t>
        </is>
      </c>
      <c r="B410" s="11" t="inlineStr"/>
      <c r="C410" s="11" t="inlineStr"/>
      <c r="D410" s="11" t="inlineStr"/>
      <c r="E410" s="11" t="inlineStr">
        <is>
          <t>Falco 90cm Island Extractor FAL-90-IS90A</t>
        </is>
      </c>
      <c r="F410" s="11" t="inlineStr">
        <is>
          <t>Falco</t>
        </is>
      </c>
      <c r="G410" s="11" t="inlineStr"/>
      <c r="H410" s="11" t="inlineStr"/>
      <c r="I410" s="12" t="n">
        <v>7999</v>
      </c>
      <c r="J410" s="6" t="n">
        <v>15</v>
      </c>
      <c r="K410" s="7">
        <f>IF(I410="","",I410*(1+J410/100))</f>
        <v/>
      </c>
      <c r="L410" s="8" t="inlineStr"/>
      <c r="M410" s="9">
        <f>IF(OR(L410="",K410="",L410=0),"",
  (L410-K410)/L410*100)</f>
        <v/>
      </c>
      <c r="N410" s="10" t="inlineStr"/>
      <c r="O410" s="11" t="inlineStr"/>
      <c r="P410" s="11" t="inlineStr"/>
      <c r="Q410" s="11" t="inlineStr"/>
      <c r="R410" s="11" t="inlineStr">
        <is>
          <t>2026-03-12</t>
        </is>
      </c>
      <c r="S410" s="11" t="inlineStr">
        <is>
          <t>Hirschs 47th Anniversary Sale Feb-Mar 2026</t>
        </is>
      </c>
    </row>
    <row r="411">
      <c r="A411" s="3" t="inlineStr">
        <is>
          <t>FAL-90-T62ST</t>
        </is>
      </c>
      <c r="B411" s="4" t="inlineStr"/>
      <c r="C411" s="4" t="inlineStr"/>
      <c r="D411" s="4" t="inlineStr"/>
      <c r="E411" s="3" t="inlineStr">
        <is>
          <t>Falco 90cm Semi Integrated Extractor FAL-90-T62ST</t>
        </is>
      </c>
      <c r="F411" s="4" t="inlineStr">
        <is>
          <t>Falco</t>
        </is>
      </c>
      <c r="G411" s="4" t="inlineStr"/>
      <c r="H411" s="4" t="inlineStr"/>
      <c r="I411" s="5" t="n">
        <v>4299</v>
      </c>
      <c r="J411" s="6" t="n">
        <v>15</v>
      </c>
      <c r="K411" s="7">
        <f>IF(I411="","",I411*(1+J411/100))</f>
        <v/>
      </c>
      <c r="L411" s="8" t="inlineStr"/>
      <c r="M411" s="9">
        <f>IF(OR(L411="",K411="",L411=0),"",
  (L411-K411)/L411*100)</f>
        <v/>
      </c>
      <c r="N411" s="10" t="inlineStr"/>
      <c r="O411" s="4" t="inlineStr"/>
      <c r="P411" s="4" t="inlineStr"/>
      <c r="Q411" s="4" t="inlineStr"/>
      <c r="R411" s="4" t="inlineStr">
        <is>
          <t>2026-03-12</t>
        </is>
      </c>
      <c r="S411" s="4" t="inlineStr">
        <is>
          <t>Hirschs 47th Anniversary Sale Feb-Mar 2026</t>
        </is>
      </c>
    </row>
    <row r="412">
      <c r="A412" s="11" t="inlineStr">
        <is>
          <t>FAL-75-BIS</t>
        </is>
      </c>
      <c r="B412" s="11" t="inlineStr"/>
      <c r="C412" s="11" t="inlineStr"/>
      <c r="D412" s="11" t="inlineStr"/>
      <c r="E412" s="11" t="inlineStr">
        <is>
          <t>Falco 75cm Fully Integrated Extractor</t>
        </is>
      </c>
      <c r="F412" s="11" t="inlineStr">
        <is>
          <t>Falco</t>
        </is>
      </c>
      <c r="G412" s="11" t="inlineStr"/>
      <c r="H412" s="11" t="inlineStr"/>
      <c r="I412" s="12" t="n">
        <v>7499</v>
      </c>
      <c r="J412" s="6" t="n">
        <v>15</v>
      </c>
      <c r="K412" s="7">
        <f>IF(I412="","",I412*(1+J412/100))</f>
        <v/>
      </c>
      <c r="L412" s="8" t="inlineStr"/>
      <c r="M412" s="9">
        <f>IF(OR(L412="",K412="",L412=0),"",
  (L412-K412)/L412*100)</f>
        <v/>
      </c>
      <c r="N412" s="10" t="inlineStr"/>
      <c r="O412" s="11" t="inlineStr"/>
      <c r="P412" s="11" t="inlineStr"/>
      <c r="Q412" s="11" t="inlineStr"/>
      <c r="R412" s="11" t="inlineStr">
        <is>
          <t>2026-03-12</t>
        </is>
      </c>
      <c r="S412" s="11" t="inlineStr">
        <is>
          <t>Hirschs 47th Anniversary Sale Feb-Mar 2026</t>
        </is>
      </c>
    </row>
    <row r="413">
      <c r="A413" s="3" t="inlineStr">
        <is>
          <t>FAL-90-BIG-B</t>
        </is>
      </c>
      <c r="B413" s="4" t="inlineStr"/>
      <c r="C413" s="4" t="inlineStr"/>
      <c r="D413" s="4" t="inlineStr"/>
      <c r="E413" s="3" t="inlineStr">
        <is>
          <t>Falco 90cm Fully Integrated Extractor</t>
        </is>
      </c>
      <c r="F413" s="4" t="inlineStr">
        <is>
          <t>Falco</t>
        </is>
      </c>
      <c r="G413" s="4" t="inlineStr"/>
      <c r="H413" s="4" t="inlineStr"/>
      <c r="I413" s="5" t="n">
        <v>9499</v>
      </c>
      <c r="J413" s="6" t="n">
        <v>15</v>
      </c>
      <c r="K413" s="7">
        <f>IF(I413="","",I413*(1+J413/100))</f>
        <v/>
      </c>
      <c r="L413" s="8" t="inlineStr"/>
      <c r="M413" s="9">
        <f>IF(OR(L413="",K413="",L413=0),"",
  (L413-K413)/L413*100)</f>
        <v/>
      </c>
      <c r="N413" s="10" t="inlineStr"/>
      <c r="O413" s="4" t="inlineStr"/>
      <c r="P413" s="4" t="inlineStr"/>
      <c r="Q413" s="4" t="inlineStr"/>
      <c r="R413" s="4" t="inlineStr">
        <is>
          <t>2026-03-12</t>
        </is>
      </c>
      <c r="S413" s="4" t="inlineStr">
        <is>
          <t>Hirschs 47th Anniversary Sale Feb-Mar 2026</t>
        </is>
      </c>
    </row>
    <row r="414">
      <c r="A414" s="11" t="inlineStr">
        <is>
          <t>AR-90-90SS</t>
        </is>
      </c>
      <c r="B414" s="11" t="inlineStr"/>
      <c r="C414" s="11" t="inlineStr"/>
      <c r="D414" s="11" t="inlineStr"/>
      <c r="E414" s="11" t="inlineStr">
        <is>
          <t>Falco 90cm Wall Mount Extractor AR-90-90SS</t>
        </is>
      </c>
      <c r="F414" s="11" t="inlineStr">
        <is>
          <t>Falco</t>
        </is>
      </c>
      <c r="G414" s="11" t="inlineStr"/>
      <c r="H414" s="11" t="inlineStr"/>
      <c r="I414" s="12" t="n">
        <v>1999</v>
      </c>
      <c r="J414" s="6" t="n">
        <v>15</v>
      </c>
      <c r="K414" s="7">
        <f>IF(I414="","",I414*(1+J414/100))</f>
        <v/>
      </c>
      <c r="L414" s="8" t="inlineStr"/>
      <c r="M414" s="9">
        <f>IF(OR(L414="",K414="",L414=0),"",
  (L414-K414)/L414*100)</f>
        <v/>
      </c>
      <c r="N414" s="10" t="inlineStr"/>
      <c r="O414" s="11" t="inlineStr"/>
      <c r="P414" s="11" t="inlineStr"/>
      <c r="Q414" s="11" t="inlineStr"/>
      <c r="R414" s="11" t="inlineStr">
        <is>
          <t>2026-03-12</t>
        </is>
      </c>
      <c r="S414" s="11" t="inlineStr">
        <is>
          <t>Hirschs 47th Anniversary Sale Feb-Mar 2026</t>
        </is>
      </c>
    </row>
    <row r="415">
      <c r="A415" s="3" t="inlineStr">
        <is>
          <t>FAL-90-CIST</t>
        </is>
      </c>
      <c r="B415" s="4" t="inlineStr"/>
      <c r="C415" s="4" t="inlineStr"/>
      <c r="D415" s="4" t="inlineStr"/>
      <c r="E415" s="3" t="inlineStr">
        <is>
          <t>Falco Wall Mount Extractor FAL-90-CIST</t>
        </is>
      </c>
      <c r="F415" s="4" t="inlineStr">
        <is>
          <t>Falco</t>
        </is>
      </c>
      <c r="G415" s="4" t="inlineStr"/>
      <c r="H415" s="4" t="inlineStr"/>
      <c r="I415" s="5" t="n">
        <v>2999</v>
      </c>
      <c r="J415" s="6" t="n">
        <v>15</v>
      </c>
      <c r="K415" s="7">
        <f>IF(I415="","",I415*(1+J415/100))</f>
        <v/>
      </c>
      <c r="L415" s="8" t="inlineStr"/>
      <c r="M415" s="9">
        <f>IF(OR(L415="",K415="",L415=0),"",
  (L415-K415)/L415*100)</f>
        <v/>
      </c>
      <c r="N415" s="10" t="inlineStr"/>
      <c r="O415" s="4" t="inlineStr"/>
      <c r="P415" s="4" t="inlineStr"/>
      <c r="Q415" s="4" t="inlineStr"/>
      <c r="R415" s="4" t="inlineStr">
        <is>
          <t>2026-03-12</t>
        </is>
      </c>
      <c r="S415" s="4" t="inlineStr">
        <is>
          <t>Hirschs 47th Anniversary Sale Feb-Mar 2026</t>
        </is>
      </c>
    </row>
    <row r="416">
      <c r="A416" s="11" t="inlineStr">
        <is>
          <t>FAL-90-CGS</t>
        </is>
      </c>
      <c r="B416" s="11" t="inlineStr"/>
      <c r="C416" s="11" t="inlineStr"/>
      <c r="D416" s="11" t="inlineStr"/>
      <c r="E416" s="11" t="inlineStr">
        <is>
          <t>Falco Wall Mount Extractor FAL-90-CGS</t>
        </is>
      </c>
      <c r="F416" s="11" t="inlineStr">
        <is>
          <t>Falco</t>
        </is>
      </c>
      <c r="G416" s="11" t="inlineStr"/>
      <c r="H416" s="11" t="inlineStr"/>
      <c r="I416" s="12" t="n">
        <v>4399</v>
      </c>
      <c r="J416" s="6" t="n">
        <v>15</v>
      </c>
      <c r="K416" s="7">
        <f>IF(I416="","",I416*(1+J416/100))</f>
        <v/>
      </c>
      <c r="L416" s="8" t="inlineStr"/>
      <c r="M416" s="9">
        <f>IF(OR(L416="",K416="",L416=0),"",
  (L416-K416)/L416*100)</f>
        <v/>
      </c>
      <c r="N416" s="10" t="inlineStr"/>
      <c r="O416" s="11" t="inlineStr"/>
      <c r="P416" s="11" t="inlineStr"/>
      <c r="Q416" s="11" t="inlineStr"/>
      <c r="R416" s="11" t="inlineStr">
        <is>
          <t>2026-03-12</t>
        </is>
      </c>
      <c r="S416" s="11" t="inlineStr">
        <is>
          <t>Hirschs 47th Anniversary Sale Feb-Mar 2026</t>
        </is>
      </c>
    </row>
    <row r="417">
      <c r="A417" s="3" t="inlineStr">
        <is>
          <t>AR-90-303</t>
        </is>
      </c>
      <c r="B417" s="4" t="inlineStr"/>
      <c r="C417" s="4" t="inlineStr"/>
      <c r="D417" s="4" t="inlineStr"/>
      <c r="E417" s="3" t="inlineStr">
        <is>
          <t>Falco Wall Mount Extractor AR-90-303</t>
        </is>
      </c>
      <c r="F417" s="4" t="inlineStr">
        <is>
          <t>Falco</t>
        </is>
      </c>
      <c r="G417" s="4" t="inlineStr"/>
      <c r="H417" s="4" t="inlineStr"/>
      <c r="I417" s="5" t="n">
        <v>4999</v>
      </c>
      <c r="J417" s="6" t="n">
        <v>15</v>
      </c>
      <c r="K417" s="7">
        <f>IF(I417="","",I417*(1+J417/100))</f>
        <v/>
      </c>
      <c r="L417" s="8" t="inlineStr"/>
      <c r="M417" s="9">
        <f>IF(OR(L417="",K417="",L417=0),"",
  (L417-K417)/L417*100)</f>
        <v/>
      </c>
      <c r="N417" s="10" t="inlineStr"/>
      <c r="O417" s="4" t="inlineStr"/>
      <c r="P417" s="4" t="inlineStr"/>
      <c r="Q417" s="4" t="inlineStr"/>
      <c r="R417" s="4" t="inlineStr">
        <is>
          <t>2026-03-12</t>
        </is>
      </c>
      <c r="S417" s="4" t="inlineStr">
        <is>
          <t>Hirschs 47th Anniversary Sale Feb-Mar 2026</t>
        </is>
      </c>
    </row>
    <row r="418">
      <c r="A418" s="11" t="inlineStr">
        <is>
          <t>FAL-90-111</t>
        </is>
      </c>
      <c r="B418" s="11" t="inlineStr"/>
      <c r="C418" s="11" t="inlineStr"/>
      <c r="D418" s="11" t="inlineStr"/>
      <c r="E418" s="11" t="inlineStr">
        <is>
          <t>Falco Wall Mount Extractor FAL-90-111</t>
        </is>
      </c>
      <c r="F418" s="11" t="inlineStr">
        <is>
          <t>Falco</t>
        </is>
      </c>
      <c r="G418" s="11" t="inlineStr"/>
      <c r="H418" s="11" t="inlineStr"/>
      <c r="I418" s="12" t="n">
        <v>8999</v>
      </c>
      <c r="J418" s="6" t="n">
        <v>15</v>
      </c>
      <c r="K418" s="7">
        <f>IF(I418="","",I418*(1+J418/100))</f>
        <v/>
      </c>
      <c r="L418" s="8" t="inlineStr"/>
      <c r="M418" s="9">
        <f>IF(OR(L418="",K418="",L418=0),"",
  (L418-K418)/L418*100)</f>
        <v/>
      </c>
      <c r="N418" s="10" t="inlineStr"/>
      <c r="O418" s="11" t="inlineStr"/>
      <c r="P418" s="11" t="inlineStr"/>
      <c r="Q418" s="11" t="inlineStr"/>
      <c r="R418" s="11" t="inlineStr">
        <is>
          <t>2026-03-12</t>
        </is>
      </c>
      <c r="S418" s="11" t="inlineStr">
        <is>
          <t>Hirschs 47th Anniversary Sale Feb-Mar 2026</t>
        </is>
      </c>
    </row>
    <row r="419">
      <c r="A419" s="3" t="inlineStr">
        <is>
          <t>FAL-90-30BG</t>
        </is>
      </c>
      <c r="B419" s="4" t="inlineStr"/>
      <c r="C419" s="4" t="inlineStr"/>
      <c r="D419" s="4" t="inlineStr"/>
      <c r="E419" s="3" t="inlineStr">
        <is>
          <t>Falco Wall Mount Extractor FAL-90-30BG</t>
        </is>
      </c>
      <c r="F419" s="4" t="inlineStr">
        <is>
          <t>Falco</t>
        </is>
      </c>
      <c r="G419" s="4" t="inlineStr"/>
      <c r="H419" s="4" t="inlineStr"/>
      <c r="I419" s="5" t="n">
        <v>9499</v>
      </c>
      <c r="J419" s="6" t="n">
        <v>15</v>
      </c>
      <c r="K419" s="7">
        <f>IF(I419="","",I419*(1+J419/100))</f>
        <v/>
      </c>
      <c r="L419" s="8" t="inlineStr"/>
      <c r="M419" s="9">
        <f>IF(OR(L419="",K419="",L419=0),"",
  (L419-K419)/L419*100)</f>
        <v/>
      </c>
      <c r="N419" s="10" t="inlineStr"/>
      <c r="O419" s="4" t="inlineStr"/>
      <c r="P419" s="4" t="inlineStr"/>
      <c r="Q419" s="4" t="inlineStr"/>
      <c r="R419" s="4" t="inlineStr">
        <is>
          <t>2026-03-12</t>
        </is>
      </c>
      <c r="S419" s="4" t="inlineStr">
        <is>
          <t>Hirschs 47th Anniversary Sale Feb-Mar 2026</t>
        </is>
      </c>
    </row>
    <row r="420">
      <c r="A420" s="11" t="inlineStr">
        <is>
          <t>FAL-90-503D</t>
        </is>
      </c>
      <c r="B420" s="11" t="inlineStr"/>
      <c r="C420" s="11" t="inlineStr"/>
      <c r="D420" s="11" t="inlineStr"/>
      <c r="E420" s="11" t="inlineStr">
        <is>
          <t>Falco Wall Mount Extractor FAL-90-503D</t>
        </is>
      </c>
      <c r="F420" s="11" t="inlineStr">
        <is>
          <t>Falco</t>
        </is>
      </c>
      <c r="G420" s="11" t="inlineStr"/>
      <c r="H420" s="11" t="inlineStr"/>
      <c r="I420" s="12" t="n">
        <v>9999</v>
      </c>
      <c r="J420" s="6" t="n">
        <v>15</v>
      </c>
      <c r="K420" s="7">
        <f>IF(I420="","",I420*(1+J420/100))</f>
        <v/>
      </c>
      <c r="L420" s="8" t="inlineStr"/>
      <c r="M420" s="9">
        <f>IF(OR(L420="",K420="",L420=0),"",
  (L420-K420)/L420*100)</f>
        <v/>
      </c>
      <c r="N420" s="10" t="inlineStr"/>
      <c r="O420" s="11" t="inlineStr"/>
      <c r="P420" s="11" t="inlineStr"/>
      <c r="Q420" s="11" t="inlineStr"/>
      <c r="R420" s="11" t="inlineStr">
        <is>
          <t>2026-03-12</t>
        </is>
      </c>
      <c r="S420" s="11" t="inlineStr">
        <is>
          <t>Hirschs 47th Anniversary Sale Feb-Mar 2026</t>
        </is>
      </c>
    </row>
    <row r="421">
      <c r="A421" s="3" t="inlineStr">
        <is>
          <t>FAL-90-F09</t>
        </is>
      </c>
      <c r="B421" s="4" t="inlineStr"/>
      <c r="C421" s="4" t="inlineStr"/>
      <c r="D421" s="4" t="inlineStr"/>
      <c r="E421" s="3" t="inlineStr">
        <is>
          <t>Falco Wall Mount Extractor FAL-90-F09</t>
        </is>
      </c>
      <c r="F421" s="4" t="inlineStr">
        <is>
          <t>Falco</t>
        </is>
      </c>
      <c r="G421" s="4" t="inlineStr"/>
      <c r="H421" s="4" t="inlineStr"/>
      <c r="I421" s="5" t="n">
        <v>7599</v>
      </c>
      <c r="J421" s="6" t="n">
        <v>15</v>
      </c>
      <c r="K421" s="7">
        <f>IF(I421="","",I421*(1+J421/100))</f>
        <v/>
      </c>
      <c r="L421" s="8" t="inlineStr"/>
      <c r="M421" s="9">
        <f>IF(OR(L421="",K421="",L421=0),"",
  (L421-K421)/L421*100)</f>
        <v/>
      </c>
      <c r="N421" s="10" t="inlineStr"/>
      <c r="O421" s="4" t="inlineStr"/>
      <c r="P421" s="4" t="inlineStr"/>
      <c r="Q421" s="4" t="inlineStr"/>
      <c r="R421" s="4" t="inlineStr">
        <is>
          <t>2026-03-12</t>
        </is>
      </c>
      <c r="S421" s="4" t="inlineStr">
        <is>
          <t>Hirschs 47th Anniversary Sale Feb-Mar 2026</t>
        </is>
      </c>
    </row>
    <row r="422">
      <c r="A422" s="11" t="inlineStr">
        <is>
          <t>FAL-25E4R</t>
        </is>
      </c>
      <c r="B422" s="11" t="inlineStr"/>
      <c r="C422" s="11" t="inlineStr"/>
      <c r="D422" s="11" t="inlineStr"/>
      <c r="E422" s="11" t="inlineStr">
        <is>
          <t>Falco 21L Commercial Microwave FAL-25E4R</t>
        </is>
      </c>
      <c r="F422" s="11" t="inlineStr">
        <is>
          <t>Falco</t>
        </is>
      </c>
      <c r="G422" s="11" t="inlineStr"/>
      <c r="H422" s="11" t="inlineStr"/>
      <c r="I422" s="12" t="n">
        <v>5999</v>
      </c>
      <c r="J422" s="6" t="n">
        <v>15</v>
      </c>
      <c r="K422" s="7">
        <f>IF(I422="","",I422*(1+J422/100))</f>
        <v/>
      </c>
      <c r="L422" s="8" t="inlineStr"/>
      <c r="M422" s="9">
        <f>IF(OR(L422="",K422="",L422=0),"",
  (L422-K422)/L422*100)</f>
        <v/>
      </c>
      <c r="N422" s="10" t="inlineStr"/>
      <c r="O422" s="11" t="inlineStr"/>
      <c r="P422" s="11" t="inlineStr"/>
      <c r="Q422" s="11" t="inlineStr"/>
      <c r="R422" s="11" t="inlineStr">
        <is>
          <t>2026-03-12</t>
        </is>
      </c>
      <c r="S422" s="11" t="inlineStr">
        <is>
          <t>Hirschs 47th Anniversary Sale Feb-Mar 2026</t>
        </is>
      </c>
    </row>
    <row r="423">
      <c r="A423" s="3" t="inlineStr">
        <is>
          <t>FAL-100-38WH</t>
        </is>
      </c>
      <c r="B423" s="4" t="inlineStr"/>
      <c r="C423" s="4" t="inlineStr"/>
      <c r="D423" s="4" t="inlineStr"/>
      <c r="E423" s="3" t="inlineStr">
        <is>
          <t>Falco 100cm Ceiling Extractor FAL-100-38WH</t>
        </is>
      </c>
      <c r="F423" s="4" t="inlineStr">
        <is>
          <t>Falco</t>
        </is>
      </c>
      <c r="G423" s="4" t="inlineStr"/>
      <c r="H423" s="4" t="inlineStr"/>
      <c r="I423" s="5" t="n">
        <v>15999</v>
      </c>
      <c r="J423" s="6" t="n">
        <v>15</v>
      </c>
      <c r="K423" s="7">
        <f>IF(I423="","",I423*(1+J423/100))</f>
        <v/>
      </c>
      <c r="L423" s="8" t="inlineStr"/>
      <c r="M423" s="9">
        <f>IF(OR(L423="",K423="",L423=0),"",
  (L423-K423)/L423*100)</f>
        <v/>
      </c>
      <c r="N423" s="10" t="inlineStr"/>
      <c r="O423" s="4" t="inlineStr"/>
      <c r="P423" s="4" t="inlineStr"/>
      <c r="Q423" s="4" t="inlineStr"/>
      <c r="R423" s="4" t="inlineStr">
        <is>
          <t>2026-03-12</t>
        </is>
      </c>
      <c r="S423" s="4" t="inlineStr">
        <is>
          <t>Hirschs 47th Anniversary Sale Feb-Mar 2026</t>
        </is>
      </c>
    </row>
    <row r="424">
      <c r="A424" s="11" t="inlineStr">
        <is>
          <t>FAL-90-DDG</t>
        </is>
      </c>
      <c r="B424" s="11" t="inlineStr"/>
      <c r="C424" s="11" t="inlineStr"/>
      <c r="D424" s="11" t="inlineStr"/>
      <c r="E424" s="11" t="inlineStr">
        <is>
          <t>Falco 90cm Down Draft Extractor FAL-90-DDG</t>
        </is>
      </c>
      <c r="F424" s="11" t="inlineStr">
        <is>
          <t>Falco</t>
        </is>
      </c>
      <c r="G424" s="11" t="inlineStr"/>
      <c r="H424" s="11" t="inlineStr"/>
      <c r="I424" s="12" t="n">
        <v>18999</v>
      </c>
      <c r="J424" s="6" t="n">
        <v>15</v>
      </c>
      <c r="K424" s="7">
        <f>IF(I424="","",I424*(1+J424/100))</f>
        <v/>
      </c>
      <c r="L424" s="8" t="inlineStr"/>
      <c r="M424" s="9">
        <f>IF(OR(L424="",K424="",L424=0),"",
  (L424-K424)/L424*100)</f>
        <v/>
      </c>
      <c r="N424" s="10" t="inlineStr"/>
      <c r="O424" s="11" t="inlineStr"/>
      <c r="P424" s="11" t="inlineStr"/>
      <c r="Q424" s="11" t="inlineStr"/>
      <c r="R424" s="11" t="inlineStr">
        <is>
          <t>2026-03-12</t>
        </is>
      </c>
      <c r="S424" s="11" t="inlineStr">
        <is>
          <t>Hirschs 47th Anniversary Sale Feb-Mar 2026</t>
        </is>
      </c>
    </row>
    <row r="425">
      <c r="A425" s="3" t="inlineStr">
        <is>
          <t>FAL-90-DDG-BG</t>
        </is>
      </c>
      <c r="B425" s="4" t="inlineStr"/>
      <c r="C425" s="4" t="inlineStr"/>
      <c r="D425" s="4" t="inlineStr"/>
      <c r="E425" s="3" t="inlineStr">
        <is>
          <t>Falco 90cm Down Draft Extractor FAL-90-DDG-BG</t>
        </is>
      </c>
      <c r="F425" s="4" t="inlineStr">
        <is>
          <t>Falco</t>
        </is>
      </c>
      <c r="G425" s="4" t="inlineStr"/>
      <c r="H425" s="4" t="inlineStr"/>
      <c r="I425" s="5" t="n">
        <v>18999</v>
      </c>
      <c r="J425" s="6" t="n">
        <v>15</v>
      </c>
      <c r="K425" s="7">
        <f>IF(I425="","",I425*(1+J425/100))</f>
        <v/>
      </c>
      <c r="L425" s="8" t="inlineStr"/>
      <c r="M425" s="9">
        <f>IF(OR(L425="",K425="",L425=0),"",
  (L425-K425)/L425*100)</f>
        <v/>
      </c>
      <c r="N425" s="10" t="inlineStr"/>
      <c r="O425" s="4" t="inlineStr"/>
      <c r="P425" s="4" t="inlineStr"/>
      <c r="Q425" s="4" t="inlineStr"/>
      <c r="R425" s="4" t="inlineStr">
        <is>
          <t>2026-03-12</t>
        </is>
      </c>
      <c r="S425" s="4" t="inlineStr">
        <is>
          <t>Hirschs 47th Anniversary Sale Feb-Mar 2026</t>
        </is>
      </c>
    </row>
    <row r="426">
      <c r="A426" s="11" t="inlineStr">
        <is>
          <t>87845</t>
        </is>
      </c>
      <c r="B426" s="11" t="inlineStr"/>
      <c r="C426" s="11" t="inlineStr"/>
      <c r="D426" s="11" t="inlineStr"/>
      <c r="E426" s="11" t="inlineStr">
        <is>
          <t>Dyson Airwrap Co-anda 2x Multi-styler</t>
        </is>
      </c>
      <c r="F426" s="11" t="inlineStr">
        <is>
          <t>Dyson</t>
        </is>
      </c>
      <c r="G426" s="11" t="inlineStr"/>
      <c r="H426" s="11" t="inlineStr"/>
      <c r="I426" s="12" t="n">
        <v>11999</v>
      </c>
      <c r="J426" s="6" t="n">
        <v>15</v>
      </c>
      <c r="K426" s="7">
        <f>IF(I426="","",I426*(1+J426/100))</f>
        <v/>
      </c>
      <c r="L426" s="8" t="inlineStr"/>
      <c r="M426" s="9">
        <f>IF(OR(L426="",K426="",L426=0),"",
  (L426-K426)/L426*100)</f>
        <v/>
      </c>
      <c r="N426" s="10" t="inlineStr"/>
      <c r="O426" s="11" t="inlineStr"/>
      <c r="P426" s="11" t="inlineStr"/>
      <c r="Q426" s="11" t="inlineStr"/>
      <c r="R426" s="11" t="inlineStr">
        <is>
          <t>2026-03-12</t>
        </is>
      </c>
      <c r="S426" s="11" t="inlineStr">
        <is>
          <t>Hirschs 47th Anniversary Sale Feb-Mar 2026</t>
        </is>
      </c>
    </row>
    <row r="427">
      <c r="A427" s="3" t="inlineStr">
        <is>
          <t>87433</t>
        </is>
      </c>
      <c r="B427" s="4" t="inlineStr"/>
      <c r="C427" s="4" t="inlineStr"/>
      <c r="D427" s="4" t="inlineStr"/>
      <c r="E427" s="3" t="inlineStr">
        <is>
          <t>Dyson Airwrap i.d. Multi-Styler</t>
        </is>
      </c>
      <c r="F427" s="4" t="inlineStr">
        <is>
          <t>Dyson</t>
        </is>
      </c>
      <c r="G427" s="4" t="inlineStr"/>
      <c r="H427" s="4" t="inlineStr"/>
      <c r="I427" s="5" t="n">
        <v>11499</v>
      </c>
      <c r="J427" s="6" t="n">
        <v>15</v>
      </c>
      <c r="K427" s="7">
        <f>IF(I427="","",I427*(1+J427/100))</f>
        <v/>
      </c>
      <c r="L427" s="8" t="inlineStr"/>
      <c r="M427" s="9">
        <f>IF(OR(L427="",K427="",L427=0),"",
  (L427-K427)/L427*100)</f>
        <v/>
      </c>
      <c r="N427" s="10" t="inlineStr"/>
      <c r="O427" s="4" t="inlineStr"/>
      <c r="P427" s="4" t="inlineStr"/>
      <c r="Q427" s="4" t="inlineStr"/>
      <c r="R427" s="4" t="inlineStr">
        <is>
          <t>2026-03-12</t>
        </is>
      </c>
      <c r="S427" s="4" t="inlineStr">
        <is>
          <t>Hirschs 47th Anniversary Sale Feb-Mar 2026</t>
        </is>
      </c>
    </row>
    <row r="428">
      <c r="A428" s="11" t="inlineStr">
        <is>
          <t>87532</t>
        </is>
      </c>
      <c r="B428" s="11" t="inlineStr"/>
      <c r="C428" s="11" t="inlineStr"/>
      <c r="D428" s="11" t="inlineStr"/>
      <c r="E428" s="11" t="inlineStr">
        <is>
          <t>Dyson Supersonic Nural Hair Dryer</t>
        </is>
      </c>
      <c r="F428" s="11" t="inlineStr">
        <is>
          <t>Dyson</t>
        </is>
      </c>
      <c r="G428" s="11" t="inlineStr"/>
      <c r="H428" s="11" t="inlineStr"/>
      <c r="I428" s="12" t="n">
        <v>7999</v>
      </c>
      <c r="J428" s="6" t="n">
        <v>15</v>
      </c>
      <c r="K428" s="7">
        <f>IF(I428="","",I428*(1+J428/100))</f>
        <v/>
      </c>
      <c r="L428" s="8" t="inlineStr"/>
      <c r="M428" s="9">
        <f>IF(OR(L428="",K428="",L428=0),"",
  (L428-K428)/L428*100)</f>
        <v/>
      </c>
      <c r="N428" s="10" t="inlineStr"/>
      <c r="O428" s="11" t="inlineStr"/>
      <c r="P428" s="11" t="inlineStr"/>
      <c r="Q428" s="11" t="inlineStr"/>
      <c r="R428" s="11" t="inlineStr">
        <is>
          <t>2026-03-12</t>
        </is>
      </c>
      <c r="S428" s="11" t="inlineStr">
        <is>
          <t>Hirschs 47th Anniversary Sale Feb-Mar 2026</t>
        </is>
      </c>
    </row>
    <row r="429">
      <c r="A429" s="3" t="inlineStr">
        <is>
          <t>87089</t>
        </is>
      </c>
      <c r="B429" s="4" t="inlineStr"/>
      <c r="C429" s="4" t="inlineStr"/>
      <c r="D429" s="4" t="inlineStr"/>
      <c r="E429" s="3" t="inlineStr">
        <is>
          <t>Dyson Airstrait Straightener</t>
        </is>
      </c>
      <c r="F429" s="4" t="inlineStr">
        <is>
          <t>Dyson</t>
        </is>
      </c>
      <c r="G429" s="4" t="inlineStr"/>
      <c r="H429" s="4" t="inlineStr"/>
      <c r="I429" s="5" t="n">
        <v>9999</v>
      </c>
      <c r="J429" s="6" t="n">
        <v>15</v>
      </c>
      <c r="K429" s="7">
        <f>IF(I429="","",I429*(1+J429/100))</f>
        <v/>
      </c>
      <c r="L429" s="8" t="inlineStr"/>
      <c r="M429" s="9">
        <f>IF(OR(L429="",K429="",L429=0),"",
  (L429-K429)/L429*100)</f>
        <v/>
      </c>
      <c r="N429" s="10" t="inlineStr"/>
      <c r="O429" s="4" t="inlineStr"/>
      <c r="P429" s="4" t="inlineStr"/>
      <c r="Q429" s="4" t="inlineStr"/>
      <c r="R429" s="4" t="inlineStr">
        <is>
          <t>2026-03-12</t>
        </is>
      </c>
      <c r="S429" s="4" t="inlineStr">
        <is>
          <t>Hirschs 47th Anniversary Sale Feb-Mar 2026</t>
        </is>
      </c>
    </row>
    <row r="430">
      <c r="A430" s="11" t="inlineStr">
        <is>
          <t>84700</t>
        </is>
      </c>
      <c r="B430" s="11" t="inlineStr"/>
      <c r="C430" s="11" t="inlineStr"/>
      <c r="D430" s="11" t="inlineStr"/>
      <c r="E430" s="11" t="inlineStr">
        <is>
          <t>Dyson Purifier Hot+Cool HP2 De-NOx</t>
        </is>
      </c>
      <c r="F430" s="11" t="inlineStr">
        <is>
          <t>Dyson</t>
        </is>
      </c>
      <c r="G430" s="11" t="inlineStr"/>
      <c r="H430" s="11" t="inlineStr"/>
      <c r="I430" s="12" t="n">
        <v>16499</v>
      </c>
      <c r="J430" s="6" t="n">
        <v>15</v>
      </c>
      <c r="K430" s="7">
        <f>IF(I430="","",I430*(1+J430/100))</f>
        <v/>
      </c>
      <c r="L430" s="8" t="inlineStr"/>
      <c r="M430" s="9">
        <f>IF(OR(L430="",K430="",L430=0),"",
  (L430-K430)/L430*100)</f>
        <v/>
      </c>
      <c r="N430" s="10" t="inlineStr"/>
      <c r="O430" s="11" t="inlineStr"/>
      <c r="P430" s="11" t="inlineStr"/>
      <c r="Q430" s="11" t="inlineStr"/>
      <c r="R430" s="11" t="inlineStr">
        <is>
          <t>2026-03-12</t>
        </is>
      </c>
      <c r="S430" s="11" t="inlineStr">
        <is>
          <t>Hirschs 47th Anniversary Sale Feb-Mar 2026</t>
        </is>
      </c>
    </row>
    <row r="431">
      <c r="A431" s="3" t="inlineStr">
        <is>
          <t>83790</t>
        </is>
      </c>
      <c r="B431" s="4" t="inlineStr"/>
      <c r="C431" s="4" t="inlineStr"/>
      <c r="D431" s="4" t="inlineStr"/>
      <c r="E431" s="3" t="inlineStr">
        <is>
          <t>Dyson Purifier Cool Gen1</t>
        </is>
      </c>
      <c r="F431" s="4" t="inlineStr">
        <is>
          <t>Dyson</t>
        </is>
      </c>
      <c r="G431" s="4" t="inlineStr"/>
      <c r="H431" s="4" t="inlineStr"/>
      <c r="I431" s="5" t="n">
        <v>11499</v>
      </c>
      <c r="J431" s="6" t="n">
        <v>15</v>
      </c>
      <c r="K431" s="7">
        <f>IF(I431="","",I431*(1+J431/100))</f>
        <v/>
      </c>
      <c r="L431" s="8" t="inlineStr"/>
      <c r="M431" s="9">
        <f>IF(OR(L431="",K431="",L431=0),"",
  (L431-K431)/L431*100)</f>
        <v/>
      </c>
      <c r="N431" s="10" t="inlineStr"/>
      <c r="O431" s="4" t="inlineStr"/>
      <c r="P431" s="4" t="inlineStr"/>
      <c r="Q431" s="4" t="inlineStr"/>
      <c r="R431" s="4" t="inlineStr">
        <is>
          <t>2026-03-12</t>
        </is>
      </c>
      <c r="S431" s="4" t="inlineStr">
        <is>
          <t>Hirschs 47th Anniversary Sale Feb-Mar 2026</t>
        </is>
      </c>
    </row>
    <row r="432">
      <c r="A432" s="11" t="inlineStr">
        <is>
          <t>84480</t>
        </is>
      </c>
      <c r="B432" s="11" t="inlineStr"/>
      <c r="C432" s="11" t="inlineStr"/>
      <c r="D432" s="11" t="inlineStr"/>
      <c r="E432" s="11" t="inlineStr">
        <is>
          <t>Dyson V8 Cordless Vacuum</t>
        </is>
      </c>
      <c r="F432" s="11" t="inlineStr">
        <is>
          <t>Dyson</t>
        </is>
      </c>
      <c r="G432" s="11" t="inlineStr"/>
      <c r="H432" s="11" t="inlineStr"/>
      <c r="I432" s="12" t="n">
        <v>6999</v>
      </c>
      <c r="J432" s="6" t="n">
        <v>15</v>
      </c>
      <c r="K432" s="7">
        <f>IF(I432="","",I432*(1+J432/100))</f>
        <v/>
      </c>
      <c r="L432" s="8" t="inlineStr"/>
      <c r="M432" s="9">
        <f>IF(OR(L432="",K432="",L432=0),"",
  (L432-K432)/L432*100)</f>
        <v/>
      </c>
      <c r="N432" s="10" t="inlineStr"/>
      <c r="O432" s="11" t="inlineStr"/>
      <c r="P432" s="11" t="inlineStr"/>
      <c r="Q432" s="11" t="inlineStr"/>
      <c r="R432" s="11" t="inlineStr">
        <is>
          <t>2026-03-12</t>
        </is>
      </c>
      <c r="S432" s="11" t="inlineStr">
        <is>
          <t>Hirschs 47th Anniversary Sale Feb-Mar 2026</t>
        </is>
      </c>
    </row>
    <row r="433">
      <c r="A433" s="3" t="inlineStr">
        <is>
          <t>82784</t>
        </is>
      </c>
      <c r="B433" s="4" t="inlineStr"/>
      <c r="C433" s="4" t="inlineStr"/>
      <c r="D433" s="4" t="inlineStr"/>
      <c r="E433" s="3" t="inlineStr">
        <is>
          <t>Dyson V15 Detect Absolute Cordless Vacuum</t>
        </is>
      </c>
      <c r="F433" s="4" t="inlineStr">
        <is>
          <t>Dyson</t>
        </is>
      </c>
      <c r="G433" s="4" t="inlineStr"/>
      <c r="H433" s="4" t="inlineStr"/>
      <c r="I433" s="5" t="n">
        <v>12999</v>
      </c>
      <c r="J433" s="6" t="n">
        <v>15</v>
      </c>
      <c r="K433" s="7">
        <f>IF(I433="","",I433*(1+J433/100))</f>
        <v/>
      </c>
      <c r="L433" s="8" t="inlineStr"/>
      <c r="M433" s="9">
        <f>IF(OR(L433="",K433="",L433=0),"",
  (L433-K433)/L433*100)</f>
        <v/>
      </c>
      <c r="N433" s="10" t="inlineStr"/>
      <c r="O433" s="4" t="inlineStr"/>
      <c r="P433" s="4" t="inlineStr"/>
      <c r="Q433" s="4" t="inlineStr"/>
      <c r="R433" s="4" t="inlineStr">
        <is>
          <t>2026-03-12</t>
        </is>
      </c>
      <c r="S433" s="4" t="inlineStr">
        <is>
          <t>Hirschs 47th Anniversary Sale Feb-Mar 2026</t>
        </is>
      </c>
    </row>
    <row r="434">
      <c r="A434" s="11" t="inlineStr">
        <is>
          <t>83830</t>
        </is>
      </c>
      <c r="B434" s="11" t="inlineStr"/>
      <c r="C434" s="11" t="inlineStr"/>
      <c r="D434" s="11" t="inlineStr"/>
      <c r="E434" s="11" t="inlineStr">
        <is>
          <t>Dyson V15s Detect Submarine Cordless Vacuum</t>
        </is>
      </c>
      <c r="F434" s="11" t="inlineStr">
        <is>
          <t>Dyson</t>
        </is>
      </c>
      <c r="G434" s="11" t="inlineStr"/>
      <c r="H434" s="11" t="inlineStr"/>
      <c r="I434" s="12" t="n">
        <v>15499</v>
      </c>
      <c r="J434" s="6" t="n">
        <v>15</v>
      </c>
      <c r="K434" s="7">
        <f>IF(I434="","",I434*(1+J434/100))</f>
        <v/>
      </c>
      <c r="L434" s="8" t="inlineStr"/>
      <c r="M434" s="9">
        <f>IF(OR(L434="",K434="",L434=0),"",
  (L434-K434)/L434*100)</f>
        <v/>
      </c>
      <c r="N434" s="10" t="inlineStr"/>
      <c r="O434" s="11" t="inlineStr"/>
      <c r="P434" s="11" t="inlineStr"/>
      <c r="Q434" s="11" t="inlineStr"/>
      <c r="R434" s="11" t="inlineStr">
        <is>
          <t>2026-03-12</t>
        </is>
      </c>
      <c r="S434" s="11" t="inlineStr">
        <is>
          <t>Hirschs 47th Anniversary Sale Feb-Mar 2026</t>
        </is>
      </c>
    </row>
    <row r="435">
      <c r="A435" s="3" t="inlineStr">
        <is>
          <t>84730</t>
        </is>
      </c>
      <c r="B435" s="4" t="inlineStr"/>
      <c r="C435" s="4" t="inlineStr"/>
      <c r="D435" s="4" t="inlineStr"/>
      <c r="E435" s="3" t="inlineStr">
        <is>
          <t>Dyson WashG1 Wet Cleaner</t>
        </is>
      </c>
      <c r="F435" s="4" t="inlineStr">
        <is>
          <t>Dyson</t>
        </is>
      </c>
      <c r="G435" s="4" t="inlineStr"/>
      <c r="H435" s="4" t="inlineStr"/>
      <c r="I435" s="5" t="n">
        <v>12999</v>
      </c>
      <c r="J435" s="6" t="n">
        <v>15</v>
      </c>
      <c r="K435" s="7">
        <f>IF(I435="","",I435*(1+J435/100))</f>
        <v/>
      </c>
      <c r="L435" s="8" t="inlineStr"/>
      <c r="M435" s="9">
        <f>IF(OR(L435="",K435="",L435=0),"",
  (L435-K435)/L435*100)</f>
        <v/>
      </c>
      <c r="N435" s="10" t="inlineStr"/>
      <c r="O435" s="4" t="inlineStr"/>
      <c r="P435" s="4" t="inlineStr"/>
      <c r="Q435" s="4" t="inlineStr"/>
      <c r="R435" s="4" t="inlineStr">
        <is>
          <t>2026-03-12</t>
        </is>
      </c>
      <c r="S435" s="4" t="inlineStr">
        <is>
          <t>Hirschs 47th Anniversary Sale Feb-Mar 2026</t>
        </is>
      </c>
    </row>
    <row r="436">
      <c r="A436" s="11" t="inlineStr">
        <is>
          <t>EC990.M</t>
        </is>
      </c>
      <c r="B436" s="11" t="inlineStr"/>
      <c r="C436" s="11" t="inlineStr"/>
      <c r="D436" s="11" t="inlineStr"/>
      <c r="E436" s="11" t="inlineStr">
        <is>
          <t>DeLonghi Dedica Duo Full Metal EC990.M</t>
        </is>
      </c>
      <c r="F436" s="11" t="inlineStr">
        <is>
          <t>DeLonghi</t>
        </is>
      </c>
      <c r="G436" s="11" t="inlineStr"/>
      <c r="H436" s="11" t="inlineStr"/>
      <c r="I436" s="12" t="n">
        <v>4999</v>
      </c>
      <c r="J436" s="6" t="n">
        <v>15</v>
      </c>
      <c r="K436" s="7">
        <f>IF(I436="","",I436*(1+J436/100))</f>
        <v/>
      </c>
      <c r="L436" s="8" t="inlineStr"/>
      <c r="M436" s="9">
        <f>IF(OR(L436="",K436="",L436=0),"",
  (L436-K436)/L436*100)</f>
        <v/>
      </c>
      <c r="N436" s="10" t="inlineStr"/>
      <c r="O436" s="11" t="inlineStr"/>
      <c r="P436" s="11" t="inlineStr"/>
      <c r="Q436" s="11" t="inlineStr"/>
      <c r="R436" s="11" t="inlineStr">
        <is>
          <t>2026-03-12</t>
        </is>
      </c>
      <c r="S436" s="11" t="inlineStr">
        <is>
          <t>Hirschs 47th Anniversary Sale Feb-Mar 2026</t>
        </is>
      </c>
    </row>
    <row r="437">
      <c r="A437" s="13" t="inlineStr"/>
      <c r="B437" s="4" t="inlineStr"/>
      <c r="C437" s="4" t="inlineStr"/>
      <c r="D437" s="4" t="inlineStr"/>
      <c r="E437" s="3" t="inlineStr">
        <is>
          <t>DeLonghi Ballerina Sets Breakfast Sets KBD63001/CTD54003</t>
        </is>
      </c>
      <c r="F437" s="4" t="inlineStr">
        <is>
          <t>DeLonghi</t>
        </is>
      </c>
      <c r="G437" s="4" t="inlineStr"/>
      <c r="H437" s="4" t="inlineStr"/>
      <c r="I437" s="5" t="n">
        <v>1999</v>
      </c>
      <c r="J437" s="6" t="n">
        <v>15</v>
      </c>
      <c r="K437" s="7">
        <f>IF(I437="","",I437*(1+J437/100))</f>
        <v/>
      </c>
      <c r="L437" s="8" t="inlineStr"/>
      <c r="M437" s="9">
        <f>IF(OR(L437="",K437="",L437=0),"",
  (L437-K437)/L437*100)</f>
        <v/>
      </c>
      <c r="N437" s="10" t="inlineStr"/>
      <c r="O437" s="4" t="inlineStr"/>
      <c r="P437" s="4" t="inlineStr"/>
      <c r="Q437" s="4" t="inlineStr"/>
      <c r="R437" s="4" t="inlineStr">
        <is>
          <t>2026-03-12</t>
        </is>
      </c>
      <c r="S437" s="4" t="inlineStr">
        <is>
          <t>Hirschs 47th Anniversary Sale Feb-Mar 2026</t>
        </is>
      </c>
    </row>
    <row r="438">
      <c r="A438" s="11" t="inlineStr">
        <is>
          <t>ECAM630.75.TM</t>
        </is>
      </c>
      <c r="B438" s="11" t="inlineStr"/>
      <c r="C438" s="11" t="inlineStr"/>
      <c r="D438" s="11" t="inlineStr"/>
      <c r="E438" s="11" t="inlineStr">
        <is>
          <t>DeLonghi PrimaDonna Aromatic ECAM630.75.TM</t>
        </is>
      </c>
      <c r="F438" s="11" t="inlineStr">
        <is>
          <t>DeLonghi</t>
        </is>
      </c>
      <c r="G438" s="11" t="inlineStr"/>
      <c r="H438" s="11" t="inlineStr"/>
      <c r="I438" s="12" t="n">
        <v>27999</v>
      </c>
      <c r="J438" s="6" t="n">
        <v>15</v>
      </c>
      <c r="K438" s="7">
        <f>IF(I438="","",I438*(1+J438/100))</f>
        <v/>
      </c>
      <c r="L438" s="8" t="inlineStr"/>
      <c r="M438" s="9">
        <f>IF(OR(L438="",K438="",L438=0),"",
  (L438-K438)/L438*100)</f>
        <v/>
      </c>
      <c r="N438" s="10" t="inlineStr"/>
      <c r="O438" s="11" t="inlineStr"/>
      <c r="P438" s="11" t="inlineStr"/>
      <c r="Q438" s="11" t="inlineStr"/>
      <c r="R438" s="11" t="inlineStr">
        <is>
          <t>2026-03-12</t>
        </is>
      </c>
      <c r="S438" s="11" t="inlineStr">
        <is>
          <t>Hirschs 47th Anniversary Sale Feb-Mar 2026</t>
        </is>
      </c>
    </row>
    <row r="439">
      <c r="A439" s="3" t="inlineStr">
        <is>
          <t>ECAM320.61.G</t>
        </is>
      </c>
      <c r="B439" s="4" t="inlineStr"/>
      <c r="C439" s="4" t="inlineStr"/>
      <c r="D439" s="4" t="inlineStr"/>
      <c r="E439" s="3" t="inlineStr">
        <is>
          <t>DeLonghi Magnifica Plus ECAM320.61.G</t>
        </is>
      </c>
      <c r="F439" s="4" t="inlineStr">
        <is>
          <t>DeLonghi</t>
        </is>
      </c>
      <c r="G439" s="4" t="inlineStr"/>
      <c r="H439" s="4" t="inlineStr"/>
      <c r="I439" s="5" t="n">
        <v>14299</v>
      </c>
      <c r="J439" s="6" t="n">
        <v>15</v>
      </c>
      <c r="K439" s="7">
        <f>IF(I439="","",I439*(1+J439/100))</f>
        <v/>
      </c>
      <c r="L439" s="8" t="inlineStr"/>
      <c r="M439" s="9">
        <f>IF(OR(L439="",K439="",L439=0),"",
  (L439-K439)/L439*100)</f>
        <v/>
      </c>
      <c r="N439" s="10" t="inlineStr"/>
      <c r="O439" s="4" t="inlineStr"/>
      <c r="P439" s="4" t="inlineStr"/>
      <c r="Q439" s="4" t="inlineStr"/>
      <c r="R439" s="4" t="inlineStr">
        <is>
          <t>2026-03-12</t>
        </is>
      </c>
      <c r="S439" s="4" t="inlineStr">
        <is>
          <t>Hirschs 47th Anniversary Sale Feb-Mar 2026</t>
        </is>
      </c>
    </row>
    <row r="440">
      <c r="A440" s="11" t="inlineStr">
        <is>
          <t>EC260.BK</t>
        </is>
      </c>
      <c r="B440" s="11" t="inlineStr"/>
      <c r="C440" s="11" t="inlineStr"/>
      <c r="D440" s="11" t="inlineStr"/>
      <c r="E440" s="11" t="inlineStr">
        <is>
          <t>DeLonghi Stilosa Pump Espresso EC260.BK</t>
        </is>
      </c>
      <c r="F440" s="11" t="inlineStr">
        <is>
          <t>DeLonghi</t>
        </is>
      </c>
      <c r="G440" s="11" t="inlineStr"/>
      <c r="H440" s="11" t="inlineStr"/>
      <c r="I440" s="12" t="n">
        <v>2299</v>
      </c>
      <c r="J440" s="6" t="n">
        <v>15</v>
      </c>
      <c r="K440" s="7">
        <f>IF(I440="","",I440*(1+J440/100))</f>
        <v/>
      </c>
      <c r="L440" s="8" t="inlineStr"/>
      <c r="M440" s="9">
        <f>IF(OR(L440="",K440="",L440=0),"",
  (L440-K440)/L440*100)</f>
        <v/>
      </c>
      <c r="N440" s="10" t="inlineStr"/>
      <c r="O440" s="11" t="inlineStr"/>
      <c r="P440" s="11" t="inlineStr"/>
      <c r="Q440" s="11" t="inlineStr"/>
      <c r="R440" s="11" t="inlineStr">
        <is>
          <t>2026-03-12</t>
        </is>
      </c>
      <c r="S440" s="11" t="inlineStr">
        <is>
          <t>Hirschs 47th Anniversary Sale Feb-Mar 2026</t>
        </is>
      </c>
    </row>
    <row r="441">
      <c r="A441" s="3" t="inlineStr">
        <is>
          <t>DLSC326</t>
        </is>
      </c>
      <c r="B441" s="4" t="inlineStr"/>
      <c r="C441" s="4" t="inlineStr"/>
      <c r="D441" s="4" t="inlineStr"/>
      <c r="E441" s="3" t="inlineStr">
        <is>
          <t>DeLonghi Hot &amp; Cold Coffee Glasses Collection DLSC326</t>
        </is>
      </c>
      <c r="F441" s="4" t="inlineStr">
        <is>
          <t>DeLonghi</t>
        </is>
      </c>
      <c r="G441" s="4" t="inlineStr"/>
      <c r="H441" s="4" t="inlineStr"/>
      <c r="I441" s="5" t="n">
        <v>1199</v>
      </c>
      <c r="J441" s="6" t="n">
        <v>15</v>
      </c>
      <c r="K441" s="7">
        <f>IF(I441="","",I441*(1+J441/100))</f>
        <v/>
      </c>
      <c r="L441" s="8" t="inlineStr"/>
      <c r="M441" s="9">
        <f>IF(OR(L441="",K441="",L441=0),"",
  (L441-K441)/L441*100)</f>
        <v/>
      </c>
      <c r="N441" s="10" t="inlineStr"/>
      <c r="O441" s="4" t="inlineStr"/>
      <c r="P441" s="4" t="inlineStr"/>
      <c r="Q441" s="4" t="inlineStr"/>
      <c r="R441" s="4" t="inlineStr">
        <is>
          <t>2026-03-12</t>
        </is>
      </c>
      <c r="S441" s="4" t="inlineStr">
        <is>
          <t>Hirschs 47th Anniversary Sale Feb-Mar 2026</t>
        </is>
      </c>
    </row>
    <row r="442">
      <c r="A442" s="11" t="inlineStr">
        <is>
          <t>DLSC073</t>
        </is>
      </c>
      <c r="B442" s="11" t="inlineStr"/>
      <c r="C442" s="11" t="inlineStr"/>
      <c r="D442" s="11" t="inlineStr"/>
      <c r="E442" s="11" t="inlineStr">
        <is>
          <t>DeLonghi S/Steel Travel Mug 470ml DLSC073</t>
        </is>
      </c>
      <c r="F442" s="11" t="inlineStr">
        <is>
          <t>DeLonghi</t>
        </is>
      </c>
      <c r="G442" s="11" t="inlineStr"/>
      <c r="H442" s="11" t="inlineStr"/>
      <c r="I442" s="12" t="n">
        <v>369</v>
      </c>
      <c r="J442" s="6" t="n">
        <v>15</v>
      </c>
      <c r="K442" s="7">
        <f>IF(I442="","",I442*(1+J442/100))</f>
        <v/>
      </c>
      <c r="L442" s="8" t="inlineStr"/>
      <c r="M442" s="9">
        <f>IF(OR(L442="",K442="",L442=0),"",
  (L442-K442)/L442*100)</f>
        <v/>
      </c>
      <c r="N442" s="10" t="inlineStr"/>
      <c r="O442" s="11" t="inlineStr"/>
      <c r="P442" s="11" t="inlineStr"/>
      <c r="Q442" s="11" t="inlineStr"/>
      <c r="R442" s="11" t="inlineStr">
        <is>
          <t>2026-03-12</t>
        </is>
      </c>
      <c r="S442" s="11" t="inlineStr">
        <is>
          <t>Hirschs 47th Anniversary Sale Feb-Mar 2026</t>
        </is>
      </c>
    </row>
    <row r="443">
      <c r="A443" s="3" t="inlineStr">
        <is>
          <t>DLSC058</t>
        </is>
      </c>
      <c r="B443" s="4" t="inlineStr"/>
      <c r="C443" s="4" t="inlineStr"/>
      <c r="D443" s="4" t="inlineStr"/>
      <c r="E443" s="3" t="inlineStr">
        <is>
          <t>DeLonghi Coffee Tamper DLSC058</t>
        </is>
      </c>
      <c r="F443" s="4" t="inlineStr">
        <is>
          <t>DeLonghi</t>
        </is>
      </c>
      <c r="G443" s="4" t="inlineStr"/>
      <c r="H443" s="4" t="inlineStr"/>
      <c r="I443" s="5" t="n">
        <v>349</v>
      </c>
      <c r="J443" s="6" t="n">
        <v>15</v>
      </c>
      <c r="K443" s="7">
        <f>IF(I443="","",I443*(1+J443/100))</f>
        <v/>
      </c>
      <c r="L443" s="8" t="inlineStr"/>
      <c r="M443" s="9">
        <f>IF(OR(L443="",K443="",L443=0),"",
  (L443-K443)/L443*100)</f>
        <v/>
      </c>
      <c r="N443" s="10" t="inlineStr"/>
      <c r="O443" s="4" t="inlineStr"/>
      <c r="P443" s="4" t="inlineStr"/>
      <c r="Q443" s="4" t="inlineStr"/>
      <c r="R443" s="4" t="inlineStr">
        <is>
          <t>2026-03-12</t>
        </is>
      </c>
      <c r="S443" s="4" t="inlineStr">
        <is>
          <t>Hirschs 47th Anniversary Sale Feb-Mar 2026</t>
        </is>
      </c>
    </row>
    <row r="444">
      <c r="A444" s="11" t="inlineStr">
        <is>
          <t>DLSC084</t>
        </is>
      </c>
      <c r="B444" s="11" t="inlineStr"/>
      <c r="C444" s="11" t="inlineStr"/>
      <c r="D444" s="11" t="inlineStr"/>
      <c r="E444" s="11" t="inlineStr">
        <is>
          <t>DeLonghi Coffee Knock Out Box DLSC084</t>
        </is>
      </c>
      <c r="F444" s="11" t="inlineStr">
        <is>
          <t>DeLonghi</t>
        </is>
      </c>
      <c r="G444" s="11" t="inlineStr"/>
      <c r="H444" s="11" t="inlineStr"/>
      <c r="I444" s="12" t="n">
        <v>329</v>
      </c>
      <c r="J444" s="6" t="n">
        <v>15</v>
      </c>
      <c r="K444" s="7">
        <f>IF(I444="","",I444*(1+J444/100))</f>
        <v/>
      </c>
      <c r="L444" s="8" t="inlineStr"/>
      <c r="M444" s="9">
        <f>IF(OR(L444="",K444="",L444=0),"",
  (L444-K444)/L444*100)</f>
        <v/>
      </c>
      <c r="N444" s="10" t="inlineStr"/>
      <c r="O444" s="11" t="inlineStr"/>
      <c r="P444" s="11" t="inlineStr"/>
      <c r="Q444" s="11" t="inlineStr"/>
      <c r="R444" s="11" t="inlineStr">
        <is>
          <t>2026-03-12</t>
        </is>
      </c>
      <c r="S444" s="11" t="inlineStr">
        <is>
          <t>Hirschs 47th Anniversary Sale Feb-Mar 2026</t>
        </is>
      </c>
    </row>
    <row r="445">
      <c r="A445" s="3" t="inlineStr">
        <is>
          <t>DLSC311</t>
        </is>
      </c>
      <c r="B445" s="4" t="inlineStr"/>
      <c r="C445" s="4" t="inlineStr"/>
      <c r="D445" s="4" t="inlineStr"/>
      <c r="E445" s="3" t="inlineStr">
        <is>
          <t>DeLonghi 2x Cappuccino Glasses 270ml DLSC311</t>
        </is>
      </c>
      <c r="F445" s="4" t="inlineStr">
        <is>
          <t>DeLonghi</t>
        </is>
      </c>
      <c r="G445" s="4" t="inlineStr"/>
      <c r="H445" s="4" t="inlineStr"/>
      <c r="I445" s="5" t="n">
        <v>249</v>
      </c>
      <c r="J445" s="6" t="n">
        <v>15</v>
      </c>
      <c r="K445" s="7">
        <f>IF(I445="","",I445*(1+J445/100))</f>
        <v/>
      </c>
      <c r="L445" s="8" t="inlineStr"/>
      <c r="M445" s="9">
        <f>IF(OR(L445="",K445="",L445=0),"",
  (L445-K445)/L445*100)</f>
        <v/>
      </c>
      <c r="N445" s="10" t="inlineStr"/>
      <c r="O445" s="4" t="inlineStr"/>
      <c r="P445" s="4" t="inlineStr"/>
      <c r="Q445" s="4" t="inlineStr"/>
      <c r="R445" s="4" t="inlineStr">
        <is>
          <t>2026-03-12</t>
        </is>
      </c>
      <c r="S445" s="4" t="inlineStr">
        <is>
          <t>Hirschs 47th Anniversary Sale Feb-Mar 2026</t>
        </is>
      </c>
    </row>
    <row r="446">
      <c r="A446" s="11" t="inlineStr">
        <is>
          <t>DLSC310</t>
        </is>
      </c>
      <c r="B446" s="11" t="inlineStr"/>
      <c r="C446" s="11" t="inlineStr"/>
      <c r="D446" s="11" t="inlineStr"/>
      <c r="E446" s="11" t="inlineStr">
        <is>
          <t>DeLonghi 2x Espresso Glasses 90ml DLSC310</t>
        </is>
      </c>
      <c r="F446" s="11" t="inlineStr">
        <is>
          <t>DeLonghi</t>
        </is>
      </c>
      <c r="G446" s="11" t="inlineStr"/>
      <c r="H446" s="11" t="inlineStr"/>
      <c r="I446" s="12" t="n">
        <v>169</v>
      </c>
      <c r="J446" s="6" t="n">
        <v>15</v>
      </c>
      <c r="K446" s="7">
        <f>IF(I446="","",I446*(1+J446/100))</f>
        <v/>
      </c>
      <c r="L446" s="8" t="inlineStr"/>
      <c r="M446" s="9">
        <f>IF(OR(L446="",K446="",L446=0),"",
  (L446-K446)/L446*100)</f>
        <v/>
      </c>
      <c r="N446" s="10" t="inlineStr"/>
      <c r="O446" s="11" t="inlineStr"/>
      <c r="P446" s="11" t="inlineStr"/>
      <c r="Q446" s="11" t="inlineStr"/>
      <c r="R446" s="11" t="inlineStr">
        <is>
          <t>2026-03-12</t>
        </is>
      </c>
      <c r="S446" s="11" t="inlineStr">
        <is>
          <t>Hirschs 47th Anniversary Sale Feb-Mar 2026</t>
        </is>
      </c>
    </row>
    <row r="447">
      <c r="A447" s="3" t="inlineStr">
        <is>
          <t>KVL85.594SI</t>
        </is>
      </c>
      <c r="B447" s="4" t="inlineStr"/>
      <c r="C447" s="4" t="inlineStr"/>
      <c r="D447" s="4" t="inlineStr"/>
      <c r="E447" s="3" t="inlineStr">
        <is>
          <t>Kenwood Titanium Chef Baker XL KVL85.594SI</t>
        </is>
      </c>
      <c r="F447" s="4" t="inlineStr">
        <is>
          <t>Kenwood</t>
        </is>
      </c>
      <c r="G447" s="4" t="inlineStr"/>
      <c r="H447" s="4" t="inlineStr"/>
      <c r="I447" s="5" t="n">
        <v>10999</v>
      </c>
      <c r="J447" s="6" t="n">
        <v>15</v>
      </c>
      <c r="K447" s="7">
        <f>IF(I447="","",I447*(1+J447/100))</f>
        <v/>
      </c>
      <c r="L447" s="8" t="inlineStr"/>
      <c r="M447" s="9">
        <f>IF(OR(L447="",K447="",L447=0),"",
  (L447-K447)/L447*100)</f>
        <v/>
      </c>
      <c r="N447" s="10" t="inlineStr"/>
      <c r="O447" s="4" t="inlineStr"/>
      <c r="P447" s="4" t="inlineStr"/>
      <c r="Q447" s="4" t="inlineStr"/>
      <c r="R447" s="4" t="inlineStr">
        <is>
          <t>2026-03-12</t>
        </is>
      </c>
      <c r="S447" s="4" t="inlineStr">
        <is>
          <t>Hirschs 47th Anniversary Sale Feb-Mar 2026</t>
        </is>
      </c>
    </row>
    <row r="448">
      <c r="A448" s="11" t="inlineStr">
        <is>
          <t>KVL85.004WH</t>
        </is>
      </c>
      <c r="B448" s="11" t="inlineStr"/>
      <c r="C448" s="11" t="inlineStr"/>
      <c r="D448" s="11" t="inlineStr"/>
      <c r="E448" s="11" t="inlineStr">
        <is>
          <t>Kenwood Titanium Chef Baker XL KVL85.004WH</t>
        </is>
      </c>
      <c r="F448" s="11" t="inlineStr">
        <is>
          <t>Kenwood</t>
        </is>
      </c>
      <c r="G448" s="11" t="inlineStr"/>
      <c r="H448" s="11" t="inlineStr"/>
      <c r="I448" s="12" t="n">
        <v>6499</v>
      </c>
      <c r="J448" s="6" t="n">
        <v>15</v>
      </c>
      <c r="K448" s="7">
        <f>IF(I448="","",I448*(1+J448/100))</f>
        <v/>
      </c>
      <c r="L448" s="8" t="inlineStr"/>
      <c r="M448" s="9">
        <f>IF(OR(L448="",K448="",L448=0),"",
  (L448-K448)/L448*100)</f>
        <v/>
      </c>
      <c r="N448" s="10" t="inlineStr"/>
      <c r="O448" s="11" t="inlineStr"/>
      <c r="P448" s="11" t="inlineStr"/>
      <c r="Q448" s="11" t="inlineStr"/>
      <c r="R448" s="11" t="inlineStr">
        <is>
          <t>2026-03-12</t>
        </is>
      </c>
      <c r="S448" s="11" t="inlineStr">
        <is>
          <t>Hirschs 47th Anniversary Sale Feb-Mar 2026</t>
        </is>
      </c>
    </row>
    <row r="449">
      <c r="A449" s="3" t="inlineStr">
        <is>
          <t>KHH01.820SI</t>
        </is>
      </c>
      <c r="B449" s="4" t="inlineStr"/>
      <c r="C449" s="4" t="inlineStr"/>
      <c r="D449" s="4" t="inlineStr"/>
      <c r="E449" s="3" t="inlineStr">
        <is>
          <t>Kenwood HomeBake with Blender KHH01.820SI</t>
        </is>
      </c>
      <c r="F449" s="4" t="inlineStr">
        <is>
          <t>Kenwood</t>
        </is>
      </c>
      <c r="G449" s="4" t="inlineStr"/>
      <c r="H449" s="4" t="inlineStr"/>
      <c r="I449" s="5" t="n">
        <v>2199</v>
      </c>
      <c r="J449" s="6" t="n">
        <v>15</v>
      </c>
      <c r="K449" s="7">
        <f>IF(I449="","",I449*(1+J449/100))</f>
        <v/>
      </c>
      <c r="L449" s="8" t="inlineStr"/>
      <c r="M449" s="9">
        <f>IF(OR(L449="",K449="",L449=0),"",
  (L449-K449)/L449*100)</f>
        <v/>
      </c>
      <c r="N449" s="10" t="inlineStr"/>
      <c r="O449" s="4" t="inlineStr"/>
      <c r="P449" s="4" t="inlineStr"/>
      <c r="Q449" s="4" t="inlineStr"/>
      <c r="R449" s="4" t="inlineStr">
        <is>
          <t>2026-03-12</t>
        </is>
      </c>
      <c r="S449" s="4" t="inlineStr">
        <is>
          <t>Hirschs 47th Anniversary Sale Feb-Mar 2026</t>
        </is>
      </c>
    </row>
    <row r="450">
      <c r="A450" s="11" t="inlineStr">
        <is>
          <t>MOA26.600SS</t>
        </is>
      </c>
      <c r="B450" s="11" t="inlineStr"/>
      <c r="C450" s="11" t="inlineStr"/>
      <c r="D450" s="11" t="inlineStr"/>
      <c r="E450" s="11" t="inlineStr">
        <is>
          <t>Kenwood 25L Airfryer Oven Stainless Steel MOA26.600SS</t>
        </is>
      </c>
      <c r="F450" s="11" t="inlineStr">
        <is>
          <t>Kenwood</t>
        </is>
      </c>
      <c r="G450" s="11" t="inlineStr"/>
      <c r="H450" s="11" t="inlineStr"/>
      <c r="I450" s="12" t="n">
        <v>2299</v>
      </c>
      <c r="J450" s="6" t="n">
        <v>15</v>
      </c>
      <c r="K450" s="7">
        <f>IF(I450="","",I450*(1+J450/100))</f>
        <v/>
      </c>
      <c r="L450" s="8" t="inlineStr"/>
      <c r="M450" s="9">
        <f>IF(OR(L450="",K450="",L450=0),"",
  (L450-K450)/L450*100)</f>
        <v/>
      </c>
      <c r="N450" s="10" t="inlineStr"/>
      <c r="O450" s="11" t="inlineStr"/>
      <c r="P450" s="11" t="inlineStr"/>
      <c r="Q450" s="11" t="inlineStr"/>
      <c r="R450" s="11" t="inlineStr">
        <is>
          <t>2026-03-12</t>
        </is>
      </c>
      <c r="S450" s="11" t="inlineStr">
        <is>
          <t>Hirschs 47th Anniversary Sale Feb-Mar 2026</t>
        </is>
      </c>
    </row>
    <row r="451">
      <c r="A451" s="3" t="inlineStr">
        <is>
          <t>HF936.009BK</t>
        </is>
      </c>
      <c r="B451" s="4" t="inlineStr"/>
      <c r="C451" s="4" t="inlineStr"/>
      <c r="D451" s="4" t="inlineStr"/>
      <c r="E451" s="3" t="inlineStr">
        <is>
          <t>Kenwood Dual Air Fryer 9L with Windows HF936.009BK</t>
        </is>
      </c>
      <c r="F451" s="4" t="inlineStr">
        <is>
          <t>Kenwood</t>
        </is>
      </c>
      <c r="G451" s="4" t="inlineStr"/>
      <c r="H451" s="4" t="inlineStr"/>
      <c r="I451" s="5" t="n">
        <v>1799</v>
      </c>
      <c r="J451" s="6" t="n">
        <v>15</v>
      </c>
      <c r="K451" s="7">
        <f>IF(I451="","",I451*(1+J451/100))</f>
        <v/>
      </c>
      <c r="L451" s="8" t="inlineStr"/>
      <c r="M451" s="9">
        <f>IF(OR(L451="",K451="",L451=0),"",
  (L451-K451)/L451*100)</f>
        <v/>
      </c>
      <c r="N451" s="10" t="inlineStr"/>
      <c r="O451" s="4" t="inlineStr"/>
      <c r="P451" s="4" t="inlineStr"/>
      <c r="Q451" s="4" t="inlineStr"/>
      <c r="R451" s="4" t="inlineStr">
        <is>
          <t>2026-03-12</t>
        </is>
      </c>
      <c r="S451" s="4" t="inlineStr">
        <is>
          <t>Hirschs 47th Anniversary Sale Feb-Mar 2026</t>
        </is>
      </c>
    </row>
    <row r="452">
      <c r="A452" s="11" t="inlineStr">
        <is>
          <t>HFG92.000BK</t>
        </is>
      </c>
      <c r="B452" s="11" t="inlineStr"/>
      <c r="C452" s="11" t="inlineStr"/>
      <c r="D452" s="11" t="inlineStr"/>
      <c r="E452" s="11" t="inlineStr">
        <is>
          <t>Kenwood 9L Air Fryer with Grill Function &amp; Window HFG92.000BK</t>
        </is>
      </c>
      <c r="F452" s="11" t="inlineStr">
        <is>
          <t>Kenwood</t>
        </is>
      </c>
      <c r="G452" s="11" t="inlineStr"/>
      <c r="H452" s="11" t="inlineStr"/>
      <c r="I452" s="12" t="n">
        <v>1199</v>
      </c>
      <c r="J452" s="6" t="n">
        <v>15</v>
      </c>
      <c r="K452" s="7">
        <f>IF(I452="","",I452*(1+J452/100))</f>
        <v/>
      </c>
      <c r="L452" s="8" t="inlineStr"/>
      <c r="M452" s="9">
        <f>IF(OR(L452="",K452="",L452=0),"",
  (L452-K452)/L452*100)</f>
        <v/>
      </c>
      <c r="N452" s="10" t="inlineStr"/>
      <c r="O452" s="11" t="inlineStr"/>
      <c r="P452" s="11" t="inlineStr"/>
      <c r="Q452" s="11" t="inlineStr"/>
      <c r="R452" s="11" t="inlineStr">
        <is>
          <t>2026-03-12</t>
        </is>
      </c>
      <c r="S452" s="11" t="inlineStr">
        <is>
          <t>Hirschs 47th Anniversary Sale Feb-Mar 2026</t>
        </is>
      </c>
    </row>
    <row r="453">
      <c r="A453" s="3" t="inlineStr">
        <is>
          <t>MQ7048X</t>
        </is>
      </c>
      <c r="B453" s="4" t="inlineStr"/>
      <c r="C453" s="4" t="inlineStr"/>
      <c r="D453" s="4" t="inlineStr"/>
      <c r="E453" s="3" t="inlineStr">
        <is>
          <t>Braun MultiQuick 7 MQ7048X</t>
        </is>
      </c>
      <c r="F453" s="4" t="inlineStr">
        <is>
          <t>Braun</t>
        </is>
      </c>
      <c r="G453" s="4" t="inlineStr"/>
      <c r="H453" s="4" t="inlineStr"/>
      <c r="I453" s="5" t="n">
        <v>1199</v>
      </c>
      <c r="J453" s="6" t="n">
        <v>15</v>
      </c>
      <c r="K453" s="7">
        <f>IF(I453="","",I453*(1+J453/100))</f>
        <v/>
      </c>
      <c r="L453" s="8" t="inlineStr"/>
      <c r="M453" s="9">
        <f>IF(OR(L453="",K453="",L453=0),"",
  (L453-K453)/L453*100)</f>
        <v/>
      </c>
      <c r="N453" s="10" t="inlineStr"/>
      <c r="O453" s="4" t="inlineStr"/>
      <c r="P453" s="4" t="inlineStr"/>
      <c r="Q453" s="4" t="inlineStr"/>
      <c r="R453" s="4" t="inlineStr">
        <is>
          <t>2026-03-12</t>
        </is>
      </c>
      <c r="S453" s="4" t="inlineStr">
        <is>
          <t>Hirschs 47th Anniversary Sale Feb-Mar 2026</t>
        </is>
      </c>
    </row>
    <row r="454">
      <c r="A454" s="11" t="inlineStr">
        <is>
          <t>ZJI08.000CL</t>
        </is>
      </c>
      <c r="B454" s="11" t="inlineStr"/>
      <c r="C454" s="11" t="inlineStr"/>
      <c r="D454" s="11" t="inlineStr"/>
      <c r="E454" s="11" t="inlineStr">
        <is>
          <t>Braun Cordless Glass Kettle 1.7L ZJI08.000CL</t>
        </is>
      </c>
      <c r="F454" s="11" t="inlineStr">
        <is>
          <t>Braun</t>
        </is>
      </c>
      <c r="G454" s="11" t="inlineStr"/>
      <c r="H454" s="11" t="inlineStr"/>
      <c r="I454" s="12" t="n">
        <v>469</v>
      </c>
      <c r="J454" s="6" t="n">
        <v>15</v>
      </c>
      <c r="K454" s="7">
        <f>IF(I454="","",I454*(1+J454/100))</f>
        <v/>
      </c>
      <c r="L454" s="8" t="inlineStr"/>
      <c r="M454" s="9">
        <f>IF(OR(L454="",K454="",L454=0),"",
  (L454-K454)/L454*100)</f>
        <v/>
      </c>
      <c r="N454" s="10" t="inlineStr"/>
      <c r="O454" s="11" t="inlineStr"/>
      <c r="P454" s="11" t="inlineStr"/>
      <c r="Q454" s="11" t="inlineStr"/>
      <c r="R454" s="11" t="inlineStr">
        <is>
          <t>2026-03-12</t>
        </is>
      </c>
      <c r="S454" s="11" t="inlineStr">
        <is>
          <t>Hirschs 47th Anniversary Sale Feb-Mar 2026</t>
        </is>
      </c>
    </row>
    <row r="455">
      <c r="A455" s="3" t="inlineStr">
        <is>
          <t>HMP30.A0SI</t>
        </is>
      </c>
      <c r="B455" s="4" t="inlineStr"/>
      <c r="C455" s="4" t="inlineStr"/>
      <c r="D455" s="4" t="inlineStr"/>
      <c r="E455" s="3" t="inlineStr">
        <is>
          <t>Braun Handmix Lite Hand Mixer Silver HMP30.A0SI</t>
        </is>
      </c>
      <c r="F455" s="4" t="inlineStr">
        <is>
          <t>Braun</t>
        </is>
      </c>
      <c r="G455" s="4" t="inlineStr"/>
      <c r="H455" s="4" t="inlineStr"/>
      <c r="I455" s="5" t="n">
        <v>579</v>
      </c>
      <c r="J455" s="6" t="n">
        <v>15</v>
      </c>
      <c r="K455" s="7">
        <f>IF(I455="","",I455*(1+J455/100))</f>
        <v/>
      </c>
      <c r="L455" s="8" t="inlineStr"/>
      <c r="M455" s="9">
        <f>IF(OR(L455="",K455="",L455=0),"",
  (L455-K455)/L455*100)</f>
        <v/>
      </c>
      <c r="N455" s="10" t="inlineStr"/>
      <c r="O455" s="4" t="inlineStr"/>
      <c r="P455" s="4" t="inlineStr"/>
      <c r="Q455" s="4" t="inlineStr"/>
      <c r="R455" s="4" t="inlineStr">
        <is>
          <t>2026-03-12</t>
        </is>
      </c>
      <c r="S455" s="4" t="inlineStr">
        <is>
          <t>Hirschs 47th Anniversary Sale Feb-Mar 2026</t>
        </is>
      </c>
    </row>
    <row r="456">
      <c r="A456" s="11" t="inlineStr">
        <is>
          <t>BLM92.920SS</t>
        </is>
      </c>
      <c r="B456" s="11" t="inlineStr"/>
      <c r="C456" s="11" t="inlineStr"/>
      <c r="D456" s="11" t="inlineStr"/>
      <c r="E456" s="11" t="inlineStr">
        <is>
          <t>Braun Blend n Heat High Power Blender BLM92.920SS</t>
        </is>
      </c>
      <c r="F456" s="11" t="inlineStr">
        <is>
          <t>Braun</t>
        </is>
      </c>
      <c r="G456" s="11" t="inlineStr"/>
      <c r="H456" s="11" t="inlineStr"/>
      <c r="I456" s="12" t="n">
        <v>2299</v>
      </c>
      <c r="J456" s="6" t="n">
        <v>15</v>
      </c>
      <c r="K456" s="7">
        <f>IF(I456="","",I456*(1+J456/100))</f>
        <v/>
      </c>
      <c r="L456" s="8" t="inlineStr"/>
      <c r="M456" s="9">
        <f>IF(OR(L456="",K456="",L456=0),"",
  (L456-K456)/L456*100)</f>
        <v/>
      </c>
      <c r="N456" s="10" t="inlineStr"/>
      <c r="O456" s="11" t="inlineStr"/>
      <c r="P456" s="11" t="inlineStr"/>
      <c r="Q456" s="11" t="inlineStr"/>
      <c r="R456" s="11" t="inlineStr">
        <is>
          <t>2026-03-12</t>
        </is>
      </c>
      <c r="S456" s="11" t="inlineStr">
        <is>
          <t>Hirschs 47th Anniversary Sale Feb-Mar 2026</t>
        </is>
      </c>
    </row>
    <row r="457">
      <c r="A457" s="3" t="inlineStr">
        <is>
          <t>MQ7087X</t>
        </is>
      </c>
      <c r="B457" s="4" t="inlineStr"/>
      <c r="C457" s="4" t="inlineStr"/>
      <c r="D457" s="4" t="inlineStr"/>
      <c r="E457" s="3" t="inlineStr">
        <is>
          <t>Braun MultiQuick 7 MQ7087X</t>
        </is>
      </c>
      <c r="F457" s="4" t="inlineStr">
        <is>
          <t>Braun</t>
        </is>
      </c>
      <c r="G457" s="4" t="inlineStr"/>
      <c r="H457" s="4" t="inlineStr"/>
      <c r="I457" s="5" t="n">
        <v>2499</v>
      </c>
      <c r="J457" s="6" t="n">
        <v>15</v>
      </c>
      <c r="K457" s="7">
        <f>IF(I457="","",I457*(1+J457/100))</f>
        <v/>
      </c>
      <c r="L457" s="8" t="inlineStr"/>
      <c r="M457" s="9">
        <f>IF(OR(L457="",K457="",L457=0),"",
  (L457-K457)/L457*100)</f>
        <v/>
      </c>
      <c r="N457" s="10" t="inlineStr"/>
      <c r="O457" s="4" t="inlineStr"/>
      <c r="P457" s="4" t="inlineStr"/>
      <c r="Q457" s="4" t="inlineStr"/>
      <c r="R457" s="4" t="inlineStr">
        <is>
          <t>2026-03-12</t>
        </is>
      </c>
      <c r="S457" s="4" t="inlineStr">
        <is>
          <t>Hirschs 47th Anniversary Sale Feb-Mar 2026</t>
        </is>
      </c>
    </row>
    <row r="458">
      <c r="A458" s="11" t="inlineStr">
        <is>
          <t>79235</t>
        </is>
      </c>
      <c r="B458" s="11" t="inlineStr"/>
      <c r="C458" s="11" t="inlineStr"/>
      <c r="D458" s="11" t="inlineStr"/>
      <c r="E458" s="11" t="inlineStr">
        <is>
          <t>Nespresso Citiz&amp;Milk</t>
        </is>
      </c>
      <c r="F458" s="11" t="inlineStr">
        <is>
          <t>Nespresso</t>
        </is>
      </c>
      <c r="G458" s="11" t="inlineStr"/>
      <c r="H458" s="11" t="inlineStr"/>
      <c r="I458" s="12" t="n">
        <v>3999</v>
      </c>
      <c r="J458" s="6" t="n">
        <v>15</v>
      </c>
      <c r="K458" s="7">
        <f>IF(I458="","",I458*(1+J458/100))</f>
        <v/>
      </c>
      <c r="L458" s="8" t="inlineStr"/>
      <c r="M458" s="9">
        <f>IF(OR(L458="",K458="",L458=0),"",
  (L458-K458)/L458*100)</f>
        <v/>
      </c>
      <c r="N458" s="10" t="inlineStr"/>
      <c r="O458" s="11" t="inlineStr"/>
      <c r="P458" s="11" t="inlineStr"/>
      <c r="Q458" s="11" t="inlineStr"/>
      <c r="R458" s="11" t="inlineStr">
        <is>
          <t>2026-03-12</t>
        </is>
      </c>
      <c r="S458" s="11" t="inlineStr">
        <is>
          <t>Hirschs 47th Anniversary Sale Feb-Mar 2026</t>
        </is>
      </c>
    </row>
    <row r="459">
      <c r="A459" s="3" t="inlineStr">
        <is>
          <t>77536</t>
        </is>
      </c>
      <c r="B459" s="4" t="inlineStr"/>
      <c r="C459" s="4" t="inlineStr"/>
      <c r="D459" s="4" t="inlineStr"/>
      <c r="E459" s="3" t="inlineStr">
        <is>
          <t>Nespresso Lattissima One</t>
        </is>
      </c>
      <c r="F459" s="4" t="inlineStr">
        <is>
          <t>Nespresso</t>
        </is>
      </c>
      <c r="G459" s="4" t="inlineStr"/>
      <c r="H459" s="4" t="inlineStr"/>
      <c r="I459" s="5" t="n">
        <v>4999</v>
      </c>
      <c r="J459" s="6" t="n">
        <v>15</v>
      </c>
      <c r="K459" s="7">
        <f>IF(I459="","",I459*(1+J459/100))</f>
        <v/>
      </c>
      <c r="L459" s="8" t="inlineStr"/>
      <c r="M459" s="9">
        <f>IF(OR(L459="",K459="",L459=0),"",
  (L459-K459)/L459*100)</f>
        <v/>
      </c>
      <c r="N459" s="10" t="inlineStr"/>
      <c r="O459" s="4" t="inlineStr"/>
      <c r="P459" s="4" t="inlineStr"/>
      <c r="Q459" s="4" t="inlineStr"/>
      <c r="R459" s="4" t="inlineStr">
        <is>
          <t>2026-03-12</t>
        </is>
      </c>
      <c r="S459" s="4" t="inlineStr">
        <is>
          <t>Hirschs 47th Anniversary Sale Feb-Mar 2026</t>
        </is>
      </c>
    </row>
    <row r="460">
      <c r="A460" s="11" t="inlineStr">
        <is>
          <t>77514</t>
        </is>
      </c>
      <c r="B460" s="11" t="inlineStr"/>
      <c r="C460" s="11" t="inlineStr"/>
      <c r="D460" s="11" t="inlineStr"/>
      <c r="E460" s="11" t="inlineStr">
        <is>
          <t>Nespresso Lattissima One</t>
        </is>
      </c>
      <c r="F460" s="11" t="inlineStr">
        <is>
          <t>Nespresso</t>
        </is>
      </c>
      <c r="G460" s="11" t="inlineStr"/>
      <c r="H460" s="11" t="inlineStr"/>
      <c r="I460" s="12" t="n">
        <v>4999</v>
      </c>
      <c r="J460" s="6" t="n">
        <v>15</v>
      </c>
      <c r="K460" s="7">
        <f>IF(I460="","",I460*(1+J460/100))</f>
        <v/>
      </c>
      <c r="L460" s="8" t="inlineStr"/>
      <c r="M460" s="9">
        <f>IF(OR(L460="",K460="",L460=0),"",
  (L460-K460)/L460*100)</f>
        <v/>
      </c>
      <c r="N460" s="10" t="inlineStr"/>
      <c r="O460" s="11" t="inlineStr"/>
      <c r="P460" s="11" t="inlineStr"/>
      <c r="Q460" s="11" t="inlineStr"/>
      <c r="R460" s="11" t="inlineStr">
        <is>
          <t>2026-03-12</t>
        </is>
      </c>
      <c r="S460" s="11" t="inlineStr">
        <is>
          <t>Hirschs 47th Anniversary Sale Feb-Mar 2026</t>
        </is>
      </c>
    </row>
    <row r="461">
      <c r="A461" s="3" t="inlineStr">
        <is>
          <t>79690</t>
        </is>
      </c>
      <c r="B461" s="4" t="inlineStr"/>
      <c r="C461" s="4" t="inlineStr"/>
      <c r="D461" s="4" t="inlineStr"/>
      <c r="E461" s="3" t="inlineStr">
        <is>
          <t>Nespresso Gran Lattissima</t>
        </is>
      </c>
      <c r="F461" s="4" t="inlineStr">
        <is>
          <t>Nespresso</t>
        </is>
      </c>
      <c r="G461" s="4" t="inlineStr"/>
      <c r="H461" s="4" t="inlineStr"/>
      <c r="I461" s="5" t="n">
        <v>7599</v>
      </c>
      <c r="J461" s="6" t="n">
        <v>15</v>
      </c>
      <c r="K461" s="7">
        <f>IF(I461="","",I461*(1+J461/100))</f>
        <v/>
      </c>
      <c r="L461" s="8" t="inlineStr"/>
      <c r="M461" s="9">
        <f>IF(OR(L461="",K461="",L461=0),"",
  (L461-K461)/L461*100)</f>
        <v/>
      </c>
      <c r="N461" s="10" t="inlineStr"/>
      <c r="O461" s="4" t="inlineStr"/>
      <c r="P461" s="4" t="inlineStr"/>
      <c r="Q461" s="4" t="inlineStr"/>
      <c r="R461" s="4" t="inlineStr">
        <is>
          <t>2026-03-12</t>
        </is>
      </c>
      <c r="S461" s="4" t="inlineStr">
        <is>
          <t>Hirschs 47th Anniversary Sale Feb-Mar 2026</t>
        </is>
      </c>
    </row>
    <row r="462">
      <c r="A462" s="11" t="inlineStr">
        <is>
          <t>80143</t>
        </is>
      </c>
      <c r="B462" s="11" t="inlineStr"/>
      <c r="C462" s="11" t="inlineStr"/>
      <c r="D462" s="11" t="inlineStr"/>
      <c r="E462" s="11" t="inlineStr">
        <is>
          <t>Nespresso Gran Lattissima</t>
        </is>
      </c>
      <c r="F462" s="11" t="inlineStr">
        <is>
          <t>Nespresso</t>
        </is>
      </c>
      <c r="G462" s="11" t="inlineStr"/>
      <c r="H462" s="11" t="inlineStr"/>
      <c r="I462" s="12" t="n">
        <v>7599</v>
      </c>
      <c r="J462" s="6" t="n">
        <v>15</v>
      </c>
      <c r="K462" s="7">
        <f>IF(I462="","",I462*(1+J462/100))</f>
        <v/>
      </c>
      <c r="L462" s="8" t="inlineStr"/>
      <c r="M462" s="9">
        <f>IF(OR(L462="",K462="",L462=0),"",
  (L462-K462)/L462*100)</f>
        <v/>
      </c>
      <c r="N462" s="10" t="inlineStr"/>
      <c r="O462" s="11" t="inlineStr"/>
      <c r="P462" s="11" t="inlineStr"/>
      <c r="Q462" s="11" t="inlineStr"/>
      <c r="R462" s="11" t="inlineStr">
        <is>
          <t>2026-03-12</t>
        </is>
      </c>
      <c r="S462" s="11" t="inlineStr">
        <is>
          <t>Hirschs 47th Anniversary Sale Feb-Mar 2026</t>
        </is>
      </c>
    </row>
    <row r="463">
      <c r="A463" s="3" t="inlineStr">
        <is>
          <t>86638</t>
        </is>
      </c>
      <c r="B463" s="4" t="inlineStr"/>
      <c r="C463" s="4" t="inlineStr"/>
      <c r="D463" s="4" t="inlineStr"/>
      <c r="E463" s="3" t="inlineStr">
        <is>
          <t>Nespresso Creatista Plus</t>
        </is>
      </c>
      <c r="F463" s="4" t="inlineStr">
        <is>
          <t>Nespresso</t>
        </is>
      </c>
      <c r="G463" s="4" t="inlineStr"/>
      <c r="H463" s="4" t="inlineStr"/>
      <c r="I463" s="5" t="n">
        <v>7599</v>
      </c>
      <c r="J463" s="6" t="n">
        <v>15</v>
      </c>
      <c r="K463" s="7">
        <f>IF(I463="","",I463*(1+J463/100))</f>
        <v/>
      </c>
      <c r="L463" s="8" t="inlineStr"/>
      <c r="M463" s="9">
        <f>IF(OR(L463="",K463="",L463=0),"",
  (L463-K463)/L463*100)</f>
        <v/>
      </c>
      <c r="N463" s="10" t="inlineStr"/>
      <c r="O463" s="4" t="inlineStr"/>
      <c r="P463" s="4" t="inlineStr"/>
      <c r="Q463" s="4" t="inlineStr"/>
      <c r="R463" s="4" t="inlineStr">
        <is>
          <t>2026-03-12</t>
        </is>
      </c>
      <c r="S463" s="4" t="inlineStr">
        <is>
          <t>Hirschs 47th Anniversary Sale Feb-Mar 2026</t>
        </is>
      </c>
    </row>
    <row r="464">
      <c r="A464" s="11" t="inlineStr">
        <is>
          <t>82782</t>
        </is>
      </c>
      <c r="B464" s="11" t="inlineStr"/>
      <c r="C464" s="11" t="inlineStr"/>
      <c r="D464" s="11" t="inlineStr"/>
      <c r="E464" s="11" t="inlineStr">
        <is>
          <t>Nespresso Vertuo Lattissima</t>
        </is>
      </c>
      <c r="F464" s="11" t="inlineStr">
        <is>
          <t>Nespresso</t>
        </is>
      </c>
      <c r="G464" s="11" t="inlineStr"/>
      <c r="H464" s="11" t="inlineStr"/>
      <c r="I464" s="12" t="n">
        <v>8499</v>
      </c>
      <c r="J464" s="6" t="n">
        <v>15</v>
      </c>
      <c r="K464" s="7">
        <f>IF(I464="","",I464*(1+J464/100))</f>
        <v/>
      </c>
      <c r="L464" s="8" t="inlineStr"/>
      <c r="M464" s="9">
        <f>IF(OR(L464="",K464="",L464=0),"",
  (L464-K464)/L464*100)</f>
        <v/>
      </c>
      <c r="N464" s="10" t="inlineStr"/>
      <c r="O464" s="11" t="inlineStr"/>
      <c r="P464" s="11" t="inlineStr"/>
      <c r="Q464" s="11" t="inlineStr"/>
      <c r="R464" s="11" t="inlineStr">
        <is>
          <t>2026-03-12</t>
        </is>
      </c>
      <c r="S464" s="11" t="inlineStr">
        <is>
          <t>Hirschs 47th Anniversary Sale Feb-Mar 2026</t>
        </is>
      </c>
    </row>
    <row r="465">
      <c r="A465" s="3" t="inlineStr">
        <is>
          <t>82783</t>
        </is>
      </c>
      <c r="B465" s="4" t="inlineStr"/>
      <c r="C465" s="4" t="inlineStr"/>
      <c r="D465" s="4" t="inlineStr"/>
      <c r="E465" s="3" t="inlineStr">
        <is>
          <t>Nespresso Vertuo Creatista</t>
        </is>
      </c>
      <c r="F465" s="4" t="inlineStr">
        <is>
          <t>Nespresso</t>
        </is>
      </c>
      <c r="G465" s="4" t="inlineStr"/>
      <c r="H465" s="4" t="inlineStr"/>
      <c r="I465" s="5" t="n">
        <v>9999</v>
      </c>
      <c r="J465" s="6" t="n">
        <v>15</v>
      </c>
      <c r="K465" s="7">
        <f>IF(I465="","",I465*(1+J465/100))</f>
        <v/>
      </c>
      <c r="L465" s="8" t="inlineStr"/>
      <c r="M465" s="9">
        <f>IF(OR(L465="",K465="",L465=0),"",
  (L465-K465)/L465*100)</f>
        <v/>
      </c>
      <c r="N465" s="10" t="inlineStr"/>
      <c r="O465" s="4" t="inlineStr"/>
      <c r="P465" s="4" t="inlineStr"/>
      <c r="Q465" s="4" t="inlineStr"/>
      <c r="R465" s="4" t="inlineStr">
        <is>
          <t>2026-03-12</t>
        </is>
      </c>
      <c r="S465" s="4" t="inlineStr">
        <is>
          <t>Hirschs 47th Anniversary Sale Feb-Mar 2026</t>
        </is>
      </c>
    </row>
    <row r="466">
      <c r="A466" s="13" t="inlineStr"/>
      <c r="B466" s="11" t="inlineStr"/>
      <c r="C466" s="11" t="inlineStr"/>
      <c r="D466" s="11" t="inlineStr"/>
      <c r="E466" s="11" t="inlineStr">
        <is>
          <t>Philips Espresso Machine Series 5400</t>
        </is>
      </c>
      <c r="F466" s="11" t="inlineStr">
        <is>
          <t>Philips</t>
        </is>
      </c>
      <c r="G466" s="11" t="inlineStr"/>
      <c r="H466" s="11" t="inlineStr"/>
      <c r="I466" s="12" t="n">
        <v>5999</v>
      </c>
      <c r="J466" s="6" t="n">
        <v>15</v>
      </c>
      <c r="K466" s="7">
        <f>IF(I466="","",I466*(1+J466/100))</f>
        <v/>
      </c>
      <c r="L466" s="8" t="inlineStr"/>
      <c r="M466" s="9">
        <f>IF(OR(L466="",K466="",L466=0),"",
  (L466-K466)/L466*100)</f>
        <v/>
      </c>
      <c r="N466" s="10" t="inlineStr"/>
      <c r="O466" s="11" t="inlineStr"/>
      <c r="P466" s="11" t="inlineStr"/>
      <c r="Q466" s="11" t="inlineStr"/>
      <c r="R466" s="11" t="inlineStr">
        <is>
          <t>2026-03-12</t>
        </is>
      </c>
      <c r="S466" s="11" t="inlineStr">
        <is>
          <t>Hirschs 47th Anniversary Sale Feb-Mar 2026</t>
        </is>
      </c>
    </row>
    <row r="467">
      <c r="A467" s="13" t="inlineStr"/>
      <c r="B467" s="4" t="inlineStr"/>
      <c r="C467" s="4" t="inlineStr"/>
      <c r="D467" s="4" t="inlineStr"/>
      <c r="E467" s="3" t="inlineStr">
        <is>
          <t>Philips Espresso Machine Series 3300</t>
        </is>
      </c>
      <c r="F467" s="4" t="inlineStr">
        <is>
          <t>Philips</t>
        </is>
      </c>
      <c r="G467" s="4" t="inlineStr"/>
      <c r="H467" s="4" t="inlineStr"/>
      <c r="I467" s="5" t="n">
        <v>7999</v>
      </c>
      <c r="J467" s="6" t="n">
        <v>15</v>
      </c>
      <c r="K467" s="7">
        <f>IF(I467="","",I467*(1+J467/100))</f>
        <v/>
      </c>
      <c r="L467" s="8" t="inlineStr"/>
      <c r="M467" s="9">
        <f>IF(OR(L467="",K467="",L467=0),"",
  (L467-K467)/L467*100)</f>
        <v/>
      </c>
      <c r="N467" s="10" t="inlineStr"/>
      <c r="O467" s="4" t="inlineStr"/>
      <c r="P467" s="4" t="inlineStr"/>
      <c r="Q467" s="4" t="inlineStr"/>
      <c r="R467" s="4" t="inlineStr">
        <is>
          <t>2026-03-12</t>
        </is>
      </c>
      <c r="S467" s="4" t="inlineStr">
        <is>
          <t>Hirschs 47th Anniversary Sale Feb-Mar 2026</t>
        </is>
      </c>
    </row>
    <row r="468">
      <c r="A468" s="13" t="inlineStr"/>
      <c r="B468" s="11" t="inlineStr"/>
      <c r="C468" s="11" t="inlineStr"/>
      <c r="D468" s="11" t="inlineStr"/>
      <c r="E468" s="11" t="inlineStr">
        <is>
          <t>Philips Espresso Machine Series 2200</t>
        </is>
      </c>
      <c r="F468" s="11" t="inlineStr">
        <is>
          <t>Philips</t>
        </is>
      </c>
      <c r="G468" s="11" t="inlineStr"/>
      <c r="H468" s="11" t="inlineStr"/>
      <c r="I468" s="12" t="n">
        <v>10999</v>
      </c>
      <c r="J468" s="6" t="n">
        <v>15</v>
      </c>
      <c r="K468" s="7">
        <f>IF(I468="","",I468*(1+J468/100))</f>
        <v/>
      </c>
      <c r="L468" s="8" t="inlineStr"/>
      <c r="M468" s="9">
        <f>IF(OR(L468="",K468="",L468=0),"",
  (L468-K468)/L468*100)</f>
        <v/>
      </c>
      <c r="N468" s="10" t="inlineStr"/>
      <c r="O468" s="11" t="inlineStr"/>
      <c r="P468" s="11" t="inlineStr"/>
      <c r="Q468" s="11" t="inlineStr"/>
      <c r="R468" s="11" t="inlineStr">
        <is>
          <t>2026-03-12</t>
        </is>
      </c>
      <c r="S468" s="11" t="inlineStr">
        <is>
          <t>Hirschs 47th Anniversary Sale Feb-Mar 2026</t>
        </is>
      </c>
    </row>
    <row r="469">
      <c r="A469" s="13" t="inlineStr"/>
      <c r="B469" s="4" t="inlineStr"/>
      <c r="C469" s="4" t="inlineStr"/>
      <c r="D469" s="4" t="inlineStr"/>
      <c r="E469" s="3" t="inlineStr">
        <is>
          <t>Philips Espresso Machine Series 5500</t>
        </is>
      </c>
      <c r="F469" s="4" t="inlineStr">
        <is>
          <t>Philips</t>
        </is>
      </c>
      <c r="G469" s="4" t="inlineStr"/>
      <c r="H469" s="4" t="inlineStr"/>
      <c r="I469" s="5" t="n">
        <v>13999</v>
      </c>
      <c r="J469" s="6" t="n">
        <v>15</v>
      </c>
      <c r="K469" s="7">
        <f>IF(I469="","",I469*(1+J469/100))</f>
        <v/>
      </c>
      <c r="L469" s="8" t="inlineStr"/>
      <c r="M469" s="9">
        <f>IF(OR(L469="",K469="",L469=0),"",
  (L469-K469)/L469*100)</f>
        <v/>
      </c>
      <c r="N469" s="10" t="inlineStr"/>
      <c r="O469" s="4" t="inlineStr"/>
      <c r="P469" s="4" t="inlineStr"/>
      <c r="Q469" s="4" t="inlineStr"/>
      <c r="R469" s="4" t="inlineStr">
        <is>
          <t>2026-03-12</t>
        </is>
      </c>
      <c r="S469" s="4" t="inlineStr">
        <is>
          <t>Hirschs 47th Anniversary Sale Feb-Mar 2026</t>
        </is>
      </c>
    </row>
    <row r="470">
      <c r="A470" s="13" t="inlineStr"/>
      <c r="B470" s="11" t="inlineStr"/>
      <c r="C470" s="11" t="inlineStr"/>
      <c r="D470" s="11" t="inlineStr"/>
      <c r="E470" s="11" t="inlineStr">
        <is>
          <t>Philips Saeco PicoBaristo</t>
        </is>
      </c>
      <c r="F470" s="11" t="inlineStr">
        <is>
          <t>Philips</t>
        </is>
      </c>
      <c r="G470" s="11" t="inlineStr"/>
      <c r="H470" s="11" t="inlineStr"/>
      <c r="I470" s="12" t="n">
        <v>14999</v>
      </c>
      <c r="J470" s="6" t="n">
        <v>15</v>
      </c>
      <c r="K470" s="7">
        <f>IF(I470="","",I470*(1+J470/100))</f>
        <v/>
      </c>
      <c r="L470" s="8" t="inlineStr"/>
      <c r="M470" s="9">
        <f>IF(OR(L470="",K470="",L470=0),"",
  (L470-K470)/L470*100)</f>
        <v/>
      </c>
      <c r="N470" s="10" t="inlineStr"/>
      <c r="O470" s="11" t="inlineStr"/>
      <c r="P470" s="11" t="inlineStr"/>
      <c r="Q470" s="11" t="inlineStr"/>
      <c r="R470" s="11" t="inlineStr">
        <is>
          <t>2026-03-12</t>
        </is>
      </c>
      <c r="S470" s="11" t="inlineStr">
        <is>
          <t>Hirschs 47th Anniversary Sale Feb-Mar 2026</t>
        </is>
      </c>
    </row>
    <row r="471">
      <c r="A471" s="13" t="inlineStr"/>
      <c r="B471" s="4" t="inlineStr"/>
      <c r="C471" s="4" t="inlineStr"/>
      <c r="D471" s="4" t="inlineStr"/>
      <c r="E471" s="3" t="inlineStr">
        <is>
          <t>Philips Series 1200 Blue Smart UV</t>
        </is>
      </c>
      <c r="F471" s="4" t="inlineStr">
        <is>
          <t>Philips</t>
        </is>
      </c>
      <c r="G471" s="4" t="inlineStr"/>
      <c r="H471" s="4" t="inlineStr"/>
      <c r="I471" s="5" t="n">
        <v>399</v>
      </c>
      <c r="J471" s="6" t="n">
        <v>15</v>
      </c>
      <c r="K471" s="7">
        <f>IF(I471="","",I471*(1+J471/100))</f>
        <v/>
      </c>
      <c r="L471" s="8" t="inlineStr"/>
      <c r="M471" s="9">
        <f>IF(OR(L471="",K471="",L471=0),"",
  (L471-K471)/L471*100)</f>
        <v/>
      </c>
      <c r="N471" s="10" t="inlineStr"/>
      <c r="O471" s="4" t="inlineStr"/>
      <c r="P471" s="4" t="inlineStr"/>
      <c r="Q471" s="4" t="inlineStr"/>
      <c r="R471" s="4" t="inlineStr">
        <is>
          <t>2026-03-12</t>
        </is>
      </c>
      <c r="S471" s="4" t="inlineStr">
        <is>
          <t>Hirschs 47th Anniversary Sale Feb-Mar 2026</t>
        </is>
      </c>
    </row>
    <row r="472">
      <c r="A472" s="13" t="inlineStr"/>
      <c r="B472" s="11" t="inlineStr"/>
      <c r="C472" s="11" t="inlineStr"/>
      <c r="D472" s="11" t="inlineStr"/>
      <c r="E472" s="11" t="inlineStr">
        <is>
          <t>Philips Perfect Care Steam Generator</t>
        </is>
      </c>
      <c r="F472" s="11" t="inlineStr">
        <is>
          <t>Philips</t>
        </is>
      </c>
      <c r="G472" s="11" t="inlineStr"/>
      <c r="H472" s="11" t="inlineStr"/>
      <c r="I472" s="12" t="n">
        <v>749</v>
      </c>
      <c r="J472" s="6" t="n">
        <v>15</v>
      </c>
      <c r="K472" s="7">
        <f>IF(I472="","",I472*(1+J472/100))</f>
        <v/>
      </c>
      <c r="L472" s="8" t="inlineStr"/>
      <c r="M472" s="9">
        <f>IF(OR(L472="",K472="",L472=0),"",
  (L472-K472)/L472*100)</f>
        <v/>
      </c>
      <c r="N472" s="10" t="inlineStr"/>
      <c r="O472" s="11" t="inlineStr"/>
      <c r="P472" s="11" t="inlineStr"/>
      <c r="Q472" s="11" t="inlineStr"/>
      <c r="R472" s="11" t="inlineStr">
        <is>
          <t>2026-03-12</t>
        </is>
      </c>
      <c r="S472" s="11" t="inlineStr">
        <is>
          <t>Hirschs 47th Anniversary Sale Feb-Mar 2026</t>
        </is>
      </c>
    </row>
    <row r="473">
      <c r="A473" s="13" t="inlineStr"/>
      <c r="B473" s="4" t="inlineStr"/>
      <c r="C473" s="4" t="inlineStr"/>
      <c r="D473" s="4" t="inlineStr"/>
      <c r="E473" s="3" t="inlineStr">
        <is>
          <t>Philips Philips Series 3000 100bar</t>
        </is>
      </c>
      <c r="F473" s="4" t="inlineStr">
        <is>
          <t>Philips</t>
        </is>
      </c>
      <c r="G473" s="4" t="inlineStr"/>
      <c r="H473" s="4" t="inlineStr"/>
      <c r="I473" s="5" t="n">
        <v>399</v>
      </c>
      <c r="J473" s="6" t="n">
        <v>15</v>
      </c>
      <c r="K473" s="7">
        <f>IF(I473="","",I473*(1+J473/100))</f>
        <v/>
      </c>
      <c r="L473" s="8" t="inlineStr"/>
      <c r="M473" s="9">
        <f>IF(OR(L473="",K473="",L473=0),"",
  (L473-K473)/L473*100)</f>
        <v/>
      </c>
      <c r="N473" s="10" t="inlineStr"/>
      <c r="O473" s="4" t="inlineStr"/>
      <c r="P473" s="4" t="inlineStr"/>
      <c r="Q473" s="4" t="inlineStr"/>
      <c r="R473" s="4" t="inlineStr">
        <is>
          <t>2026-03-12</t>
        </is>
      </c>
      <c r="S473" s="4" t="inlineStr">
        <is>
          <t>Hirschs 47th Anniversary Sale Feb-Mar 2026</t>
        </is>
      </c>
    </row>
    <row r="474">
      <c r="A474" s="13" t="inlineStr"/>
      <c r="B474" s="11" t="inlineStr"/>
      <c r="C474" s="11" t="inlineStr"/>
      <c r="D474" s="11" t="inlineStr"/>
      <c r="E474" s="11" t="inlineStr">
        <is>
          <t>Philips Series 5000 Wet/Dry Shaver</t>
        </is>
      </c>
      <c r="F474" s="11" t="inlineStr">
        <is>
          <t>Philips</t>
        </is>
      </c>
      <c r="G474" s="11" t="inlineStr"/>
      <c r="H474" s="11" t="inlineStr"/>
      <c r="I474" s="12" t="n">
        <v>2299</v>
      </c>
      <c r="J474" s="6" t="n">
        <v>15</v>
      </c>
      <c r="K474" s="7">
        <f>IF(I474="","",I474*(1+J474/100))</f>
        <v/>
      </c>
      <c r="L474" s="8" t="inlineStr"/>
      <c r="M474" s="9">
        <f>IF(OR(L474="",K474="",L474=0),"",
  (L474-K474)/L474*100)</f>
        <v/>
      </c>
      <c r="N474" s="10" t="inlineStr"/>
      <c r="O474" s="11" t="inlineStr"/>
      <c r="P474" s="11" t="inlineStr"/>
      <c r="Q474" s="11" t="inlineStr"/>
      <c r="R474" s="11" t="inlineStr">
        <is>
          <t>2026-03-12</t>
        </is>
      </c>
      <c r="S474" s="11" t="inlineStr">
        <is>
          <t>Hirschs 47th Anniversary Sale Feb-Mar 2026</t>
        </is>
      </c>
    </row>
    <row r="475">
      <c r="A475" s="13" t="inlineStr"/>
      <c r="B475" s="4" t="inlineStr"/>
      <c r="C475" s="4" t="inlineStr"/>
      <c r="D475" s="4" t="inlineStr"/>
      <c r="E475" s="3" t="inlineStr">
        <is>
          <t>Philips Sonicare ProtectiveClean</t>
        </is>
      </c>
      <c r="F475" s="4" t="inlineStr">
        <is>
          <t>Philips</t>
        </is>
      </c>
      <c r="G475" s="4" t="inlineStr"/>
      <c r="H475" s="4" t="inlineStr"/>
      <c r="I475" s="5" t="n">
        <v>2559</v>
      </c>
      <c r="J475" s="6" t="n">
        <v>15</v>
      </c>
      <c r="K475" s="7">
        <f>IF(I475="","",I475*(1+J475/100))</f>
        <v/>
      </c>
      <c r="L475" s="8" t="inlineStr"/>
      <c r="M475" s="9">
        <f>IF(OR(L475="",K475="",L475=0),"",
  (L475-K475)/L475*100)</f>
        <v/>
      </c>
      <c r="N475" s="10" t="inlineStr"/>
      <c r="O475" s="4" t="inlineStr"/>
      <c r="P475" s="4" t="inlineStr"/>
      <c r="Q475" s="4" t="inlineStr"/>
      <c r="R475" s="4" t="inlineStr">
        <is>
          <t>2026-03-12</t>
        </is>
      </c>
      <c r="S475" s="4" t="inlineStr">
        <is>
          <t>Hirschs 47th Anniversary Sale Feb-Mar 2026</t>
        </is>
      </c>
    </row>
    <row r="476">
      <c r="A476" s="11" t="inlineStr">
        <is>
          <t>85247</t>
        </is>
      </c>
      <c r="B476" s="11" t="inlineStr"/>
      <c r="C476" s="11" t="inlineStr"/>
      <c r="D476" s="11" t="inlineStr"/>
      <c r="E476" s="11" t="inlineStr">
        <is>
          <t>Hobot Legee-Q10 Robot Vacuum Cleaner &amp; Mop</t>
        </is>
      </c>
      <c r="F476" s="11" t="inlineStr">
        <is>
          <t>Hobot</t>
        </is>
      </c>
      <c r="G476" s="11" t="inlineStr"/>
      <c r="H476" s="11" t="inlineStr"/>
      <c r="I476" s="12" t="n">
        <v>6999</v>
      </c>
      <c r="J476" s="6" t="n">
        <v>15</v>
      </c>
      <c r="K476" s="7">
        <f>IF(I476="","",I476*(1+J476/100))</f>
        <v/>
      </c>
      <c r="L476" s="8" t="inlineStr"/>
      <c r="M476" s="9">
        <f>IF(OR(L476="",K476="",L476=0),"",
  (L476-K476)/L476*100)</f>
        <v/>
      </c>
      <c r="N476" s="10" t="inlineStr"/>
      <c r="O476" s="11" t="inlineStr"/>
      <c r="P476" s="11" t="inlineStr"/>
      <c r="Q476" s="11" t="inlineStr"/>
      <c r="R476" s="11" t="inlineStr">
        <is>
          <t>2026-03-12</t>
        </is>
      </c>
      <c r="S476" s="11" t="inlineStr">
        <is>
          <t>Hirschs 47th Anniversary Sale Feb-Mar 2026</t>
        </is>
      </c>
    </row>
    <row r="477">
      <c r="A477" s="3" t="inlineStr">
        <is>
          <t>82125</t>
        </is>
      </c>
      <c r="B477" s="4" t="inlineStr"/>
      <c r="C477" s="4" t="inlineStr"/>
      <c r="D477" s="4" t="inlineStr"/>
      <c r="E477" s="3" t="inlineStr">
        <is>
          <t>Hobot Legee-D8 Robot Vacuum Cleaner And Mop</t>
        </is>
      </c>
      <c r="F477" s="4" t="inlineStr">
        <is>
          <t>Hobot</t>
        </is>
      </c>
      <c r="G477" s="4" t="inlineStr"/>
      <c r="H477" s="4" t="inlineStr"/>
      <c r="I477" s="5" t="n">
        <v>7999</v>
      </c>
      <c r="J477" s="6" t="n">
        <v>15</v>
      </c>
      <c r="K477" s="7">
        <f>IF(I477="","",I477*(1+J477/100))</f>
        <v/>
      </c>
      <c r="L477" s="8" t="inlineStr"/>
      <c r="M477" s="9">
        <f>IF(OR(L477="",K477="",L477=0),"",
  (L477-K477)/L477*100)</f>
        <v/>
      </c>
      <c r="N477" s="10" t="inlineStr"/>
      <c r="O477" s="4" t="inlineStr"/>
      <c r="P477" s="4" t="inlineStr"/>
      <c r="Q477" s="4" t="inlineStr"/>
      <c r="R477" s="4" t="inlineStr">
        <is>
          <t>2026-03-12</t>
        </is>
      </c>
      <c r="S477" s="4" t="inlineStr">
        <is>
          <t>Hirschs 47th Anniversary Sale Feb-Mar 2026</t>
        </is>
      </c>
    </row>
    <row r="478">
      <c r="A478" s="11" t="inlineStr">
        <is>
          <t>82141</t>
        </is>
      </c>
      <c r="B478" s="11" t="inlineStr"/>
      <c r="C478" s="11" t="inlineStr"/>
      <c r="D478" s="11" t="inlineStr"/>
      <c r="E478" s="11" t="inlineStr">
        <is>
          <t>Solenco 5L Low Energy Dehumidifier</t>
        </is>
      </c>
      <c r="F478" s="11" t="inlineStr">
        <is>
          <t>Solenco</t>
        </is>
      </c>
      <c r="G478" s="11" t="inlineStr"/>
      <c r="H478" s="11" t="inlineStr"/>
      <c r="I478" s="12" t="n">
        <v>2799</v>
      </c>
      <c r="J478" s="6" t="n">
        <v>15</v>
      </c>
      <c r="K478" s="7">
        <f>IF(I478="","",I478*(1+J478/100))</f>
        <v/>
      </c>
      <c r="L478" s="8" t="inlineStr"/>
      <c r="M478" s="9">
        <f>IF(OR(L478="",K478="",L478=0),"",
  (L478-K478)/L478*100)</f>
        <v/>
      </c>
      <c r="N478" s="10" t="inlineStr"/>
      <c r="O478" s="11" t="inlineStr"/>
      <c r="P478" s="11" t="inlineStr"/>
      <c r="Q478" s="11" t="inlineStr"/>
      <c r="R478" s="11" t="inlineStr">
        <is>
          <t>2026-03-12</t>
        </is>
      </c>
      <c r="S478" s="11" t="inlineStr">
        <is>
          <t>Hirschs 47th Anniversary Sale Feb-Mar 2026</t>
        </is>
      </c>
    </row>
    <row r="479">
      <c r="A479" s="3" t="inlineStr">
        <is>
          <t>79216</t>
        </is>
      </c>
      <c r="B479" s="4" t="inlineStr"/>
      <c r="C479" s="4" t="inlineStr"/>
      <c r="D479" s="4" t="inlineStr"/>
      <c r="E479" s="3" t="inlineStr">
        <is>
          <t>Meaco 260c Cordless Fan</t>
        </is>
      </c>
      <c r="F479" s="4" t="inlineStr">
        <is>
          <t>Meaco</t>
        </is>
      </c>
      <c r="G479" s="4" t="inlineStr"/>
      <c r="H479" s="4" t="inlineStr"/>
      <c r="I479" s="5" t="n">
        <v>699</v>
      </c>
      <c r="J479" s="6" t="n">
        <v>15</v>
      </c>
      <c r="K479" s="7">
        <f>IF(I479="","",I479*(1+J479/100))</f>
        <v/>
      </c>
      <c r="L479" s="8" t="inlineStr"/>
      <c r="M479" s="9">
        <f>IF(OR(L479="",K479="",L479=0),"",
  (L479-K479)/L479*100)</f>
        <v/>
      </c>
      <c r="N479" s="10" t="inlineStr"/>
      <c r="O479" s="4" t="inlineStr"/>
      <c r="P479" s="4" t="inlineStr"/>
      <c r="Q479" s="4" t="inlineStr"/>
      <c r="R479" s="4" t="inlineStr">
        <is>
          <t>2026-03-12</t>
        </is>
      </c>
      <c r="S479" s="4" t="inlineStr">
        <is>
          <t>Hirschs 47th Anniversary Sale Feb-Mar 2026</t>
        </is>
      </c>
    </row>
    <row r="480">
      <c r="A480" s="11" t="inlineStr">
        <is>
          <t>82703</t>
        </is>
      </c>
      <c r="B480" s="11" t="inlineStr"/>
      <c r="C480" s="11" t="inlineStr"/>
      <c r="D480" s="11" t="inlineStr"/>
      <c r="E480" s="11" t="inlineStr">
        <is>
          <t>Meaco 650 Air Circulator</t>
        </is>
      </c>
      <c r="F480" s="11" t="inlineStr">
        <is>
          <t>Meaco</t>
        </is>
      </c>
      <c r="G480" s="11" t="inlineStr"/>
      <c r="H480" s="11" t="inlineStr"/>
      <c r="I480" s="12" t="n">
        <v>2299</v>
      </c>
      <c r="J480" s="6" t="n">
        <v>15</v>
      </c>
      <c r="K480" s="7">
        <f>IF(I480="","",I480*(1+J480/100))</f>
        <v/>
      </c>
      <c r="L480" s="8" t="inlineStr"/>
      <c r="M480" s="9">
        <f>IF(OR(L480="",K480="",L480=0),"",
  (L480-K480)/L480*100)</f>
        <v/>
      </c>
      <c r="N480" s="10" t="inlineStr"/>
      <c r="O480" s="11" t="inlineStr"/>
      <c r="P480" s="11" t="inlineStr"/>
      <c r="Q480" s="11" t="inlineStr"/>
      <c r="R480" s="11" t="inlineStr">
        <is>
          <t>2026-03-12</t>
        </is>
      </c>
      <c r="S480" s="11" t="inlineStr">
        <is>
          <t>Hirschs 47th Anniversary Sale Feb-Mar 2026</t>
        </is>
      </c>
    </row>
    <row r="481">
      <c r="A481" s="3" t="inlineStr">
        <is>
          <t>74360</t>
        </is>
      </c>
      <c r="B481" s="4" t="inlineStr"/>
      <c r="C481" s="4" t="inlineStr"/>
      <c r="D481" s="4" t="inlineStr"/>
      <c r="E481" s="3" t="inlineStr">
        <is>
          <t>Meaco 1056P Pedestal Air Circulator</t>
        </is>
      </c>
      <c r="F481" s="4" t="inlineStr">
        <is>
          <t>Meaco</t>
        </is>
      </c>
      <c r="G481" s="4" t="inlineStr"/>
      <c r="H481" s="4" t="inlineStr"/>
      <c r="I481" s="5" t="n">
        <v>3499</v>
      </c>
      <c r="J481" s="6" t="n">
        <v>15</v>
      </c>
      <c r="K481" s="7">
        <f>IF(I481="","",I481*(1+J481/100))</f>
        <v/>
      </c>
      <c r="L481" s="8" t="inlineStr"/>
      <c r="M481" s="9">
        <f>IF(OR(L481="",K481="",L481=0),"",
  (L481-K481)/L481*100)</f>
        <v/>
      </c>
      <c r="N481" s="10" t="inlineStr"/>
      <c r="O481" s="4" t="inlineStr"/>
      <c r="P481" s="4" t="inlineStr"/>
      <c r="Q481" s="4" t="inlineStr"/>
      <c r="R481" s="4" t="inlineStr">
        <is>
          <t>2026-03-12</t>
        </is>
      </c>
      <c r="S481" s="4" t="inlineStr">
        <is>
          <t>Hirschs 47th Anniversary Sale Feb-Mar 2026</t>
        </is>
      </c>
    </row>
    <row r="482">
      <c r="A482" s="11" t="inlineStr">
        <is>
          <t>79411</t>
        </is>
      </c>
      <c r="B482" s="11" t="inlineStr"/>
      <c r="C482" s="11" t="inlineStr"/>
      <c r="D482" s="11" t="inlineStr"/>
      <c r="E482" s="11" t="inlineStr">
        <is>
          <t>Instant Pot Instant Pot Pro Smart Cooker</t>
        </is>
      </c>
      <c r="F482" s="11" t="inlineStr">
        <is>
          <t>Instant Pot</t>
        </is>
      </c>
      <c r="G482" s="11" t="inlineStr"/>
      <c r="H482" s="11" t="inlineStr"/>
      <c r="I482" s="12" t="n">
        <v>2999</v>
      </c>
      <c r="J482" s="6" t="n">
        <v>15</v>
      </c>
      <c r="K482" s="7">
        <f>IF(I482="","",I482*(1+J482/100))</f>
        <v/>
      </c>
      <c r="L482" s="8" t="inlineStr"/>
      <c r="M482" s="9">
        <f>IF(OR(L482="",K482="",L482=0),"",
  (L482-K482)/L482*100)</f>
        <v/>
      </c>
      <c r="N482" s="10" t="inlineStr"/>
      <c r="O482" s="11" t="inlineStr"/>
      <c r="P482" s="11" t="inlineStr"/>
      <c r="Q482" s="11" t="inlineStr"/>
      <c r="R482" s="11" t="inlineStr">
        <is>
          <t>2026-03-12</t>
        </is>
      </c>
      <c r="S482" s="11" t="inlineStr">
        <is>
          <t>Hirschs 47th Anniversary Sale Feb-Mar 2026</t>
        </is>
      </c>
    </row>
    <row r="483">
      <c r="A483" s="3" t="inlineStr">
        <is>
          <t>72227</t>
        </is>
      </c>
      <c r="B483" s="4" t="inlineStr"/>
      <c r="C483" s="4" t="inlineStr"/>
      <c r="D483" s="4" t="inlineStr"/>
      <c r="E483" s="3" t="inlineStr">
        <is>
          <t>Instant Pot Instant Pot Duo 7-in-1 8L Smart Cooker</t>
        </is>
      </c>
      <c r="F483" s="4" t="inlineStr">
        <is>
          <t>Instant Pot</t>
        </is>
      </c>
      <c r="G483" s="4" t="inlineStr"/>
      <c r="H483" s="4" t="inlineStr"/>
      <c r="I483" s="5" t="n">
        <v>2599</v>
      </c>
      <c r="J483" s="6" t="n">
        <v>15</v>
      </c>
      <c r="K483" s="7">
        <f>IF(I483="","",I483*(1+J483/100))</f>
        <v/>
      </c>
      <c r="L483" s="8" t="inlineStr"/>
      <c r="M483" s="9">
        <f>IF(OR(L483="",K483="",L483=0),"",
  (L483-K483)/L483*100)</f>
        <v/>
      </c>
      <c r="N483" s="10" t="inlineStr"/>
      <c r="O483" s="4" t="inlineStr"/>
      <c r="P483" s="4" t="inlineStr"/>
      <c r="Q483" s="4" t="inlineStr"/>
      <c r="R483" s="4" t="inlineStr">
        <is>
          <t>2026-03-12</t>
        </is>
      </c>
      <c r="S483" s="4" t="inlineStr">
        <is>
          <t>Hirschs 47th Anniversary Sale Feb-Mar 2026</t>
        </is>
      </c>
    </row>
    <row r="484">
      <c r="A484" s="11" t="inlineStr">
        <is>
          <t>86117</t>
        </is>
      </c>
      <c r="B484" s="11" t="inlineStr"/>
      <c r="C484" s="11" t="inlineStr"/>
      <c r="D484" s="11" t="inlineStr"/>
      <c r="E484" s="11" t="inlineStr">
        <is>
          <t>Laifen SE Lite High Performance Hairdryer</t>
        </is>
      </c>
      <c r="F484" s="11" t="inlineStr">
        <is>
          <t>Laifen</t>
        </is>
      </c>
      <c r="G484" s="11" t="inlineStr"/>
      <c r="H484" s="11" t="inlineStr"/>
      <c r="I484" s="12" t="n">
        <v>1699</v>
      </c>
      <c r="J484" s="6" t="n">
        <v>15</v>
      </c>
      <c r="K484" s="7">
        <f>IF(I484="","",I484*(1+J484/100))</f>
        <v/>
      </c>
      <c r="L484" s="8" t="inlineStr"/>
      <c r="M484" s="9">
        <f>IF(OR(L484="",K484="",L484=0),"",
  (L484-K484)/L484*100)</f>
        <v/>
      </c>
      <c r="N484" s="10" t="inlineStr"/>
      <c r="O484" s="11" t="inlineStr"/>
      <c r="P484" s="11" t="inlineStr"/>
      <c r="Q484" s="11" t="inlineStr"/>
      <c r="R484" s="11" t="inlineStr">
        <is>
          <t>2026-03-12</t>
        </is>
      </c>
      <c r="S484" s="11" t="inlineStr">
        <is>
          <t>Hirschs 47th Anniversary Sale Feb-Mar 2026</t>
        </is>
      </c>
    </row>
    <row r="485">
      <c r="A485" s="3" t="inlineStr">
        <is>
          <t>79188</t>
        </is>
      </c>
      <c r="B485" s="4" t="inlineStr"/>
      <c r="C485" s="4" t="inlineStr"/>
      <c r="D485" s="4" t="inlineStr"/>
      <c r="E485" s="3" t="inlineStr">
        <is>
          <t>Instant Vortex Instant Vortex Plus 5.7L Airfryer</t>
        </is>
      </c>
      <c r="F485" s="4" t="inlineStr">
        <is>
          <t>Instant Vortex</t>
        </is>
      </c>
      <c r="G485" s="4" t="inlineStr"/>
      <c r="H485" s="4" t="inlineStr"/>
      <c r="I485" s="5" t="n">
        <v>2099</v>
      </c>
      <c r="J485" s="6" t="n">
        <v>15</v>
      </c>
      <c r="K485" s="7">
        <f>IF(I485="","",I485*(1+J485/100))</f>
        <v/>
      </c>
      <c r="L485" s="8" t="inlineStr"/>
      <c r="M485" s="9">
        <f>IF(OR(L485="",K485="",L485=0),"",
  (L485-K485)/L485*100)</f>
        <v/>
      </c>
      <c r="N485" s="10" t="inlineStr"/>
      <c r="O485" s="4" t="inlineStr"/>
      <c r="P485" s="4" t="inlineStr"/>
      <c r="Q485" s="4" t="inlineStr"/>
      <c r="R485" s="4" t="inlineStr">
        <is>
          <t>2026-03-12</t>
        </is>
      </c>
      <c r="S485" s="4" t="inlineStr">
        <is>
          <t>Hirschs 47th Anniversary Sale Feb-Mar 2026</t>
        </is>
      </c>
    </row>
    <row r="486">
      <c r="A486" s="11" t="inlineStr">
        <is>
          <t>80276</t>
        </is>
      </c>
      <c r="B486" s="11" t="inlineStr"/>
      <c r="C486" s="11" t="inlineStr"/>
      <c r="D486" s="11" t="inlineStr"/>
      <c r="E486" s="11" t="inlineStr">
        <is>
          <t>Instant Vortex Vortex Plus 8.5L VersaZone 8-in-1 Air Fryer</t>
        </is>
      </c>
      <c r="F486" s="11" t="inlineStr">
        <is>
          <t>Instant Vortex</t>
        </is>
      </c>
      <c r="G486" s="11" t="inlineStr"/>
      <c r="H486" s="11" t="inlineStr"/>
      <c r="I486" s="12" t="n">
        <v>3399</v>
      </c>
      <c r="J486" s="6" t="n">
        <v>15</v>
      </c>
      <c r="K486" s="7">
        <f>IF(I486="","",I486*(1+J486/100))</f>
        <v/>
      </c>
      <c r="L486" s="8" t="inlineStr"/>
      <c r="M486" s="9">
        <f>IF(OR(L486="",K486="",L486=0),"",
  (L486-K486)/L486*100)</f>
        <v/>
      </c>
      <c r="N486" s="10" t="inlineStr"/>
      <c r="O486" s="11" t="inlineStr"/>
      <c r="P486" s="11" t="inlineStr"/>
      <c r="Q486" s="11" t="inlineStr"/>
      <c r="R486" s="11" t="inlineStr">
        <is>
          <t>2026-03-12</t>
        </is>
      </c>
      <c r="S486" s="11" t="inlineStr">
        <is>
          <t>Hirschs 47th Anniversary Sale Feb-Mar 2026</t>
        </is>
      </c>
    </row>
    <row r="487">
      <c r="A487" s="3" t="inlineStr">
        <is>
          <t>786</t>
        </is>
      </c>
      <c r="B487" s="4" t="inlineStr"/>
      <c r="C487" s="4" t="inlineStr"/>
      <c r="D487" s="4" t="inlineStr"/>
      <c r="E487" s="3" t="inlineStr">
        <is>
          <t>Salton 30L Black Mini Kitchen</t>
        </is>
      </c>
      <c r="F487" s="4" t="inlineStr">
        <is>
          <t>Salton</t>
        </is>
      </c>
      <c r="G487" s="4" t="inlineStr"/>
      <c r="H487" s="4" t="inlineStr"/>
      <c r="I487" s="5" t="n">
        <v>1299</v>
      </c>
      <c r="J487" s="6" t="n">
        <v>15</v>
      </c>
      <c r="K487" s="7">
        <f>IF(I487="","",I487*(1+J487/100))</f>
        <v/>
      </c>
      <c r="L487" s="8" t="inlineStr"/>
      <c r="M487" s="9">
        <f>IF(OR(L487="",K487="",L487=0),"",
  (L487-K487)/L487*100)</f>
        <v/>
      </c>
      <c r="N487" s="10" t="inlineStr"/>
      <c r="O487" s="4" t="inlineStr"/>
      <c r="P487" s="4" t="inlineStr"/>
      <c r="Q487" s="4" t="inlineStr"/>
      <c r="R487" s="4" t="inlineStr">
        <is>
          <t>2026-03-12</t>
        </is>
      </c>
      <c r="S487" s="4" t="inlineStr">
        <is>
          <t>Hirschs 47th Anniversary Sale Feb-Mar 2026</t>
        </is>
      </c>
    </row>
    <row r="488">
      <c r="A488" s="11" t="inlineStr">
        <is>
          <t>79238</t>
        </is>
      </c>
      <c r="B488" s="11" t="inlineStr"/>
      <c r="C488" s="11" t="inlineStr"/>
      <c r="D488" s="11" t="inlineStr"/>
      <c r="E488" s="11" t="inlineStr">
        <is>
          <t>Salton Biltong Maker</t>
        </is>
      </c>
      <c r="F488" s="11" t="inlineStr">
        <is>
          <t>Salton</t>
        </is>
      </c>
      <c r="G488" s="11" t="inlineStr"/>
      <c r="H488" s="11" t="inlineStr"/>
      <c r="I488" s="12" t="n">
        <v>389</v>
      </c>
      <c r="J488" s="6" t="n">
        <v>15</v>
      </c>
      <c r="K488" s="7">
        <f>IF(I488="","",I488*(1+J488/100))</f>
        <v/>
      </c>
      <c r="L488" s="8" t="inlineStr"/>
      <c r="M488" s="9">
        <f>IF(OR(L488="",K488="",L488=0),"",
  (L488-K488)/L488*100)</f>
        <v/>
      </c>
      <c r="N488" s="10" t="inlineStr"/>
      <c r="O488" s="11" t="inlineStr"/>
      <c r="P488" s="11" t="inlineStr"/>
      <c r="Q488" s="11" t="inlineStr"/>
      <c r="R488" s="11" t="inlineStr">
        <is>
          <t>2026-03-12</t>
        </is>
      </c>
      <c r="S488" s="11" t="inlineStr">
        <is>
          <t>Hirschs 47th Anniversary Sale Feb-Mar 2026</t>
        </is>
      </c>
    </row>
    <row r="489">
      <c r="A489" s="3" t="inlineStr">
        <is>
          <t>83804</t>
        </is>
      </c>
      <c r="B489" s="4" t="inlineStr"/>
      <c r="C489" s="4" t="inlineStr"/>
      <c r="D489" s="4" t="inlineStr"/>
      <c r="E489" s="3" t="inlineStr">
        <is>
          <t>Salton 28cm Square Grillpan</t>
        </is>
      </c>
      <c r="F489" s="4" t="inlineStr">
        <is>
          <t>Salton</t>
        </is>
      </c>
      <c r="G489" s="4" t="inlineStr"/>
      <c r="H489" s="4" t="inlineStr"/>
      <c r="I489" s="5" t="n">
        <v>469</v>
      </c>
      <c r="J489" s="6" t="n">
        <v>15</v>
      </c>
      <c r="K489" s="7">
        <f>IF(I489="","",I489*(1+J489/100))</f>
        <v/>
      </c>
      <c r="L489" s="8" t="inlineStr"/>
      <c r="M489" s="9">
        <f>IF(OR(L489="",K489="",L489=0),"",
  (L489-K489)/L489*100)</f>
        <v/>
      </c>
      <c r="N489" s="10" t="inlineStr"/>
      <c r="O489" s="4" t="inlineStr"/>
      <c r="P489" s="4" t="inlineStr"/>
      <c r="Q489" s="4" t="inlineStr"/>
      <c r="R489" s="4" t="inlineStr">
        <is>
          <t>2026-03-12</t>
        </is>
      </c>
      <c r="S489" s="4" t="inlineStr">
        <is>
          <t>Hirschs 47th Anniversary Sale Feb-Mar 2026</t>
        </is>
      </c>
    </row>
    <row r="490">
      <c r="A490" s="11" t="inlineStr">
        <is>
          <t>2193</t>
        </is>
      </c>
      <c r="B490" s="11" t="inlineStr"/>
      <c r="C490" s="11" t="inlineStr"/>
      <c r="D490" s="11" t="inlineStr"/>
      <c r="E490" s="11" t="inlineStr">
        <is>
          <t>Salton 8L Stainless Steel Urn</t>
        </is>
      </c>
      <c r="F490" s="11" t="inlineStr">
        <is>
          <t>Salton</t>
        </is>
      </c>
      <c r="G490" s="11" t="inlineStr"/>
      <c r="H490" s="11" t="inlineStr"/>
      <c r="I490" s="12" t="n">
        <v>1399</v>
      </c>
      <c r="J490" s="6" t="n">
        <v>15</v>
      </c>
      <c r="K490" s="7">
        <f>IF(I490="","",I490*(1+J490/100))</f>
        <v/>
      </c>
      <c r="L490" s="8" t="inlineStr"/>
      <c r="M490" s="9">
        <f>IF(OR(L490="",K490="",L490=0),"",
  (L490-K490)/L490*100)</f>
        <v/>
      </c>
      <c r="N490" s="10" t="inlineStr"/>
      <c r="O490" s="11" t="inlineStr"/>
      <c r="P490" s="11" t="inlineStr"/>
      <c r="Q490" s="11" t="inlineStr"/>
      <c r="R490" s="11" t="inlineStr">
        <is>
          <t>2026-03-12</t>
        </is>
      </c>
      <c r="S490" s="11" t="inlineStr">
        <is>
          <t>Hirschs 47th Anniversary Sale Feb-Mar 2026</t>
        </is>
      </c>
    </row>
    <row r="491">
      <c r="A491" s="3" t="inlineStr">
        <is>
          <t>8014</t>
        </is>
      </c>
      <c r="B491" s="4" t="inlineStr"/>
      <c r="C491" s="4" t="inlineStr"/>
      <c r="D491" s="4" t="inlineStr"/>
      <c r="E491" s="3" t="inlineStr">
        <is>
          <t>Salton 1.7L Cordless Glass Kettle</t>
        </is>
      </c>
      <c r="F491" s="4" t="inlineStr">
        <is>
          <t>Salton</t>
        </is>
      </c>
      <c r="G491" s="4" t="inlineStr"/>
      <c r="H491" s="4" t="inlineStr"/>
      <c r="I491" s="5" t="n">
        <v>379</v>
      </c>
      <c r="J491" s="6" t="n">
        <v>15</v>
      </c>
      <c r="K491" s="7">
        <f>IF(I491="","",I491*(1+J491/100))</f>
        <v/>
      </c>
      <c r="L491" s="8" t="inlineStr"/>
      <c r="M491" s="9">
        <f>IF(OR(L491="",K491="",L491=0),"",
  (L491-K491)/L491*100)</f>
        <v/>
      </c>
      <c r="N491" s="10" t="inlineStr"/>
      <c r="O491" s="4" t="inlineStr"/>
      <c r="P491" s="4" t="inlineStr"/>
      <c r="Q491" s="4" t="inlineStr"/>
      <c r="R491" s="4" t="inlineStr">
        <is>
          <t>2026-03-12</t>
        </is>
      </c>
      <c r="S491" s="4" t="inlineStr">
        <is>
          <t>Hirschs 47th Anniversary Sale Feb-Mar 2026</t>
        </is>
      </c>
    </row>
    <row r="492">
      <c r="A492" s="11" t="inlineStr">
        <is>
          <t>82299</t>
        </is>
      </c>
      <c r="B492" s="11" t="inlineStr"/>
      <c r="C492" s="11" t="inlineStr"/>
      <c r="D492" s="11" t="inlineStr"/>
      <c r="E492" s="11" t="inlineStr">
        <is>
          <t>Salton Black 16pc Cutlery Set</t>
        </is>
      </c>
      <c r="F492" s="11" t="inlineStr">
        <is>
          <t>Salton</t>
        </is>
      </c>
      <c r="G492" s="11" t="inlineStr"/>
      <c r="H492" s="11" t="inlineStr"/>
      <c r="I492" s="12" t="n">
        <v>599</v>
      </c>
      <c r="J492" s="6" t="n">
        <v>15</v>
      </c>
      <c r="K492" s="7">
        <f>IF(I492="","",I492*(1+J492/100))</f>
        <v/>
      </c>
      <c r="L492" s="8" t="inlineStr"/>
      <c r="M492" s="9">
        <f>IF(OR(L492="",K492="",L492=0),"",
  (L492-K492)/L492*100)</f>
        <v/>
      </c>
      <c r="N492" s="10" t="inlineStr"/>
      <c r="O492" s="11" t="inlineStr"/>
      <c r="P492" s="11" t="inlineStr"/>
      <c r="Q492" s="11" t="inlineStr"/>
      <c r="R492" s="11" t="inlineStr">
        <is>
          <t>2026-03-12</t>
        </is>
      </c>
      <c r="S492" s="11" t="inlineStr">
        <is>
          <t>Hirschs 47th Anniversary Sale Feb-Mar 2026</t>
        </is>
      </c>
    </row>
    <row r="493">
      <c r="A493" s="3" t="inlineStr">
        <is>
          <t>82811</t>
        </is>
      </c>
      <c r="B493" s="4" t="inlineStr"/>
      <c r="C493" s="4" t="inlineStr"/>
      <c r="D493" s="4" t="inlineStr"/>
      <c r="E493" s="3" t="inlineStr">
        <is>
          <t>Salton 6 Piece Stainless Steel Stackable Pot Set</t>
        </is>
      </c>
      <c r="F493" s="4" t="inlineStr">
        <is>
          <t>Salton</t>
        </is>
      </c>
      <c r="G493" s="4" t="inlineStr"/>
      <c r="H493" s="4" t="inlineStr"/>
      <c r="I493" s="5" t="n">
        <v>749</v>
      </c>
      <c r="J493" s="6" t="n">
        <v>15</v>
      </c>
      <c r="K493" s="7">
        <f>IF(I493="","",I493*(1+J493/100))</f>
        <v/>
      </c>
      <c r="L493" s="8" t="inlineStr"/>
      <c r="M493" s="9">
        <f>IF(OR(L493="",K493="",L493=0),"",
  (L493-K493)/L493*100)</f>
        <v/>
      </c>
      <c r="N493" s="10" t="inlineStr"/>
      <c r="O493" s="4" t="inlineStr"/>
      <c r="P493" s="4" t="inlineStr"/>
      <c r="Q493" s="4" t="inlineStr"/>
      <c r="R493" s="4" t="inlineStr">
        <is>
          <t>2026-03-12</t>
        </is>
      </c>
      <c r="S493" s="4" t="inlineStr">
        <is>
          <t>Hirschs 47th Anniversary Sale Feb-Mar 2026</t>
        </is>
      </c>
    </row>
    <row r="494">
      <c r="A494" s="11" t="inlineStr">
        <is>
          <t>66557</t>
        </is>
      </c>
      <c r="B494" s="11" t="inlineStr"/>
      <c r="C494" s="11" t="inlineStr"/>
      <c r="D494" s="11" t="inlineStr"/>
      <c r="E494" s="11" t="inlineStr">
        <is>
          <t>Salton 40cm Floor Fan</t>
        </is>
      </c>
      <c r="F494" s="11" t="inlineStr">
        <is>
          <t>Salton</t>
        </is>
      </c>
      <c r="G494" s="11" t="inlineStr"/>
      <c r="H494" s="11" t="inlineStr"/>
      <c r="I494" s="12" t="n">
        <v>849</v>
      </c>
      <c r="J494" s="6" t="n">
        <v>15</v>
      </c>
      <c r="K494" s="7">
        <f>IF(I494="","",I494*(1+J494/100))</f>
        <v/>
      </c>
      <c r="L494" s="8" t="inlineStr"/>
      <c r="M494" s="9">
        <f>IF(OR(L494="",K494="",L494=0),"",
  (L494-K494)/L494*100)</f>
        <v/>
      </c>
      <c r="N494" s="10" t="inlineStr"/>
      <c r="O494" s="11" t="inlineStr"/>
      <c r="P494" s="11" t="inlineStr"/>
      <c r="Q494" s="11" t="inlineStr"/>
      <c r="R494" s="11" t="inlineStr">
        <is>
          <t>2026-03-12</t>
        </is>
      </c>
      <c r="S494" s="11" t="inlineStr">
        <is>
          <t>Hirschs 47th Anniversary Sale Feb-Mar 2026</t>
        </is>
      </c>
    </row>
    <row r="495">
      <c r="A495" s="3" t="inlineStr">
        <is>
          <t>84673</t>
        </is>
      </c>
      <c r="B495" s="4" t="inlineStr"/>
      <c r="C495" s="4" t="inlineStr"/>
      <c r="D495" s="4" t="inlineStr"/>
      <c r="E495" s="3" t="inlineStr">
        <is>
          <t>Salton 16" (40cm) Mist Fan</t>
        </is>
      </c>
      <c r="F495" s="4" t="inlineStr">
        <is>
          <t>Salton</t>
        </is>
      </c>
      <c r="G495" s="4" t="inlineStr"/>
      <c r="H495" s="4" t="inlineStr"/>
      <c r="I495" s="5" t="n">
        <v>1999</v>
      </c>
      <c r="J495" s="6" t="n">
        <v>15</v>
      </c>
      <c r="K495" s="7">
        <f>IF(I495="","",I495*(1+J495/100))</f>
        <v/>
      </c>
      <c r="L495" s="8" t="inlineStr"/>
      <c r="M495" s="9">
        <f>IF(OR(L495="",K495="",L495=0),"",
  (L495-K495)/L495*100)</f>
        <v/>
      </c>
      <c r="N495" s="10" t="inlineStr"/>
      <c r="O495" s="4" t="inlineStr"/>
      <c r="P495" s="4" t="inlineStr"/>
      <c r="Q495" s="4" t="inlineStr"/>
      <c r="R495" s="4" t="inlineStr">
        <is>
          <t>2026-03-12</t>
        </is>
      </c>
      <c r="S495" s="4" t="inlineStr">
        <is>
          <t>Hirschs 47th Anniversary Sale Feb-Mar 2026</t>
        </is>
      </c>
    </row>
    <row r="496">
      <c r="A496" s="11" t="inlineStr">
        <is>
          <t>84971</t>
        </is>
      </c>
      <c r="B496" s="11" t="inlineStr"/>
      <c r="C496" s="11" t="inlineStr"/>
      <c r="D496" s="11" t="inlineStr"/>
      <c r="E496" s="11" t="inlineStr">
        <is>
          <t>Hoover Powerdash Carpet Washer</t>
        </is>
      </c>
      <c r="F496" s="11" t="inlineStr">
        <is>
          <t>Hoover</t>
        </is>
      </c>
      <c r="G496" s="11" t="inlineStr"/>
      <c r="H496" s="11" t="inlineStr"/>
      <c r="I496" s="12" t="n">
        <v>3499</v>
      </c>
      <c r="J496" s="6" t="n">
        <v>15</v>
      </c>
      <c r="K496" s="7">
        <f>IF(I496="","",I496*(1+J496/100))</f>
        <v/>
      </c>
      <c r="L496" s="8" t="inlineStr"/>
      <c r="M496" s="9">
        <f>IF(OR(L496="",K496="",L496=0),"",
  (L496-K496)/L496*100)</f>
        <v/>
      </c>
      <c r="N496" s="10" t="inlineStr"/>
      <c r="O496" s="11" t="inlineStr"/>
      <c r="P496" s="11" t="inlineStr"/>
      <c r="Q496" s="11" t="inlineStr"/>
      <c r="R496" s="11" t="inlineStr">
        <is>
          <t>2026-03-12</t>
        </is>
      </c>
      <c r="S496" s="11" t="inlineStr">
        <is>
          <t>Hirschs 47th Anniversary Sale Feb-Mar 2026</t>
        </is>
      </c>
    </row>
    <row r="497">
      <c r="A497" s="3" t="inlineStr">
        <is>
          <t>86187</t>
        </is>
      </c>
      <c r="B497" s="4" t="inlineStr"/>
      <c r="C497" s="4" t="inlineStr"/>
      <c r="D497" s="4" t="inlineStr"/>
      <c r="E497" s="3" t="inlineStr">
        <is>
          <t>Hoover Stick Vacuum Cordless</t>
        </is>
      </c>
      <c r="F497" s="4" t="inlineStr">
        <is>
          <t>Hoover</t>
        </is>
      </c>
      <c r="G497" s="4" t="inlineStr"/>
      <c r="H497" s="4" t="inlineStr"/>
      <c r="I497" s="5" t="n">
        <v>2499</v>
      </c>
      <c r="J497" s="6" t="n">
        <v>15</v>
      </c>
      <c r="K497" s="7">
        <f>IF(I497="","",I497*(1+J497/100))</f>
        <v/>
      </c>
      <c r="L497" s="8" t="inlineStr"/>
      <c r="M497" s="9">
        <f>IF(OR(L497="",K497="",L497=0),"",
  (L497-K497)/L497*100)</f>
        <v/>
      </c>
      <c r="N497" s="10" t="inlineStr"/>
      <c r="O497" s="4" t="inlineStr"/>
      <c r="P497" s="4" t="inlineStr"/>
      <c r="Q497" s="4" t="inlineStr"/>
      <c r="R497" s="4" t="inlineStr">
        <is>
          <t>2026-03-12</t>
        </is>
      </c>
      <c r="S497" s="4" t="inlineStr">
        <is>
          <t>Hirschs 47th Anniversary Sale Feb-Mar 2026</t>
        </is>
      </c>
    </row>
    <row r="498">
      <c r="A498" s="11" t="inlineStr">
        <is>
          <t>75918</t>
        </is>
      </c>
      <c r="B498" s="11" t="inlineStr"/>
      <c r="C498" s="11" t="inlineStr"/>
      <c r="D498" s="11" t="inlineStr"/>
      <c r="E498" s="11" t="inlineStr">
        <is>
          <t>Hoover Wet &amp; Dry Handheld Vacuum</t>
        </is>
      </c>
      <c r="F498" s="11" t="inlineStr">
        <is>
          <t>Hoover</t>
        </is>
      </c>
      <c r="G498" s="11" t="inlineStr"/>
      <c r="H498" s="11" t="inlineStr"/>
      <c r="I498" s="12" t="n">
        <v>999</v>
      </c>
      <c r="J498" s="6" t="n">
        <v>15</v>
      </c>
      <c r="K498" s="7">
        <f>IF(I498="","",I498*(1+J498/100))</f>
        <v/>
      </c>
      <c r="L498" s="8" t="inlineStr"/>
      <c r="M498" s="9">
        <f>IF(OR(L498="",K498="",L498=0),"",
  (L498-K498)/L498*100)</f>
        <v/>
      </c>
      <c r="N498" s="10" t="inlineStr"/>
      <c r="O498" s="11" t="inlineStr"/>
      <c r="P498" s="11" t="inlineStr"/>
      <c r="Q498" s="11" t="inlineStr"/>
      <c r="R498" s="11" t="inlineStr">
        <is>
          <t>2026-03-12</t>
        </is>
      </c>
      <c r="S498" s="11" t="inlineStr">
        <is>
          <t>Hirschs 47th Anniversary Sale Feb-Mar 2026</t>
        </is>
      </c>
    </row>
    <row r="499">
      <c r="A499" s="3" t="inlineStr">
        <is>
          <t>85235</t>
        </is>
      </c>
      <c r="B499" s="4" t="inlineStr"/>
      <c r="C499" s="4" t="inlineStr"/>
      <c r="D499" s="4" t="inlineStr"/>
      <c r="E499" s="3" t="inlineStr">
        <is>
          <t>Hoover ECO Cylinder Vacuum Cleaner</t>
        </is>
      </c>
      <c r="F499" s="4" t="inlineStr">
        <is>
          <t>Hoover</t>
        </is>
      </c>
      <c r="G499" s="4" t="inlineStr"/>
      <c r="H499" s="4" t="inlineStr"/>
      <c r="I499" s="5" t="n">
        <v>2199</v>
      </c>
      <c r="J499" s="6" t="n">
        <v>15</v>
      </c>
      <c r="K499" s="7">
        <f>IF(I499="","",I499*(1+J499/100))</f>
        <v/>
      </c>
      <c r="L499" s="8" t="inlineStr"/>
      <c r="M499" s="9">
        <f>IF(OR(L499="",K499="",L499=0),"",
  (L499-K499)/L499*100)</f>
        <v/>
      </c>
      <c r="N499" s="10" t="inlineStr"/>
      <c r="O499" s="4" t="inlineStr"/>
      <c r="P499" s="4" t="inlineStr"/>
      <c r="Q499" s="4" t="inlineStr"/>
      <c r="R499" s="4" t="inlineStr">
        <is>
          <t>2026-03-12</t>
        </is>
      </c>
      <c r="S499" s="4" t="inlineStr">
        <is>
          <t>Hirschs 47th Anniversary Sale Feb-Mar 2026</t>
        </is>
      </c>
    </row>
    <row r="500">
      <c r="A500" s="11" t="inlineStr">
        <is>
          <t>80995</t>
        </is>
      </c>
      <c r="B500" s="11" t="inlineStr"/>
      <c r="C500" s="11" t="inlineStr"/>
      <c r="D500" s="11" t="inlineStr"/>
      <c r="E500" s="11" t="inlineStr">
        <is>
          <t>Hoover 35l Wet &amp; Dry Vacuum Cleaner</t>
        </is>
      </c>
      <c r="F500" s="11" t="inlineStr">
        <is>
          <t>Hoover</t>
        </is>
      </c>
      <c r="G500" s="11" t="inlineStr"/>
      <c r="H500" s="11" t="inlineStr"/>
      <c r="I500" s="12" t="n">
        <v>1499</v>
      </c>
      <c r="J500" s="6" t="n">
        <v>15</v>
      </c>
      <c r="K500" s="7">
        <f>IF(I500="","",I500*(1+J500/100))</f>
        <v/>
      </c>
      <c r="L500" s="8" t="inlineStr"/>
      <c r="M500" s="9">
        <f>IF(OR(L500="",K500="",L500=0),"",
  (L500-K500)/L500*100)</f>
        <v/>
      </c>
      <c r="N500" s="10" t="inlineStr"/>
      <c r="O500" s="11" t="inlineStr"/>
      <c r="P500" s="11" t="inlineStr"/>
      <c r="Q500" s="11" t="inlineStr"/>
      <c r="R500" s="11" t="inlineStr">
        <is>
          <t>2026-03-12</t>
        </is>
      </c>
      <c r="S500" s="11" t="inlineStr">
        <is>
          <t>Hirschs 47th Anniversary Sale Feb-Mar 2026</t>
        </is>
      </c>
    </row>
    <row r="501">
      <c r="A501" s="3" t="inlineStr">
        <is>
          <t>84972</t>
        </is>
      </c>
      <c r="B501" s="4" t="inlineStr"/>
      <c r="C501" s="4" t="inlineStr"/>
      <c r="D501" s="4" t="inlineStr"/>
      <c r="E501" s="3" t="inlineStr">
        <is>
          <t>Hoover Cleanside Complete Spot Washer</t>
        </is>
      </c>
      <c r="F501" s="4" t="inlineStr">
        <is>
          <t>Hoover</t>
        </is>
      </c>
      <c r="G501" s="4" t="inlineStr"/>
      <c r="H501" s="4" t="inlineStr"/>
      <c r="I501" s="5" t="n">
        <v>3499</v>
      </c>
      <c r="J501" s="6" t="n">
        <v>15</v>
      </c>
      <c r="K501" s="7">
        <f>IF(I501="","",I501*(1+J501/100))</f>
        <v/>
      </c>
      <c r="L501" s="8" t="inlineStr"/>
      <c r="M501" s="9">
        <f>IF(OR(L501="",K501="",L501=0),"",
  (L501-K501)/L501*100)</f>
        <v/>
      </c>
      <c r="N501" s="10" t="inlineStr"/>
      <c r="O501" s="4" t="inlineStr"/>
      <c r="P501" s="4" t="inlineStr"/>
      <c r="Q501" s="4" t="inlineStr"/>
      <c r="R501" s="4" t="inlineStr">
        <is>
          <t>2026-03-12</t>
        </is>
      </c>
      <c r="S501" s="4" t="inlineStr">
        <is>
          <t>Hirschs 47th Anniversary Sale Feb-Mar 2026</t>
        </is>
      </c>
    </row>
    <row r="502">
      <c r="A502" s="11" t="inlineStr">
        <is>
          <t>87438</t>
        </is>
      </c>
      <c r="B502" s="11" t="inlineStr"/>
      <c r="C502" s="11" t="inlineStr"/>
      <c r="D502" s="11" t="inlineStr"/>
      <c r="E502" s="11" t="inlineStr">
        <is>
          <t>Nutribullet McLaren Portable Blender</t>
        </is>
      </c>
      <c r="F502" s="11" t="inlineStr">
        <is>
          <t>Nutribullet</t>
        </is>
      </c>
      <c r="G502" s="11" t="inlineStr"/>
      <c r="H502" s="11" t="inlineStr"/>
      <c r="I502" s="12" t="n">
        <v>1799</v>
      </c>
      <c r="J502" s="6" t="n">
        <v>15</v>
      </c>
      <c r="K502" s="7">
        <f>IF(I502="","",I502*(1+J502/100))</f>
        <v/>
      </c>
      <c r="L502" s="8" t="inlineStr"/>
      <c r="M502" s="9">
        <f>IF(OR(L502="",K502="",L502=0),"",
  (L502-K502)/L502*100)</f>
        <v/>
      </c>
      <c r="N502" s="10" t="inlineStr"/>
      <c r="O502" s="11" t="inlineStr"/>
      <c r="P502" s="11" t="inlineStr"/>
      <c r="Q502" s="11" t="inlineStr"/>
      <c r="R502" s="11" t="inlineStr">
        <is>
          <t>2026-03-12</t>
        </is>
      </c>
      <c r="S502" s="11" t="inlineStr">
        <is>
          <t>Hirschs 47th Anniversary Sale Feb-Mar 2026</t>
        </is>
      </c>
    </row>
    <row r="503">
      <c r="A503" s="3" t="inlineStr">
        <is>
          <t>87437</t>
        </is>
      </c>
      <c r="B503" s="4" t="inlineStr"/>
      <c r="C503" s="4" t="inlineStr"/>
      <c r="D503" s="4" t="inlineStr"/>
      <c r="E503" s="3" t="inlineStr">
        <is>
          <t>Nutribullet McLaren Papaya Portable Blender</t>
        </is>
      </c>
      <c r="F503" s="4" t="inlineStr">
        <is>
          <t>Nutribullet</t>
        </is>
      </c>
      <c r="G503" s="4" t="inlineStr"/>
      <c r="H503" s="4" t="inlineStr"/>
      <c r="I503" s="5" t="n">
        <v>1799</v>
      </c>
      <c r="J503" s="6" t="n">
        <v>15</v>
      </c>
      <c r="K503" s="7">
        <f>IF(I503="","",I503*(1+J503/100))</f>
        <v/>
      </c>
      <c r="L503" s="8" t="inlineStr"/>
      <c r="M503" s="9">
        <f>IF(OR(L503="",K503="",L503=0),"",
  (L503-K503)/L503*100)</f>
        <v/>
      </c>
      <c r="N503" s="10" t="inlineStr"/>
      <c r="O503" s="4" t="inlineStr"/>
      <c r="P503" s="4" t="inlineStr"/>
      <c r="Q503" s="4" t="inlineStr"/>
      <c r="R503" s="4" t="inlineStr">
        <is>
          <t>2026-03-12</t>
        </is>
      </c>
      <c r="S503" s="4" t="inlineStr">
        <is>
          <t>Hirschs 47th Anniversary Sale Feb-Mar 2026</t>
        </is>
      </c>
    </row>
    <row r="504">
      <c r="A504" s="13" t="inlineStr"/>
      <c r="B504" s="11" t="inlineStr"/>
      <c r="C504" s="11" t="inlineStr"/>
      <c r="D504" s="11" t="inlineStr"/>
      <c r="E504" s="11" t="inlineStr">
        <is>
          <t>Nutribullet 900W Series McLaren Limited Edition Pro</t>
        </is>
      </c>
      <c r="F504" s="11" t="inlineStr">
        <is>
          <t>Nutribullet</t>
        </is>
      </c>
      <c r="G504" s="11" t="inlineStr"/>
      <c r="H504" s="11" t="inlineStr"/>
      <c r="I504" s="12" t="n">
        <v>2799</v>
      </c>
      <c r="J504" s="6" t="n">
        <v>15</v>
      </c>
      <c r="K504" s="7">
        <f>IF(I504="","",I504*(1+J504/100))</f>
        <v/>
      </c>
      <c r="L504" s="8" t="inlineStr"/>
      <c r="M504" s="9">
        <f>IF(OR(L504="",K504="",L504=0),"",
  (L504-K504)/L504*100)</f>
        <v/>
      </c>
      <c r="N504" s="10" t="inlineStr"/>
      <c r="O504" s="11" t="inlineStr"/>
      <c r="P504" s="11" t="inlineStr"/>
      <c r="Q504" s="11" t="inlineStr"/>
      <c r="R504" s="11" t="inlineStr">
        <is>
          <t>2026-03-12</t>
        </is>
      </c>
      <c r="S504" s="11" t="inlineStr">
        <is>
          <t>Hirschs 47th Anniversary Sale Feb-Mar 2026</t>
        </is>
      </c>
    </row>
    <row r="505">
      <c r="A505" s="3" t="inlineStr">
        <is>
          <t>82649</t>
        </is>
      </c>
      <c r="B505" s="4" t="inlineStr"/>
      <c r="C505" s="4" t="inlineStr"/>
      <c r="D505" s="4" t="inlineStr"/>
      <c r="E505" s="3" t="inlineStr">
        <is>
          <t>Nutribullet Ultra Blender</t>
        </is>
      </c>
      <c r="F505" s="4" t="inlineStr">
        <is>
          <t>Nutribullet</t>
        </is>
      </c>
      <c r="G505" s="4" t="inlineStr"/>
      <c r="H505" s="4" t="inlineStr"/>
      <c r="I505" s="5" t="n">
        <v>3299</v>
      </c>
      <c r="J505" s="6" t="n">
        <v>15</v>
      </c>
      <c r="K505" s="7">
        <f>IF(I505="","",I505*(1+J505/100))</f>
        <v/>
      </c>
      <c r="L505" s="8" t="inlineStr"/>
      <c r="M505" s="9">
        <f>IF(OR(L505="",K505="",L505=0),"",
  (L505-K505)/L505*100)</f>
        <v/>
      </c>
      <c r="N505" s="10" t="inlineStr"/>
      <c r="O505" s="4" t="inlineStr"/>
      <c r="P505" s="4" t="inlineStr"/>
      <c r="Q505" s="4" t="inlineStr"/>
      <c r="R505" s="4" t="inlineStr">
        <is>
          <t>2026-03-12</t>
        </is>
      </c>
      <c r="S505" s="4" t="inlineStr">
        <is>
          <t>Hirschs 47th Anniversary Sale Feb-Mar 2026</t>
        </is>
      </c>
    </row>
    <row r="506">
      <c r="A506" s="11" t="inlineStr">
        <is>
          <t>82746</t>
        </is>
      </c>
      <c r="B506" s="11" t="inlineStr"/>
      <c r="C506" s="11" t="inlineStr"/>
      <c r="D506" s="11" t="inlineStr"/>
      <c r="E506" s="11" t="inlineStr">
        <is>
          <t>Nutribullet Pro+ 1200W High Speed Blender</t>
        </is>
      </c>
      <c r="F506" s="11" t="inlineStr">
        <is>
          <t>Nutribullet</t>
        </is>
      </c>
      <c r="G506" s="11" t="inlineStr"/>
      <c r="H506" s="11" t="inlineStr"/>
      <c r="I506" s="12" t="n">
        <v>3299</v>
      </c>
      <c r="J506" s="6" t="n">
        <v>15</v>
      </c>
      <c r="K506" s="7">
        <f>IF(I506="","",I506*(1+J506/100))</f>
        <v/>
      </c>
      <c r="L506" s="8" t="inlineStr"/>
      <c r="M506" s="9">
        <f>IF(OR(L506="",K506="",L506=0),"",
  (L506-K506)/L506*100)</f>
        <v/>
      </c>
      <c r="N506" s="10" t="inlineStr"/>
      <c r="O506" s="11" t="inlineStr"/>
      <c r="P506" s="11" t="inlineStr"/>
      <c r="Q506" s="11" t="inlineStr"/>
      <c r="R506" s="11" t="inlineStr">
        <is>
          <t>2026-03-12</t>
        </is>
      </c>
      <c r="S506" s="11" t="inlineStr">
        <is>
          <t>Hirschs 47th Anniversary Sale Feb-Mar 2026</t>
        </is>
      </c>
    </row>
    <row r="507">
      <c r="A507" s="3" t="inlineStr">
        <is>
          <t>82308</t>
        </is>
      </c>
      <c r="B507" s="4" t="inlineStr"/>
      <c r="C507" s="4" t="inlineStr"/>
      <c r="D507" s="4" t="inlineStr"/>
      <c r="E507" s="3" t="inlineStr">
        <is>
          <t>Nutribullet 900 Series Pro MATTE Black</t>
        </is>
      </c>
      <c r="F507" s="4" t="inlineStr">
        <is>
          <t>Nutribullet</t>
        </is>
      </c>
      <c r="G507" s="4" t="inlineStr"/>
      <c r="H507" s="4" t="inlineStr"/>
      <c r="I507" s="5" t="n">
        <v>2399</v>
      </c>
      <c r="J507" s="6" t="n">
        <v>15</v>
      </c>
      <c r="K507" s="7">
        <f>IF(I507="","",I507*(1+J507/100))</f>
        <v/>
      </c>
      <c r="L507" s="8" t="inlineStr"/>
      <c r="M507" s="9">
        <f>IF(OR(L507="",K507="",L507=0),"",
  (L507-K507)/L507*100)</f>
        <v/>
      </c>
      <c r="N507" s="10" t="inlineStr"/>
      <c r="O507" s="4" t="inlineStr"/>
      <c r="P507" s="4" t="inlineStr"/>
      <c r="Q507" s="4" t="inlineStr"/>
      <c r="R507" s="4" t="inlineStr">
        <is>
          <t>2026-03-12</t>
        </is>
      </c>
      <c r="S507" s="4" t="inlineStr">
        <is>
          <t>Hirschs 47th Anniversary Sale Feb-Mar 2026</t>
        </is>
      </c>
    </row>
    <row r="508">
      <c r="A508" s="11" t="inlineStr">
        <is>
          <t>87852</t>
        </is>
      </c>
      <c r="B508" s="11" t="inlineStr"/>
      <c r="C508" s="11" t="inlineStr"/>
      <c r="D508" s="11" t="inlineStr"/>
      <c r="E508" s="11" t="inlineStr">
        <is>
          <t>Nutribullet Triple Prep System</t>
        </is>
      </c>
      <c r="F508" s="11" t="inlineStr">
        <is>
          <t>Nutribullet</t>
        </is>
      </c>
      <c r="G508" s="11" t="inlineStr"/>
      <c r="H508" s="11" t="inlineStr"/>
      <c r="I508" s="12" t="n">
        <v>7499</v>
      </c>
      <c r="J508" s="6" t="n">
        <v>15</v>
      </c>
      <c r="K508" s="7">
        <f>IF(I508="","",I508*(1+J508/100))</f>
        <v/>
      </c>
      <c r="L508" s="8" t="inlineStr"/>
      <c r="M508" s="9">
        <f>IF(OR(L508="",K508="",L508=0),"",
  (L508-K508)/L508*100)</f>
        <v/>
      </c>
      <c r="N508" s="10" t="inlineStr"/>
      <c r="O508" s="11" t="inlineStr"/>
      <c r="P508" s="11" t="inlineStr"/>
      <c r="Q508" s="11" t="inlineStr"/>
      <c r="R508" s="11" t="inlineStr">
        <is>
          <t>2026-03-12</t>
        </is>
      </c>
      <c r="S508" s="11" t="inlineStr">
        <is>
          <t>Hirschs 47th Anniversary Sale Feb-Mar 2026</t>
        </is>
      </c>
    </row>
    <row r="509">
      <c r="A509" s="3" t="inlineStr">
        <is>
          <t>87853</t>
        </is>
      </c>
      <c r="B509" s="4" t="inlineStr"/>
      <c r="C509" s="4" t="inlineStr"/>
      <c r="D509" s="4" t="inlineStr"/>
      <c r="E509" s="3" t="inlineStr">
        <is>
          <t>Nutribullet Smart Sense Blender Combo</t>
        </is>
      </c>
      <c r="F509" s="4" t="inlineStr">
        <is>
          <t>Nutribullet</t>
        </is>
      </c>
      <c r="G509" s="4" t="inlineStr"/>
      <c r="H509" s="4" t="inlineStr"/>
      <c r="I509" s="5" t="n">
        <v>4299</v>
      </c>
      <c r="J509" s="6" t="n">
        <v>15</v>
      </c>
      <c r="K509" s="7">
        <f>IF(I509="","",I509*(1+J509/100))</f>
        <v/>
      </c>
      <c r="L509" s="8" t="inlineStr"/>
      <c r="M509" s="9">
        <f>IF(OR(L509="",K509="",L509=0),"",
  (L509-K509)/L509*100)</f>
        <v/>
      </c>
      <c r="N509" s="10" t="inlineStr"/>
      <c r="O509" s="4" t="inlineStr"/>
      <c r="P509" s="4" t="inlineStr"/>
      <c r="Q509" s="4" t="inlineStr"/>
      <c r="R509" s="4" t="inlineStr">
        <is>
          <t>2026-03-12</t>
        </is>
      </c>
      <c r="S509" s="4" t="inlineStr">
        <is>
          <t>Hirschs 47th Anniversary Sale Feb-Mar 2026</t>
        </is>
      </c>
    </row>
    <row r="510">
      <c r="A510" s="11" t="inlineStr">
        <is>
          <t>79936</t>
        </is>
      </c>
      <c r="B510" s="11" t="inlineStr"/>
      <c r="C510" s="11" t="inlineStr"/>
      <c r="D510" s="11" t="inlineStr"/>
      <c r="E510" s="11" t="inlineStr">
        <is>
          <t>Nutribullet 600W Juicer</t>
        </is>
      </c>
      <c r="F510" s="11" t="inlineStr">
        <is>
          <t>Nutribullet</t>
        </is>
      </c>
      <c r="G510" s="11" t="inlineStr"/>
      <c r="H510" s="11" t="inlineStr"/>
      <c r="I510" s="12" t="n">
        <v>2799</v>
      </c>
      <c r="J510" s="6" t="n">
        <v>15</v>
      </c>
      <c r="K510" s="7">
        <f>IF(I510="","",I510*(1+J510/100))</f>
        <v/>
      </c>
      <c r="L510" s="8" t="inlineStr"/>
      <c r="M510" s="9">
        <f>IF(OR(L510="",K510="",L510=0),"",
  (L510-K510)/L510*100)</f>
        <v/>
      </c>
      <c r="N510" s="10" t="inlineStr"/>
      <c r="O510" s="11" t="inlineStr"/>
      <c r="P510" s="11" t="inlineStr"/>
      <c r="Q510" s="11" t="inlineStr"/>
      <c r="R510" s="11" t="inlineStr">
        <is>
          <t>2026-03-12</t>
        </is>
      </c>
      <c r="S510" s="11" t="inlineStr">
        <is>
          <t>Hirschs 47th Anniversary Sale Feb-Mar 2026</t>
        </is>
      </c>
    </row>
    <row r="511">
      <c r="A511" s="13" t="inlineStr"/>
      <c r="B511" s="4" t="inlineStr"/>
      <c r="C511" s="4" t="inlineStr"/>
      <c r="D511" s="4" t="inlineStr"/>
      <c r="E511" s="3" t="inlineStr">
        <is>
          <t>Kuvings KUVINGS AUTO 6</t>
        </is>
      </c>
      <c r="F511" s="4" t="inlineStr">
        <is>
          <t>Kuvings</t>
        </is>
      </c>
      <c r="G511" s="4" t="inlineStr"/>
      <c r="H511" s="4" t="inlineStr"/>
      <c r="I511" s="5" t="n">
        <v>5299</v>
      </c>
      <c r="J511" s="6" t="n">
        <v>15</v>
      </c>
      <c r="K511" s="7">
        <f>IF(I511="","",I511*(1+J511/100))</f>
        <v/>
      </c>
      <c r="L511" s="8" t="inlineStr"/>
      <c r="M511" s="9">
        <f>IF(OR(L511="",K511="",L511=0),"",
  (L511-K511)/L511*100)</f>
        <v/>
      </c>
      <c r="N511" s="10" t="inlineStr"/>
      <c r="O511" s="4" t="inlineStr"/>
      <c r="P511" s="4" t="inlineStr"/>
      <c r="Q511" s="4" t="inlineStr"/>
      <c r="R511" s="4" t="inlineStr">
        <is>
          <t>2026-03-12</t>
        </is>
      </c>
      <c r="S511" s="4" t="inlineStr">
        <is>
          <t>Hirschs 47th Anniversary Sale Feb-Mar 2026</t>
        </is>
      </c>
    </row>
    <row r="512">
      <c r="A512" s="13" t="inlineStr"/>
      <c r="B512" s="11" t="inlineStr"/>
      <c r="C512" s="11" t="inlineStr"/>
      <c r="D512" s="11" t="inlineStr"/>
      <c r="E512" s="11" t="inlineStr">
        <is>
          <t>Kuvings KUVINGS REVO830</t>
        </is>
      </c>
      <c r="F512" s="11" t="inlineStr">
        <is>
          <t>Kuvings</t>
        </is>
      </c>
      <c r="G512" s="11" t="inlineStr"/>
      <c r="H512" s="11" t="inlineStr"/>
      <c r="I512" s="12" t="n">
        <v>8699</v>
      </c>
      <c r="J512" s="6" t="n">
        <v>15</v>
      </c>
      <c r="K512" s="7">
        <f>IF(I512="","",I512*(1+J512/100))</f>
        <v/>
      </c>
      <c r="L512" s="8" t="inlineStr"/>
      <c r="M512" s="9">
        <f>IF(OR(L512="",K512="",L512=0),"",
  (L512-K512)/L512*100)</f>
        <v/>
      </c>
      <c r="N512" s="10" t="inlineStr"/>
      <c r="O512" s="11" t="inlineStr"/>
      <c r="P512" s="11" t="inlineStr"/>
      <c r="Q512" s="11" t="inlineStr"/>
      <c r="R512" s="11" t="inlineStr">
        <is>
          <t>2026-03-12</t>
        </is>
      </c>
      <c r="S512" s="11" t="inlineStr">
        <is>
          <t>Hirschs 47th Anniversary Sale Feb-Mar 2026</t>
        </is>
      </c>
    </row>
    <row r="513">
      <c r="A513" s="13" t="inlineStr"/>
      <c r="B513" s="4" t="inlineStr"/>
      <c r="C513" s="4" t="inlineStr"/>
      <c r="D513" s="4" t="inlineStr"/>
      <c r="E513" s="3" t="inlineStr">
        <is>
          <t>Kuvings KUVINGS AUTO 10</t>
        </is>
      </c>
      <c r="F513" s="4" t="inlineStr">
        <is>
          <t>Kuvings</t>
        </is>
      </c>
      <c r="G513" s="4" t="inlineStr"/>
      <c r="H513" s="4" t="inlineStr"/>
      <c r="I513" s="5" t="n">
        <v>9999</v>
      </c>
      <c r="J513" s="6" t="n">
        <v>15</v>
      </c>
      <c r="K513" s="7">
        <f>IF(I513="","",I513*(1+J513/100))</f>
        <v/>
      </c>
      <c r="L513" s="8" t="inlineStr"/>
      <c r="M513" s="9">
        <f>IF(OR(L513="",K513="",L513=0),"",
  (L513-K513)/L513*100)</f>
        <v/>
      </c>
      <c r="N513" s="10" t="inlineStr"/>
      <c r="O513" s="4" t="inlineStr"/>
      <c r="P513" s="4" t="inlineStr"/>
      <c r="Q513" s="4" t="inlineStr"/>
      <c r="R513" s="4" t="inlineStr">
        <is>
          <t>2026-03-12</t>
        </is>
      </c>
      <c r="S513" s="4" t="inlineStr">
        <is>
          <t>Hirschs 47th Anniversary Sale Feb-Mar 2026</t>
        </is>
      </c>
    </row>
    <row r="514">
      <c r="A514" s="11" t="inlineStr">
        <is>
          <t>85675</t>
        </is>
      </c>
      <c r="B514" s="11" t="inlineStr"/>
      <c r="C514" s="11" t="inlineStr"/>
      <c r="D514" s="11" t="inlineStr"/>
      <c r="E514" s="11" t="inlineStr">
        <is>
          <t>Sodastream ENSO Stainless Steel Sparkling Water Maker</t>
        </is>
      </c>
      <c r="F514" s="11" t="inlineStr">
        <is>
          <t>Sodastream</t>
        </is>
      </c>
      <c r="G514" s="11" t="inlineStr"/>
      <c r="H514" s="11" t="inlineStr"/>
      <c r="I514" s="12" t="n">
        <v>2999</v>
      </c>
      <c r="J514" s="6" t="n">
        <v>15</v>
      </c>
      <c r="K514" s="7">
        <f>IF(I514="","",I514*(1+J514/100))</f>
        <v/>
      </c>
      <c r="L514" s="8" t="inlineStr"/>
      <c r="M514" s="9">
        <f>IF(OR(L514="",K514="",L514=0),"",
  (L514-K514)/L514*100)</f>
        <v/>
      </c>
      <c r="N514" s="10" t="inlineStr"/>
      <c r="O514" s="11" t="inlineStr"/>
      <c r="P514" s="11" t="inlineStr"/>
      <c r="Q514" s="11" t="inlineStr"/>
      <c r="R514" s="11" t="inlineStr">
        <is>
          <t>2026-03-12</t>
        </is>
      </c>
      <c r="S514" s="11" t="inlineStr">
        <is>
          <t>Hirschs 47th Anniversary Sale Feb-Mar 2026</t>
        </is>
      </c>
    </row>
    <row r="515">
      <c r="A515" s="13" t="inlineStr"/>
      <c r="B515" s="4" t="inlineStr"/>
      <c r="C515" s="4" t="inlineStr"/>
      <c r="D515" s="4" t="inlineStr"/>
      <c r="E515" s="3" t="inlineStr">
        <is>
          <t>Sodastream ART Sparkling Water Maker</t>
        </is>
      </c>
      <c r="F515" s="4" t="inlineStr">
        <is>
          <t>Sodastream</t>
        </is>
      </c>
      <c r="G515" s="4" t="inlineStr"/>
      <c r="H515" s="4" t="inlineStr"/>
      <c r="I515" s="5" t="n">
        <v>1599</v>
      </c>
      <c r="J515" s="6" t="n">
        <v>15</v>
      </c>
      <c r="K515" s="7">
        <f>IF(I515="","",I515*(1+J515/100))</f>
        <v/>
      </c>
      <c r="L515" s="8" t="inlineStr"/>
      <c r="M515" s="9">
        <f>IF(OR(L515="",K515="",L515=0),"",
  (L515-K515)/L515*100)</f>
        <v/>
      </c>
      <c r="N515" s="10" t="inlineStr"/>
      <c r="O515" s="4" t="inlineStr"/>
      <c r="P515" s="4" t="inlineStr"/>
      <c r="Q515" s="4" t="inlineStr"/>
      <c r="R515" s="4" t="inlineStr">
        <is>
          <t>2026-03-12</t>
        </is>
      </c>
      <c r="S515" s="4" t="inlineStr">
        <is>
          <t>Hirschs 47th Anniversary Sale Feb-Mar 2026</t>
        </is>
      </c>
    </row>
    <row r="516">
      <c r="A516" s="13" t="inlineStr"/>
      <c r="B516" s="11" t="inlineStr"/>
      <c r="C516" s="11" t="inlineStr"/>
      <c r="D516" s="11" t="inlineStr"/>
      <c r="E516" s="11" t="inlineStr">
        <is>
          <t>Sodastream TERRA Sparkling Water Maker</t>
        </is>
      </c>
      <c r="F516" s="11" t="inlineStr">
        <is>
          <t>Sodastream</t>
        </is>
      </c>
      <c r="G516" s="11" t="inlineStr"/>
      <c r="H516" s="11" t="inlineStr"/>
      <c r="I516" s="12" t="n">
        <v>1299</v>
      </c>
      <c r="J516" s="6" t="n">
        <v>15</v>
      </c>
      <c r="K516" s="7">
        <f>IF(I516="","",I516*(1+J516/100))</f>
        <v/>
      </c>
      <c r="L516" s="8" t="inlineStr"/>
      <c r="M516" s="9">
        <f>IF(OR(L516="",K516="",L516=0),"",
  (L516-K516)/L516*100)</f>
        <v/>
      </c>
      <c r="N516" s="10" t="inlineStr"/>
      <c r="O516" s="11" t="inlineStr"/>
      <c r="P516" s="11" t="inlineStr"/>
      <c r="Q516" s="11" t="inlineStr"/>
      <c r="R516" s="11" t="inlineStr">
        <is>
          <t>2026-03-12</t>
        </is>
      </c>
      <c r="S516" s="11" t="inlineStr">
        <is>
          <t>Hirschs 47th Anniversary Sale Feb-Mar 2026</t>
        </is>
      </c>
    </row>
    <row r="517">
      <c r="A517" s="3" t="inlineStr">
        <is>
          <t>85425</t>
        </is>
      </c>
      <c r="B517" s="4" t="inlineStr"/>
      <c r="C517" s="4" t="inlineStr"/>
      <c r="D517" s="4" t="inlineStr"/>
      <c r="E517" s="3" t="inlineStr">
        <is>
          <t>Sodastream GAIA Sparkling Water Maker</t>
        </is>
      </c>
      <c r="F517" s="4" t="inlineStr">
        <is>
          <t>Sodastream</t>
        </is>
      </c>
      <c r="G517" s="4" t="inlineStr"/>
      <c r="H517" s="4" t="inlineStr"/>
      <c r="I517" s="5" t="n">
        <v>999</v>
      </c>
      <c r="J517" s="6" t="n">
        <v>15</v>
      </c>
      <c r="K517" s="7">
        <f>IF(I517="","",I517*(1+J517/100))</f>
        <v/>
      </c>
      <c r="L517" s="8" t="inlineStr"/>
      <c r="M517" s="9">
        <f>IF(OR(L517="",K517="",L517=0),"",
  (L517-K517)/L517*100)</f>
        <v/>
      </c>
      <c r="N517" s="10" t="inlineStr"/>
      <c r="O517" s="4" t="inlineStr"/>
      <c r="P517" s="4" t="inlineStr"/>
      <c r="Q517" s="4" t="inlineStr"/>
      <c r="R517" s="4" t="inlineStr">
        <is>
          <t>2026-03-12</t>
        </is>
      </c>
      <c r="S517" s="4" t="inlineStr">
        <is>
          <t>Hirschs 47th Anniversary Sale Feb-Mar 2026</t>
        </is>
      </c>
    </row>
    <row r="518">
      <c r="A518" s="13" t="inlineStr"/>
      <c r="B518" s="11" t="inlineStr"/>
      <c r="C518" s="11" t="inlineStr"/>
      <c r="D518" s="11" t="inlineStr"/>
      <c r="E518" s="11" t="inlineStr">
        <is>
          <t>Sodastream TRIO PACK Slim Carbonating Bottles 1L</t>
        </is>
      </c>
      <c r="F518" s="11" t="inlineStr">
        <is>
          <t>Sodastream</t>
        </is>
      </c>
      <c r="G518" s="11" t="inlineStr"/>
      <c r="H518" s="11" t="inlineStr"/>
      <c r="I518" s="12" t="n">
        <v>149</v>
      </c>
      <c r="J518" s="6" t="n">
        <v>15</v>
      </c>
      <c r="K518" s="7">
        <f>IF(I518="","",I518*(1+J518/100))</f>
        <v/>
      </c>
      <c r="L518" s="8" t="inlineStr"/>
      <c r="M518" s="9">
        <f>IF(OR(L518="",K518="",L518=0),"",
  (L518-K518)/L518*100)</f>
        <v/>
      </c>
      <c r="N518" s="10" t="inlineStr"/>
      <c r="O518" s="11" t="inlineStr"/>
      <c r="P518" s="11" t="inlineStr"/>
      <c r="Q518" s="11" t="inlineStr"/>
      <c r="R518" s="11" t="inlineStr">
        <is>
          <t>2026-03-12</t>
        </is>
      </c>
      <c r="S518" s="11" t="inlineStr">
        <is>
          <t>Hirschs 47th Anniversary Sale Feb-Mar 2026</t>
        </is>
      </c>
    </row>
    <row r="519">
      <c r="A519" s="13" t="inlineStr"/>
      <c r="B519" s="4" t="inlineStr"/>
      <c r="C519" s="4" t="inlineStr"/>
      <c r="D519" s="4" t="inlineStr"/>
      <c r="E519" s="3" t="inlineStr">
        <is>
          <t>Sodastream TWIN PACK Slim Carbonating Bottles 1L</t>
        </is>
      </c>
      <c r="F519" s="4" t="inlineStr">
        <is>
          <t>Sodastream</t>
        </is>
      </c>
      <c r="G519" s="4" t="inlineStr"/>
      <c r="H519" s="4" t="inlineStr"/>
      <c r="I519" s="5" t="n">
        <v>199</v>
      </c>
      <c r="J519" s="6" t="n">
        <v>15</v>
      </c>
      <c r="K519" s="7">
        <f>IF(I519="","",I519*(1+J519/100))</f>
        <v/>
      </c>
      <c r="L519" s="8" t="inlineStr"/>
      <c r="M519" s="9">
        <f>IF(OR(L519="",K519="",L519=0),"",
  (L519-K519)/L519*100)</f>
        <v/>
      </c>
      <c r="N519" s="10" t="inlineStr"/>
      <c r="O519" s="4" t="inlineStr"/>
      <c r="P519" s="4" t="inlineStr"/>
      <c r="Q519" s="4" t="inlineStr"/>
      <c r="R519" s="4" t="inlineStr">
        <is>
          <t>2026-03-12</t>
        </is>
      </c>
      <c r="S519" s="4" t="inlineStr">
        <is>
          <t>Hirschs 47th Anniversary Sale Feb-Mar 2026</t>
        </is>
      </c>
    </row>
    <row r="520">
      <c r="A520" s="13" t="inlineStr"/>
      <c r="B520" s="11" t="inlineStr"/>
      <c r="C520" s="11" t="inlineStr"/>
      <c r="D520" s="11" t="inlineStr"/>
      <c r="E520" s="11" t="inlineStr">
        <is>
          <t>Sodastream FIZZ &amp; GO Insulated Stainless Steel Bottle 900ml</t>
        </is>
      </c>
      <c r="F520" s="11" t="inlineStr">
        <is>
          <t>Sodastream</t>
        </is>
      </c>
      <c r="G520" s="11" t="inlineStr"/>
      <c r="H520" s="11" t="inlineStr"/>
      <c r="I520" s="12" t="n">
        <v>399</v>
      </c>
      <c r="J520" s="6" t="n">
        <v>15</v>
      </c>
      <c r="K520" s="7">
        <f>IF(I520="","",I520*(1+J520/100))</f>
        <v/>
      </c>
      <c r="L520" s="8" t="inlineStr"/>
      <c r="M520" s="9">
        <f>IF(OR(L520="",K520="",L520=0),"",
  (L520-K520)/L520*100)</f>
        <v/>
      </c>
      <c r="N520" s="10" t="inlineStr"/>
      <c r="O520" s="11" t="inlineStr"/>
      <c r="P520" s="11" t="inlineStr"/>
      <c r="Q520" s="11" t="inlineStr"/>
      <c r="R520" s="11" t="inlineStr">
        <is>
          <t>2026-03-12</t>
        </is>
      </c>
      <c r="S520" s="11" t="inlineStr">
        <is>
          <t>Hirschs 47th Anniversary Sale Feb-Mar 2026</t>
        </is>
      </c>
    </row>
    <row r="521">
      <c r="A521" s="13" t="inlineStr"/>
      <c r="B521" s="4" t="inlineStr"/>
      <c r="C521" s="4" t="inlineStr"/>
      <c r="D521" s="4" t="inlineStr"/>
      <c r="E521" s="3" t="inlineStr">
        <is>
          <t>Sodastream Spare CO2 Cylinder Quick Connect</t>
        </is>
      </c>
      <c r="F521" s="4" t="inlineStr">
        <is>
          <t>Sodastream</t>
        </is>
      </c>
      <c r="G521" s="4" t="inlineStr"/>
      <c r="H521" s="4" t="inlineStr"/>
      <c r="I521" s="5" t="n">
        <v>449</v>
      </c>
      <c r="J521" s="6" t="n">
        <v>15</v>
      </c>
      <c r="K521" s="7">
        <f>IF(I521="","",I521*(1+J521/100))</f>
        <v/>
      </c>
      <c r="L521" s="8" t="inlineStr"/>
      <c r="M521" s="9">
        <f>IF(OR(L521="",K521="",L521=0),"",
  (L521-K521)/L521*100)</f>
        <v/>
      </c>
      <c r="N521" s="10" t="inlineStr"/>
      <c r="O521" s="4" t="inlineStr"/>
      <c r="P521" s="4" t="inlineStr"/>
      <c r="Q521" s="4" t="inlineStr"/>
      <c r="R521" s="4" t="inlineStr">
        <is>
          <t>2026-03-12</t>
        </is>
      </c>
      <c r="S521" s="4" t="inlineStr">
        <is>
          <t>Hirschs 47th Anniversary Sale Feb-Mar 2026</t>
        </is>
      </c>
    </row>
    <row r="522">
      <c r="A522" s="13" t="inlineStr"/>
      <c r="B522" s="11" t="inlineStr"/>
      <c r="C522" s="11" t="inlineStr"/>
      <c r="D522" s="11" t="inlineStr"/>
      <c r="E522" s="11" t="inlineStr">
        <is>
          <t>Sodastream Spare CO2 Cylinder Screw In</t>
        </is>
      </c>
      <c r="F522" s="11" t="inlineStr">
        <is>
          <t>Sodastream</t>
        </is>
      </c>
      <c r="G522" s="11" t="inlineStr"/>
      <c r="H522" s="11" t="inlineStr"/>
      <c r="I522" s="12" t="n">
        <v>449</v>
      </c>
      <c r="J522" s="6" t="n">
        <v>15</v>
      </c>
      <c r="K522" s="7">
        <f>IF(I522="","",I522*(1+J522/100))</f>
        <v/>
      </c>
      <c r="L522" s="8" t="inlineStr"/>
      <c r="M522" s="9">
        <f>IF(OR(L522="",K522="",L522=0),"",
  (L522-K522)/L522*100)</f>
        <v/>
      </c>
      <c r="N522" s="10" t="inlineStr"/>
      <c r="O522" s="11" t="inlineStr"/>
      <c r="P522" s="11" t="inlineStr"/>
      <c r="Q522" s="11" t="inlineStr"/>
      <c r="R522" s="11" t="inlineStr">
        <is>
          <t>2026-03-12</t>
        </is>
      </c>
      <c r="S522" s="11" t="inlineStr">
        <is>
          <t>Hirschs 47th Anniversary Sale Feb-Mar 2026</t>
        </is>
      </c>
    </row>
    <row r="523">
      <c r="A523" s="3" t="inlineStr">
        <is>
          <t>82132</t>
        </is>
      </c>
      <c r="B523" s="4" t="inlineStr"/>
      <c r="C523" s="4" t="inlineStr"/>
      <c r="D523" s="4" t="inlineStr"/>
      <c r="E523" s="3" t="inlineStr">
        <is>
          <t>Russell Hobbs 20L Stainless Steel Electronic Microwave</t>
        </is>
      </c>
      <c r="F523" s="4" t="inlineStr">
        <is>
          <t>Russell Hobbs</t>
        </is>
      </c>
      <c r="G523" s="4" t="inlineStr"/>
      <c r="H523" s="4" t="inlineStr"/>
      <c r="I523" s="5" t="n">
        <v>1099</v>
      </c>
      <c r="J523" s="6" t="n">
        <v>15</v>
      </c>
      <c r="K523" s="7">
        <f>IF(I523="","",I523*(1+J523/100))</f>
        <v/>
      </c>
      <c r="L523" s="8" t="inlineStr"/>
      <c r="M523" s="9">
        <f>IF(OR(L523="",K523="",L523=0),"",
  (L523-K523)/L523*100)</f>
        <v/>
      </c>
      <c r="N523" s="10" t="inlineStr"/>
      <c r="O523" s="4" t="inlineStr"/>
      <c r="P523" s="4" t="inlineStr"/>
      <c r="Q523" s="4" t="inlineStr"/>
      <c r="R523" s="4" t="inlineStr">
        <is>
          <t>2026-03-12</t>
        </is>
      </c>
      <c r="S523" s="4" t="inlineStr">
        <is>
          <t>Hirschs 47th Anniversary Sale Feb-Mar 2026</t>
        </is>
      </c>
    </row>
    <row r="524">
      <c r="A524" s="11" t="inlineStr">
        <is>
          <t>85615</t>
        </is>
      </c>
      <c r="B524" s="11" t="inlineStr"/>
      <c r="C524" s="11" t="inlineStr"/>
      <c r="D524" s="11" t="inlineStr"/>
      <c r="E524" s="11" t="inlineStr">
        <is>
          <t>Russell Hobbs 30L Silver Airfryer Oven</t>
        </is>
      </c>
      <c r="F524" s="11" t="inlineStr">
        <is>
          <t>Russell Hobbs</t>
        </is>
      </c>
      <c r="G524" s="11" t="inlineStr"/>
      <c r="H524" s="11" t="inlineStr"/>
      <c r="I524" s="12" t="n">
        <v>2899</v>
      </c>
      <c r="J524" s="6" t="n">
        <v>15</v>
      </c>
      <c r="K524" s="7">
        <f>IF(I524="","",I524*(1+J524/100))</f>
        <v/>
      </c>
      <c r="L524" s="8" t="inlineStr"/>
      <c r="M524" s="9">
        <f>IF(OR(L524="",K524="",L524=0),"",
  (L524-K524)/L524*100)</f>
        <v/>
      </c>
      <c r="N524" s="10" t="inlineStr"/>
      <c r="O524" s="11" t="inlineStr"/>
      <c r="P524" s="11" t="inlineStr"/>
      <c r="Q524" s="11" t="inlineStr"/>
      <c r="R524" s="11" t="inlineStr">
        <is>
          <t>2026-03-12</t>
        </is>
      </c>
      <c r="S524" s="11" t="inlineStr">
        <is>
          <t>Hirschs 47th Anniversary Sale Feb-Mar 2026</t>
        </is>
      </c>
    </row>
    <row r="525">
      <c r="A525" s="3" t="inlineStr">
        <is>
          <t>86544</t>
        </is>
      </c>
      <c r="B525" s="4" t="inlineStr"/>
      <c r="C525" s="4" t="inlineStr"/>
      <c r="D525" s="4" t="inlineStr"/>
      <c r="E525" s="3" t="inlineStr">
        <is>
          <t>Russell Hobbs 30L Black Airfryer Oven</t>
        </is>
      </c>
      <c r="F525" s="4" t="inlineStr">
        <is>
          <t>Russell Hobbs</t>
        </is>
      </c>
      <c r="G525" s="4" t="inlineStr"/>
      <c r="H525" s="4" t="inlineStr"/>
      <c r="I525" s="5" t="n">
        <v>2899</v>
      </c>
      <c r="J525" s="6" t="n">
        <v>15</v>
      </c>
      <c r="K525" s="7">
        <f>IF(I525="","",I525*(1+J525/100))</f>
        <v/>
      </c>
      <c r="L525" s="8" t="inlineStr"/>
      <c r="M525" s="9">
        <f>IF(OR(L525="",K525="",L525=0),"",
  (L525-K525)/L525*100)</f>
        <v/>
      </c>
      <c r="N525" s="10" t="inlineStr"/>
      <c r="O525" s="4" t="inlineStr"/>
      <c r="P525" s="4" t="inlineStr"/>
      <c r="Q525" s="4" t="inlineStr"/>
      <c r="R525" s="4" t="inlineStr">
        <is>
          <t>2026-03-12</t>
        </is>
      </c>
      <c r="S525" s="4" t="inlineStr">
        <is>
          <t>Hirschs 47th Anniversary Sale Feb-Mar 2026</t>
        </is>
      </c>
    </row>
    <row r="526">
      <c r="A526" s="11" t="inlineStr">
        <is>
          <t>87593</t>
        </is>
      </c>
      <c r="B526" s="11" t="inlineStr"/>
      <c r="C526" s="11" t="inlineStr"/>
      <c r="D526" s="11" t="inlineStr"/>
      <c r="E526" s="11" t="inlineStr">
        <is>
          <t>Russell Hobbs 11L Dual Stack Air Fryer</t>
        </is>
      </c>
      <c r="F526" s="11" t="inlineStr">
        <is>
          <t>Russell Hobbs</t>
        </is>
      </c>
      <c r="G526" s="11" t="inlineStr"/>
      <c r="H526" s="11" t="inlineStr"/>
      <c r="I526" s="12" t="n">
        <v>1999</v>
      </c>
      <c r="J526" s="6" t="n">
        <v>15</v>
      </c>
      <c r="K526" s="7">
        <f>IF(I526="","",I526*(1+J526/100))</f>
        <v/>
      </c>
      <c r="L526" s="8" t="inlineStr"/>
      <c r="M526" s="9">
        <f>IF(OR(L526="",K526="",L526=0),"",
  (L526-K526)/L526*100)</f>
        <v/>
      </c>
      <c r="N526" s="10" t="inlineStr"/>
      <c r="O526" s="11" t="inlineStr"/>
      <c r="P526" s="11" t="inlineStr"/>
      <c r="Q526" s="11" t="inlineStr"/>
      <c r="R526" s="11" t="inlineStr">
        <is>
          <t>2026-03-12</t>
        </is>
      </c>
      <c r="S526" s="11" t="inlineStr">
        <is>
          <t>Hirschs 47th Anniversary Sale Feb-Mar 2026</t>
        </is>
      </c>
    </row>
    <row r="527">
      <c r="A527" s="3" t="inlineStr">
        <is>
          <t>87279</t>
        </is>
      </c>
      <c r="B527" s="4" t="inlineStr"/>
      <c r="C527" s="4" t="inlineStr"/>
      <c r="D527" s="4" t="inlineStr"/>
      <c r="E527" s="3" t="inlineStr">
        <is>
          <t>Russell Hobbs 6L Electric Pressure Cooker</t>
        </is>
      </c>
      <c r="F527" s="4" t="inlineStr">
        <is>
          <t>Russell Hobbs</t>
        </is>
      </c>
      <c r="G527" s="4" t="inlineStr"/>
      <c r="H527" s="4" t="inlineStr"/>
      <c r="I527" s="5" t="n">
        <v>1099</v>
      </c>
      <c r="J527" s="6" t="n">
        <v>15</v>
      </c>
      <c r="K527" s="7">
        <f>IF(I527="","",I527*(1+J527/100))</f>
        <v/>
      </c>
      <c r="L527" s="8" t="inlineStr"/>
      <c r="M527" s="9">
        <f>IF(OR(L527="",K527="",L527=0),"",
  (L527-K527)/L527*100)</f>
        <v/>
      </c>
      <c r="N527" s="10" t="inlineStr"/>
      <c r="O527" s="4" t="inlineStr"/>
      <c r="P527" s="4" t="inlineStr"/>
      <c r="Q527" s="4" t="inlineStr"/>
      <c r="R527" s="4" t="inlineStr">
        <is>
          <t>2026-03-12</t>
        </is>
      </c>
      <c r="S527" s="4" t="inlineStr">
        <is>
          <t>Hirschs 47th Anniversary Sale Feb-Mar 2026</t>
        </is>
      </c>
    </row>
    <row r="528">
      <c r="A528" s="11" t="inlineStr">
        <is>
          <t>1583</t>
        </is>
      </c>
      <c r="B528" s="11" t="inlineStr"/>
      <c r="C528" s="11" t="inlineStr"/>
      <c r="D528" s="11" t="inlineStr"/>
      <c r="E528" s="11" t="inlineStr">
        <is>
          <t>Russell Hobbs Sandwich Press</t>
        </is>
      </c>
      <c r="F528" s="11" t="inlineStr">
        <is>
          <t>Russell Hobbs</t>
        </is>
      </c>
      <c r="G528" s="11" t="inlineStr"/>
      <c r="H528" s="11" t="inlineStr"/>
      <c r="I528" s="12" t="n">
        <v>899</v>
      </c>
      <c r="J528" s="6" t="n">
        <v>15</v>
      </c>
      <c r="K528" s="7">
        <f>IF(I528="","",I528*(1+J528/100))</f>
        <v/>
      </c>
      <c r="L528" s="8" t="inlineStr"/>
      <c r="M528" s="9">
        <f>IF(OR(L528="",K528="",L528=0),"",
  (L528-K528)/L528*100)</f>
        <v/>
      </c>
      <c r="N528" s="10" t="inlineStr"/>
      <c r="O528" s="11" t="inlineStr"/>
      <c r="P528" s="11" t="inlineStr"/>
      <c r="Q528" s="11" t="inlineStr"/>
      <c r="R528" s="11" t="inlineStr">
        <is>
          <t>2026-03-12</t>
        </is>
      </c>
      <c r="S528" s="11" t="inlineStr">
        <is>
          <t>Hirschs 47th Anniversary Sale Feb-Mar 2026</t>
        </is>
      </c>
    </row>
    <row r="529">
      <c r="A529" s="3" t="inlineStr">
        <is>
          <t>81985</t>
        </is>
      </c>
      <c r="B529" s="4" t="inlineStr"/>
      <c r="C529" s="4" t="inlineStr"/>
      <c r="D529" s="4" t="inlineStr"/>
      <c r="E529" s="3" t="inlineStr">
        <is>
          <t>Russell Hobbs 4 Slice Sandwich Maker</t>
        </is>
      </c>
      <c r="F529" s="4" t="inlineStr">
        <is>
          <t>Russell Hobbs</t>
        </is>
      </c>
      <c r="G529" s="4" t="inlineStr"/>
      <c r="H529" s="4" t="inlineStr"/>
      <c r="I529" s="5" t="n">
        <v>649</v>
      </c>
      <c r="J529" s="6" t="n">
        <v>15</v>
      </c>
      <c r="K529" s="7">
        <f>IF(I529="","",I529*(1+J529/100))</f>
        <v/>
      </c>
      <c r="L529" s="8" t="inlineStr"/>
      <c r="M529" s="9">
        <f>IF(OR(L529="",K529="",L529=0),"",
  (L529-K529)/L529*100)</f>
        <v/>
      </c>
      <c r="N529" s="10" t="inlineStr"/>
      <c r="O529" s="4" t="inlineStr"/>
      <c r="P529" s="4" t="inlineStr"/>
      <c r="Q529" s="4" t="inlineStr"/>
      <c r="R529" s="4" t="inlineStr">
        <is>
          <t>2026-03-12</t>
        </is>
      </c>
      <c r="S529" s="4" t="inlineStr">
        <is>
          <t>Hirschs 47th Anniversary Sale Feb-Mar 2026</t>
        </is>
      </c>
    </row>
    <row r="530">
      <c r="A530" s="11" t="inlineStr">
        <is>
          <t>85306</t>
        </is>
      </c>
      <c r="B530" s="11" t="inlineStr"/>
      <c r="C530" s="11" t="inlineStr"/>
      <c r="D530" s="11" t="inlineStr"/>
      <c r="E530" s="11" t="inlineStr">
        <is>
          <t>Russell Hobbs Silver Nexus Digital Coffee Maker</t>
        </is>
      </c>
      <c r="F530" s="11" t="inlineStr">
        <is>
          <t>Russell Hobbs</t>
        </is>
      </c>
      <c r="G530" s="11" t="inlineStr"/>
      <c r="H530" s="11" t="inlineStr"/>
      <c r="I530" s="12" t="n">
        <v>1099</v>
      </c>
      <c r="J530" s="6" t="n">
        <v>15</v>
      </c>
      <c r="K530" s="7">
        <f>IF(I530="","",I530*(1+J530/100))</f>
        <v/>
      </c>
      <c r="L530" s="8" t="inlineStr"/>
      <c r="M530" s="9">
        <f>IF(OR(L530="",K530="",L530=0),"",
  (L530-K530)/L530*100)</f>
        <v/>
      </c>
      <c r="N530" s="10" t="inlineStr"/>
      <c r="O530" s="11" t="inlineStr"/>
      <c r="P530" s="11" t="inlineStr"/>
      <c r="Q530" s="11" t="inlineStr"/>
      <c r="R530" s="11" t="inlineStr">
        <is>
          <t>2026-03-12</t>
        </is>
      </c>
      <c r="S530" s="11" t="inlineStr">
        <is>
          <t>Hirschs 47th Anniversary Sale Feb-Mar 2026</t>
        </is>
      </c>
    </row>
    <row r="531">
      <c r="A531" s="3" t="inlineStr">
        <is>
          <t>86180</t>
        </is>
      </c>
      <c r="B531" s="4" t="inlineStr"/>
      <c r="C531" s="4" t="inlineStr"/>
      <c r="D531" s="4" t="inlineStr"/>
      <c r="E531" s="3" t="inlineStr">
        <is>
          <t>Russell Hobbs Black Nexus Digital Coffee Maker</t>
        </is>
      </c>
      <c r="F531" s="4" t="inlineStr">
        <is>
          <t>Russell Hobbs</t>
        </is>
      </c>
      <c r="G531" s="4" t="inlineStr"/>
      <c r="H531" s="4" t="inlineStr"/>
      <c r="I531" s="5" t="n">
        <v>1099</v>
      </c>
      <c r="J531" s="6" t="n">
        <v>15</v>
      </c>
      <c r="K531" s="7">
        <f>IF(I531="","",I531*(1+J531/100))</f>
        <v/>
      </c>
      <c r="L531" s="8" t="inlineStr"/>
      <c r="M531" s="9">
        <f>IF(OR(L531="",K531="",L531=0),"",
  (L531-K531)/L531*100)</f>
        <v/>
      </c>
      <c r="N531" s="10" t="inlineStr"/>
      <c r="O531" s="4" t="inlineStr"/>
      <c r="P531" s="4" t="inlineStr"/>
      <c r="Q531" s="4" t="inlineStr"/>
      <c r="R531" s="4" t="inlineStr">
        <is>
          <t>2026-03-12</t>
        </is>
      </c>
      <c r="S531" s="4" t="inlineStr">
        <is>
          <t>Hirschs 47th Anniversary Sale Feb-Mar 2026</t>
        </is>
      </c>
    </row>
    <row r="532">
      <c r="A532" s="11" t="inlineStr">
        <is>
          <t>85222</t>
        </is>
      </c>
      <c r="B532" s="11" t="inlineStr"/>
      <c r="C532" s="11" t="inlineStr"/>
      <c r="D532" s="11" t="inlineStr"/>
      <c r="E532" s="11" t="inlineStr">
        <is>
          <t>Russell Hobbs Nexus 1.5L Silver Jug Blender</t>
        </is>
      </c>
      <c r="F532" s="11" t="inlineStr">
        <is>
          <t>Russell Hobbs</t>
        </is>
      </c>
      <c r="G532" s="11" t="inlineStr"/>
      <c r="H532" s="11" t="inlineStr"/>
      <c r="I532" s="12" t="n">
        <v>1199</v>
      </c>
      <c r="J532" s="6" t="n">
        <v>15</v>
      </c>
      <c r="K532" s="7">
        <f>IF(I532="","",I532*(1+J532/100))</f>
        <v/>
      </c>
      <c r="L532" s="8" t="inlineStr"/>
      <c r="M532" s="9">
        <f>IF(OR(L532="",K532="",L532=0),"",
  (L532-K532)/L532*100)</f>
        <v/>
      </c>
      <c r="N532" s="10" t="inlineStr"/>
      <c r="O532" s="11" t="inlineStr"/>
      <c r="P532" s="11" t="inlineStr"/>
      <c r="Q532" s="11" t="inlineStr"/>
      <c r="R532" s="11" t="inlineStr">
        <is>
          <t>2026-03-12</t>
        </is>
      </c>
      <c r="S532" s="11" t="inlineStr">
        <is>
          <t>Hirschs 47th Anniversary Sale Feb-Mar 2026</t>
        </is>
      </c>
    </row>
    <row r="533">
      <c r="A533" s="3" t="inlineStr">
        <is>
          <t>86183</t>
        </is>
      </c>
      <c r="B533" s="4" t="inlineStr"/>
      <c r="C533" s="4" t="inlineStr"/>
      <c r="D533" s="4" t="inlineStr"/>
      <c r="E533" s="3" t="inlineStr">
        <is>
          <t>Russell Hobbs 1.5L Glass Jug Blender Black</t>
        </is>
      </c>
      <c r="F533" s="4" t="inlineStr">
        <is>
          <t>Russell Hobbs</t>
        </is>
      </c>
      <c r="G533" s="4" t="inlineStr"/>
      <c r="H533" s="4" t="inlineStr"/>
      <c r="I533" s="5" t="n">
        <v>1199</v>
      </c>
      <c r="J533" s="6" t="n">
        <v>15</v>
      </c>
      <c r="K533" s="7">
        <f>IF(I533="","",I533*(1+J533/100))</f>
        <v/>
      </c>
      <c r="L533" s="8" t="inlineStr"/>
      <c r="M533" s="9">
        <f>IF(OR(L533="",K533="",L533=0),"",
  (L533-K533)/L533*100)</f>
        <v/>
      </c>
      <c r="N533" s="10" t="inlineStr"/>
      <c r="O533" s="4" t="inlineStr"/>
      <c r="P533" s="4" t="inlineStr"/>
      <c r="Q533" s="4" t="inlineStr"/>
      <c r="R533" s="4" t="inlineStr">
        <is>
          <t>2026-03-12</t>
        </is>
      </c>
      <c r="S533" s="4" t="inlineStr">
        <is>
          <t>Hirschs 47th Anniversary Sale Feb-Mar 2026</t>
        </is>
      </c>
    </row>
    <row r="534">
      <c r="A534" s="11" t="inlineStr">
        <is>
          <t>85375</t>
        </is>
      </c>
      <c r="B534" s="11" t="inlineStr"/>
      <c r="C534" s="11" t="inlineStr"/>
      <c r="D534" s="11" t="inlineStr"/>
      <c r="E534" s="11" t="inlineStr">
        <is>
          <t>Russell Hobbs 1.7L Silver Nexus Cordless Kettle</t>
        </is>
      </c>
      <c r="F534" s="11" t="inlineStr">
        <is>
          <t>Russell Hobbs</t>
        </is>
      </c>
      <c r="G534" s="11" t="inlineStr"/>
      <c r="H534" s="11" t="inlineStr"/>
      <c r="I534" s="12" t="n">
        <v>999</v>
      </c>
      <c r="J534" s="6" t="n">
        <v>15</v>
      </c>
      <c r="K534" s="7">
        <f>IF(I534="","",I534*(1+J534/100))</f>
        <v/>
      </c>
      <c r="L534" s="8" t="inlineStr"/>
      <c r="M534" s="9">
        <f>IF(OR(L534="",K534="",L534=0),"",
  (L534-K534)/L534*100)</f>
        <v/>
      </c>
      <c r="N534" s="10" t="inlineStr"/>
      <c r="O534" s="11" t="inlineStr"/>
      <c r="P534" s="11" t="inlineStr"/>
      <c r="Q534" s="11" t="inlineStr"/>
      <c r="R534" s="11" t="inlineStr">
        <is>
          <t>2026-03-12</t>
        </is>
      </c>
      <c r="S534" s="11" t="inlineStr">
        <is>
          <t>Hirschs 47th Anniversary Sale Feb-Mar 2026</t>
        </is>
      </c>
    </row>
    <row r="535">
      <c r="A535" s="3" t="inlineStr">
        <is>
          <t>85376</t>
        </is>
      </c>
      <c r="B535" s="4" t="inlineStr"/>
      <c r="C535" s="4" t="inlineStr"/>
      <c r="D535" s="4" t="inlineStr"/>
      <c r="E535" s="3" t="inlineStr">
        <is>
          <t>Russell Hobbs Silver Nexus 4 Slice Toaster</t>
        </is>
      </c>
      <c r="F535" s="4" t="inlineStr">
        <is>
          <t>Russell Hobbs</t>
        </is>
      </c>
      <c r="G535" s="4" t="inlineStr"/>
      <c r="H535" s="4" t="inlineStr"/>
      <c r="I535" s="5" t="n">
        <v>999</v>
      </c>
      <c r="J535" s="6" t="n">
        <v>15</v>
      </c>
      <c r="K535" s="7">
        <f>IF(I535="","",I535*(1+J535/100))</f>
        <v/>
      </c>
      <c r="L535" s="8" t="inlineStr"/>
      <c r="M535" s="9">
        <f>IF(OR(L535="",K535="",L535=0),"",
  (L535-K535)/L535*100)</f>
        <v/>
      </c>
      <c r="N535" s="10" t="inlineStr"/>
      <c r="O535" s="4" t="inlineStr"/>
      <c r="P535" s="4" t="inlineStr"/>
      <c r="Q535" s="4" t="inlineStr"/>
      <c r="R535" s="4" t="inlineStr">
        <is>
          <t>2026-03-12</t>
        </is>
      </c>
      <c r="S535" s="4" t="inlineStr">
        <is>
          <t>Hirschs 47th Anniversary Sale Feb-Mar 2026</t>
        </is>
      </c>
    </row>
    <row r="536">
      <c r="A536" s="11" t="inlineStr">
        <is>
          <t>85374</t>
        </is>
      </c>
      <c r="B536" s="11" t="inlineStr"/>
      <c r="C536" s="11" t="inlineStr"/>
      <c r="D536" s="11" t="inlineStr"/>
      <c r="E536" s="11" t="inlineStr">
        <is>
          <t>Russell Hobbs 1.7L Black Cordless Kettle</t>
        </is>
      </c>
      <c r="F536" s="11" t="inlineStr">
        <is>
          <t>Russell Hobbs</t>
        </is>
      </c>
      <c r="G536" s="11" t="inlineStr"/>
      <c r="H536" s="11" t="inlineStr"/>
      <c r="I536" s="12" t="n">
        <v>999</v>
      </c>
      <c r="J536" s="6" t="n">
        <v>15</v>
      </c>
      <c r="K536" s="7">
        <f>IF(I536="","",I536*(1+J536/100))</f>
        <v/>
      </c>
      <c r="L536" s="8" t="inlineStr"/>
      <c r="M536" s="9">
        <f>IF(OR(L536="",K536="",L536=0),"",
  (L536-K536)/L536*100)</f>
        <v/>
      </c>
      <c r="N536" s="10" t="inlineStr"/>
      <c r="O536" s="11" t="inlineStr"/>
      <c r="P536" s="11" t="inlineStr"/>
      <c r="Q536" s="11" t="inlineStr"/>
      <c r="R536" s="11" t="inlineStr">
        <is>
          <t>2026-03-12</t>
        </is>
      </c>
      <c r="S536" s="11" t="inlineStr">
        <is>
          <t>Hirschs 47th Anniversary Sale Feb-Mar 2026</t>
        </is>
      </c>
    </row>
    <row r="537">
      <c r="A537" s="3" t="inlineStr">
        <is>
          <t>85372</t>
        </is>
      </c>
      <c r="B537" s="4" t="inlineStr"/>
      <c r="C537" s="4" t="inlineStr"/>
      <c r="D537" s="4" t="inlineStr"/>
      <c r="E537" s="3" t="inlineStr">
        <is>
          <t>Russell Hobbs Black Nexus 4 Slice Toaster</t>
        </is>
      </c>
      <c r="F537" s="4" t="inlineStr">
        <is>
          <t>Russell Hobbs</t>
        </is>
      </c>
      <c r="G537" s="4" t="inlineStr"/>
      <c r="H537" s="4" t="inlineStr"/>
      <c r="I537" s="5" t="n">
        <v>999</v>
      </c>
      <c r="J537" s="6" t="n">
        <v>15</v>
      </c>
      <c r="K537" s="7">
        <f>IF(I537="","",I537*(1+J537/100))</f>
        <v/>
      </c>
      <c r="L537" s="8" t="inlineStr"/>
      <c r="M537" s="9">
        <f>IF(OR(L537="",K537="",L537=0),"",
  (L537-K537)/L537*100)</f>
        <v/>
      </c>
      <c r="N537" s="10" t="inlineStr"/>
      <c r="O537" s="4" t="inlineStr"/>
      <c r="P537" s="4" t="inlineStr"/>
      <c r="Q537" s="4" t="inlineStr"/>
      <c r="R537" s="4" t="inlineStr">
        <is>
          <t>2026-03-12</t>
        </is>
      </c>
      <c r="S537" s="4" t="inlineStr">
        <is>
          <t>Hirschs 47th Anniversary Sale Feb-Mar 2026</t>
        </is>
      </c>
    </row>
    <row r="538">
      <c r="A538" s="11" t="inlineStr">
        <is>
          <t>66140</t>
        </is>
      </c>
      <c r="B538" s="11" t="inlineStr"/>
      <c r="C538" s="11" t="inlineStr"/>
      <c r="D538" s="11" t="inlineStr"/>
      <c r="E538" s="11" t="inlineStr">
        <is>
          <t>Russell Hobbs 4 Slice Stainless Steel Toaster</t>
        </is>
      </c>
      <c r="F538" s="11" t="inlineStr">
        <is>
          <t>Russell Hobbs</t>
        </is>
      </c>
      <c r="G538" s="11" t="inlineStr"/>
      <c r="H538" s="11" t="inlineStr"/>
      <c r="I538" s="12" t="n">
        <v>1099</v>
      </c>
      <c r="J538" s="6" t="n">
        <v>15</v>
      </c>
      <c r="K538" s="7">
        <f>IF(I538="","",I538*(1+J538/100))</f>
        <v/>
      </c>
      <c r="L538" s="8" t="inlineStr"/>
      <c r="M538" s="9">
        <f>IF(OR(L538="",K538="",L538=0),"",
  (L538-K538)/L538*100)</f>
        <v/>
      </c>
      <c r="N538" s="10" t="inlineStr"/>
      <c r="O538" s="11" t="inlineStr"/>
      <c r="P538" s="11" t="inlineStr"/>
      <c r="Q538" s="11" t="inlineStr"/>
      <c r="R538" s="11" t="inlineStr">
        <is>
          <t>2026-03-12</t>
        </is>
      </c>
      <c r="S538" s="11" t="inlineStr">
        <is>
          <t>Hirschs 47th Anniversary Sale Feb-Mar 2026</t>
        </is>
      </c>
    </row>
    <row r="539">
      <c r="A539" s="3" t="inlineStr">
        <is>
          <t>87937</t>
        </is>
      </c>
      <c r="B539" s="4" t="inlineStr"/>
      <c r="C539" s="4" t="inlineStr"/>
      <c r="D539" s="4" t="inlineStr"/>
      <c r="E539" s="3" t="inlineStr">
        <is>
          <t>Russell Hobbs LED Pepper and Salt Mills Set</t>
        </is>
      </c>
      <c r="F539" s="4" t="inlineStr">
        <is>
          <t>Russell Hobbs</t>
        </is>
      </c>
      <c r="G539" s="4" t="inlineStr"/>
      <c r="H539" s="4" t="inlineStr"/>
      <c r="I539" s="5" t="n">
        <v>409</v>
      </c>
      <c r="J539" s="6" t="n">
        <v>15</v>
      </c>
      <c r="K539" s="7">
        <f>IF(I539="","",I539*(1+J539/100))</f>
        <v/>
      </c>
      <c r="L539" s="8" t="inlineStr"/>
      <c r="M539" s="9">
        <f>IF(OR(L539="",K539="",L539=0),"",
  (L539-K539)/L539*100)</f>
        <v/>
      </c>
      <c r="N539" s="10" t="inlineStr"/>
      <c r="O539" s="4" t="inlineStr"/>
      <c r="P539" s="4" t="inlineStr"/>
      <c r="Q539" s="4" t="inlineStr"/>
      <c r="R539" s="4" t="inlineStr">
        <is>
          <t>2026-03-12</t>
        </is>
      </c>
      <c r="S539" s="4" t="inlineStr">
        <is>
          <t>Hirschs 47th Anniversary Sale Feb-Mar 2026</t>
        </is>
      </c>
    </row>
    <row r="540">
      <c r="A540" s="11" t="inlineStr">
        <is>
          <t>2513</t>
        </is>
      </c>
      <c r="B540" s="11" t="inlineStr"/>
      <c r="C540" s="11" t="inlineStr"/>
      <c r="D540" s="11" t="inlineStr"/>
      <c r="E540" s="11" t="inlineStr">
        <is>
          <t>Russell Hobbs 500W Stick Blender</t>
        </is>
      </c>
      <c r="F540" s="11" t="inlineStr">
        <is>
          <t>Russell Hobbs</t>
        </is>
      </c>
      <c r="G540" s="11" t="inlineStr"/>
      <c r="H540" s="11" t="inlineStr"/>
      <c r="I540" s="12" t="n">
        <v>899</v>
      </c>
      <c r="J540" s="6" t="n">
        <v>15</v>
      </c>
      <c r="K540" s="7">
        <f>IF(I540="","",I540*(1+J540/100))</f>
        <v/>
      </c>
      <c r="L540" s="8" t="inlineStr"/>
      <c r="M540" s="9">
        <f>IF(OR(L540="",K540="",L540=0),"",
  (L540-K540)/L540*100)</f>
        <v/>
      </c>
      <c r="N540" s="10" t="inlineStr"/>
      <c r="O540" s="11" t="inlineStr"/>
      <c r="P540" s="11" t="inlineStr"/>
      <c r="Q540" s="11" t="inlineStr"/>
      <c r="R540" s="11" t="inlineStr">
        <is>
          <t>2026-03-12</t>
        </is>
      </c>
      <c r="S540" s="11" t="inlineStr">
        <is>
          <t>Hirschs 47th Anniversary Sale Feb-Mar 2026</t>
        </is>
      </c>
    </row>
    <row r="541">
      <c r="A541" s="3" t="inlineStr">
        <is>
          <t>83921</t>
        </is>
      </c>
      <c r="B541" s="4" t="inlineStr"/>
      <c r="C541" s="4" t="inlineStr"/>
      <c r="D541" s="4" t="inlineStr"/>
      <c r="E541" s="3" t="inlineStr">
        <is>
          <t>Russell Hobbs Foldable Drying Rack</t>
        </is>
      </c>
      <c r="F541" s="4" t="inlineStr">
        <is>
          <t>Russell Hobbs</t>
        </is>
      </c>
      <c r="G541" s="4" t="inlineStr"/>
      <c r="H541" s="4" t="inlineStr"/>
      <c r="I541" s="5" t="n">
        <v>1099</v>
      </c>
      <c r="J541" s="6" t="n">
        <v>15</v>
      </c>
      <c r="K541" s="7">
        <f>IF(I541="","",I541*(1+J541/100))</f>
        <v/>
      </c>
      <c r="L541" s="8" t="inlineStr"/>
      <c r="M541" s="9">
        <f>IF(OR(L541="",K541="",L541=0),"",
  (L541-K541)/L541*100)</f>
        <v/>
      </c>
      <c r="N541" s="10" t="inlineStr"/>
      <c r="O541" s="4" t="inlineStr"/>
      <c r="P541" s="4" t="inlineStr"/>
      <c r="Q541" s="4" t="inlineStr"/>
      <c r="R541" s="4" t="inlineStr">
        <is>
          <t>2026-03-12</t>
        </is>
      </c>
      <c r="S541" s="4" t="inlineStr">
        <is>
          <t>Hirschs 47th Anniversary Sale Feb-Mar 2026</t>
        </is>
      </c>
    </row>
    <row r="542">
      <c r="A542" s="11" t="inlineStr">
        <is>
          <t>78102</t>
        </is>
      </c>
      <c r="B542" s="11" t="inlineStr"/>
      <c r="C542" s="11" t="inlineStr"/>
      <c r="D542" s="11" t="inlineStr"/>
      <c r="E542" s="11" t="inlineStr">
        <is>
          <t>Russell Hobbs Ironing Deluxe</t>
        </is>
      </c>
      <c r="F542" s="11" t="inlineStr">
        <is>
          <t>Russell Hobbs</t>
        </is>
      </c>
      <c r="G542" s="11" t="inlineStr"/>
      <c r="H542" s="11" t="inlineStr"/>
      <c r="I542" s="12" t="n">
        <v>1599</v>
      </c>
      <c r="J542" s="6" t="n">
        <v>15</v>
      </c>
      <c r="K542" s="7">
        <f>IF(I542="","",I542*(1+J542/100))</f>
        <v/>
      </c>
      <c r="L542" s="8" t="inlineStr"/>
      <c r="M542" s="9">
        <f>IF(OR(L542="",K542="",L542=0),"",
  (L542-K542)/L542*100)</f>
        <v/>
      </c>
      <c r="N542" s="10" t="inlineStr"/>
      <c r="O542" s="11" t="inlineStr"/>
      <c r="P542" s="11" t="inlineStr"/>
      <c r="Q542" s="11" t="inlineStr"/>
      <c r="R542" s="11" t="inlineStr">
        <is>
          <t>2026-03-12</t>
        </is>
      </c>
      <c r="S542" s="11" t="inlineStr">
        <is>
          <t>Hirschs 47th Anniversary Sale Feb-Mar 2026</t>
        </is>
      </c>
    </row>
    <row r="543">
      <c r="A543" s="3" t="inlineStr">
        <is>
          <t>74668</t>
        </is>
      </c>
      <c r="B543" s="4" t="inlineStr"/>
      <c r="C543" s="4" t="inlineStr"/>
      <c r="D543" s="4" t="inlineStr"/>
      <c r="E543" s="3" t="inlineStr">
        <is>
          <t>Russell Hobbs Ironing Board</t>
        </is>
      </c>
      <c r="F543" s="4" t="inlineStr">
        <is>
          <t>Russell Hobbs</t>
        </is>
      </c>
      <c r="G543" s="4" t="inlineStr"/>
      <c r="H543" s="4" t="inlineStr"/>
      <c r="I543" s="5" t="n">
        <v>949</v>
      </c>
      <c r="J543" s="6" t="n">
        <v>15</v>
      </c>
      <c r="K543" s="7">
        <f>IF(I543="","",I543*(1+J543/100))</f>
        <v/>
      </c>
      <c r="L543" s="8" t="inlineStr"/>
      <c r="M543" s="9">
        <f>IF(OR(L543="",K543="",L543=0),"",
  (L543-K543)/L543*100)</f>
        <v/>
      </c>
      <c r="N543" s="10" t="inlineStr"/>
      <c r="O543" s="4" t="inlineStr"/>
      <c r="P543" s="4" t="inlineStr"/>
      <c r="Q543" s="4" t="inlineStr"/>
      <c r="R543" s="4" t="inlineStr">
        <is>
          <t>2026-03-12</t>
        </is>
      </c>
      <c r="S543" s="4" t="inlineStr">
        <is>
          <t>Hirschs 47th Anniversary Sale Feb-Mar 2026</t>
        </is>
      </c>
    </row>
    <row r="544">
      <c r="A544" s="11" t="inlineStr">
        <is>
          <t>78510</t>
        </is>
      </c>
      <c r="B544" s="11" t="inlineStr"/>
      <c r="C544" s="11" t="inlineStr"/>
      <c r="D544" s="11" t="inlineStr"/>
      <c r="E544" s="11" t="inlineStr">
        <is>
          <t>Russell Hobbs One Temp Iron</t>
        </is>
      </c>
      <c r="F544" s="11" t="inlineStr">
        <is>
          <t>Russell Hobbs</t>
        </is>
      </c>
      <c r="G544" s="11" t="inlineStr"/>
      <c r="H544" s="11" t="inlineStr"/>
      <c r="I544" s="12" t="n">
        <v>899</v>
      </c>
      <c r="J544" s="6" t="n">
        <v>15</v>
      </c>
      <c r="K544" s="7">
        <f>IF(I544="","",I544*(1+J544/100))</f>
        <v/>
      </c>
      <c r="L544" s="8" t="inlineStr"/>
      <c r="M544" s="9">
        <f>IF(OR(L544="",K544="",L544=0),"",
  (L544-K544)/L544*100)</f>
        <v/>
      </c>
      <c r="N544" s="10" t="inlineStr"/>
      <c r="O544" s="11" t="inlineStr"/>
      <c r="P544" s="11" t="inlineStr"/>
      <c r="Q544" s="11" t="inlineStr"/>
      <c r="R544" s="11" t="inlineStr">
        <is>
          <t>2026-03-12</t>
        </is>
      </c>
      <c r="S544" s="11" t="inlineStr">
        <is>
          <t>Hirschs 47th Anniversary Sale Feb-Mar 2026</t>
        </is>
      </c>
    </row>
    <row r="545">
      <c r="A545" s="3" t="inlineStr">
        <is>
          <t>8735</t>
        </is>
      </c>
      <c r="B545" s="4" t="inlineStr"/>
      <c r="C545" s="4" t="inlineStr"/>
      <c r="D545" s="4" t="inlineStr"/>
      <c r="E545" s="3" t="inlineStr">
        <is>
          <t>Russell Hobbs Easy-Glide Steam Spray Dry Iron 2400W</t>
        </is>
      </c>
      <c r="F545" s="4" t="inlineStr">
        <is>
          <t>Russell Hobbs</t>
        </is>
      </c>
      <c r="G545" s="4" t="inlineStr"/>
      <c r="H545" s="4" t="inlineStr"/>
      <c r="I545" s="5" t="n">
        <v>469</v>
      </c>
      <c r="J545" s="6" t="n">
        <v>15</v>
      </c>
      <c r="K545" s="7">
        <f>IF(I545="","",I545*(1+J545/100))</f>
        <v/>
      </c>
      <c r="L545" s="8" t="inlineStr"/>
      <c r="M545" s="9">
        <f>IF(OR(L545="",K545="",L545=0),"",
  (L545-K545)/L545*100)</f>
        <v/>
      </c>
      <c r="N545" s="10" t="inlineStr"/>
      <c r="O545" s="4" t="inlineStr"/>
      <c r="P545" s="4" t="inlineStr"/>
      <c r="Q545" s="4" t="inlineStr"/>
      <c r="R545" s="4" t="inlineStr">
        <is>
          <t>2026-03-12</t>
        </is>
      </c>
      <c r="S545" s="4" t="inlineStr">
        <is>
          <t>Hirschs 47th Anniversary Sale Feb-Mar 2026</t>
        </is>
      </c>
    </row>
    <row r="546">
      <c r="A546" s="13" t="inlineStr"/>
      <c r="B546" s="11" t="inlineStr"/>
      <c r="C546" s="11" t="inlineStr"/>
      <c r="D546" s="11" t="inlineStr"/>
      <c r="E546" s="11" t="inlineStr">
        <is>
          <t>Snappy Chef 6pc Snack Set</t>
        </is>
      </c>
      <c r="F546" s="11" t="inlineStr">
        <is>
          <t>Snappy Chef</t>
        </is>
      </c>
      <c r="G546" s="11" t="inlineStr"/>
      <c r="H546" s="11" t="inlineStr"/>
      <c r="I546" s="12" t="n">
        <v>1199</v>
      </c>
      <c r="J546" s="6" t="n">
        <v>15</v>
      </c>
      <c r="K546" s="7">
        <f>IF(I546="","",I546*(1+J546/100))</f>
        <v/>
      </c>
      <c r="L546" s="8" t="inlineStr"/>
      <c r="M546" s="9">
        <f>IF(OR(L546="",K546="",L546=0),"",
  (L546-K546)/L546*100)</f>
        <v/>
      </c>
      <c r="N546" s="10" t="inlineStr"/>
      <c r="O546" s="11" t="inlineStr"/>
      <c r="P546" s="11" t="inlineStr"/>
      <c r="Q546" s="11" t="inlineStr"/>
      <c r="R546" s="11" t="inlineStr">
        <is>
          <t>2026-03-12</t>
        </is>
      </c>
      <c r="S546" s="11" t="inlineStr">
        <is>
          <t>Hirschs 47th Anniversary Sale Feb-Mar 2026</t>
        </is>
      </c>
    </row>
    <row r="547">
      <c r="A547" s="13" t="inlineStr"/>
      <c r="B547" s="4" t="inlineStr"/>
      <c r="C547" s="4" t="inlineStr"/>
      <c r="D547" s="4" t="inlineStr"/>
      <c r="E547" s="3" t="inlineStr">
        <is>
          <t>Snappy Chef Elite Snapper set</t>
        </is>
      </c>
      <c r="F547" s="4" t="inlineStr">
        <is>
          <t>Snappy Chef</t>
        </is>
      </c>
      <c r="G547" s="4" t="inlineStr"/>
      <c r="H547" s="4" t="inlineStr"/>
      <c r="I547" s="5" t="n">
        <v>2699</v>
      </c>
      <c r="J547" s="6" t="n">
        <v>15</v>
      </c>
      <c r="K547" s="7">
        <f>IF(I547="","",I547*(1+J547/100))</f>
        <v/>
      </c>
      <c r="L547" s="8" t="inlineStr"/>
      <c r="M547" s="9">
        <f>IF(OR(L547="",K547="",L547=0),"",
  (L547-K547)/L547*100)</f>
        <v/>
      </c>
      <c r="N547" s="10" t="inlineStr"/>
      <c r="O547" s="4" t="inlineStr"/>
      <c r="P547" s="4" t="inlineStr"/>
      <c r="Q547" s="4" t="inlineStr"/>
      <c r="R547" s="4" t="inlineStr">
        <is>
          <t>2026-03-12</t>
        </is>
      </c>
      <c r="S547" s="4" t="inlineStr">
        <is>
          <t>Hirschs 47th Anniversary Sale Feb-Mar 2026</t>
        </is>
      </c>
    </row>
    <row r="548">
      <c r="A548" s="13" t="inlineStr"/>
      <c r="B548" s="11" t="inlineStr"/>
      <c r="C548" s="11" t="inlineStr"/>
      <c r="D548" s="11" t="inlineStr"/>
      <c r="E548" s="11" t="inlineStr">
        <is>
          <t>Snappy Chef 3 Burner Gas Stove Top</t>
        </is>
      </c>
      <c r="F548" s="11" t="inlineStr">
        <is>
          <t>Snappy Chef</t>
        </is>
      </c>
      <c r="G548" s="11" t="inlineStr"/>
      <c r="H548" s="11" t="inlineStr"/>
      <c r="I548" s="12" t="n">
        <v>2799</v>
      </c>
      <c r="J548" s="6" t="n">
        <v>15</v>
      </c>
      <c r="K548" s="7">
        <f>IF(I548="","",I548*(1+J548/100))</f>
        <v/>
      </c>
      <c r="L548" s="8" t="inlineStr"/>
      <c r="M548" s="9">
        <f>IF(OR(L548="",K548="",L548=0),"",
  (L548-K548)/L548*100)</f>
        <v/>
      </c>
      <c r="N548" s="10" t="inlineStr"/>
      <c r="O548" s="11" t="inlineStr"/>
      <c r="P548" s="11" t="inlineStr"/>
      <c r="Q548" s="11" t="inlineStr"/>
      <c r="R548" s="11" t="inlineStr">
        <is>
          <t>2026-03-12</t>
        </is>
      </c>
      <c r="S548" s="11" t="inlineStr">
        <is>
          <t>Hirschs 47th Anniversary Sale Feb-Mar 2026</t>
        </is>
      </c>
    </row>
    <row r="549">
      <c r="A549" s="13" t="inlineStr"/>
      <c r="B549" s="4" t="inlineStr"/>
      <c r="C549" s="4" t="inlineStr"/>
      <c r="D549" s="4" t="inlineStr"/>
      <c r="E549" s="3" t="inlineStr">
        <is>
          <t>Snappy Chef 7 Piece Kitchen Set Stove</t>
        </is>
      </c>
      <c r="F549" s="4" t="inlineStr">
        <is>
          <t>Snappy Chef</t>
        </is>
      </c>
      <c r="G549" s="4" t="inlineStr"/>
      <c r="H549" s="4" t="inlineStr"/>
      <c r="I549" s="5" t="n">
        <v>3799</v>
      </c>
      <c r="J549" s="6" t="n">
        <v>15</v>
      </c>
      <c r="K549" s="7">
        <f>IF(I549="","",I549*(1+J549/100))</f>
        <v/>
      </c>
      <c r="L549" s="8" t="inlineStr"/>
      <c r="M549" s="9">
        <f>IF(OR(L549="",K549="",L549=0),"",
  (L549-K549)/L549*100)</f>
        <v/>
      </c>
      <c r="N549" s="10" t="inlineStr"/>
      <c r="O549" s="4" t="inlineStr"/>
      <c r="P549" s="4" t="inlineStr"/>
      <c r="Q549" s="4" t="inlineStr"/>
      <c r="R549" s="4" t="inlineStr">
        <is>
          <t>2026-03-12</t>
        </is>
      </c>
      <c r="S549" s="4" t="inlineStr">
        <is>
          <t>Hirschs 47th Anniversary Sale Feb-Mar 2026</t>
        </is>
      </c>
    </row>
    <row r="550">
      <c r="A550" s="13" t="inlineStr"/>
      <c r="B550" s="11" t="inlineStr"/>
      <c r="C550" s="11" t="inlineStr"/>
      <c r="D550" s="11" t="inlineStr"/>
      <c r="E550" s="11" t="inlineStr">
        <is>
          <t>Snappy Chef 4pc Platinum Cast-Iron Set</t>
        </is>
      </c>
      <c r="F550" s="11" t="inlineStr">
        <is>
          <t>Snappy Chef</t>
        </is>
      </c>
      <c r="G550" s="11" t="inlineStr"/>
      <c r="H550" s="11" t="inlineStr"/>
      <c r="I550" s="12" t="n">
        <v>1499</v>
      </c>
      <c r="J550" s="6" t="n">
        <v>15</v>
      </c>
      <c r="K550" s="7">
        <f>IF(I550="","",I550*(1+J550/100))</f>
        <v/>
      </c>
      <c r="L550" s="8" t="inlineStr"/>
      <c r="M550" s="9">
        <f>IF(OR(L550="",K550="",L550=0),"",
  (L550-K550)/L550*100)</f>
        <v/>
      </c>
      <c r="N550" s="10" t="inlineStr"/>
      <c r="O550" s="11" t="inlineStr"/>
      <c r="P550" s="11" t="inlineStr"/>
      <c r="Q550" s="11" t="inlineStr"/>
      <c r="R550" s="11" t="inlineStr">
        <is>
          <t>2026-03-12</t>
        </is>
      </c>
      <c r="S550" s="11" t="inlineStr">
        <is>
          <t>Hirschs 47th Anniversary Sale Feb-Mar 2026</t>
        </is>
      </c>
    </row>
    <row r="551">
      <c r="A551" s="13" t="inlineStr"/>
      <c r="B551" s="4" t="inlineStr"/>
      <c r="C551" s="4" t="inlineStr"/>
      <c r="D551" s="4" t="inlineStr"/>
      <c r="E551" s="3" t="inlineStr">
        <is>
          <t>Snappy Chef 7 Piece Supreme Cast Iron Set</t>
        </is>
      </c>
      <c r="F551" s="4" t="inlineStr">
        <is>
          <t>Snappy Chef</t>
        </is>
      </c>
      <c r="G551" s="4" t="inlineStr"/>
      <c r="H551" s="4" t="inlineStr"/>
      <c r="I551" s="5" t="n">
        <v>3999</v>
      </c>
      <c r="J551" s="6" t="n">
        <v>15</v>
      </c>
      <c r="K551" s="7">
        <f>IF(I551="","",I551*(1+J551/100))</f>
        <v/>
      </c>
      <c r="L551" s="8" t="inlineStr"/>
      <c r="M551" s="9">
        <f>IF(OR(L551="",K551="",L551=0),"",
  (L551-K551)/L551*100)</f>
        <v/>
      </c>
      <c r="N551" s="10" t="inlineStr"/>
      <c r="O551" s="4" t="inlineStr"/>
      <c r="P551" s="4" t="inlineStr"/>
      <c r="Q551" s="4" t="inlineStr"/>
      <c r="R551" s="4" t="inlineStr">
        <is>
          <t>2026-03-12</t>
        </is>
      </c>
      <c r="S551" s="4" t="inlineStr">
        <is>
          <t>Hirschs 47th Anniversary Sale Feb-Mar 2026</t>
        </is>
      </c>
    </row>
    <row r="552">
      <c r="A552" s="13" t="inlineStr"/>
      <c r="B552" s="11" t="inlineStr"/>
      <c r="C552" s="11" t="inlineStr"/>
      <c r="D552" s="11" t="inlineStr"/>
      <c r="E552" s="11" t="inlineStr">
        <is>
          <t>Snappy Chef 10pc Supreme Cast Iron Set</t>
        </is>
      </c>
      <c r="F552" s="11" t="inlineStr">
        <is>
          <t>Snappy Chef</t>
        </is>
      </c>
      <c r="G552" s="11" t="inlineStr"/>
      <c r="H552" s="11" t="inlineStr"/>
      <c r="I552" s="12" t="n">
        <v>3699</v>
      </c>
      <c r="J552" s="6" t="n">
        <v>15</v>
      </c>
      <c r="K552" s="7">
        <f>IF(I552="","",I552*(1+J552/100))</f>
        <v/>
      </c>
      <c r="L552" s="8" t="inlineStr"/>
      <c r="M552" s="9">
        <f>IF(OR(L552="",K552="",L552=0),"",
  (L552-K552)/L552*100)</f>
        <v/>
      </c>
      <c r="N552" s="10" t="inlineStr"/>
      <c r="O552" s="11" t="inlineStr"/>
      <c r="P552" s="11" t="inlineStr"/>
      <c r="Q552" s="11" t="inlineStr"/>
      <c r="R552" s="11" t="inlineStr">
        <is>
          <t>2026-03-12</t>
        </is>
      </c>
      <c r="S552" s="11" t="inlineStr">
        <is>
          <t>Hirschs 47th Anniversary Sale Feb-Mar 2026</t>
        </is>
      </c>
    </row>
    <row r="553">
      <c r="A553" s="13" t="inlineStr"/>
      <c r="B553" s="4" t="inlineStr"/>
      <c r="C553" s="4" t="inlineStr"/>
      <c r="D553" s="4" t="inlineStr"/>
      <c r="E553" s="3" t="inlineStr">
        <is>
          <t>Snappy Chef 7 Piece Supreme Cookware Set</t>
        </is>
      </c>
      <c r="F553" s="4" t="inlineStr">
        <is>
          <t>Snappy Chef</t>
        </is>
      </c>
      <c r="G553" s="4" t="inlineStr"/>
      <c r="H553" s="4" t="inlineStr"/>
      <c r="I553" s="5" t="n">
        <v>2899</v>
      </c>
      <c r="J553" s="6" t="n">
        <v>15</v>
      </c>
      <c r="K553" s="7">
        <f>IF(I553="","",I553*(1+J553/100))</f>
        <v/>
      </c>
      <c r="L553" s="8" t="inlineStr"/>
      <c r="M553" s="9">
        <f>IF(OR(L553="",K553="",L553=0),"",
  (L553-K553)/L553*100)</f>
        <v/>
      </c>
      <c r="N553" s="10" t="inlineStr"/>
      <c r="O553" s="4" t="inlineStr"/>
      <c r="P553" s="4" t="inlineStr"/>
      <c r="Q553" s="4" t="inlineStr"/>
      <c r="R553" s="4" t="inlineStr">
        <is>
          <t>2026-03-12</t>
        </is>
      </c>
      <c r="S553" s="4" t="inlineStr">
        <is>
          <t>Hirschs 47th Anniversary Sale Feb-Mar 2026</t>
        </is>
      </c>
    </row>
    <row r="554">
      <c r="A554" s="13" t="inlineStr"/>
      <c r="B554" s="11" t="inlineStr"/>
      <c r="C554" s="11" t="inlineStr"/>
      <c r="D554" s="11" t="inlineStr"/>
      <c r="E554" s="11" t="inlineStr">
        <is>
          <t>Karcher K2 Entry Pressure Washer</t>
        </is>
      </c>
      <c r="F554" s="11" t="inlineStr">
        <is>
          <t>Karcher</t>
        </is>
      </c>
      <c r="G554" s="11" t="inlineStr"/>
      <c r="H554" s="11" t="inlineStr"/>
      <c r="I554" s="12" t="n">
        <v>1999</v>
      </c>
      <c r="J554" s="6" t="n">
        <v>15</v>
      </c>
      <c r="K554" s="7">
        <f>IF(I554="","",I554*(1+J554/100))</f>
        <v/>
      </c>
      <c r="L554" s="8" t="inlineStr"/>
      <c r="M554" s="9">
        <f>IF(OR(L554="",K554="",L554=0),"",
  (L554-K554)/L554*100)</f>
        <v/>
      </c>
      <c r="N554" s="10" t="inlineStr"/>
      <c r="O554" s="11" t="inlineStr"/>
      <c r="P554" s="11" t="inlineStr"/>
      <c r="Q554" s="11" t="inlineStr"/>
      <c r="R554" s="11" t="inlineStr">
        <is>
          <t>2026-03-12</t>
        </is>
      </c>
      <c r="S554" s="11" t="inlineStr">
        <is>
          <t>Hirschs 47th Anniversary Sale Feb-Mar 2026</t>
        </is>
      </c>
    </row>
    <row r="555">
      <c r="A555" s="13" t="inlineStr"/>
      <c r="B555" s="4" t="inlineStr"/>
      <c r="C555" s="4" t="inlineStr"/>
      <c r="D555" s="4" t="inlineStr"/>
      <c r="E555" s="3" t="inlineStr">
        <is>
          <t>Karcher K3 Premium Pressure Washer</t>
        </is>
      </c>
      <c r="F555" s="4" t="inlineStr">
        <is>
          <t>Karcher</t>
        </is>
      </c>
      <c r="G555" s="4" t="inlineStr"/>
      <c r="H555" s="4" t="inlineStr"/>
      <c r="I555" s="5" t="n">
        <v>5499</v>
      </c>
      <c r="J555" s="6" t="n">
        <v>15</v>
      </c>
      <c r="K555" s="7">
        <f>IF(I555="","",I555*(1+J555/100))</f>
        <v/>
      </c>
      <c r="L555" s="8" t="inlineStr"/>
      <c r="M555" s="9">
        <f>IF(OR(L555="",K555="",L555=0),"",
  (L555-K555)/L555*100)</f>
        <v/>
      </c>
      <c r="N555" s="10" t="inlineStr"/>
      <c r="O555" s="4" t="inlineStr"/>
      <c r="P555" s="4" t="inlineStr"/>
      <c r="Q555" s="4" t="inlineStr"/>
      <c r="R555" s="4" t="inlineStr">
        <is>
          <t>2026-03-12</t>
        </is>
      </c>
      <c r="S555" s="4" t="inlineStr">
        <is>
          <t>Hirschs 47th Anniversary Sale Feb-Mar 2026</t>
        </is>
      </c>
    </row>
    <row r="556">
      <c r="A556" s="13" t="inlineStr"/>
      <c r="B556" s="11" t="inlineStr"/>
      <c r="C556" s="11" t="inlineStr"/>
      <c r="D556" s="11" t="inlineStr"/>
      <c r="E556" s="11" t="inlineStr">
        <is>
          <t>Karcher K4 Compact Pressure Washer</t>
        </is>
      </c>
      <c r="F556" s="11" t="inlineStr">
        <is>
          <t>Karcher</t>
        </is>
      </c>
      <c r="G556" s="11" t="inlineStr"/>
      <c r="H556" s="11" t="inlineStr"/>
      <c r="I556" s="12" t="n">
        <v>1499</v>
      </c>
      <c r="J556" s="6" t="n">
        <v>15</v>
      </c>
      <c r="K556" s="7">
        <f>IF(I556="","",I556*(1+J556/100))</f>
        <v/>
      </c>
      <c r="L556" s="8" t="inlineStr"/>
      <c r="M556" s="9">
        <f>IF(OR(L556="",K556="",L556=0),"",
  (L556-K556)/L556*100)</f>
        <v/>
      </c>
      <c r="N556" s="10" t="inlineStr"/>
      <c r="O556" s="11" t="inlineStr"/>
      <c r="P556" s="11" t="inlineStr"/>
      <c r="Q556" s="11" t="inlineStr"/>
      <c r="R556" s="11" t="inlineStr">
        <is>
          <t>2026-03-12</t>
        </is>
      </c>
      <c r="S556" s="11" t="inlineStr">
        <is>
          <t>Hirschs 47th Anniversary Sale Feb-Mar 2026</t>
        </is>
      </c>
    </row>
    <row r="557">
      <c r="A557" s="13" t="inlineStr"/>
      <c r="B557" s="4" t="inlineStr"/>
      <c r="C557" s="4" t="inlineStr"/>
      <c r="D557" s="4" t="inlineStr"/>
      <c r="E557" s="3" t="inlineStr">
        <is>
          <t>Karcher K5 Premium Pressure Washer</t>
        </is>
      </c>
      <c r="F557" s="4" t="inlineStr">
        <is>
          <t>Karcher</t>
        </is>
      </c>
      <c r="G557" s="4" t="inlineStr"/>
      <c r="H557" s="4" t="inlineStr"/>
      <c r="I557" s="5" t="n">
        <v>1799</v>
      </c>
      <c r="J557" s="6" t="n">
        <v>15</v>
      </c>
      <c r="K557" s="7">
        <f>IF(I557="","",I557*(1+J557/100))</f>
        <v/>
      </c>
      <c r="L557" s="8" t="inlineStr"/>
      <c r="M557" s="9">
        <f>IF(OR(L557="",K557="",L557=0),"",
  (L557-K557)/L557*100)</f>
        <v/>
      </c>
      <c r="N557" s="10" t="inlineStr"/>
      <c r="O557" s="4" t="inlineStr"/>
      <c r="P557" s="4" t="inlineStr"/>
      <c r="Q557" s="4" t="inlineStr"/>
      <c r="R557" s="4" t="inlineStr">
        <is>
          <t>2026-03-12</t>
        </is>
      </c>
      <c r="S557" s="4" t="inlineStr">
        <is>
          <t>Hirschs 47th Anniversary Sale Feb-Mar 2026</t>
        </is>
      </c>
    </row>
    <row r="558">
      <c r="A558" s="13" t="inlineStr"/>
      <c r="B558" s="11" t="inlineStr"/>
      <c r="C558" s="11" t="inlineStr"/>
      <c r="D558" s="11" t="inlineStr"/>
      <c r="E558" s="11" t="inlineStr">
        <is>
          <t>Karcher WD 3 Wet &amp; Dry Vacuum</t>
        </is>
      </c>
      <c r="F558" s="11" t="inlineStr">
        <is>
          <t>Karcher</t>
        </is>
      </c>
      <c r="G558" s="11" t="inlineStr"/>
      <c r="H558" s="11" t="inlineStr"/>
      <c r="I558" s="12" t="n">
        <v>2599</v>
      </c>
      <c r="J558" s="6" t="n">
        <v>15</v>
      </c>
      <c r="K558" s="7">
        <f>IF(I558="","",I558*(1+J558/100))</f>
        <v/>
      </c>
      <c r="L558" s="8" t="inlineStr"/>
      <c r="M558" s="9">
        <f>IF(OR(L558="",K558="",L558=0),"",
  (L558-K558)/L558*100)</f>
        <v/>
      </c>
      <c r="N558" s="10" t="inlineStr"/>
      <c r="O558" s="11" t="inlineStr"/>
      <c r="P558" s="11" t="inlineStr"/>
      <c r="Q558" s="11" t="inlineStr"/>
      <c r="R558" s="11" t="inlineStr">
        <is>
          <t>2026-03-12</t>
        </is>
      </c>
      <c r="S558" s="11" t="inlineStr">
        <is>
          <t>Hirschs 47th Anniversary Sale Feb-Mar 2026</t>
        </is>
      </c>
    </row>
    <row r="559">
      <c r="A559" s="13" t="inlineStr"/>
      <c r="B559" s="4" t="inlineStr"/>
      <c r="C559" s="4" t="inlineStr"/>
      <c r="D559" s="4" t="inlineStr"/>
      <c r="E559" s="3" t="inlineStr">
        <is>
          <t>Karcher WD 5 Premium Wet &amp; Dry Vacuum</t>
        </is>
      </c>
      <c r="F559" s="4" t="inlineStr">
        <is>
          <t>Karcher</t>
        </is>
      </c>
      <c r="G559" s="4" t="inlineStr"/>
      <c r="H559" s="4" t="inlineStr"/>
      <c r="I559" s="5" t="n">
        <v>3599</v>
      </c>
      <c r="J559" s="6" t="n">
        <v>15</v>
      </c>
      <c r="K559" s="7">
        <f>IF(I559="","",I559*(1+J559/100))</f>
        <v/>
      </c>
      <c r="L559" s="8" t="inlineStr"/>
      <c r="M559" s="9">
        <f>IF(OR(L559="",K559="",L559=0),"",
  (L559-K559)/L559*100)</f>
        <v/>
      </c>
      <c r="N559" s="10" t="inlineStr"/>
      <c r="O559" s="4" t="inlineStr"/>
      <c r="P559" s="4" t="inlineStr"/>
      <c r="Q559" s="4" t="inlineStr"/>
      <c r="R559" s="4" t="inlineStr">
        <is>
          <t>2026-03-12</t>
        </is>
      </c>
      <c r="S559" s="4" t="inlineStr">
        <is>
          <t>Hirschs 47th Anniversary Sale Feb-Mar 2026</t>
        </is>
      </c>
    </row>
    <row r="560">
      <c r="A560" s="13" t="inlineStr"/>
      <c r="B560" s="11" t="inlineStr"/>
      <c r="C560" s="11" t="inlineStr"/>
      <c r="D560" s="11" t="inlineStr"/>
      <c r="E560" s="11" t="inlineStr">
        <is>
          <t>Karcher SC 2 Easy Fix Steam Cleaner</t>
        </is>
      </c>
      <c r="F560" s="11" t="inlineStr">
        <is>
          <t>Karcher</t>
        </is>
      </c>
      <c r="G560" s="11" t="inlineStr"/>
      <c r="H560" s="11" t="inlineStr"/>
      <c r="I560" s="12" t="n">
        <v>2199</v>
      </c>
      <c r="J560" s="6" t="n">
        <v>15</v>
      </c>
      <c r="K560" s="7">
        <f>IF(I560="","",I560*(1+J560/100))</f>
        <v/>
      </c>
      <c r="L560" s="8" t="inlineStr"/>
      <c r="M560" s="9">
        <f>IF(OR(L560="",K560="",L560=0),"",
  (L560-K560)/L560*100)</f>
        <v/>
      </c>
      <c r="N560" s="10" t="inlineStr"/>
      <c r="O560" s="11" t="inlineStr"/>
      <c r="P560" s="11" t="inlineStr"/>
      <c r="Q560" s="11" t="inlineStr"/>
      <c r="R560" s="11" t="inlineStr">
        <is>
          <t>2026-03-12</t>
        </is>
      </c>
      <c r="S560" s="11" t="inlineStr">
        <is>
          <t>Hirschs 47th Anniversary Sale Feb-Mar 2026</t>
        </is>
      </c>
    </row>
    <row r="561">
      <c r="A561" s="13" t="inlineStr"/>
      <c r="B561" s="4" t="inlineStr"/>
      <c r="C561" s="4" t="inlineStr"/>
      <c r="D561" s="4" t="inlineStr"/>
      <c r="E561" s="3" t="inlineStr">
        <is>
          <t>Karcher SC 3 Easy Fix Steam Cleaner</t>
        </is>
      </c>
      <c r="F561" s="4" t="inlineStr">
        <is>
          <t>Karcher</t>
        </is>
      </c>
      <c r="G561" s="4" t="inlineStr"/>
      <c r="H561" s="4" t="inlineStr"/>
      <c r="I561" s="5" t="n">
        <v>2599</v>
      </c>
      <c r="J561" s="6" t="n">
        <v>15</v>
      </c>
      <c r="K561" s="7">
        <f>IF(I561="","",I561*(1+J561/100))</f>
        <v/>
      </c>
      <c r="L561" s="8" t="inlineStr"/>
      <c r="M561" s="9">
        <f>IF(OR(L561="",K561="",L561=0),"",
  (L561-K561)/L561*100)</f>
        <v/>
      </c>
      <c r="N561" s="10" t="inlineStr"/>
      <c r="O561" s="4" t="inlineStr"/>
      <c r="P561" s="4" t="inlineStr"/>
      <c r="Q561" s="4" t="inlineStr"/>
      <c r="R561" s="4" t="inlineStr">
        <is>
          <t>2026-03-12</t>
        </is>
      </c>
      <c r="S561" s="4" t="inlineStr">
        <is>
          <t>Hirschs 47th Anniversary Sale Feb-Mar 2026</t>
        </is>
      </c>
    </row>
    <row r="562">
      <c r="A562" s="13" t="inlineStr"/>
      <c r="B562" s="11" t="inlineStr"/>
      <c r="C562" s="11" t="inlineStr"/>
      <c r="D562" s="11" t="inlineStr"/>
      <c r="E562" s="11" t="inlineStr">
        <is>
          <t>Karcher WV 2 Window Vac</t>
        </is>
      </c>
      <c r="F562" s="11" t="inlineStr">
        <is>
          <t>Karcher</t>
        </is>
      </c>
      <c r="G562" s="11" t="inlineStr"/>
      <c r="H562" s="11" t="inlineStr"/>
      <c r="I562" s="12" t="n">
        <v>7999</v>
      </c>
      <c r="J562" s="6" t="n">
        <v>15</v>
      </c>
      <c r="K562" s="7">
        <f>IF(I562="","",I562*(1+J562/100))</f>
        <v/>
      </c>
      <c r="L562" s="8" t="inlineStr"/>
      <c r="M562" s="9">
        <f>IF(OR(L562="",K562="",L562=0),"",
  (L562-K562)/L562*100)</f>
        <v/>
      </c>
      <c r="N562" s="10" t="inlineStr"/>
      <c r="O562" s="11" t="inlineStr"/>
      <c r="P562" s="11" t="inlineStr"/>
      <c r="Q562" s="11" t="inlineStr"/>
      <c r="R562" s="11" t="inlineStr">
        <is>
          <t>2026-03-12</t>
        </is>
      </c>
      <c r="S562" s="11" t="inlineStr">
        <is>
          <t>Hirschs 47th Anniversary Sale Feb-Mar 2026</t>
        </is>
      </c>
    </row>
    <row r="563">
      <c r="A563" s="3" t="inlineStr">
        <is>
          <t>86764</t>
        </is>
      </c>
      <c r="B563" s="4" t="inlineStr"/>
      <c r="C563" s="4" t="inlineStr"/>
      <c r="D563" s="4" t="inlineStr"/>
      <c r="E563" s="3" t="inlineStr">
        <is>
          <t>Verimark Genesis Robovac II</t>
        </is>
      </c>
      <c r="F563" s="4" t="inlineStr">
        <is>
          <t>Verimark</t>
        </is>
      </c>
      <c r="G563" s="4" t="inlineStr"/>
      <c r="H563" s="4" t="inlineStr"/>
      <c r="I563" s="5" t="n">
        <v>3799</v>
      </c>
      <c r="J563" s="6" t="n">
        <v>15</v>
      </c>
      <c r="K563" s="7">
        <f>IF(I563="","",I563*(1+J563/100))</f>
        <v/>
      </c>
      <c r="L563" s="8" t="inlineStr"/>
      <c r="M563" s="9">
        <f>IF(OR(L563="",K563="",L563=0),"",
  (L563-K563)/L563*100)</f>
        <v/>
      </c>
      <c r="N563" s="10" t="inlineStr"/>
      <c r="O563" s="4" t="inlineStr"/>
      <c r="P563" s="4" t="inlineStr"/>
      <c r="Q563" s="4" t="inlineStr"/>
      <c r="R563" s="4" t="inlineStr">
        <is>
          <t>2026-03-12</t>
        </is>
      </c>
      <c r="S563" s="4" t="inlineStr">
        <is>
          <t>Hirschs 47th Anniversary Sale Feb-Mar 2026</t>
        </is>
      </c>
    </row>
    <row r="564">
      <c r="A564" s="11" t="inlineStr">
        <is>
          <t>87714</t>
        </is>
      </c>
      <c r="B564" s="11" t="inlineStr"/>
      <c r="C564" s="11" t="inlineStr"/>
      <c r="D564" s="11" t="inlineStr"/>
      <c r="E564" s="11" t="inlineStr">
        <is>
          <t>Verimark Genesis Nutrimax Blender</t>
        </is>
      </c>
      <c r="F564" s="11" t="inlineStr">
        <is>
          <t>Verimark</t>
        </is>
      </c>
      <c r="G564" s="11" t="inlineStr"/>
      <c r="H564" s="11" t="inlineStr"/>
      <c r="I564" s="12" t="n">
        <v>1799</v>
      </c>
      <c r="J564" s="6" t="n">
        <v>15</v>
      </c>
      <c r="K564" s="7">
        <f>IF(I564="","",I564*(1+J564/100))</f>
        <v/>
      </c>
      <c r="L564" s="8" t="inlineStr"/>
      <c r="M564" s="9">
        <f>IF(OR(L564="",K564="",L564=0),"",
  (L564-K564)/L564*100)</f>
        <v/>
      </c>
      <c r="N564" s="10" t="inlineStr"/>
      <c r="O564" s="11" t="inlineStr"/>
      <c r="P564" s="11" t="inlineStr"/>
      <c r="Q564" s="11" t="inlineStr"/>
      <c r="R564" s="11" t="inlineStr">
        <is>
          <t>2026-03-12</t>
        </is>
      </c>
      <c r="S564" s="11" t="inlineStr">
        <is>
          <t>Hirschs 47th Anniversary Sale Feb-Mar 2026</t>
        </is>
      </c>
    </row>
    <row r="565">
      <c r="A565" s="3" t="inlineStr">
        <is>
          <t>84229</t>
        </is>
      </c>
      <c r="B565" s="4" t="inlineStr"/>
      <c r="C565" s="4" t="inlineStr"/>
      <c r="D565" s="4" t="inlineStr"/>
      <c r="E565" s="3" t="inlineStr">
        <is>
          <t>Verimark Twista 6-in-1 Chopper</t>
        </is>
      </c>
      <c r="F565" s="4" t="inlineStr">
        <is>
          <t>Verimark</t>
        </is>
      </c>
      <c r="G565" s="4" t="inlineStr"/>
      <c r="H565" s="4" t="inlineStr"/>
      <c r="I565" s="5" t="n">
        <v>2279</v>
      </c>
      <c r="J565" s="6" t="n">
        <v>15</v>
      </c>
      <c r="K565" s="7">
        <f>IF(I565="","",I565*(1+J565/100))</f>
        <v/>
      </c>
      <c r="L565" s="8" t="inlineStr"/>
      <c r="M565" s="9">
        <f>IF(OR(L565="",K565="",L565=0),"",
  (L565-K565)/L565*100)</f>
        <v/>
      </c>
      <c r="N565" s="10" t="inlineStr"/>
      <c r="O565" s="4" t="inlineStr"/>
      <c r="P565" s="4" t="inlineStr"/>
      <c r="Q565" s="4" t="inlineStr"/>
      <c r="R565" s="4" t="inlineStr">
        <is>
          <t>2026-03-12</t>
        </is>
      </c>
      <c r="S565" s="4" t="inlineStr">
        <is>
          <t>Hirschs 47th Anniversary Sale Feb-Mar 2026</t>
        </is>
      </c>
    </row>
    <row r="566">
      <c r="A566" s="11" t="inlineStr">
        <is>
          <t>80287</t>
        </is>
      </c>
      <c r="B566" s="11" t="inlineStr"/>
      <c r="C566" s="11" t="inlineStr"/>
      <c r="D566" s="11" t="inlineStr"/>
      <c r="E566" s="11" t="inlineStr">
        <is>
          <t>Verimark Floorwiz Spintech Pro</t>
        </is>
      </c>
      <c r="F566" s="11" t="inlineStr">
        <is>
          <t>Verimark</t>
        </is>
      </c>
      <c r="G566" s="11" t="inlineStr"/>
      <c r="H566" s="11" t="inlineStr"/>
      <c r="I566" s="12" t="n">
        <v>699</v>
      </c>
      <c r="J566" s="6" t="n">
        <v>15</v>
      </c>
      <c r="K566" s="7">
        <f>IF(I566="","",I566*(1+J566/100))</f>
        <v/>
      </c>
      <c r="L566" s="8" t="inlineStr"/>
      <c r="M566" s="9">
        <f>IF(OR(L566="",K566="",L566=0),"",
  (L566-K566)/L566*100)</f>
        <v/>
      </c>
      <c r="N566" s="10" t="inlineStr"/>
      <c r="O566" s="11" t="inlineStr"/>
      <c r="P566" s="11" t="inlineStr"/>
      <c r="Q566" s="11" t="inlineStr"/>
      <c r="R566" s="11" t="inlineStr">
        <is>
          <t>2026-03-12</t>
        </is>
      </c>
      <c r="S566" s="11" t="inlineStr">
        <is>
          <t>Hirschs 47th Anniversary Sale Feb-Mar 2026</t>
        </is>
      </c>
    </row>
    <row r="567">
      <c r="A567" s="3" t="inlineStr">
        <is>
          <t>86515</t>
        </is>
      </c>
      <c r="B567" s="4" t="inlineStr"/>
      <c r="C567" s="4" t="inlineStr"/>
      <c r="D567" s="4" t="inlineStr"/>
      <c r="E567" s="3" t="inlineStr">
        <is>
          <t>Verimark Genesis Cordless Tri-Brush</t>
        </is>
      </c>
      <c r="F567" s="4" t="inlineStr">
        <is>
          <t>Verimark</t>
        </is>
      </c>
      <c r="G567" s="4" t="inlineStr"/>
      <c r="H567" s="4" t="inlineStr"/>
      <c r="I567" s="5" t="n">
        <v>599</v>
      </c>
      <c r="J567" s="6" t="n">
        <v>15</v>
      </c>
      <c r="K567" s="7">
        <f>IF(I567="","",I567*(1+J567/100))</f>
        <v/>
      </c>
      <c r="L567" s="8" t="inlineStr"/>
      <c r="M567" s="9">
        <f>IF(OR(L567="",K567="",L567=0),"",
  (L567-K567)/L567*100)</f>
        <v/>
      </c>
      <c r="N567" s="10" t="inlineStr"/>
      <c r="O567" s="4" t="inlineStr"/>
      <c r="P567" s="4" t="inlineStr"/>
      <c r="Q567" s="4" t="inlineStr"/>
      <c r="R567" s="4" t="inlineStr">
        <is>
          <t>2026-03-12</t>
        </is>
      </c>
      <c r="S567" s="4" t="inlineStr">
        <is>
          <t>Hirschs 47th Anniversary Sale Feb-Mar 2026</t>
        </is>
      </c>
    </row>
    <row r="568">
      <c r="A568" s="11" t="inlineStr">
        <is>
          <t>81343</t>
        </is>
      </c>
      <c r="B568" s="11" t="inlineStr"/>
      <c r="C568" s="11" t="inlineStr"/>
      <c r="D568" s="11" t="inlineStr"/>
      <c r="E568" s="11" t="inlineStr">
        <is>
          <t>Verimark Bauer Apex 5pc Pot Set</t>
        </is>
      </c>
      <c r="F568" s="11" t="inlineStr">
        <is>
          <t>Verimark</t>
        </is>
      </c>
      <c r="G568" s="11" t="inlineStr"/>
      <c r="H568" s="11" t="inlineStr"/>
      <c r="I568" s="12" t="n">
        <v>1199</v>
      </c>
      <c r="J568" s="6" t="n">
        <v>15</v>
      </c>
      <c r="K568" s="7">
        <f>IF(I568="","",I568*(1+J568/100))</f>
        <v/>
      </c>
      <c r="L568" s="8" t="inlineStr"/>
      <c r="M568" s="9">
        <f>IF(OR(L568="",K568="",L568=0),"",
  (L568-K568)/L568*100)</f>
        <v/>
      </c>
      <c r="N568" s="10" t="inlineStr"/>
      <c r="O568" s="11" t="inlineStr"/>
      <c r="P568" s="11" t="inlineStr"/>
      <c r="Q568" s="11" t="inlineStr"/>
      <c r="R568" s="11" t="inlineStr">
        <is>
          <t>2026-03-12</t>
        </is>
      </c>
      <c r="S568" s="11" t="inlineStr">
        <is>
          <t>Hirschs 47th Anniversary Sale Feb-Mar 2026</t>
        </is>
      </c>
    </row>
    <row r="569">
      <c r="A569" s="3" t="inlineStr">
        <is>
          <t>85701</t>
        </is>
      </c>
      <c r="B569" s="4" t="inlineStr"/>
      <c r="C569" s="4" t="inlineStr"/>
      <c r="D569" s="4" t="inlineStr"/>
      <c r="E569" s="3" t="inlineStr">
        <is>
          <t>Verimark Genesis Hydrovac Plus II</t>
        </is>
      </c>
      <c r="F569" s="4" t="inlineStr">
        <is>
          <t>Verimark</t>
        </is>
      </c>
      <c r="G569" s="4" t="inlineStr"/>
      <c r="H569" s="4" t="inlineStr"/>
      <c r="I569" s="5" t="n">
        <v>2499</v>
      </c>
      <c r="J569" s="6" t="n">
        <v>15</v>
      </c>
      <c r="K569" s="7">
        <f>IF(I569="","",I569*(1+J569/100))</f>
        <v/>
      </c>
      <c r="L569" s="8" t="inlineStr"/>
      <c r="M569" s="9">
        <f>IF(OR(L569="",K569="",L569=0),"",
  (L569-K569)/L569*100)</f>
        <v/>
      </c>
      <c r="N569" s="10" t="inlineStr"/>
      <c r="O569" s="4" t="inlineStr"/>
      <c r="P569" s="4" t="inlineStr"/>
      <c r="Q569" s="4" t="inlineStr"/>
      <c r="R569" s="4" t="inlineStr">
        <is>
          <t>2026-03-12</t>
        </is>
      </c>
      <c r="S569" s="4" t="inlineStr">
        <is>
          <t>Hirschs 47th Anniversary Sale Feb-Mar 2026</t>
        </is>
      </c>
    </row>
    <row r="570">
      <c r="A570" s="11" t="inlineStr">
        <is>
          <t>85448</t>
        </is>
      </c>
      <c r="B570" s="11" t="inlineStr"/>
      <c r="C570" s="11" t="inlineStr"/>
      <c r="D570" s="11" t="inlineStr"/>
      <c r="E570" s="11" t="inlineStr">
        <is>
          <t>Verimark Genesis Cordless Turbovac</t>
        </is>
      </c>
      <c r="F570" s="11" t="inlineStr">
        <is>
          <t>Verimark</t>
        </is>
      </c>
      <c r="G570" s="11" t="inlineStr"/>
      <c r="H570" s="11" t="inlineStr"/>
      <c r="I570" s="12" t="n">
        <v>2999</v>
      </c>
      <c r="J570" s="6" t="n">
        <v>15</v>
      </c>
      <c r="K570" s="7">
        <f>IF(I570="","",I570*(1+J570/100))</f>
        <v/>
      </c>
      <c r="L570" s="8" t="inlineStr"/>
      <c r="M570" s="9">
        <f>IF(OR(L570="",K570="",L570=0),"",
  (L570-K570)/L570*100)</f>
        <v/>
      </c>
      <c r="N570" s="10" t="inlineStr"/>
      <c r="O570" s="11" t="inlineStr"/>
      <c r="P570" s="11" t="inlineStr"/>
      <c r="Q570" s="11" t="inlineStr"/>
      <c r="R570" s="11" t="inlineStr">
        <is>
          <t>2026-03-12</t>
        </is>
      </c>
      <c r="S570" s="11" t="inlineStr">
        <is>
          <t>Hirschs 47th Anniversary Sale Feb-Mar 2026</t>
        </is>
      </c>
    </row>
    <row r="571">
      <c r="A571" s="13" t="inlineStr"/>
      <c r="B571" s="4" t="inlineStr"/>
      <c r="C571" s="4" t="inlineStr"/>
      <c r="D571" s="4" t="inlineStr"/>
      <c r="E571" s="3" t="inlineStr">
        <is>
          <t>Verimark Genesis Mega Steam Iron</t>
        </is>
      </c>
      <c r="F571" s="4" t="inlineStr">
        <is>
          <t>Verimark</t>
        </is>
      </c>
      <c r="G571" s="4" t="inlineStr"/>
      <c r="H571" s="4" t="inlineStr"/>
      <c r="I571" s="5" t="n">
        <v>899</v>
      </c>
      <c r="J571" s="6" t="n">
        <v>15</v>
      </c>
      <c r="K571" s="7">
        <f>IF(I571="","",I571*(1+J571/100))</f>
        <v/>
      </c>
      <c r="L571" s="8" t="inlineStr"/>
      <c r="M571" s="9">
        <f>IF(OR(L571="",K571="",L571=0),"",
  (L571-K571)/L571*100)</f>
        <v/>
      </c>
      <c r="N571" s="10" t="inlineStr"/>
      <c r="O571" s="4" t="inlineStr"/>
      <c r="P571" s="4" t="inlineStr"/>
      <c r="Q571" s="4" t="inlineStr"/>
      <c r="R571" s="4" t="inlineStr">
        <is>
          <t>2026-03-12</t>
        </is>
      </c>
      <c r="S571" s="4" t="inlineStr">
        <is>
          <t>Hirschs 47th Anniversary Sale Feb-Mar 2026</t>
        </is>
      </c>
    </row>
    <row r="572">
      <c r="A572" s="11" t="inlineStr">
        <is>
          <t>84461</t>
        </is>
      </c>
      <c r="B572" s="11" t="inlineStr"/>
      <c r="C572" s="11" t="inlineStr"/>
      <c r="D572" s="11" t="inlineStr"/>
      <c r="E572" s="11" t="inlineStr">
        <is>
          <t>Tefal 26cm Access Pancake Pan</t>
        </is>
      </c>
      <c r="F572" s="11" t="inlineStr">
        <is>
          <t>Tefal</t>
        </is>
      </c>
      <c r="G572" s="11" t="inlineStr"/>
      <c r="H572" s="11" t="inlineStr"/>
      <c r="I572" s="12" t="n">
        <v>279</v>
      </c>
      <c r="J572" s="6" t="n">
        <v>15</v>
      </c>
      <c r="K572" s="7">
        <f>IF(I572="","",I572*(1+J572/100))</f>
        <v/>
      </c>
      <c r="L572" s="8" t="inlineStr"/>
      <c r="M572" s="9">
        <f>IF(OR(L572="",K572="",L572=0),"",
  (L572-K572)/L572*100)</f>
        <v/>
      </c>
      <c r="N572" s="10" t="inlineStr"/>
      <c r="O572" s="11" t="inlineStr"/>
      <c r="P572" s="11" t="inlineStr"/>
      <c r="Q572" s="11" t="inlineStr"/>
      <c r="R572" s="11" t="inlineStr">
        <is>
          <t>2026-03-12</t>
        </is>
      </c>
      <c r="S572" s="11" t="inlineStr">
        <is>
          <t>Hirschs 47th Anniversary Sale Feb-Mar 2026</t>
        </is>
      </c>
    </row>
    <row r="573">
      <c r="A573" s="3" t="inlineStr">
        <is>
          <t>83374</t>
        </is>
      </c>
      <c r="B573" s="4" t="inlineStr"/>
      <c r="C573" s="4" t="inlineStr"/>
      <c r="D573" s="4" t="inlineStr"/>
      <c r="E573" s="3" t="inlineStr">
        <is>
          <t>Tefal 24cm Black Access Frypan</t>
        </is>
      </c>
      <c r="F573" s="4" t="inlineStr">
        <is>
          <t>Tefal</t>
        </is>
      </c>
      <c r="G573" s="4" t="inlineStr"/>
      <c r="H573" s="4" t="inlineStr"/>
      <c r="I573" s="5" t="n">
        <v>269</v>
      </c>
      <c r="J573" s="6" t="n">
        <v>15</v>
      </c>
      <c r="K573" s="7">
        <f>IF(I573="","",I573*(1+J573/100))</f>
        <v/>
      </c>
      <c r="L573" s="8" t="inlineStr"/>
      <c r="M573" s="9">
        <f>IF(OR(L573="",K573="",L573=0),"",
  (L573-K573)/L573*100)</f>
        <v/>
      </c>
      <c r="N573" s="10" t="inlineStr"/>
      <c r="O573" s="4" t="inlineStr"/>
      <c r="P573" s="4" t="inlineStr"/>
      <c r="Q573" s="4" t="inlineStr"/>
      <c r="R573" s="4" t="inlineStr">
        <is>
          <t>2026-03-12</t>
        </is>
      </c>
      <c r="S573" s="4" t="inlineStr">
        <is>
          <t>Hirschs 47th Anniversary Sale Feb-Mar 2026</t>
        </is>
      </c>
    </row>
    <row r="574">
      <c r="A574" s="11" t="inlineStr">
        <is>
          <t>83375</t>
        </is>
      </c>
      <c r="B574" s="11" t="inlineStr"/>
      <c r="C574" s="11" t="inlineStr"/>
      <c r="D574" s="11" t="inlineStr"/>
      <c r="E574" s="11" t="inlineStr">
        <is>
          <t>Tefal 28cm Access Frypan</t>
        </is>
      </c>
      <c r="F574" s="11" t="inlineStr">
        <is>
          <t>Tefal</t>
        </is>
      </c>
      <c r="G574" s="11" t="inlineStr"/>
      <c r="H574" s="11" t="inlineStr"/>
      <c r="I574" s="12" t="n">
        <v>299</v>
      </c>
      <c r="J574" s="6" t="n">
        <v>15</v>
      </c>
      <c r="K574" s="7">
        <f>IF(I574="","",I574*(1+J574/100))</f>
        <v/>
      </c>
      <c r="L574" s="8" t="inlineStr"/>
      <c r="M574" s="9">
        <f>IF(OR(L574="",K574="",L574=0),"",
  (L574-K574)/L574*100)</f>
        <v/>
      </c>
      <c r="N574" s="10" t="inlineStr"/>
      <c r="O574" s="11" t="inlineStr"/>
      <c r="P574" s="11" t="inlineStr"/>
      <c r="Q574" s="11" t="inlineStr"/>
      <c r="R574" s="11" t="inlineStr">
        <is>
          <t>2026-03-12</t>
        </is>
      </c>
      <c r="S574" s="11" t="inlineStr">
        <is>
          <t>Hirschs 47th Anniversary Sale Feb-Mar 2026</t>
        </is>
      </c>
    </row>
    <row r="575">
      <c r="A575" s="3" t="inlineStr">
        <is>
          <t>83376</t>
        </is>
      </c>
      <c r="B575" s="4" t="inlineStr"/>
      <c r="C575" s="4" t="inlineStr"/>
      <c r="D575" s="4" t="inlineStr"/>
      <c r="E575" s="3" t="inlineStr">
        <is>
          <t>Tefal 30cm Access Frypan</t>
        </is>
      </c>
      <c r="F575" s="4" t="inlineStr">
        <is>
          <t>Tefal</t>
        </is>
      </c>
      <c r="G575" s="4" t="inlineStr"/>
      <c r="H575" s="4" t="inlineStr"/>
      <c r="I575" s="5" t="n">
        <v>349</v>
      </c>
      <c r="J575" s="6" t="n">
        <v>15</v>
      </c>
      <c r="K575" s="7">
        <f>IF(I575="","",I575*(1+J575/100))</f>
        <v/>
      </c>
      <c r="L575" s="8" t="inlineStr"/>
      <c r="M575" s="9">
        <f>IF(OR(L575="",K575="",L575=0),"",
  (L575-K575)/L575*100)</f>
        <v/>
      </c>
      <c r="N575" s="10" t="inlineStr"/>
      <c r="O575" s="4" t="inlineStr"/>
      <c r="P575" s="4" t="inlineStr"/>
      <c r="Q575" s="4" t="inlineStr"/>
      <c r="R575" s="4" t="inlineStr">
        <is>
          <t>2026-03-12</t>
        </is>
      </c>
      <c r="S575" s="4" t="inlineStr">
        <is>
          <t>Hirschs 47th Anniversary Sale Feb-Mar 2026</t>
        </is>
      </c>
    </row>
    <row r="576">
      <c r="A576" s="11" t="inlineStr">
        <is>
          <t>86993</t>
        </is>
      </c>
      <c r="B576" s="11" t="inlineStr"/>
      <c r="C576" s="11" t="inlineStr"/>
      <c r="D576" s="11" t="inlineStr"/>
      <c r="E576" s="11" t="inlineStr">
        <is>
          <t>Tefal 16PC Champagne Pot Set</t>
        </is>
      </c>
      <c r="F576" s="11" t="inlineStr">
        <is>
          <t>Tefal</t>
        </is>
      </c>
      <c r="G576" s="11" t="inlineStr"/>
      <c r="H576" s="11" t="inlineStr"/>
      <c r="I576" s="12" t="n">
        <v>3299</v>
      </c>
      <c r="J576" s="6" t="n">
        <v>15</v>
      </c>
      <c r="K576" s="7">
        <f>IF(I576="","",I576*(1+J576/100))</f>
        <v/>
      </c>
      <c r="L576" s="8" t="inlineStr"/>
      <c r="M576" s="9">
        <f>IF(OR(L576="",K576="",L576=0),"",
  (L576-K576)/L576*100)</f>
        <v/>
      </c>
      <c r="N576" s="10" t="inlineStr"/>
      <c r="O576" s="11" t="inlineStr"/>
      <c r="P576" s="11" t="inlineStr"/>
      <c r="Q576" s="11" t="inlineStr"/>
      <c r="R576" s="11" t="inlineStr">
        <is>
          <t>2026-03-12</t>
        </is>
      </c>
      <c r="S576" s="11" t="inlineStr">
        <is>
          <t>Hirschs 47th Anniversary Sale Feb-Mar 2026</t>
        </is>
      </c>
    </row>
    <row r="577">
      <c r="A577" s="3" t="inlineStr">
        <is>
          <t>85860</t>
        </is>
      </c>
      <c r="B577" s="4" t="inlineStr"/>
      <c r="C577" s="4" t="inlineStr"/>
      <c r="D577" s="4" t="inlineStr"/>
      <c r="E577" s="3" t="inlineStr">
        <is>
          <t>Tefal 7PC Super Cook Pot Set</t>
        </is>
      </c>
      <c r="F577" s="4" t="inlineStr">
        <is>
          <t>Tefal</t>
        </is>
      </c>
      <c r="G577" s="4" t="inlineStr"/>
      <c r="H577" s="4" t="inlineStr"/>
      <c r="I577" s="5" t="n">
        <v>1499</v>
      </c>
      <c r="J577" s="6" t="n">
        <v>15</v>
      </c>
      <c r="K577" s="7">
        <f>IF(I577="","",I577*(1+J577/100))</f>
        <v/>
      </c>
      <c r="L577" s="8" t="inlineStr"/>
      <c r="M577" s="9">
        <f>IF(OR(L577="",K577="",L577=0),"",
  (L577-K577)/L577*100)</f>
        <v/>
      </c>
      <c r="N577" s="10" t="inlineStr"/>
      <c r="O577" s="4" t="inlineStr"/>
      <c r="P577" s="4" t="inlineStr"/>
      <c r="Q577" s="4" t="inlineStr"/>
      <c r="R577" s="4" t="inlineStr">
        <is>
          <t>2026-03-12</t>
        </is>
      </c>
      <c r="S577" s="4" t="inlineStr">
        <is>
          <t>Hirschs 47th Anniversary Sale Feb-Mar 2026</t>
        </is>
      </c>
    </row>
    <row r="578">
      <c r="A578" s="11" t="inlineStr">
        <is>
          <t>12890</t>
        </is>
      </c>
      <c r="B578" s="11" t="inlineStr"/>
      <c r="C578" s="11" t="inlineStr"/>
      <c r="D578" s="11" t="inlineStr"/>
      <c r="E578" s="11" t="inlineStr">
        <is>
          <t>Krups Oval Coffee Bean Grinder</t>
        </is>
      </c>
      <c r="F578" s="11" t="inlineStr">
        <is>
          <t>Krups</t>
        </is>
      </c>
      <c r="G578" s="11" t="inlineStr"/>
      <c r="H578" s="11" t="inlineStr"/>
      <c r="I578" s="12" t="n">
        <v>529</v>
      </c>
      <c r="J578" s="6" t="n">
        <v>15</v>
      </c>
      <c r="K578" s="7">
        <f>IF(I578="","",I578*(1+J578/100))</f>
        <v/>
      </c>
      <c r="L578" s="8" t="inlineStr"/>
      <c r="M578" s="9">
        <f>IF(OR(L578="",K578="",L578=0),"",
  (L578-K578)/L578*100)</f>
        <v/>
      </c>
      <c r="N578" s="10" t="inlineStr"/>
      <c r="O578" s="11" t="inlineStr"/>
      <c r="P578" s="11" t="inlineStr"/>
      <c r="Q578" s="11" t="inlineStr"/>
      <c r="R578" s="11" t="inlineStr">
        <is>
          <t>2026-03-12</t>
        </is>
      </c>
      <c r="S578" s="11" t="inlineStr">
        <is>
          <t>Hirschs 47th Anniversary Sale Feb-Mar 2026</t>
        </is>
      </c>
    </row>
    <row r="579">
      <c r="A579" s="3" t="inlineStr">
        <is>
          <t>6788</t>
        </is>
      </c>
      <c r="B579" s="4" t="inlineStr"/>
      <c r="C579" s="4" t="inlineStr"/>
      <c r="D579" s="4" t="inlineStr"/>
      <c r="E579" s="3" t="inlineStr">
        <is>
          <t>Krups Grind Expert</t>
        </is>
      </c>
      <c r="F579" s="4" t="inlineStr">
        <is>
          <t>Krups</t>
        </is>
      </c>
      <c r="G579" s="4" t="inlineStr"/>
      <c r="H579" s="4" t="inlineStr"/>
      <c r="I579" s="5" t="n">
        <v>1199</v>
      </c>
      <c r="J579" s="6" t="n">
        <v>15</v>
      </c>
      <c r="K579" s="7">
        <f>IF(I579="","",I579*(1+J579/100))</f>
        <v/>
      </c>
      <c r="L579" s="8" t="inlineStr"/>
      <c r="M579" s="9">
        <f>IF(OR(L579="",K579="",L579=0),"",
  (L579-K579)/L579*100)</f>
        <v/>
      </c>
      <c r="N579" s="10" t="inlineStr"/>
      <c r="O579" s="4" t="inlineStr"/>
      <c r="P579" s="4" t="inlineStr"/>
      <c r="Q579" s="4" t="inlineStr"/>
      <c r="R579" s="4" t="inlineStr">
        <is>
          <t>2026-03-12</t>
        </is>
      </c>
      <c r="S579" s="4" t="inlineStr">
        <is>
          <t>Hirschs 47th Anniversary Sale Feb-Mar 2026</t>
        </is>
      </c>
    </row>
    <row r="580">
      <c r="A580" s="11" t="inlineStr">
        <is>
          <t>79158</t>
        </is>
      </c>
      <c r="B580" s="11" t="inlineStr"/>
      <c r="C580" s="11" t="inlineStr"/>
      <c r="D580" s="11" t="inlineStr"/>
      <c r="E580" s="11" t="inlineStr">
        <is>
          <t>Krups 251L Black Waffle Maker</t>
        </is>
      </c>
      <c r="F580" s="11" t="inlineStr">
        <is>
          <t>Krups</t>
        </is>
      </c>
      <c r="G580" s="11" t="inlineStr"/>
      <c r="H580" s="11" t="inlineStr"/>
      <c r="I580" s="12" t="n">
        <v>1499</v>
      </c>
      <c r="J580" s="6" t="n">
        <v>15</v>
      </c>
      <c r="K580" s="7">
        <f>IF(I580="","",I580*(1+J580/100))</f>
        <v/>
      </c>
      <c r="L580" s="8" t="inlineStr"/>
      <c r="M580" s="9">
        <f>IF(OR(L580="",K580="",L580=0),"",
  (L580-K580)/L580*100)</f>
        <v/>
      </c>
      <c r="N580" s="10" t="inlineStr"/>
      <c r="O580" s="11" t="inlineStr"/>
      <c r="P580" s="11" t="inlineStr"/>
      <c r="Q580" s="11" t="inlineStr"/>
      <c r="R580" s="11" t="inlineStr">
        <is>
          <t>2026-03-12</t>
        </is>
      </c>
      <c r="S580" s="11" t="inlineStr">
        <is>
          <t>Hirschs 47th Anniversary Sale Feb-Mar 2026</t>
        </is>
      </c>
    </row>
    <row r="581">
      <c r="A581" s="3" t="inlineStr">
        <is>
          <t>78631</t>
        </is>
      </c>
      <c r="B581" s="4" t="inlineStr"/>
      <c r="C581" s="4" t="inlineStr"/>
      <c r="D581" s="4" t="inlineStr"/>
      <c r="E581" s="3" t="inlineStr">
        <is>
          <t>Grafton Everest Camelia 3-2-1 Action in Addo</t>
        </is>
      </c>
      <c r="F581" s="4" t="inlineStr">
        <is>
          <t>Grafton Everest</t>
        </is>
      </c>
      <c r="G581" s="4" t="inlineStr"/>
      <c r="H581" s="4" t="inlineStr"/>
      <c r="I581" s="5" t="n">
        <v>22999</v>
      </c>
      <c r="J581" s="6" t="n">
        <v>15</v>
      </c>
      <c r="K581" s="7">
        <f>IF(I581="","",I581*(1+J581/100))</f>
        <v/>
      </c>
      <c r="L581" s="8" t="inlineStr"/>
      <c r="M581" s="9">
        <f>IF(OR(L581="",K581="",L581=0),"",
  (L581-K581)/L581*100)</f>
        <v/>
      </c>
      <c r="N581" s="10" t="inlineStr"/>
      <c r="O581" s="4" t="inlineStr"/>
      <c r="P581" s="4" t="inlineStr"/>
      <c r="Q581" s="4" t="inlineStr"/>
      <c r="R581" s="4" t="inlineStr">
        <is>
          <t>2026-03-12</t>
        </is>
      </c>
      <c r="S581" s="4" t="inlineStr">
        <is>
          <t>Hirschs 47th Anniversary Sale Feb-Mar 2026</t>
        </is>
      </c>
    </row>
    <row r="582">
      <c r="A582" s="13" t="inlineStr"/>
      <c r="B582" s="11" t="inlineStr"/>
      <c r="C582" s="11" t="inlineStr"/>
      <c r="D582" s="11" t="inlineStr"/>
      <c r="E582" s="11" t="inlineStr">
        <is>
          <t>Grafton Everest Barbados 5 Piece Grounded Cob3 Grey</t>
        </is>
      </c>
      <c r="F582" s="11" t="inlineStr">
        <is>
          <t>Grafton Everest</t>
        </is>
      </c>
      <c r="G582" s="11" t="inlineStr"/>
      <c r="H582" s="11" t="inlineStr"/>
      <c r="I582" s="12" t="n">
        <v>22999</v>
      </c>
      <c r="J582" s="6" t="n">
        <v>15</v>
      </c>
      <c r="K582" s="7">
        <f>IF(I582="","",I582*(1+J582/100))</f>
        <v/>
      </c>
      <c r="L582" s="8" t="inlineStr"/>
      <c r="M582" s="9">
        <f>IF(OR(L582="",K582="",L582=0),"",
  (L582-K582)/L582*100)</f>
        <v/>
      </c>
      <c r="N582" s="10" t="inlineStr"/>
      <c r="O582" s="11" t="inlineStr"/>
      <c r="P582" s="11" t="inlineStr"/>
      <c r="Q582" s="11" t="inlineStr"/>
      <c r="R582" s="11" t="inlineStr">
        <is>
          <t>2026-03-12</t>
        </is>
      </c>
      <c r="S582" s="11" t="inlineStr">
        <is>
          <t>Hirschs 47th Anniversary Sale Feb-Mar 2026</t>
        </is>
      </c>
    </row>
    <row r="583">
      <c r="A583" s="3" t="inlineStr">
        <is>
          <t>65758</t>
        </is>
      </c>
      <c r="B583" s="4" t="inlineStr"/>
      <c r="C583" s="4" t="inlineStr"/>
      <c r="D583" s="4" t="inlineStr"/>
      <c r="E583" s="3" t="inlineStr">
        <is>
          <t>AtlantiCape Norway grey corner lounge suite</t>
        </is>
      </c>
      <c r="F583" s="4" t="inlineStr">
        <is>
          <t>AtlantiCape</t>
        </is>
      </c>
      <c r="G583" s="4" t="inlineStr"/>
      <c r="H583" s="4" t="inlineStr"/>
      <c r="I583" s="5" t="n">
        <v>14999</v>
      </c>
      <c r="J583" s="6" t="n">
        <v>15</v>
      </c>
      <c r="K583" s="7">
        <f>IF(I583="","",I583*(1+J583/100))</f>
        <v/>
      </c>
      <c r="L583" s="8" t="inlineStr"/>
      <c r="M583" s="9">
        <f>IF(OR(L583="",K583="",L583=0),"",
  (L583-K583)/L583*100)</f>
        <v/>
      </c>
      <c r="N583" s="10" t="inlineStr"/>
      <c r="O583" s="4" t="inlineStr"/>
      <c r="P583" s="4" t="inlineStr"/>
      <c r="Q583" s="4" t="inlineStr"/>
      <c r="R583" s="4" t="inlineStr">
        <is>
          <t>2026-03-12</t>
        </is>
      </c>
      <c r="S583" s="4" t="inlineStr">
        <is>
          <t>Hirschs 47th Anniversary Sale Feb-Mar 2026</t>
        </is>
      </c>
    </row>
    <row r="584">
      <c r="A584" s="11" t="inlineStr">
        <is>
          <t>75663</t>
        </is>
      </c>
      <c r="B584" s="11" t="inlineStr"/>
      <c r="C584" s="11" t="inlineStr"/>
      <c r="D584" s="11" t="inlineStr"/>
      <c r="E584" s="11" t="inlineStr">
        <is>
          <t>AtlantiCape Panache Rocha Crystal Grey Fabric Lounge Suite</t>
        </is>
      </c>
      <c r="F584" s="11" t="inlineStr">
        <is>
          <t>AtlantiCape</t>
        </is>
      </c>
      <c r="G584" s="11" t="inlineStr"/>
      <c r="H584" s="11" t="inlineStr"/>
      <c r="I584" s="12" t="n">
        <v>17999</v>
      </c>
      <c r="J584" s="6" t="n">
        <v>15</v>
      </c>
      <c r="K584" s="7">
        <f>IF(I584="","",I584*(1+J584/100))</f>
        <v/>
      </c>
      <c r="L584" s="8" t="inlineStr"/>
      <c r="M584" s="9">
        <f>IF(OR(L584="",K584="",L584=0),"",
  (L584-K584)/L584*100)</f>
        <v/>
      </c>
      <c r="N584" s="10" t="inlineStr"/>
      <c r="O584" s="11" t="inlineStr"/>
      <c r="P584" s="11" t="inlineStr"/>
      <c r="Q584" s="11" t="inlineStr"/>
      <c r="R584" s="11" t="inlineStr">
        <is>
          <t>2026-03-12</t>
        </is>
      </c>
      <c r="S584" s="11" t="inlineStr">
        <is>
          <t>Hirschs 47th Anniversary Sale Feb-Mar 2026</t>
        </is>
      </c>
    </row>
    <row r="585">
      <c r="A585" s="3" t="inlineStr">
        <is>
          <t>81446</t>
        </is>
      </c>
      <c r="B585" s="4" t="inlineStr"/>
      <c r="C585" s="4" t="inlineStr"/>
      <c r="D585" s="4" t="inlineStr"/>
      <c r="E585" s="3" t="inlineStr">
        <is>
          <t>Calgan 4 Piece Chaise Console Bomber Java Lounge Suite</t>
        </is>
      </c>
      <c r="F585" s="4" t="inlineStr">
        <is>
          <t>Calgan</t>
        </is>
      </c>
      <c r="G585" s="4" t="inlineStr"/>
      <c r="H585" s="4" t="inlineStr"/>
      <c r="I585" s="5" t="n">
        <v>11999</v>
      </c>
      <c r="J585" s="6" t="n">
        <v>15</v>
      </c>
      <c r="K585" s="7">
        <f>IF(I585="","",I585*(1+J585/100))</f>
        <v/>
      </c>
      <c r="L585" s="8" t="inlineStr"/>
      <c r="M585" s="9">
        <f>IF(OR(L585="",K585="",L585=0),"",
  (L585-K585)/L585*100)</f>
        <v/>
      </c>
      <c r="N585" s="10" t="inlineStr"/>
      <c r="O585" s="4" t="inlineStr"/>
      <c r="P585" s="4" t="inlineStr"/>
      <c r="Q585" s="4" t="inlineStr"/>
      <c r="R585" s="4" t="inlineStr">
        <is>
          <t>2026-03-12</t>
        </is>
      </c>
      <c r="S585" s="4" t="inlineStr">
        <is>
          <t>Hirschs 47th Anniversary Sale Feb-Mar 2026</t>
        </is>
      </c>
    </row>
    <row r="586">
      <c r="A586" s="11" t="inlineStr">
        <is>
          <t>82568</t>
        </is>
      </c>
      <c r="B586" s="11" t="inlineStr"/>
      <c r="C586" s="11" t="inlineStr"/>
      <c r="D586" s="11" t="inlineStr"/>
      <c r="E586" s="11" t="inlineStr">
        <is>
          <t>Calgan Single Recliner Brown Leather Uppers</t>
        </is>
      </c>
      <c r="F586" s="11" t="inlineStr">
        <is>
          <t>Calgan</t>
        </is>
      </c>
      <c r="G586" s="11" t="inlineStr"/>
      <c r="H586" s="11" t="inlineStr"/>
      <c r="I586" s="12" t="n">
        <v>5999</v>
      </c>
      <c r="J586" s="6" t="n">
        <v>15</v>
      </c>
      <c r="K586" s="7">
        <f>IF(I586="","",I586*(1+J586/100))</f>
        <v/>
      </c>
      <c r="L586" s="8" t="inlineStr"/>
      <c r="M586" s="9">
        <f>IF(OR(L586="",K586="",L586=0),"",
  (L586-K586)/L586*100)</f>
        <v/>
      </c>
      <c r="N586" s="10" t="inlineStr"/>
      <c r="O586" s="11" t="inlineStr"/>
      <c r="P586" s="11" t="inlineStr"/>
      <c r="Q586" s="11" t="inlineStr"/>
      <c r="R586" s="11" t="inlineStr">
        <is>
          <t>2026-03-12</t>
        </is>
      </c>
      <c r="S586" s="11" t="inlineStr">
        <is>
          <t>Hirschs 47th Anniversary Sale Feb-Mar 2026</t>
        </is>
      </c>
    </row>
    <row r="587">
      <c r="A587" s="3" t="inlineStr">
        <is>
          <t>82195</t>
        </is>
      </c>
      <c r="B587" s="4" t="inlineStr"/>
      <c r="C587" s="4" t="inlineStr"/>
      <c r="D587" s="4" t="inlineStr"/>
      <c r="E587" s="3" t="inlineStr">
        <is>
          <t>Calgan Single Recliner Bomber Java</t>
        </is>
      </c>
      <c r="F587" s="4" t="inlineStr">
        <is>
          <t>Calgan</t>
        </is>
      </c>
      <c r="G587" s="4" t="inlineStr"/>
      <c r="H587" s="4" t="inlineStr"/>
      <c r="I587" s="5" t="n">
        <v>4999</v>
      </c>
      <c r="J587" s="6" t="n">
        <v>15</v>
      </c>
      <c r="K587" s="7">
        <f>IF(I587="","",I587*(1+J587/100))</f>
        <v/>
      </c>
      <c r="L587" s="8" t="inlineStr"/>
      <c r="M587" s="9">
        <f>IF(OR(L587="",K587="",L587=0),"",
  (L587-K587)/L587*100)</f>
        <v/>
      </c>
      <c r="N587" s="10" t="inlineStr"/>
      <c r="O587" s="4" t="inlineStr"/>
      <c r="P587" s="4" t="inlineStr"/>
      <c r="Q587" s="4" t="inlineStr"/>
      <c r="R587" s="4" t="inlineStr">
        <is>
          <t>2026-03-12</t>
        </is>
      </c>
      <c r="S587" s="4" t="inlineStr">
        <is>
          <t>Hirschs 47th Anniversary Sale Feb-Mar 2026</t>
        </is>
      </c>
    </row>
    <row r="588">
      <c r="A588" s="11" t="inlineStr">
        <is>
          <t>83822</t>
        </is>
      </c>
      <c r="B588" s="11" t="inlineStr"/>
      <c r="C588" s="11" t="inlineStr"/>
      <c r="D588" s="11" t="inlineStr"/>
      <c r="E588" s="11" t="inlineStr">
        <is>
          <t>Earthline Kingsley 5 Piece Corner Dakar Chocolate</t>
        </is>
      </c>
      <c r="F588" s="11" t="inlineStr">
        <is>
          <t>Earthline</t>
        </is>
      </c>
      <c r="G588" s="11" t="inlineStr"/>
      <c r="H588" s="11" t="inlineStr"/>
      <c r="I588" s="12" t="n">
        <v>24999</v>
      </c>
      <c r="J588" s="6" t="n">
        <v>15</v>
      </c>
      <c r="K588" s="7">
        <f>IF(I588="","",I588*(1+J588/100))</f>
        <v/>
      </c>
      <c r="L588" s="8" t="inlineStr"/>
      <c r="M588" s="9">
        <f>IF(OR(L588="",K588="",L588=0),"",
  (L588-K588)/L588*100)</f>
        <v/>
      </c>
      <c r="N588" s="10" t="inlineStr"/>
      <c r="O588" s="11" t="inlineStr"/>
      <c r="P588" s="11" t="inlineStr"/>
      <c r="Q588" s="11" t="inlineStr"/>
      <c r="R588" s="11" t="inlineStr">
        <is>
          <t>2026-03-12</t>
        </is>
      </c>
      <c r="S588" s="11" t="inlineStr">
        <is>
          <t>Hirschs 47th Anniversary Sale Feb-Mar 2026</t>
        </is>
      </c>
    </row>
    <row r="589">
      <c r="A589" s="3" t="inlineStr">
        <is>
          <t>83102</t>
        </is>
      </c>
      <c r="B589" s="4" t="inlineStr"/>
      <c r="C589" s="4" t="inlineStr"/>
      <c r="D589" s="4" t="inlineStr"/>
      <c r="E589" s="3" t="inlineStr">
        <is>
          <t>Bissell CrossWave HydroSteam Multi-surface cleaner</t>
        </is>
      </c>
      <c r="F589" s="4" t="inlineStr">
        <is>
          <t>Bissell</t>
        </is>
      </c>
      <c r="G589" s="4" t="inlineStr"/>
      <c r="H589" s="4" t="inlineStr"/>
      <c r="I589" s="5" t="n">
        <v>9999</v>
      </c>
      <c r="J589" s="6" t="n">
        <v>15</v>
      </c>
      <c r="K589" s="7">
        <f>IF(I589="","",I589*(1+J589/100))</f>
        <v/>
      </c>
      <c r="L589" s="8" t="inlineStr"/>
      <c r="M589" s="9">
        <f>IF(OR(L589="",K589="",L589=0),"",
  (L589-K589)/L589*100)</f>
        <v/>
      </c>
      <c r="N589" s="10" t="inlineStr"/>
      <c r="O589" s="4" t="inlineStr"/>
      <c r="P589" s="4" t="inlineStr"/>
      <c r="Q589" s="4" t="inlineStr"/>
      <c r="R589" s="4" t="inlineStr">
        <is>
          <t>2026-03-12</t>
        </is>
      </c>
      <c r="S589" s="4" t="inlineStr">
        <is>
          <t>Hirschs 47th Anniversary Sale Feb-Mar 2026</t>
        </is>
      </c>
    </row>
    <row r="590">
      <c r="A590" s="11" t="inlineStr">
        <is>
          <t>63101</t>
        </is>
      </c>
      <c r="B590" s="11" t="inlineStr"/>
      <c r="C590" s="11" t="inlineStr"/>
      <c r="D590" s="11" t="inlineStr"/>
      <c r="E590" s="11" t="inlineStr">
        <is>
          <t>Bissell ProHeat 2x Revolution Carpet cleaner</t>
        </is>
      </c>
      <c r="F590" s="11" t="inlineStr">
        <is>
          <t>Bissell</t>
        </is>
      </c>
      <c r="G590" s="11" t="inlineStr"/>
      <c r="H590" s="11" t="inlineStr"/>
      <c r="I590" s="12" t="n">
        <v>8999</v>
      </c>
      <c r="J590" s="6" t="n">
        <v>15</v>
      </c>
      <c r="K590" s="7">
        <f>IF(I590="","",I590*(1+J590/100))</f>
        <v/>
      </c>
      <c r="L590" s="8" t="inlineStr"/>
      <c r="M590" s="9">
        <f>IF(OR(L590="",K590="",L590=0),"",
  (L590-K590)/L590*100)</f>
        <v/>
      </c>
      <c r="N590" s="10" t="inlineStr"/>
      <c r="O590" s="11" t="inlineStr"/>
      <c r="P590" s="11" t="inlineStr"/>
      <c r="Q590" s="11" t="inlineStr"/>
      <c r="R590" s="11" t="inlineStr">
        <is>
          <t>2026-03-12</t>
        </is>
      </c>
      <c r="S590" s="11" t="inlineStr">
        <is>
          <t>Hirschs 47th Anniversary Sale Feb-Mar 2026</t>
        </is>
      </c>
    </row>
    <row r="591">
      <c r="A591" s="3" t="inlineStr">
        <is>
          <t>87780</t>
        </is>
      </c>
      <c r="B591" s="4" t="inlineStr"/>
      <c r="C591" s="4" t="inlineStr"/>
      <c r="D591" s="4" t="inlineStr"/>
      <c r="E591" s="3" t="inlineStr">
        <is>
          <t>Bissell SpotClean TruHeat Upholstery &amp; stain cleaner</t>
        </is>
      </c>
      <c r="F591" s="4" t="inlineStr">
        <is>
          <t>Bissell</t>
        </is>
      </c>
      <c r="G591" s="4" t="inlineStr"/>
      <c r="H591" s="4" t="inlineStr"/>
      <c r="I591" s="5" t="n">
        <v>6799</v>
      </c>
      <c r="J591" s="6" t="n">
        <v>15</v>
      </c>
      <c r="K591" s="7">
        <f>IF(I591="","",I591*(1+J591/100))</f>
        <v/>
      </c>
      <c r="L591" s="8" t="inlineStr"/>
      <c r="M591" s="9">
        <f>IF(OR(L591="",K591="",L591=0),"",
  (L591-K591)/L591*100)</f>
        <v/>
      </c>
      <c r="N591" s="10" t="inlineStr"/>
      <c r="O591" s="4" t="inlineStr"/>
      <c r="P591" s="4" t="inlineStr"/>
      <c r="Q591" s="4" t="inlineStr"/>
      <c r="R591" s="4" t="inlineStr">
        <is>
          <t>2026-03-12</t>
        </is>
      </c>
      <c r="S591" s="4" t="inlineStr">
        <is>
          <t>Hirschs 47th Anniversary Sale Feb-Mar 2026</t>
        </is>
      </c>
    </row>
    <row r="592">
      <c r="A592" s="11" t="inlineStr">
        <is>
          <t>83174</t>
        </is>
      </c>
      <c r="B592" s="11" t="inlineStr"/>
      <c r="C592" s="11" t="inlineStr"/>
      <c r="D592" s="11" t="inlineStr"/>
      <c r="E592" s="11" t="inlineStr">
        <is>
          <t>Bissell Spot &amp; Stain Solution 1lt</t>
        </is>
      </c>
      <c r="F592" s="11" t="inlineStr">
        <is>
          <t>Bissell</t>
        </is>
      </c>
      <c r="G592" s="11" t="inlineStr"/>
      <c r="H592" s="11" t="inlineStr"/>
      <c r="I592" s="12" t="n">
        <v>399</v>
      </c>
      <c r="J592" s="6" t="n">
        <v>15</v>
      </c>
      <c r="K592" s="7">
        <f>IF(I592="","",I592*(1+J592/100))</f>
        <v/>
      </c>
      <c r="L592" s="8" t="inlineStr"/>
      <c r="M592" s="9">
        <f>IF(OR(L592="",K592="",L592=0),"",
  (L592-K592)/L592*100)</f>
        <v/>
      </c>
      <c r="N592" s="10" t="inlineStr"/>
      <c r="O592" s="11" t="inlineStr"/>
      <c r="P592" s="11" t="inlineStr"/>
      <c r="Q592" s="11" t="inlineStr"/>
      <c r="R592" s="11" t="inlineStr">
        <is>
          <t>2026-03-12</t>
        </is>
      </c>
      <c r="S592" s="11" t="inlineStr">
        <is>
          <t>Hirschs 47th Anniversary Sale Feb-Mar 2026</t>
        </is>
      </c>
    </row>
    <row r="593">
      <c r="A593" s="3" t="inlineStr">
        <is>
          <t>83180</t>
        </is>
      </c>
      <c r="B593" s="4" t="inlineStr"/>
      <c r="C593" s="4" t="inlineStr"/>
      <c r="D593" s="4" t="inlineStr"/>
      <c r="E593" s="3" t="inlineStr">
        <is>
          <t>Bissell Multi-Surface Solution 1lt</t>
        </is>
      </c>
      <c r="F593" s="4" t="inlineStr">
        <is>
          <t>Bissell</t>
        </is>
      </c>
      <c r="G593" s="4" t="inlineStr"/>
      <c r="H593" s="4" t="inlineStr"/>
      <c r="I593" s="5" t="n">
        <v>399</v>
      </c>
      <c r="J593" s="6" t="n">
        <v>15</v>
      </c>
      <c r="K593" s="7">
        <f>IF(I593="","",I593*(1+J593/100))</f>
        <v/>
      </c>
      <c r="L593" s="8" t="inlineStr"/>
      <c r="M593" s="9">
        <f>IF(OR(L593="",K593="",L593=0),"",
  (L593-K593)/L593*100)</f>
        <v/>
      </c>
      <c r="N593" s="10" t="inlineStr"/>
      <c r="O593" s="4" t="inlineStr"/>
      <c r="P593" s="4" t="inlineStr"/>
      <c r="Q593" s="4" t="inlineStr"/>
      <c r="R593" s="4" t="inlineStr">
        <is>
          <t>2026-03-12</t>
        </is>
      </c>
      <c r="S593" s="4" t="inlineStr">
        <is>
          <t>Hirschs 47th Anniversary Sale Feb-Mar 2026</t>
        </is>
      </c>
    </row>
    <row r="594">
      <c r="A594" s="11" t="inlineStr">
        <is>
          <t>75389</t>
        </is>
      </c>
      <c r="B594" s="11" t="inlineStr"/>
      <c r="C594" s="11" t="inlineStr"/>
      <c r="D594" s="11" t="inlineStr"/>
      <c r="E594" s="11" t="inlineStr">
        <is>
          <t>Legend Classique Red 750ml (4 pack)</t>
        </is>
      </c>
      <c r="F594" s="11" t="inlineStr">
        <is>
          <t>Legend</t>
        </is>
      </c>
      <c r="G594" s="11" t="inlineStr"/>
      <c r="H594" s="11" t="inlineStr"/>
      <c r="I594" s="12" t="n">
        <v>249</v>
      </c>
      <c r="J594" s="6" t="n">
        <v>15</v>
      </c>
      <c r="K594" s="7">
        <f>IF(I594="","",I594*(1+J594/100))</f>
        <v/>
      </c>
      <c r="L594" s="8" t="inlineStr"/>
      <c r="M594" s="9">
        <f>IF(OR(L594="",K594="",L594=0),"",
  (L594-K594)/L594*100)</f>
        <v/>
      </c>
      <c r="N594" s="10" t="inlineStr"/>
      <c r="O594" s="11" t="inlineStr"/>
      <c r="P594" s="11" t="inlineStr"/>
      <c r="Q594" s="11" t="inlineStr"/>
      <c r="R594" s="11" t="inlineStr">
        <is>
          <t>2026-03-12</t>
        </is>
      </c>
      <c r="S594" s="11" t="inlineStr">
        <is>
          <t>Hirschs 47th Anniversary Sale Feb-Mar 2026</t>
        </is>
      </c>
    </row>
    <row r="595">
      <c r="A595" s="3" t="inlineStr">
        <is>
          <t>75349</t>
        </is>
      </c>
      <c r="B595" s="4" t="inlineStr"/>
      <c r="C595" s="4" t="inlineStr"/>
      <c r="D595" s="4" t="inlineStr"/>
      <c r="E595" s="3" t="inlineStr">
        <is>
          <t>Legend Classique White Wine Glasses (4 pack)</t>
        </is>
      </c>
      <c r="F595" s="4" t="inlineStr">
        <is>
          <t>Legend</t>
        </is>
      </c>
      <c r="G595" s="4" t="inlineStr"/>
      <c r="H595" s="4" t="inlineStr"/>
      <c r="I595" s="5" t="n">
        <v>259</v>
      </c>
      <c r="J595" s="6" t="n">
        <v>15</v>
      </c>
      <c r="K595" s="7">
        <f>IF(I595="","",I595*(1+J595/100))</f>
        <v/>
      </c>
      <c r="L595" s="8" t="inlineStr"/>
      <c r="M595" s="9">
        <f>IF(OR(L595="",K595="",L595=0),"",
  (L595-K595)/L595*100)</f>
        <v/>
      </c>
      <c r="N595" s="10" t="inlineStr"/>
      <c r="O595" s="4" t="inlineStr"/>
      <c r="P595" s="4" t="inlineStr"/>
      <c r="Q595" s="4" t="inlineStr"/>
      <c r="R595" s="4" t="inlineStr">
        <is>
          <t>2026-03-12</t>
        </is>
      </c>
      <c r="S595" s="4" t="inlineStr">
        <is>
          <t>Hirschs 47th Anniversary Sale Feb-Mar 2026</t>
        </is>
      </c>
    </row>
    <row r="596">
      <c r="A596" s="11" t="inlineStr">
        <is>
          <t>75391</t>
        </is>
      </c>
      <c r="B596" s="11" t="inlineStr"/>
      <c r="C596" s="11" t="inlineStr"/>
      <c r="D596" s="11" t="inlineStr"/>
      <c r="E596" s="11" t="inlineStr">
        <is>
          <t>Legend Classique Champagne (4 pack)</t>
        </is>
      </c>
      <c r="F596" s="11" t="inlineStr">
        <is>
          <t>Legend</t>
        </is>
      </c>
      <c r="G596" s="11" t="inlineStr"/>
      <c r="H596" s="11" t="inlineStr"/>
      <c r="I596" s="12" t="n">
        <v>249</v>
      </c>
      <c r="J596" s="6" t="n">
        <v>15</v>
      </c>
      <c r="K596" s="7">
        <f>IF(I596="","",I596*(1+J596/100))</f>
        <v/>
      </c>
      <c r="L596" s="8" t="inlineStr"/>
      <c r="M596" s="9">
        <f>IF(OR(L596="",K596="",L596=0),"",
  (L596-K596)/L596*100)</f>
        <v/>
      </c>
      <c r="N596" s="10" t="inlineStr"/>
      <c r="O596" s="11" t="inlineStr"/>
      <c r="P596" s="11" t="inlineStr"/>
      <c r="Q596" s="11" t="inlineStr"/>
      <c r="R596" s="11" t="inlineStr">
        <is>
          <t>2026-03-12</t>
        </is>
      </c>
      <c r="S596" s="11" t="inlineStr">
        <is>
          <t>Hirschs 47th Anniversary Sale Feb-Mar 2026</t>
        </is>
      </c>
    </row>
    <row r="597">
      <c r="A597" s="13" t="inlineStr"/>
      <c r="B597" s="4" t="inlineStr"/>
      <c r="C597" s="4" t="inlineStr"/>
      <c r="D597" s="4" t="inlineStr"/>
      <c r="E597" s="3" t="inlineStr">
        <is>
          <t>Legend Master Chef 7-piece Cookware Set</t>
        </is>
      </c>
      <c r="F597" s="4" t="inlineStr">
        <is>
          <t>Legend</t>
        </is>
      </c>
      <c r="G597" s="4" t="inlineStr"/>
      <c r="H597" s="4" t="inlineStr"/>
      <c r="I597" s="5" t="n">
        <v>1499</v>
      </c>
      <c r="J597" s="6" t="n">
        <v>15</v>
      </c>
      <c r="K597" s="7">
        <f>IF(I597="","",I597*(1+J597/100))</f>
        <v/>
      </c>
      <c r="L597" s="8" t="inlineStr"/>
      <c r="M597" s="9">
        <f>IF(OR(L597="",K597="",L597=0),"",
  (L597-K597)/L597*100)</f>
        <v/>
      </c>
      <c r="N597" s="10" t="inlineStr"/>
      <c r="O597" s="4" t="inlineStr"/>
      <c r="P597" s="4" t="inlineStr"/>
      <c r="Q597" s="4" t="inlineStr"/>
      <c r="R597" s="4" t="inlineStr">
        <is>
          <t>2026-03-12</t>
        </is>
      </c>
      <c r="S597" s="4" t="inlineStr">
        <is>
          <t>Hirschs 47th Anniversary Sale Feb-Mar 2026</t>
        </is>
      </c>
    </row>
    <row r="598">
      <c r="A598" s="13" t="inlineStr"/>
      <c r="B598" s="11" t="inlineStr"/>
      <c r="C598" s="11" t="inlineStr"/>
      <c r="D598" s="11" t="inlineStr"/>
      <c r="E598" s="11" t="inlineStr">
        <is>
          <t>Legend Premium Can Opener</t>
        </is>
      </c>
      <c r="F598" s="11" t="inlineStr">
        <is>
          <t>Legend</t>
        </is>
      </c>
      <c r="G598" s="11" t="inlineStr"/>
      <c r="H598" s="11" t="inlineStr"/>
      <c r="I598" s="12" t="n">
        <v>149</v>
      </c>
      <c r="J598" s="6" t="n">
        <v>15</v>
      </c>
      <c r="K598" s="7">
        <f>IF(I598="","",I598*(1+J598/100))</f>
        <v/>
      </c>
      <c r="L598" s="8" t="inlineStr"/>
      <c r="M598" s="9">
        <f>IF(OR(L598="",K598="",L598=0),"",
  (L598-K598)/L598*100)</f>
        <v/>
      </c>
      <c r="N598" s="10" t="inlineStr"/>
      <c r="O598" s="11" t="inlineStr"/>
      <c r="P598" s="11" t="inlineStr"/>
      <c r="Q598" s="11" t="inlineStr"/>
      <c r="R598" s="11" t="inlineStr">
        <is>
          <t>2026-03-12</t>
        </is>
      </c>
      <c r="S598" s="11" t="inlineStr">
        <is>
          <t>Hirschs 47th Anniversary Sale Feb-Mar 2026</t>
        </is>
      </c>
    </row>
    <row r="599">
      <c r="A599" s="3" t="inlineStr">
        <is>
          <t>82613</t>
        </is>
      </c>
      <c r="B599" s="4" t="inlineStr"/>
      <c r="C599" s="4" t="inlineStr"/>
      <c r="D599" s="4" t="inlineStr"/>
      <c r="E599" s="3" t="inlineStr">
        <is>
          <t>LocknLock Nestopia 3-piece Container Set</t>
        </is>
      </c>
      <c r="F599" s="4" t="inlineStr">
        <is>
          <t>LocknLock</t>
        </is>
      </c>
      <c r="G599" s="4" t="inlineStr"/>
      <c r="H599" s="4" t="inlineStr"/>
      <c r="I599" s="5" t="n">
        <v>199</v>
      </c>
      <c r="J599" s="6" t="n">
        <v>15</v>
      </c>
      <c r="K599" s="7">
        <f>IF(I599="","",I599*(1+J599/100))</f>
        <v/>
      </c>
      <c r="L599" s="8" t="inlineStr"/>
      <c r="M599" s="9">
        <f>IF(OR(L599="",K599="",L599=0),"",
  (L599-K599)/L599*100)</f>
        <v/>
      </c>
      <c r="N599" s="10" t="inlineStr"/>
      <c r="O599" s="4" t="inlineStr"/>
      <c r="P599" s="4" t="inlineStr"/>
      <c r="Q599" s="4" t="inlineStr"/>
      <c r="R599" s="4" t="inlineStr">
        <is>
          <t>2026-03-12</t>
        </is>
      </c>
      <c r="S599" s="4" t="inlineStr">
        <is>
          <t>Hirschs 47th Anniversary Sale Feb-Mar 2026</t>
        </is>
      </c>
    </row>
    <row r="600">
      <c r="A600" s="11" t="inlineStr">
        <is>
          <t>82612</t>
        </is>
      </c>
      <c r="B600" s="11" t="inlineStr"/>
      <c r="C600" s="11" t="inlineStr"/>
      <c r="D600" s="11" t="inlineStr"/>
      <c r="E600" s="11" t="inlineStr">
        <is>
          <t>LocknLock Nestopia 5-piece Container Set</t>
        </is>
      </c>
      <c r="F600" s="11" t="inlineStr">
        <is>
          <t>LocknLock</t>
        </is>
      </c>
      <c r="G600" s="11" t="inlineStr"/>
      <c r="H600" s="11" t="inlineStr"/>
      <c r="I600" s="12" t="n">
        <v>349</v>
      </c>
      <c r="J600" s="6" t="n">
        <v>15</v>
      </c>
      <c r="K600" s="7">
        <f>IF(I600="","",I600*(1+J600/100))</f>
        <v/>
      </c>
      <c r="L600" s="8" t="inlineStr"/>
      <c r="M600" s="9">
        <f>IF(OR(L600="",K600="",L600=0),"",
  (L600-K600)/L600*100)</f>
        <v/>
      </c>
      <c r="N600" s="10" t="inlineStr"/>
      <c r="O600" s="11" t="inlineStr"/>
      <c r="P600" s="11" t="inlineStr"/>
      <c r="Q600" s="11" t="inlineStr"/>
      <c r="R600" s="11" t="inlineStr">
        <is>
          <t>2026-03-12</t>
        </is>
      </c>
      <c r="S600" s="11" t="inlineStr">
        <is>
          <t>Hirschs 47th Anniversary Sale Feb-Mar 2026</t>
        </is>
      </c>
    </row>
    <row r="601">
      <c r="A601" s="3" t="inlineStr">
        <is>
          <t>H5008</t>
        </is>
      </c>
      <c r="B601" s="4" t="inlineStr"/>
      <c r="C601" s="4" t="inlineStr"/>
      <c r="D601" s="4" t="inlineStr"/>
      <c r="E601" s="3" t="inlineStr">
        <is>
          <t>Daikin MC55W HEPA Air Purifier</t>
        </is>
      </c>
      <c r="F601" s="4" t="inlineStr">
        <is>
          <t>Daikin</t>
        </is>
      </c>
      <c r="G601" s="4" t="inlineStr"/>
      <c r="H601" s="4" t="inlineStr"/>
      <c r="I601" s="5" t="n">
        <v>5999</v>
      </c>
      <c r="J601" s="6" t="n">
        <v>15</v>
      </c>
      <c r="K601" s="7">
        <f>IF(I601="","",I601*(1+J601/100))</f>
        <v/>
      </c>
      <c r="L601" s="8" t="inlineStr"/>
      <c r="M601" s="9">
        <f>IF(OR(L601="",K601="",L601=0),"",
  (L601-K601)/L601*100)</f>
        <v/>
      </c>
      <c r="N601" s="10" t="inlineStr"/>
      <c r="O601" s="4" t="inlineStr"/>
      <c r="P601" s="4" t="inlineStr"/>
      <c r="Q601" s="4" t="inlineStr"/>
      <c r="R601" s="4" t="inlineStr">
        <is>
          <t>2026-03-12</t>
        </is>
      </c>
      <c r="S601" s="4" t="inlineStr">
        <is>
          <t>Hirschs 47th Anniversary Sale Feb-Mar 2026</t>
        </is>
      </c>
    </row>
    <row r="602">
      <c r="A602" s="13" t="inlineStr"/>
      <c r="B602" s="11" t="inlineStr"/>
      <c r="C602" s="11" t="inlineStr"/>
      <c r="D602" s="11" t="inlineStr"/>
      <c r="E602" s="11" t="inlineStr">
        <is>
          <t>Samsung WindFree Airconditioning</t>
        </is>
      </c>
      <c r="F602" s="11" t="inlineStr">
        <is>
          <t>Samsung</t>
        </is>
      </c>
      <c r="G602" s="11" t="inlineStr"/>
      <c r="H602" s="11" t="inlineStr"/>
      <c r="I602" s="8" t="inlineStr"/>
      <c r="J602" s="6" t="n">
        <v>15</v>
      </c>
      <c r="K602" s="7">
        <f>IF(I602="","",I602*(1+J602/100))</f>
        <v/>
      </c>
      <c r="L602" s="8" t="inlineStr"/>
      <c r="M602" s="9">
        <f>IF(OR(L602="",K602="",L602=0),"",
  (L602-K602)/L602*100)</f>
        <v/>
      </c>
      <c r="N602" s="10" t="inlineStr"/>
      <c r="O602" s="11" t="inlineStr"/>
      <c r="P602" s="11" t="inlineStr"/>
      <c r="Q602" s="11" t="inlineStr"/>
      <c r="R602" s="11" t="inlineStr">
        <is>
          <t>2026-03-12</t>
        </is>
      </c>
      <c r="S602" s="11" t="inlineStr">
        <is>
          <t>Hirschs 47th Anniversary Sale Feb-Mar 2026</t>
        </is>
      </c>
    </row>
    <row r="603">
      <c r="A603" s="3" t="inlineStr">
        <is>
          <t>H3209</t>
        </is>
      </c>
      <c r="B603" s="4" t="inlineStr"/>
      <c r="C603" s="4" t="inlineStr"/>
      <c r="D603" s="4" t="inlineStr"/>
      <c r="E603" s="3" t="inlineStr">
        <is>
          <t>Alliance Emerald R32 Inverter Midwall Aircon</t>
        </is>
      </c>
      <c r="F603" s="4" t="inlineStr">
        <is>
          <t>Alliance</t>
        </is>
      </c>
      <c r="G603" s="4" t="inlineStr"/>
      <c r="H603" s="4" t="inlineStr"/>
      <c r="I603" s="8" t="inlineStr"/>
      <c r="J603" s="6" t="n">
        <v>15</v>
      </c>
      <c r="K603" s="7">
        <f>IF(I603="","",I603*(1+J603/100))</f>
        <v/>
      </c>
      <c r="L603" s="8" t="inlineStr"/>
      <c r="M603" s="9">
        <f>IF(OR(L603="",K603="",L603=0),"",
  (L603-K603)/L603*100)</f>
        <v/>
      </c>
      <c r="N603" s="10" t="inlineStr"/>
      <c r="O603" s="4" t="inlineStr"/>
      <c r="P603" s="4" t="inlineStr"/>
      <c r="Q603" s="4" t="inlineStr"/>
      <c r="R603" s="4" t="inlineStr">
        <is>
          <t>2026-03-12</t>
        </is>
      </c>
      <c r="S603" s="4" t="inlineStr">
        <is>
          <t>Hirschs 47th Anniversary Sale Feb-Mar 2026</t>
        </is>
      </c>
    </row>
    <row r="604">
      <c r="A604" s="11" t="inlineStr">
        <is>
          <t>H1815</t>
        </is>
      </c>
      <c r="B604" s="11" t="inlineStr"/>
      <c r="C604" s="11" t="inlineStr"/>
      <c r="D604" s="11" t="inlineStr"/>
      <c r="E604" s="11" t="inlineStr">
        <is>
          <t>Alliance Portable Aircon 12000BTU</t>
        </is>
      </c>
      <c r="F604" s="11" t="inlineStr">
        <is>
          <t>Alliance</t>
        </is>
      </c>
      <c r="G604" s="11" t="inlineStr"/>
      <c r="H604" s="11" t="inlineStr"/>
      <c r="I604" s="12" t="n">
        <v>5499</v>
      </c>
      <c r="J604" s="6" t="n">
        <v>15</v>
      </c>
      <c r="K604" s="7">
        <f>IF(I604="","",I604*(1+J604/100))</f>
        <v/>
      </c>
      <c r="L604" s="8" t="inlineStr"/>
      <c r="M604" s="9">
        <f>IF(OR(L604="",K604="",L604=0),"",
  (L604-K604)/L604*100)</f>
        <v/>
      </c>
      <c r="N604" s="10" t="inlineStr"/>
      <c r="O604" s="11" t="inlineStr"/>
      <c r="P604" s="11" t="inlineStr"/>
      <c r="Q604" s="11" t="inlineStr"/>
      <c r="R604" s="11" t="inlineStr">
        <is>
          <t>2026-03-12</t>
        </is>
      </c>
      <c r="S604" s="11" t="inlineStr">
        <is>
          <t>Hirschs 47th Anniversary Sale Feb-Mar 2026</t>
        </is>
      </c>
    </row>
    <row r="605">
      <c r="A605" s="3" t="inlineStr">
        <is>
          <t>H8639</t>
        </is>
      </c>
      <c r="B605" s="4" t="inlineStr"/>
      <c r="C605" s="4" t="inlineStr"/>
      <c r="D605" s="4" t="inlineStr"/>
      <c r="E605" s="3" t="inlineStr">
        <is>
          <t>Comfee Fixed speed Midwall aircon</t>
        </is>
      </c>
      <c r="F605" s="4" t="inlineStr">
        <is>
          <t>Comfee</t>
        </is>
      </c>
      <c r="G605" s="4" t="inlineStr"/>
      <c r="H605" s="4" t="inlineStr"/>
      <c r="I605" s="8" t="inlineStr"/>
      <c r="J605" s="6" t="n">
        <v>15</v>
      </c>
      <c r="K605" s="7">
        <f>IF(I605="","",I605*(1+J605/100))</f>
        <v/>
      </c>
      <c r="L605" s="8" t="inlineStr"/>
      <c r="M605" s="9">
        <f>IF(OR(L605="",K605="",L605=0),"",
  (L605-K605)/L605*100)</f>
        <v/>
      </c>
      <c r="N605" s="10" t="inlineStr"/>
      <c r="O605" s="4" t="inlineStr"/>
      <c r="P605" s="4" t="inlineStr"/>
      <c r="Q605" s="4" t="inlineStr"/>
      <c r="R605" s="4" t="inlineStr">
        <is>
          <t>2026-03-12</t>
        </is>
      </c>
      <c r="S605" s="4" t="inlineStr">
        <is>
          <t>Hirschs 47th Anniversary Sale Feb-Mar 2026</t>
        </is>
      </c>
    </row>
    <row r="606">
      <c r="A606" s="11" t="inlineStr">
        <is>
          <t>66800</t>
        </is>
      </c>
      <c r="B606" s="11" t="inlineStr"/>
      <c r="C606" s="11" t="inlineStr"/>
      <c r="D606" s="11" t="inlineStr"/>
      <c r="E606" s="11" t="inlineStr">
        <is>
          <t>Brabantia Ironing board A Soothing Sea Small</t>
        </is>
      </c>
      <c r="F606" s="11" t="inlineStr">
        <is>
          <t>Brabantia</t>
        </is>
      </c>
      <c r="G606" s="11" t="inlineStr"/>
      <c r="H606" s="11" t="inlineStr"/>
      <c r="I606" s="12" t="n">
        <v>1799</v>
      </c>
      <c r="J606" s="6" t="n">
        <v>15</v>
      </c>
      <c r="K606" s="7">
        <f>IF(I606="","",I606*(1+J606/100))</f>
        <v/>
      </c>
      <c r="L606" s="8" t="inlineStr"/>
      <c r="M606" s="9">
        <f>IF(OR(L606="",K606="",L606=0),"",
  (L606-K606)/L606*100)</f>
        <v/>
      </c>
      <c r="N606" s="10" t="inlineStr"/>
      <c r="O606" s="11" t="inlineStr"/>
      <c r="P606" s="11" t="inlineStr"/>
      <c r="Q606" s="11" t="inlineStr"/>
      <c r="R606" s="11" t="inlineStr">
        <is>
          <t>2026-03-12</t>
        </is>
      </c>
      <c r="S606" s="11" t="inlineStr">
        <is>
          <t>Hirschs 47th Anniversary Sale Feb-Mar 2026</t>
        </is>
      </c>
    </row>
    <row r="607">
      <c r="A607" s="3" t="inlineStr">
        <is>
          <t>73102</t>
        </is>
      </c>
      <c r="B607" s="4" t="inlineStr"/>
      <c r="C607" s="4" t="inlineStr"/>
      <c r="D607" s="4" t="inlineStr"/>
      <c r="E607" s="3" t="inlineStr">
        <is>
          <t>Brabantia Ironing board B Ice water Medium</t>
        </is>
      </c>
      <c r="F607" s="4" t="inlineStr">
        <is>
          <t>Brabantia</t>
        </is>
      </c>
      <c r="G607" s="4" t="inlineStr"/>
      <c r="H607" s="4" t="inlineStr"/>
      <c r="I607" s="5" t="n">
        <v>1999</v>
      </c>
      <c r="J607" s="6" t="n">
        <v>15</v>
      </c>
      <c r="K607" s="7">
        <f>IF(I607="","",I607*(1+J607/100))</f>
        <v/>
      </c>
      <c r="L607" s="8" t="inlineStr"/>
      <c r="M607" s="9">
        <f>IF(OR(L607="",K607="",L607=0),"",
  (L607-K607)/L607*100)</f>
        <v/>
      </c>
      <c r="N607" s="10" t="inlineStr"/>
      <c r="O607" s="4" t="inlineStr"/>
      <c r="P607" s="4" t="inlineStr"/>
      <c r="Q607" s="4" t="inlineStr"/>
      <c r="R607" s="4" t="inlineStr">
        <is>
          <t>2026-03-12</t>
        </is>
      </c>
      <c r="S607" s="4" t="inlineStr">
        <is>
          <t>Hirschs 47th Anniversary Sale Feb-Mar 2026</t>
        </is>
      </c>
    </row>
    <row r="608">
      <c r="A608" s="11" t="inlineStr">
        <is>
          <t>73884</t>
        </is>
      </c>
      <c r="B608" s="11" t="inlineStr"/>
      <c r="C608" s="11" t="inlineStr"/>
      <c r="D608" s="11" t="inlineStr"/>
      <c r="E608" s="11" t="inlineStr">
        <is>
          <t>Brabantia Ironing board C Cotton Flower Large</t>
        </is>
      </c>
      <c r="F608" s="11" t="inlineStr">
        <is>
          <t>Brabantia</t>
        </is>
      </c>
      <c r="G608" s="11" t="inlineStr"/>
      <c r="H608" s="11" t="inlineStr"/>
      <c r="I608" s="12" t="n">
        <v>2599</v>
      </c>
      <c r="J608" s="6" t="n">
        <v>15</v>
      </c>
      <c r="K608" s="7">
        <f>IF(I608="","",I608*(1+J608/100))</f>
        <v/>
      </c>
      <c r="L608" s="8" t="inlineStr"/>
      <c r="M608" s="9">
        <f>IF(OR(L608="",K608="",L608=0),"",
  (L608-K608)/L608*100)</f>
        <v/>
      </c>
      <c r="N608" s="10" t="inlineStr"/>
      <c r="O608" s="11" t="inlineStr"/>
      <c r="P608" s="11" t="inlineStr"/>
      <c r="Q608" s="11" t="inlineStr"/>
      <c r="R608" s="11" t="inlineStr">
        <is>
          <t>2026-03-12</t>
        </is>
      </c>
      <c r="S608" s="11" t="inlineStr">
        <is>
          <t>Hirschs 47th Anniversary Sale Feb-Mar 2026</t>
        </is>
      </c>
    </row>
    <row r="609">
      <c r="A609" s="3" t="inlineStr">
        <is>
          <t>80931</t>
        </is>
      </c>
      <c r="B609" s="4" t="inlineStr"/>
      <c r="C609" s="4" t="inlineStr"/>
      <c r="D609" s="4" t="inlineStr"/>
      <c r="E609" s="3" t="inlineStr">
        <is>
          <t>Brabantia Wash Bags Set Of 3</t>
        </is>
      </c>
      <c r="F609" s="4" t="inlineStr">
        <is>
          <t>Brabantia</t>
        </is>
      </c>
      <c r="G609" s="4" t="inlineStr"/>
      <c r="H609" s="4" t="inlineStr"/>
      <c r="I609" s="5" t="n">
        <v>179</v>
      </c>
      <c r="J609" s="6" t="n">
        <v>15</v>
      </c>
      <c r="K609" s="7">
        <f>IF(I609="","",I609*(1+J609/100))</f>
        <v/>
      </c>
      <c r="L609" s="8" t="inlineStr"/>
      <c r="M609" s="9">
        <f>IF(OR(L609="",K609="",L609=0),"",
  (L609-K609)/L609*100)</f>
        <v/>
      </c>
      <c r="N609" s="10" t="inlineStr"/>
      <c r="O609" s="4" t="inlineStr"/>
      <c r="P609" s="4" t="inlineStr"/>
      <c r="Q609" s="4" t="inlineStr"/>
      <c r="R609" s="4" t="inlineStr">
        <is>
          <t>2026-03-12</t>
        </is>
      </c>
      <c r="S609" s="4" t="inlineStr">
        <is>
          <t>Hirschs 47th Anniversary Sale Feb-Mar 2026</t>
        </is>
      </c>
    </row>
    <row r="610">
      <c r="A610" s="11" t="inlineStr">
        <is>
          <t>85210</t>
        </is>
      </c>
      <c r="B610" s="11" t="inlineStr"/>
      <c r="C610" s="11" t="inlineStr"/>
      <c r="D610" s="11" t="inlineStr"/>
      <c r="E610" s="11" t="inlineStr">
        <is>
          <t>JBL Flip 7 Bluetooth Speaker</t>
        </is>
      </c>
      <c r="F610" s="11" t="inlineStr">
        <is>
          <t>JBL</t>
        </is>
      </c>
      <c r="G610" s="11" t="inlineStr"/>
      <c r="H610" s="11" t="inlineStr"/>
      <c r="I610" s="12" t="n">
        <v>2199</v>
      </c>
      <c r="J610" s="6" t="n">
        <v>15</v>
      </c>
      <c r="K610" s="7">
        <f>IF(I610="","",I610*(1+J610/100))</f>
        <v/>
      </c>
      <c r="L610" s="8" t="inlineStr"/>
      <c r="M610" s="9">
        <f>IF(OR(L610="",K610="",L610=0),"",
  (L610-K610)/L610*100)</f>
        <v/>
      </c>
      <c r="N610" s="10" t="inlineStr"/>
      <c r="O610" s="11" t="inlineStr"/>
      <c r="P610" s="11" t="inlineStr"/>
      <c r="Q610" s="11" t="inlineStr"/>
      <c r="R610" s="11" t="inlineStr">
        <is>
          <t>2026-03-12</t>
        </is>
      </c>
      <c r="S610" s="11" t="inlineStr">
        <is>
          <t>Hirschs 47th Anniversary Sale Feb-Mar 2026</t>
        </is>
      </c>
    </row>
    <row r="611">
      <c r="A611" s="3" t="inlineStr">
        <is>
          <t>81450</t>
        </is>
      </c>
      <c r="B611" s="4" t="inlineStr"/>
      <c r="C611" s="4" t="inlineStr"/>
      <c r="D611" s="4" t="inlineStr"/>
      <c r="E611" s="3" t="inlineStr">
        <is>
          <t>JBL Charge 5 WiFi Portable WiFi And Bluetooth Speaker</t>
        </is>
      </c>
      <c r="F611" s="4" t="inlineStr">
        <is>
          <t>JBL</t>
        </is>
      </c>
      <c r="G611" s="4" t="inlineStr"/>
      <c r="H611" s="4" t="inlineStr"/>
      <c r="I611" s="5" t="n">
        <v>4299</v>
      </c>
      <c r="J611" s="6" t="n">
        <v>15</v>
      </c>
      <c r="K611" s="7">
        <f>IF(I611="","",I611*(1+J611/100))</f>
        <v/>
      </c>
      <c r="L611" s="8" t="inlineStr"/>
      <c r="M611" s="9">
        <f>IF(OR(L611="",K611="",L611=0),"",
  (L611-K611)/L611*100)</f>
        <v/>
      </c>
      <c r="N611" s="10" t="inlineStr"/>
      <c r="O611" s="4" t="inlineStr"/>
      <c r="P611" s="4" t="inlineStr"/>
      <c r="Q611" s="4" t="inlineStr"/>
      <c r="R611" s="4" t="inlineStr">
        <is>
          <t>2026-03-12</t>
        </is>
      </c>
      <c r="S611" s="4" t="inlineStr">
        <is>
          <t>Hirschs 47th Anniversary Sale Feb-Mar 2026</t>
        </is>
      </c>
    </row>
    <row r="612">
      <c r="A612" s="11" t="inlineStr">
        <is>
          <t>83230</t>
        </is>
      </c>
      <c r="B612" s="11" t="inlineStr"/>
      <c r="C612" s="11" t="inlineStr"/>
      <c r="D612" s="11" t="inlineStr"/>
      <c r="E612" s="11" t="inlineStr">
        <is>
          <t>JBL Xtreme 4 Bluetooth Speaker</t>
        </is>
      </c>
      <c r="F612" s="11" t="inlineStr">
        <is>
          <t>JBL</t>
        </is>
      </c>
      <c r="G612" s="11" t="inlineStr"/>
      <c r="H612" s="11" t="inlineStr"/>
      <c r="I612" s="12" t="n">
        <v>5999</v>
      </c>
      <c r="J612" s="6" t="n">
        <v>15</v>
      </c>
      <c r="K612" s="7">
        <f>IF(I612="","",I612*(1+J612/100))</f>
        <v/>
      </c>
      <c r="L612" s="8" t="inlineStr"/>
      <c r="M612" s="9">
        <f>IF(OR(L612="",K612="",L612=0),"",
  (L612-K612)/L612*100)</f>
        <v/>
      </c>
      <c r="N612" s="10" t="inlineStr"/>
      <c r="O612" s="11" t="inlineStr"/>
      <c r="P612" s="11" t="inlineStr"/>
      <c r="Q612" s="11" t="inlineStr"/>
      <c r="R612" s="11" t="inlineStr">
        <is>
          <t>2026-03-12</t>
        </is>
      </c>
      <c r="S612" s="11" t="inlineStr">
        <is>
          <t>Hirschs 47th Anniversary Sale Feb-Mar 2026</t>
        </is>
      </c>
    </row>
    <row r="613">
      <c r="A613" s="3" t="inlineStr">
        <is>
          <t>81401</t>
        </is>
      </c>
      <c r="B613" s="4" t="inlineStr"/>
      <c r="C613" s="4" t="inlineStr"/>
      <c r="D613" s="4" t="inlineStr"/>
      <c r="E613" s="3" t="inlineStr">
        <is>
          <t>JBL Boombox 3 Wi-Fi Speaker</t>
        </is>
      </c>
      <c r="F613" s="4" t="inlineStr">
        <is>
          <t>JBL</t>
        </is>
      </c>
      <c r="G613" s="4" t="inlineStr"/>
      <c r="H613" s="4" t="inlineStr"/>
      <c r="I613" s="5" t="n">
        <v>9999</v>
      </c>
      <c r="J613" s="6" t="n">
        <v>15</v>
      </c>
      <c r="K613" s="7">
        <f>IF(I613="","",I613*(1+J613/100))</f>
        <v/>
      </c>
      <c r="L613" s="8" t="inlineStr"/>
      <c r="M613" s="9">
        <f>IF(OR(L613="",K613="",L613=0),"",
  (L613-K613)/L613*100)</f>
        <v/>
      </c>
      <c r="N613" s="10" t="inlineStr"/>
      <c r="O613" s="4" t="inlineStr"/>
      <c r="P613" s="4" t="inlineStr"/>
      <c r="Q613" s="4" t="inlineStr"/>
      <c r="R613" s="4" t="inlineStr">
        <is>
          <t>2026-03-12</t>
        </is>
      </c>
      <c r="S613" s="4" t="inlineStr">
        <is>
          <t>Hirschs 47th Anniversary Sale Feb-Mar 2026</t>
        </is>
      </c>
    </row>
    <row r="614">
      <c r="A614" s="11" t="inlineStr">
        <is>
          <t>82710</t>
        </is>
      </c>
      <c r="B614" s="11" t="inlineStr"/>
      <c r="C614" s="11" t="inlineStr"/>
      <c r="D614" s="11" t="inlineStr"/>
      <c r="E614" s="11" t="inlineStr">
        <is>
          <t>JBL PartyBox Club 120</t>
        </is>
      </c>
      <c r="F614" s="11" t="inlineStr">
        <is>
          <t>JBL</t>
        </is>
      </c>
      <c r="G614" s="11" t="inlineStr"/>
      <c r="H614" s="11" t="inlineStr"/>
      <c r="I614" s="12" t="n">
        <v>6999</v>
      </c>
      <c r="J614" s="6" t="n">
        <v>15</v>
      </c>
      <c r="K614" s="7">
        <f>IF(I614="","",I614*(1+J614/100))</f>
        <v/>
      </c>
      <c r="L614" s="8" t="inlineStr"/>
      <c r="M614" s="9">
        <f>IF(OR(L614="",K614="",L614=0),"",
  (L614-K614)/L614*100)</f>
        <v/>
      </c>
      <c r="N614" s="10" t="inlineStr"/>
      <c r="O614" s="11" t="inlineStr"/>
      <c r="P614" s="11" t="inlineStr"/>
      <c r="Q614" s="11" t="inlineStr"/>
      <c r="R614" s="11" t="inlineStr">
        <is>
          <t>2026-03-12</t>
        </is>
      </c>
      <c r="S614" s="11" t="inlineStr">
        <is>
          <t>Hirschs 47th Anniversary Sale Feb-Mar 2026</t>
        </is>
      </c>
    </row>
    <row r="615">
      <c r="A615" s="3" t="inlineStr">
        <is>
          <t>84950</t>
        </is>
      </c>
      <c r="B615" s="4" t="inlineStr"/>
      <c r="C615" s="4" t="inlineStr"/>
      <c r="D615" s="4" t="inlineStr"/>
      <c r="E615" s="3" t="inlineStr">
        <is>
          <t>JBL 3.1Ch SB580 440W Soundbar</t>
        </is>
      </c>
      <c r="F615" s="4" t="inlineStr">
        <is>
          <t>JBL</t>
        </is>
      </c>
      <c r="G615" s="4" t="inlineStr"/>
      <c r="H615" s="4" t="inlineStr"/>
      <c r="I615" s="5" t="n">
        <v>5499</v>
      </c>
      <c r="J615" s="6" t="n">
        <v>15</v>
      </c>
      <c r="K615" s="7">
        <f>IF(I615="","",I615*(1+J615/100))</f>
        <v/>
      </c>
      <c r="L615" s="8" t="inlineStr"/>
      <c r="M615" s="9">
        <f>IF(OR(L615="",K615="",L615=0),"",
  (L615-K615)/L615*100)</f>
        <v/>
      </c>
      <c r="N615" s="10" t="inlineStr"/>
      <c r="O615" s="4" t="inlineStr"/>
      <c r="P615" s="4" t="inlineStr"/>
      <c r="Q615" s="4" t="inlineStr"/>
      <c r="R615" s="4" t="inlineStr">
        <is>
          <t>2026-03-12</t>
        </is>
      </c>
      <c r="S615" s="4" t="inlineStr">
        <is>
          <t>Hirschs 47th Anniversary Sale Feb-Mar 2026</t>
        </is>
      </c>
    </row>
    <row r="616">
      <c r="A616" s="11" t="inlineStr">
        <is>
          <t>87225</t>
        </is>
      </c>
      <c r="B616" s="11" t="inlineStr"/>
      <c r="C616" s="11" t="inlineStr"/>
      <c r="D616" s="11" t="inlineStr"/>
      <c r="E616" s="11" t="inlineStr">
        <is>
          <t>JBL BAR 800 M2 5.1.2-ch Soundbar</t>
        </is>
      </c>
      <c r="F616" s="11" t="inlineStr">
        <is>
          <t>JBL</t>
        </is>
      </c>
      <c r="G616" s="11" t="inlineStr"/>
      <c r="H616" s="11" t="inlineStr"/>
      <c r="I616" s="12" t="n">
        <v>15999</v>
      </c>
      <c r="J616" s="6" t="n">
        <v>15</v>
      </c>
      <c r="K616" s="7">
        <f>IF(I616="","",I616*(1+J616/100))</f>
        <v/>
      </c>
      <c r="L616" s="8" t="inlineStr"/>
      <c r="M616" s="9">
        <f>IF(OR(L616="",K616="",L616=0),"",
  (L616-K616)/L616*100)</f>
        <v/>
      </c>
      <c r="N616" s="10" t="inlineStr"/>
      <c r="O616" s="11" t="inlineStr"/>
      <c r="P616" s="11" t="inlineStr"/>
      <c r="Q616" s="11" t="inlineStr"/>
      <c r="R616" s="11" t="inlineStr">
        <is>
          <t>2026-03-12</t>
        </is>
      </c>
      <c r="S616" s="11" t="inlineStr">
        <is>
          <t>Hirschs 47th Anniversary Sale Feb-Mar 2026</t>
        </is>
      </c>
    </row>
    <row r="617">
      <c r="A617" s="3" t="inlineStr">
        <is>
          <t>82472</t>
        </is>
      </c>
      <c r="B617" s="4" t="inlineStr"/>
      <c r="C617" s="4" t="inlineStr"/>
      <c r="D617" s="4" t="inlineStr"/>
      <c r="E617" s="3" t="inlineStr">
        <is>
          <t>JBL BAR1000 7.1.4-ch Soundbar</t>
        </is>
      </c>
      <c r="F617" s="4" t="inlineStr">
        <is>
          <t>JBL</t>
        </is>
      </c>
      <c r="G617" s="4" t="inlineStr"/>
      <c r="H617" s="4" t="inlineStr"/>
      <c r="I617" s="5" t="n">
        <v>19999</v>
      </c>
      <c r="J617" s="6" t="n">
        <v>15</v>
      </c>
      <c r="K617" s="7">
        <f>IF(I617="","",I617*(1+J617/100))</f>
        <v/>
      </c>
      <c r="L617" s="8" t="inlineStr"/>
      <c r="M617" s="9">
        <f>IF(OR(L617="",K617="",L617=0),"",
  (L617-K617)/L617*100)</f>
        <v/>
      </c>
      <c r="N617" s="10" t="inlineStr"/>
      <c r="O617" s="4" t="inlineStr"/>
      <c r="P617" s="4" t="inlineStr"/>
      <c r="Q617" s="4" t="inlineStr"/>
      <c r="R617" s="4" t="inlineStr">
        <is>
          <t>2026-03-12</t>
        </is>
      </c>
      <c r="S617" s="4" t="inlineStr">
        <is>
          <t>Hirschs 47th Anniversary Sale Feb-Mar 2026</t>
        </is>
      </c>
    </row>
    <row r="618">
      <c r="A618" s="11" t="inlineStr">
        <is>
          <t>81142</t>
        </is>
      </c>
      <c r="B618" s="11" t="inlineStr"/>
      <c r="C618" s="11" t="inlineStr"/>
      <c r="D618" s="11" t="inlineStr"/>
      <c r="E618" s="11" t="inlineStr">
        <is>
          <t>JBL Bar 1300 11.1.4-ch Soundbar</t>
        </is>
      </c>
      <c r="F618" s="11" t="inlineStr">
        <is>
          <t>JBL</t>
        </is>
      </c>
      <c r="G618" s="11" t="inlineStr"/>
      <c r="H618" s="11" t="inlineStr"/>
      <c r="I618" s="12" t="n">
        <v>25999</v>
      </c>
      <c r="J618" s="6" t="n">
        <v>15</v>
      </c>
      <c r="K618" s="7">
        <f>IF(I618="","",I618*(1+J618/100))</f>
        <v/>
      </c>
      <c r="L618" s="8" t="inlineStr"/>
      <c r="M618" s="9">
        <f>IF(OR(L618="",K618="",L618=0),"",
  (L618-K618)/L618*100)</f>
        <v/>
      </c>
      <c r="N618" s="10" t="inlineStr"/>
      <c r="O618" s="11" t="inlineStr"/>
      <c r="P618" s="11" t="inlineStr"/>
      <c r="Q618" s="11" t="inlineStr"/>
      <c r="R618" s="11" t="inlineStr">
        <is>
          <t>2026-03-12</t>
        </is>
      </c>
      <c r="S618" s="11" t="inlineStr">
        <is>
          <t>Hirschs 47th Anniversary Sale Feb-Mar 2026</t>
        </is>
      </c>
    </row>
    <row r="619">
      <c r="A619" s="13" t="n"/>
      <c r="B619" s="4" t="n"/>
      <c r="C619" s="4" t="n"/>
      <c r="D619" s="4" t="n"/>
      <c r="E619" s="13" t="n"/>
      <c r="F619" s="4" t="n"/>
      <c r="G619" s="4" t="n"/>
      <c r="H619" s="4" t="n"/>
      <c r="I619" s="13" t="n"/>
      <c r="J619" s="6" t="n">
        <v>15</v>
      </c>
      <c r="K619" s="7">
        <f>IF(I619="","",I619*(1+J619/100))</f>
        <v/>
      </c>
      <c r="L619" s="13" t="n"/>
      <c r="M619" s="9">
        <f>IF(OR(L619="",K619="",L619=0),"",
  (L619-K619)/L619*100)</f>
        <v/>
      </c>
      <c r="N619" s="13" t="n"/>
      <c r="O619" s="4" t="n"/>
      <c r="P619" s="4" t="n"/>
      <c r="Q619" s="4" t="n"/>
      <c r="R619" s="4" t="n"/>
      <c r="S619" s="4" t="n"/>
    </row>
    <row r="620">
      <c r="A620" s="13" t="n"/>
      <c r="B620" s="11" t="n"/>
      <c r="C620" s="11" t="n"/>
      <c r="D620" s="11" t="n"/>
      <c r="E620" s="13" t="n"/>
      <c r="F620" s="11" t="n"/>
      <c r="G620" s="11" t="n"/>
      <c r="H620" s="11" t="n"/>
      <c r="I620" s="13" t="n"/>
      <c r="J620" s="6" t="n">
        <v>15</v>
      </c>
      <c r="K620" s="7">
        <f>IF(I620="","",I620*(1+J620/100))</f>
        <v/>
      </c>
      <c r="L620" s="13" t="n"/>
      <c r="M620" s="9">
        <f>IF(OR(L620="",K620="",L620=0),"",
  (L620-K620)/L620*100)</f>
        <v/>
      </c>
      <c r="N620" s="13" t="n"/>
      <c r="O620" s="11" t="n"/>
      <c r="P620" s="11" t="n"/>
      <c r="Q620" s="11" t="n"/>
      <c r="R620" s="11" t="n"/>
      <c r="S620" s="11" t="n"/>
    </row>
    <row r="621">
      <c r="A621" s="13" t="n"/>
      <c r="B621" s="4" t="n"/>
      <c r="C621" s="4" t="n"/>
      <c r="D621" s="4" t="n"/>
      <c r="E621" s="13" t="n"/>
      <c r="F621" s="4" t="n"/>
      <c r="G621" s="4" t="n"/>
      <c r="H621" s="4" t="n"/>
      <c r="I621" s="13" t="n"/>
      <c r="J621" s="6" t="n">
        <v>15</v>
      </c>
      <c r="K621" s="7">
        <f>IF(I621="","",I621*(1+J621/100))</f>
        <v/>
      </c>
      <c r="L621" s="13" t="n"/>
      <c r="M621" s="9">
        <f>IF(OR(L621="",K621="",L621=0),"",
  (L621-K621)/L621*100)</f>
        <v/>
      </c>
      <c r="N621" s="13" t="n"/>
      <c r="O621" s="4" t="n"/>
      <c r="P621" s="4" t="n"/>
      <c r="Q621" s="4" t="n"/>
      <c r="R621" s="4" t="n"/>
      <c r="S621" s="4" t="n"/>
    </row>
    <row r="622">
      <c r="A622" s="13" t="n"/>
      <c r="B622" s="11" t="n"/>
      <c r="C622" s="11" t="n"/>
      <c r="D622" s="11" t="n"/>
      <c r="E622" s="13" t="n"/>
      <c r="F622" s="11" t="n"/>
      <c r="G622" s="11" t="n"/>
      <c r="H622" s="11" t="n"/>
      <c r="I622" s="13" t="n"/>
      <c r="J622" s="6" t="n">
        <v>15</v>
      </c>
      <c r="K622" s="7">
        <f>IF(I622="","",I622*(1+J622/100))</f>
        <v/>
      </c>
      <c r="L622" s="13" t="n"/>
      <c r="M622" s="9">
        <f>IF(OR(L622="",K622="",L622=0),"",
  (L622-K622)/L622*100)</f>
        <v/>
      </c>
      <c r="N622" s="13" t="n"/>
      <c r="O622" s="11" t="n"/>
      <c r="P622" s="11" t="n"/>
      <c r="Q622" s="11" t="n"/>
      <c r="R622" s="11" t="n"/>
      <c r="S622" s="11" t="n"/>
    </row>
    <row r="623">
      <c r="A623" s="13" t="n"/>
      <c r="B623" s="4" t="n"/>
      <c r="C623" s="4" t="n"/>
      <c r="D623" s="4" t="n"/>
      <c r="E623" s="13" t="n"/>
      <c r="F623" s="4" t="n"/>
      <c r="G623" s="4" t="n"/>
      <c r="H623" s="4" t="n"/>
      <c r="I623" s="13" t="n"/>
      <c r="J623" s="6" t="n">
        <v>15</v>
      </c>
      <c r="K623" s="7">
        <f>IF(I623="","",I623*(1+J623/100))</f>
        <v/>
      </c>
      <c r="L623" s="13" t="n"/>
      <c r="M623" s="9">
        <f>IF(OR(L623="",K623="",L623=0),"",
  (L623-K623)/L623*100)</f>
        <v/>
      </c>
      <c r="N623" s="13" t="n"/>
      <c r="O623" s="4" t="n"/>
      <c r="P623" s="4" t="n"/>
      <c r="Q623" s="4" t="n"/>
      <c r="R623" s="4" t="n"/>
      <c r="S623" s="4" t="n"/>
    </row>
    <row r="624">
      <c r="A624" s="13" t="n"/>
      <c r="B624" s="11" t="n"/>
      <c r="C624" s="11" t="n"/>
      <c r="D624" s="11" t="n"/>
      <c r="E624" s="13" t="n"/>
      <c r="F624" s="11" t="n"/>
      <c r="G624" s="11" t="n"/>
      <c r="H624" s="11" t="n"/>
      <c r="I624" s="13" t="n"/>
      <c r="J624" s="6" t="n">
        <v>15</v>
      </c>
      <c r="K624" s="7">
        <f>IF(I624="","",I624*(1+J624/100))</f>
        <v/>
      </c>
      <c r="L624" s="13" t="n"/>
      <c r="M624" s="9">
        <f>IF(OR(L624="",K624="",L624=0),"",
  (L624-K624)/L624*100)</f>
        <v/>
      </c>
      <c r="N624" s="13" t="n"/>
      <c r="O624" s="11" t="n"/>
      <c r="P624" s="11" t="n"/>
      <c r="Q624" s="11" t="n"/>
      <c r="R624" s="11" t="n"/>
      <c r="S624" s="11" t="n"/>
    </row>
    <row r="625">
      <c r="A625" s="13" t="n"/>
      <c r="B625" s="4" t="n"/>
      <c r="C625" s="4" t="n"/>
      <c r="D625" s="4" t="n"/>
      <c r="E625" s="13" t="n"/>
      <c r="F625" s="4" t="n"/>
      <c r="G625" s="4" t="n"/>
      <c r="H625" s="4" t="n"/>
      <c r="I625" s="13" t="n"/>
      <c r="J625" s="6" t="n">
        <v>15</v>
      </c>
      <c r="K625" s="7">
        <f>IF(I625="","",I625*(1+J625/100))</f>
        <v/>
      </c>
      <c r="L625" s="13" t="n"/>
      <c r="M625" s="9">
        <f>IF(OR(L625="",K625="",L625=0),"",
  (L625-K625)/L625*100)</f>
        <v/>
      </c>
      <c r="N625" s="13" t="n"/>
      <c r="O625" s="4" t="n"/>
      <c r="P625" s="4" t="n"/>
      <c r="Q625" s="4" t="n"/>
      <c r="R625" s="4" t="n"/>
      <c r="S625" s="4" t="n"/>
    </row>
    <row r="626">
      <c r="A626" s="13" t="n"/>
      <c r="B626" s="11" t="n"/>
      <c r="C626" s="11" t="n"/>
      <c r="D626" s="11" t="n"/>
      <c r="E626" s="13" t="n"/>
      <c r="F626" s="11" t="n"/>
      <c r="G626" s="11" t="n"/>
      <c r="H626" s="11" t="n"/>
      <c r="I626" s="13" t="n"/>
      <c r="J626" s="6" t="n">
        <v>15</v>
      </c>
      <c r="K626" s="7">
        <f>IF(I626="","",I626*(1+J626/100))</f>
        <v/>
      </c>
      <c r="L626" s="13" t="n"/>
      <c r="M626" s="9">
        <f>IF(OR(L626="",K626="",L626=0),"",
  (L626-K626)/L626*100)</f>
        <v/>
      </c>
      <c r="N626" s="13" t="n"/>
      <c r="O626" s="11" t="n"/>
      <c r="P626" s="11" t="n"/>
      <c r="Q626" s="11" t="n"/>
      <c r="R626" s="11" t="n"/>
      <c r="S626" s="11" t="n"/>
    </row>
    <row r="627">
      <c r="A627" s="13" t="n"/>
      <c r="B627" s="4" t="n"/>
      <c r="C627" s="4" t="n"/>
      <c r="D627" s="4" t="n"/>
      <c r="E627" s="13" t="n"/>
      <c r="F627" s="4" t="n"/>
      <c r="G627" s="4" t="n"/>
      <c r="H627" s="4" t="n"/>
      <c r="I627" s="13" t="n"/>
      <c r="J627" s="6" t="n">
        <v>15</v>
      </c>
      <c r="K627" s="7">
        <f>IF(I627="","",I627*(1+J627/100))</f>
        <v/>
      </c>
      <c r="L627" s="13" t="n"/>
      <c r="M627" s="9">
        <f>IF(OR(L627="",K627="",L627=0),"",
  (L627-K627)/L627*100)</f>
        <v/>
      </c>
      <c r="N627" s="13" t="n"/>
      <c r="O627" s="4" t="n"/>
      <c r="P627" s="4" t="n"/>
      <c r="Q627" s="4" t="n"/>
      <c r="R627" s="4" t="n"/>
      <c r="S627" s="4" t="n"/>
    </row>
    <row r="628">
      <c r="A628" s="13" t="n"/>
      <c r="B628" s="11" t="n"/>
      <c r="C628" s="11" t="n"/>
      <c r="D628" s="11" t="n"/>
      <c r="E628" s="13" t="n"/>
      <c r="F628" s="11" t="n"/>
      <c r="G628" s="11" t="n"/>
      <c r="H628" s="11" t="n"/>
      <c r="I628" s="13" t="n"/>
      <c r="J628" s="6" t="n">
        <v>15</v>
      </c>
      <c r="K628" s="7">
        <f>IF(I628="","",I628*(1+J628/100))</f>
        <v/>
      </c>
      <c r="L628" s="13" t="n"/>
      <c r="M628" s="9">
        <f>IF(OR(L628="",K628="",L628=0),"",
  (L628-K628)/L628*100)</f>
        <v/>
      </c>
      <c r="N628" s="13" t="n"/>
      <c r="O628" s="11" t="n"/>
      <c r="P628" s="11" t="n"/>
      <c r="Q628" s="11" t="n"/>
      <c r="R628" s="11" t="n"/>
      <c r="S628" s="11" t="n"/>
    </row>
    <row r="629">
      <c r="A629" s="13" t="n"/>
      <c r="B629" s="4" t="n"/>
      <c r="C629" s="4" t="n"/>
      <c r="D629" s="4" t="n"/>
      <c r="E629" s="13" t="n"/>
      <c r="F629" s="4" t="n"/>
      <c r="G629" s="4" t="n"/>
      <c r="H629" s="4" t="n"/>
      <c r="I629" s="13" t="n"/>
      <c r="J629" s="6" t="n">
        <v>15</v>
      </c>
      <c r="K629" s="7">
        <f>IF(I629="","",I629*(1+J629/100))</f>
        <v/>
      </c>
      <c r="L629" s="13" t="n"/>
      <c r="M629" s="9">
        <f>IF(OR(L629="",K629="",L629=0),"",
  (L629-K629)/L629*100)</f>
        <v/>
      </c>
      <c r="N629" s="13" t="n"/>
      <c r="O629" s="4" t="n"/>
      <c r="P629" s="4" t="n"/>
      <c r="Q629" s="4" t="n"/>
      <c r="R629" s="4" t="n"/>
      <c r="S629" s="4" t="n"/>
    </row>
    <row r="630">
      <c r="A630" s="13" t="n"/>
      <c r="B630" s="11" t="n"/>
      <c r="C630" s="11" t="n"/>
      <c r="D630" s="11" t="n"/>
      <c r="E630" s="13" t="n"/>
      <c r="F630" s="11" t="n"/>
      <c r="G630" s="11" t="n"/>
      <c r="H630" s="11" t="n"/>
      <c r="I630" s="13" t="n"/>
      <c r="J630" s="6" t="n">
        <v>15</v>
      </c>
      <c r="K630" s="7">
        <f>IF(I630="","",I630*(1+J630/100))</f>
        <v/>
      </c>
      <c r="L630" s="13" t="n"/>
      <c r="M630" s="9">
        <f>IF(OR(L630="",K630="",L630=0),"",
  (L630-K630)/L630*100)</f>
        <v/>
      </c>
      <c r="N630" s="13" t="n"/>
      <c r="O630" s="11" t="n"/>
      <c r="P630" s="11" t="n"/>
      <c r="Q630" s="11" t="n"/>
      <c r="R630" s="11" t="n"/>
      <c r="S630" s="11" t="n"/>
    </row>
    <row r="631">
      <c r="A631" s="13" t="n"/>
      <c r="B631" s="4" t="n"/>
      <c r="C631" s="4" t="n"/>
      <c r="D631" s="4" t="n"/>
      <c r="E631" s="13" t="n"/>
      <c r="F631" s="4" t="n"/>
      <c r="G631" s="4" t="n"/>
      <c r="H631" s="4" t="n"/>
      <c r="I631" s="13" t="n"/>
      <c r="J631" s="6" t="n">
        <v>15</v>
      </c>
      <c r="K631" s="7">
        <f>IF(I631="","",I631*(1+J631/100))</f>
        <v/>
      </c>
      <c r="L631" s="13" t="n"/>
      <c r="M631" s="9">
        <f>IF(OR(L631="",K631="",L631=0),"",
  (L631-K631)/L631*100)</f>
        <v/>
      </c>
      <c r="N631" s="13" t="n"/>
      <c r="O631" s="4" t="n"/>
      <c r="P631" s="4" t="n"/>
      <c r="Q631" s="4" t="n"/>
      <c r="R631" s="4" t="n"/>
      <c r="S631" s="4" t="n"/>
    </row>
    <row r="632">
      <c r="A632" s="13" t="n"/>
      <c r="B632" s="11" t="n"/>
      <c r="C632" s="11" t="n"/>
      <c r="D632" s="11" t="n"/>
      <c r="E632" s="13" t="n"/>
      <c r="F632" s="11" t="n"/>
      <c r="G632" s="11" t="n"/>
      <c r="H632" s="11" t="n"/>
      <c r="I632" s="13" t="n"/>
      <c r="J632" s="6" t="n">
        <v>15</v>
      </c>
      <c r="K632" s="7">
        <f>IF(I632="","",I632*(1+J632/100))</f>
        <v/>
      </c>
      <c r="L632" s="13" t="n"/>
      <c r="M632" s="9">
        <f>IF(OR(L632="",K632="",L632=0),"",
  (L632-K632)/L632*100)</f>
        <v/>
      </c>
      <c r="N632" s="13" t="n"/>
      <c r="O632" s="11" t="n"/>
      <c r="P632" s="11" t="n"/>
      <c r="Q632" s="11" t="n"/>
      <c r="R632" s="11" t="n"/>
      <c r="S632" s="11" t="n"/>
    </row>
    <row r="633">
      <c r="A633" s="13" t="n"/>
      <c r="B633" s="4" t="n"/>
      <c r="C633" s="4" t="n"/>
      <c r="D633" s="4" t="n"/>
      <c r="E633" s="13" t="n"/>
      <c r="F633" s="4" t="n"/>
      <c r="G633" s="4" t="n"/>
      <c r="H633" s="4" t="n"/>
      <c r="I633" s="13" t="n"/>
      <c r="J633" s="6" t="n">
        <v>15</v>
      </c>
      <c r="K633" s="7">
        <f>IF(I633="","",I633*(1+J633/100))</f>
        <v/>
      </c>
      <c r="L633" s="13" t="n"/>
      <c r="M633" s="9">
        <f>IF(OR(L633="",K633="",L633=0),"",
  (L633-K633)/L633*100)</f>
        <v/>
      </c>
      <c r="N633" s="13" t="n"/>
      <c r="O633" s="4" t="n"/>
      <c r="P633" s="4" t="n"/>
      <c r="Q633" s="4" t="n"/>
      <c r="R633" s="4" t="n"/>
      <c r="S633" s="4" t="n"/>
    </row>
    <row r="634">
      <c r="A634" s="13" t="n"/>
      <c r="B634" s="11" t="n"/>
      <c r="C634" s="11" t="n"/>
      <c r="D634" s="11" t="n"/>
      <c r="E634" s="13" t="n"/>
      <c r="F634" s="11" t="n"/>
      <c r="G634" s="11" t="n"/>
      <c r="H634" s="11" t="n"/>
      <c r="I634" s="13" t="n"/>
      <c r="J634" s="6" t="n">
        <v>15</v>
      </c>
      <c r="K634" s="7">
        <f>IF(I634="","",I634*(1+J634/100))</f>
        <v/>
      </c>
      <c r="L634" s="13" t="n"/>
      <c r="M634" s="9">
        <f>IF(OR(L634="",K634="",L634=0),"",
  (L634-K634)/L634*100)</f>
        <v/>
      </c>
      <c r="N634" s="13" t="n"/>
      <c r="O634" s="11" t="n"/>
      <c r="P634" s="11" t="n"/>
      <c r="Q634" s="11" t="n"/>
      <c r="R634" s="11" t="n"/>
      <c r="S634" s="11" t="n"/>
    </row>
    <row r="635">
      <c r="A635" s="13" t="n"/>
      <c r="B635" s="4" t="n"/>
      <c r="C635" s="4" t="n"/>
      <c r="D635" s="4" t="n"/>
      <c r="E635" s="13" t="n"/>
      <c r="F635" s="4" t="n"/>
      <c r="G635" s="4" t="n"/>
      <c r="H635" s="4" t="n"/>
      <c r="I635" s="13" t="n"/>
      <c r="J635" s="6" t="n">
        <v>15</v>
      </c>
      <c r="K635" s="7">
        <f>IF(I635="","",I635*(1+J635/100))</f>
        <v/>
      </c>
      <c r="L635" s="13" t="n"/>
      <c r="M635" s="9">
        <f>IF(OR(L635="",K635="",L635=0),"",
  (L635-K635)/L635*100)</f>
        <v/>
      </c>
      <c r="N635" s="13" t="n"/>
      <c r="O635" s="4" t="n"/>
      <c r="P635" s="4" t="n"/>
      <c r="Q635" s="4" t="n"/>
      <c r="R635" s="4" t="n"/>
      <c r="S635" s="4" t="n"/>
    </row>
    <row r="636">
      <c r="A636" s="13" t="n"/>
      <c r="B636" s="11" t="n"/>
      <c r="C636" s="11" t="n"/>
      <c r="D636" s="11" t="n"/>
      <c r="E636" s="13" t="n"/>
      <c r="F636" s="11" t="n"/>
      <c r="G636" s="11" t="n"/>
      <c r="H636" s="11" t="n"/>
      <c r="I636" s="13" t="n"/>
      <c r="J636" s="6" t="n">
        <v>15</v>
      </c>
      <c r="K636" s="7">
        <f>IF(I636="","",I636*(1+J636/100))</f>
        <v/>
      </c>
      <c r="L636" s="13" t="n"/>
      <c r="M636" s="9">
        <f>IF(OR(L636="",K636="",L636=0),"",
  (L636-K636)/L636*100)</f>
        <v/>
      </c>
      <c r="N636" s="13" t="n"/>
      <c r="O636" s="11" t="n"/>
      <c r="P636" s="11" t="n"/>
      <c r="Q636" s="11" t="n"/>
      <c r="R636" s="11" t="n"/>
      <c r="S636" s="11" t="n"/>
    </row>
    <row r="637">
      <c r="A637" s="13" t="n"/>
      <c r="B637" s="4" t="n"/>
      <c r="C637" s="4" t="n"/>
      <c r="D637" s="4" t="n"/>
      <c r="E637" s="13" t="n"/>
      <c r="F637" s="4" t="n"/>
      <c r="G637" s="4" t="n"/>
      <c r="H637" s="4" t="n"/>
      <c r="I637" s="13" t="n"/>
      <c r="J637" s="6" t="n">
        <v>15</v>
      </c>
      <c r="K637" s="7">
        <f>IF(I637="","",I637*(1+J637/100))</f>
        <v/>
      </c>
      <c r="L637" s="13" t="n"/>
      <c r="M637" s="9">
        <f>IF(OR(L637="",K637="",L637=0),"",
  (L637-K637)/L637*100)</f>
        <v/>
      </c>
      <c r="N637" s="13" t="n"/>
      <c r="O637" s="4" t="n"/>
      <c r="P637" s="4" t="n"/>
      <c r="Q637" s="4" t="n"/>
      <c r="R637" s="4" t="n"/>
      <c r="S637" s="4" t="n"/>
    </row>
    <row r="638">
      <c r="A638" s="13" t="n"/>
      <c r="B638" s="11" t="n"/>
      <c r="C638" s="11" t="n"/>
      <c r="D638" s="11" t="n"/>
      <c r="E638" s="13" t="n"/>
      <c r="F638" s="11" t="n"/>
      <c r="G638" s="11" t="n"/>
      <c r="H638" s="11" t="n"/>
      <c r="I638" s="13" t="n"/>
      <c r="J638" s="6" t="n">
        <v>15</v>
      </c>
      <c r="K638" s="7">
        <f>IF(I638="","",I638*(1+J638/100))</f>
        <v/>
      </c>
      <c r="L638" s="13" t="n"/>
      <c r="M638" s="9">
        <f>IF(OR(L638="",K638="",L638=0),"",
  (L638-K638)/L638*100)</f>
        <v/>
      </c>
      <c r="N638" s="13" t="n"/>
      <c r="O638" s="11" t="n"/>
      <c r="P638" s="11" t="n"/>
      <c r="Q638" s="11" t="n"/>
      <c r="R638" s="11" t="n"/>
      <c r="S638" s="11" t="n"/>
    </row>
    <row r="639">
      <c r="A639" s="13" t="n"/>
      <c r="B639" s="4" t="n"/>
      <c r="C639" s="4" t="n"/>
      <c r="D639" s="4" t="n"/>
      <c r="E639" s="13" t="n"/>
      <c r="F639" s="4" t="n"/>
      <c r="G639" s="4" t="n"/>
      <c r="H639" s="4" t="n"/>
      <c r="I639" s="13" t="n"/>
      <c r="J639" s="6" t="n">
        <v>15</v>
      </c>
      <c r="K639" s="7">
        <f>IF(I639="","",I639*(1+J639/100))</f>
        <v/>
      </c>
      <c r="L639" s="13" t="n"/>
      <c r="M639" s="9">
        <f>IF(OR(L639="",K639="",L639=0),"",
  (L639-K639)/L639*100)</f>
        <v/>
      </c>
      <c r="N639" s="13" t="n"/>
      <c r="O639" s="4" t="n"/>
      <c r="P639" s="4" t="n"/>
      <c r="Q639" s="4" t="n"/>
      <c r="R639" s="4" t="n"/>
      <c r="S639" s="4" t="n"/>
    </row>
    <row r="640">
      <c r="A640" s="13" t="n"/>
      <c r="B640" s="11" t="n"/>
      <c r="C640" s="11" t="n"/>
      <c r="D640" s="11" t="n"/>
      <c r="E640" s="13" t="n"/>
      <c r="F640" s="11" t="n"/>
      <c r="G640" s="11" t="n"/>
      <c r="H640" s="11" t="n"/>
      <c r="I640" s="13" t="n"/>
      <c r="J640" s="6" t="n">
        <v>15</v>
      </c>
      <c r="K640" s="7">
        <f>IF(I640="","",I640*(1+J640/100))</f>
        <v/>
      </c>
      <c r="L640" s="13" t="n"/>
      <c r="M640" s="9">
        <f>IF(OR(L640="",K640="",L640=0),"",
  (L640-K640)/L640*100)</f>
        <v/>
      </c>
      <c r="N640" s="13" t="n"/>
      <c r="O640" s="11" t="n"/>
      <c r="P640" s="11" t="n"/>
      <c r="Q640" s="11" t="n"/>
      <c r="R640" s="11" t="n"/>
      <c r="S640" s="11" t="n"/>
    </row>
    <row r="641">
      <c r="A641" s="13" t="n"/>
      <c r="B641" s="4" t="n"/>
      <c r="C641" s="4" t="n"/>
      <c r="D641" s="4" t="n"/>
      <c r="E641" s="13" t="n"/>
      <c r="F641" s="4" t="n"/>
      <c r="G641" s="4" t="n"/>
      <c r="H641" s="4" t="n"/>
      <c r="I641" s="13" t="n"/>
      <c r="J641" s="6" t="n">
        <v>15</v>
      </c>
      <c r="K641" s="7">
        <f>IF(I641="","",I641*(1+J641/100))</f>
        <v/>
      </c>
      <c r="L641" s="13" t="n"/>
      <c r="M641" s="9">
        <f>IF(OR(L641="",K641="",L641=0),"",
  (L641-K641)/L641*100)</f>
        <v/>
      </c>
      <c r="N641" s="13" t="n"/>
      <c r="O641" s="4" t="n"/>
      <c r="P641" s="4" t="n"/>
      <c r="Q641" s="4" t="n"/>
      <c r="R641" s="4" t="n"/>
      <c r="S641" s="4" t="n"/>
    </row>
    <row r="642">
      <c r="A642" s="13" t="n"/>
      <c r="B642" s="11" t="n"/>
      <c r="C642" s="11" t="n"/>
      <c r="D642" s="11" t="n"/>
      <c r="E642" s="13" t="n"/>
      <c r="F642" s="11" t="n"/>
      <c r="G642" s="11" t="n"/>
      <c r="H642" s="11" t="n"/>
      <c r="I642" s="13" t="n"/>
      <c r="J642" s="6" t="n">
        <v>15</v>
      </c>
      <c r="K642" s="7">
        <f>IF(I642="","",I642*(1+J642/100))</f>
        <v/>
      </c>
      <c r="L642" s="13" t="n"/>
      <c r="M642" s="9">
        <f>IF(OR(L642="",K642="",L642=0),"",
  (L642-K642)/L642*100)</f>
        <v/>
      </c>
      <c r="N642" s="13" t="n"/>
      <c r="O642" s="11" t="n"/>
      <c r="P642" s="11" t="n"/>
      <c r="Q642" s="11" t="n"/>
      <c r="R642" s="11" t="n"/>
      <c r="S642" s="11" t="n"/>
    </row>
    <row r="643">
      <c r="A643" s="13" t="n"/>
      <c r="B643" s="4" t="n"/>
      <c r="C643" s="4" t="n"/>
      <c r="D643" s="4" t="n"/>
      <c r="E643" s="13" t="n"/>
      <c r="F643" s="4" t="n"/>
      <c r="G643" s="4" t="n"/>
      <c r="H643" s="4" t="n"/>
      <c r="I643" s="13" t="n"/>
      <c r="J643" s="6" t="n">
        <v>15</v>
      </c>
      <c r="K643" s="7">
        <f>IF(I643="","",I643*(1+J643/100))</f>
        <v/>
      </c>
      <c r="L643" s="13" t="n"/>
      <c r="M643" s="9">
        <f>IF(OR(L643="",K643="",L643=0),"",
  (L643-K643)/L643*100)</f>
        <v/>
      </c>
      <c r="N643" s="13" t="n"/>
      <c r="O643" s="4" t="n"/>
      <c r="P643" s="4" t="n"/>
      <c r="Q643" s="4" t="n"/>
      <c r="R643" s="4" t="n"/>
      <c r="S643" s="4" t="n"/>
    </row>
    <row r="644">
      <c r="A644" s="13" t="n"/>
      <c r="B644" s="11" t="n"/>
      <c r="C644" s="11" t="n"/>
      <c r="D644" s="11" t="n"/>
      <c r="E644" s="13" t="n"/>
      <c r="F644" s="11" t="n"/>
      <c r="G644" s="11" t="n"/>
      <c r="H644" s="11" t="n"/>
      <c r="I644" s="13" t="n"/>
      <c r="J644" s="6" t="n">
        <v>15</v>
      </c>
      <c r="K644" s="7">
        <f>IF(I644="","",I644*(1+J644/100))</f>
        <v/>
      </c>
      <c r="L644" s="13" t="n"/>
      <c r="M644" s="9">
        <f>IF(OR(L644="",K644="",L644=0),"",
  (L644-K644)/L644*100)</f>
        <v/>
      </c>
      <c r="N644" s="13" t="n"/>
      <c r="O644" s="11" t="n"/>
      <c r="P644" s="11" t="n"/>
      <c r="Q644" s="11" t="n"/>
      <c r="R644" s="11" t="n"/>
      <c r="S644" s="11" t="n"/>
    </row>
    <row r="645">
      <c r="A645" s="13" t="n"/>
      <c r="B645" s="4" t="n"/>
      <c r="C645" s="4" t="n"/>
      <c r="D645" s="4" t="n"/>
      <c r="E645" s="13" t="n"/>
      <c r="F645" s="4" t="n"/>
      <c r="G645" s="4" t="n"/>
      <c r="H645" s="4" t="n"/>
      <c r="I645" s="13" t="n"/>
      <c r="J645" s="6" t="n">
        <v>15</v>
      </c>
      <c r="K645" s="7">
        <f>IF(I645="","",I645*(1+J645/100))</f>
        <v/>
      </c>
      <c r="L645" s="13" t="n"/>
      <c r="M645" s="9">
        <f>IF(OR(L645="",K645="",L645=0),"",
  (L645-K645)/L645*100)</f>
        <v/>
      </c>
      <c r="N645" s="13" t="n"/>
      <c r="O645" s="4" t="n"/>
      <c r="P645" s="4" t="n"/>
      <c r="Q645" s="4" t="n"/>
      <c r="R645" s="4" t="n"/>
      <c r="S645" s="4" t="n"/>
    </row>
    <row r="646">
      <c r="A646" s="13" t="n"/>
      <c r="B646" s="11" t="n"/>
      <c r="C646" s="11" t="n"/>
      <c r="D646" s="11" t="n"/>
      <c r="E646" s="13" t="n"/>
      <c r="F646" s="11" t="n"/>
      <c r="G646" s="11" t="n"/>
      <c r="H646" s="11" t="n"/>
      <c r="I646" s="13" t="n"/>
      <c r="J646" s="6" t="n">
        <v>15</v>
      </c>
      <c r="K646" s="7">
        <f>IF(I646="","",I646*(1+J646/100))</f>
        <v/>
      </c>
      <c r="L646" s="13" t="n"/>
      <c r="M646" s="9">
        <f>IF(OR(L646="",K646="",L646=0),"",
  (L646-K646)/L646*100)</f>
        <v/>
      </c>
      <c r="N646" s="13" t="n"/>
      <c r="O646" s="11" t="n"/>
      <c r="P646" s="11" t="n"/>
      <c r="Q646" s="11" t="n"/>
      <c r="R646" s="11" t="n"/>
      <c r="S646" s="11" t="n"/>
    </row>
    <row r="647">
      <c r="A647" s="13" t="n"/>
      <c r="B647" s="4" t="n"/>
      <c r="C647" s="4" t="n"/>
      <c r="D647" s="4" t="n"/>
      <c r="E647" s="13" t="n"/>
      <c r="F647" s="4" t="n"/>
      <c r="G647" s="4" t="n"/>
      <c r="H647" s="4" t="n"/>
      <c r="I647" s="13" t="n"/>
      <c r="J647" s="6" t="n">
        <v>15</v>
      </c>
      <c r="K647" s="7">
        <f>IF(I647="","",I647*(1+J647/100))</f>
        <v/>
      </c>
      <c r="L647" s="13" t="n"/>
      <c r="M647" s="9">
        <f>IF(OR(L647="",K647="",L647=0),"",
  (L647-K647)/L647*100)</f>
        <v/>
      </c>
      <c r="N647" s="13" t="n"/>
      <c r="O647" s="4" t="n"/>
      <c r="P647" s="4" t="n"/>
      <c r="Q647" s="4" t="n"/>
      <c r="R647" s="4" t="n"/>
      <c r="S647" s="4" t="n"/>
    </row>
    <row r="648">
      <c r="A648" s="13" t="n"/>
      <c r="B648" s="11" t="n"/>
      <c r="C648" s="11" t="n"/>
      <c r="D648" s="11" t="n"/>
      <c r="E648" s="13" t="n"/>
      <c r="F648" s="11" t="n"/>
      <c r="G648" s="11" t="n"/>
      <c r="H648" s="11" t="n"/>
      <c r="I648" s="13" t="n"/>
      <c r="J648" s="6" t="n">
        <v>15</v>
      </c>
      <c r="K648" s="7">
        <f>IF(I648="","",I648*(1+J648/100))</f>
        <v/>
      </c>
      <c r="L648" s="13" t="n"/>
      <c r="M648" s="9">
        <f>IF(OR(L648="",K648="",L648=0),"",
  (L648-K648)/L648*100)</f>
        <v/>
      </c>
      <c r="N648" s="13" t="n"/>
      <c r="O648" s="11" t="n"/>
      <c r="P648" s="11" t="n"/>
      <c r="Q648" s="11" t="n"/>
      <c r="R648" s="11" t="n"/>
      <c r="S648" s="11" t="n"/>
    </row>
    <row r="649">
      <c r="A649" s="13" t="n"/>
      <c r="B649" s="4" t="n"/>
      <c r="C649" s="4" t="n"/>
      <c r="D649" s="4" t="n"/>
      <c r="E649" s="13" t="n"/>
      <c r="F649" s="4" t="n"/>
      <c r="G649" s="4" t="n"/>
      <c r="H649" s="4" t="n"/>
      <c r="I649" s="13" t="n"/>
      <c r="J649" s="6" t="n">
        <v>15</v>
      </c>
      <c r="K649" s="7">
        <f>IF(I649="","",I649*(1+J649/100))</f>
        <v/>
      </c>
      <c r="L649" s="13" t="n"/>
      <c r="M649" s="9">
        <f>IF(OR(L649="",K649="",L649=0),"",
  (L649-K649)/L649*100)</f>
        <v/>
      </c>
      <c r="N649" s="13" t="n"/>
      <c r="O649" s="4" t="n"/>
      <c r="P649" s="4" t="n"/>
      <c r="Q649" s="4" t="n"/>
      <c r="R649" s="4" t="n"/>
      <c r="S649" s="4" t="n"/>
    </row>
    <row r="650">
      <c r="A650" s="13" t="n"/>
      <c r="B650" s="11" t="n"/>
      <c r="C650" s="11" t="n"/>
      <c r="D650" s="11" t="n"/>
      <c r="E650" s="13" t="n"/>
      <c r="F650" s="11" t="n"/>
      <c r="G650" s="11" t="n"/>
      <c r="H650" s="11" t="n"/>
      <c r="I650" s="13" t="n"/>
      <c r="J650" s="6" t="n">
        <v>15</v>
      </c>
      <c r="K650" s="7">
        <f>IF(I650="","",I650*(1+J650/100))</f>
        <v/>
      </c>
      <c r="L650" s="13" t="n"/>
      <c r="M650" s="9">
        <f>IF(OR(L650="",K650="",L650=0),"",
  (L650-K650)/L650*100)</f>
        <v/>
      </c>
      <c r="N650" s="13" t="n"/>
      <c r="O650" s="11" t="n"/>
      <c r="P650" s="11" t="n"/>
      <c r="Q650" s="11" t="n"/>
      <c r="R650" s="11" t="n"/>
      <c r="S650" s="11" t="n"/>
    </row>
    <row r="651">
      <c r="A651" s="13" t="n"/>
      <c r="B651" s="4" t="n"/>
      <c r="C651" s="4" t="n"/>
      <c r="D651" s="4" t="n"/>
      <c r="E651" s="13" t="n"/>
      <c r="F651" s="4" t="n"/>
      <c r="G651" s="4" t="n"/>
      <c r="H651" s="4" t="n"/>
      <c r="I651" s="13" t="n"/>
      <c r="J651" s="6" t="n">
        <v>15</v>
      </c>
      <c r="K651" s="7">
        <f>IF(I651="","",I651*(1+J651/100))</f>
        <v/>
      </c>
      <c r="L651" s="13" t="n"/>
      <c r="M651" s="9">
        <f>IF(OR(L651="",K651="",L651=0),"",
  (L651-K651)/L651*100)</f>
        <v/>
      </c>
      <c r="N651" s="13" t="n"/>
      <c r="O651" s="4" t="n"/>
      <c r="P651" s="4" t="n"/>
      <c r="Q651" s="4" t="n"/>
      <c r="R651" s="4" t="n"/>
      <c r="S651" s="4" t="n"/>
    </row>
    <row r="652">
      <c r="A652" s="13" t="n"/>
      <c r="B652" s="11" t="n"/>
      <c r="C652" s="11" t="n"/>
      <c r="D652" s="11" t="n"/>
      <c r="E652" s="13" t="n"/>
      <c r="F652" s="11" t="n"/>
      <c r="G652" s="11" t="n"/>
      <c r="H652" s="11" t="n"/>
      <c r="I652" s="13" t="n"/>
      <c r="J652" s="6" t="n">
        <v>15</v>
      </c>
      <c r="K652" s="7">
        <f>IF(I652="","",I652*(1+J652/100))</f>
        <v/>
      </c>
      <c r="L652" s="13" t="n"/>
      <c r="M652" s="9">
        <f>IF(OR(L652="",K652="",L652=0),"",
  (L652-K652)/L652*100)</f>
        <v/>
      </c>
      <c r="N652" s="13" t="n"/>
      <c r="O652" s="11" t="n"/>
      <c r="P652" s="11" t="n"/>
      <c r="Q652" s="11" t="n"/>
      <c r="R652" s="11" t="n"/>
      <c r="S652" s="11" t="n"/>
    </row>
    <row r="653">
      <c r="A653" s="13" t="n"/>
      <c r="B653" s="4" t="n"/>
      <c r="C653" s="4" t="n"/>
      <c r="D653" s="4" t="n"/>
      <c r="E653" s="13" t="n"/>
      <c r="F653" s="4" t="n"/>
      <c r="G653" s="4" t="n"/>
      <c r="H653" s="4" t="n"/>
      <c r="I653" s="13" t="n"/>
      <c r="J653" s="6" t="n">
        <v>15</v>
      </c>
      <c r="K653" s="7">
        <f>IF(I653="","",I653*(1+J653/100))</f>
        <v/>
      </c>
      <c r="L653" s="13" t="n"/>
      <c r="M653" s="9">
        <f>IF(OR(L653="",K653="",L653=0),"",
  (L653-K653)/L653*100)</f>
        <v/>
      </c>
      <c r="N653" s="13" t="n"/>
      <c r="O653" s="4" t="n"/>
      <c r="P653" s="4" t="n"/>
      <c r="Q653" s="4" t="n"/>
      <c r="R653" s="4" t="n"/>
      <c r="S653" s="4" t="n"/>
    </row>
    <row r="654">
      <c r="A654" s="13" t="n"/>
      <c r="B654" s="11" t="n"/>
      <c r="C654" s="11" t="n"/>
      <c r="D654" s="11" t="n"/>
      <c r="E654" s="13" t="n"/>
      <c r="F654" s="11" t="n"/>
      <c r="G654" s="11" t="n"/>
      <c r="H654" s="11" t="n"/>
      <c r="I654" s="13" t="n"/>
      <c r="J654" s="6" t="n">
        <v>15</v>
      </c>
      <c r="K654" s="7">
        <f>IF(I654="","",I654*(1+J654/100))</f>
        <v/>
      </c>
      <c r="L654" s="13" t="n"/>
      <c r="M654" s="9">
        <f>IF(OR(L654="",K654="",L654=0),"",
  (L654-K654)/L654*100)</f>
        <v/>
      </c>
      <c r="N654" s="13" t="n"/>
      <c r="O654" s="11" t="n"/>
      <c r="P654" s="11" t="n"/>
      <c r="Q654" s="11" t="n"/>
      <c r="R654" s="11" t="n"/>
      <c r="S654" s="11" t="n"/>
    </row>
    <row r="655">
      <c r="A655" s="13" t="n"/>
      <c r="B655" s="4" t="n"/>
      <c r="C655" s="4" t="n"/>
      <c r="D655" s="4" t="n"/>
      <c r="E655" s="13" t="n"/>
      <c r="F655" s="4" t="n"/>
      <c r="G655" s="4" t="n"/>
      <c r="H655" s="4" t="n"/>
      <c r="I655" s="13" t="n"/>
      <c r="J655" s="6" t="n">
        <v>15</v>
      </c>
      <c r="K655" s="7">
        <f>IF(I655="","",I655*(1+J655/100))</f>
        <v/>
      </c>
      <c r="L655" s="13" t="n"/>
      <c r="M655" s="9">
        <f>IF(OR(L655="",K655="",L655=0),"",
  (L655-K655)/L655*100)</f>
        <v/>
      </c>
      <c r="N655" s="13" t="n"/>
      <c r="O655" s="4" t="n"/>
      <c r="P655" s="4" t="n"/>
      <c r="Q655" s="4" t="n"/>
      <c r="R655" s="4" t="n"/>
      <c r="S655" s="4" t="n"/>
    </row>
    <row r="656">
      <c r="A656" s="13" t="n"/>
      <c r="B656" s="11" t="n"/>
      <c r="C656" s="11" t="n"/>
      <c r="D656" s="11" t="n"/>
      <c r="E656" s="13" t="n"/>
      <c r="F656" s="11" t="n"/>
      <c r="G656" s="11" t="n"/>
      <c r="H656" s="11" t="n"/>
      <c r="I656" s="13" t="n"/>
      <c r="J656" s="6" t="n">
        <v>15</v>
      </c>
      <c r="K656" s="7">
        <f>IF(I656="","",I656*(1+J656/100))</f>
        <v/>
      </c>
      <c r="L656" s="13" t="n"/>
      <c r="M656" s="9">
        <f>IF(OR(L656="",K656="",L656=0),"",
  (L656-K656)/L656*100)</f>
        <v/>
      </c>
      <c r="N656" s="13" t="n"/>
      <c r="O656" s="11" t="n"/>
      <c r="P656" s="11" t="n"/>
      <c r="Q656" s="11" t="n"/>
      <c r="R656" s="11" t="n"/>
      <c r="S656" s="11" t="n"/>
    </row>
    <row r="657">
      <c r="A657" s="13" t="n"/>
      <c r="B657" s="4" t="n"/>
      <c r="C657" s="4" t="n"/>
      <c r="D657" s="4" t="n"/>
      <c r="E657" s="13" t="n"/>
      <c r="F657" s="4" t="n"/>
      <c r="G657" s="4" t="n"/>
      <c r="H657" s="4" t="n"/>
      <c r="I657" s="13" t="n"/>
      <c r="J657" s="6" t="n">
        <v>15</v>
      </c>
      <c r="K657" s="7">
        <f>IF(I657="","",I657*(1+J657/100))</f>
        <v/>
      </c>
      <c r="L657" s="13" t="n"/>
      <c r="M657" s="9">
        <f>IF(OR(L657="",K657="",L657=0),"",
  (L657-K657)/L657*100)</f>
        <v/>
      </c>
      <c r="N657" s="13" t="n"/>
      <c r="O657" s="4" t="n"/>
      <c r="P657" s="4" t="n"/>
      <c r="Q657" s="4" t="n"/>
      <c r="R657" s="4" t="n"/>
      <c r="S657" s="4" t="n"/>
    </row>
    <row r="658">
      <c r="A658" s="13" t="n"/>
      <c r="B658" s="11" t="n"/>
      <c r="C658" s="11" t="n"/>
      <c r="D658" s="11" t="n"/>
      <c r="E658" s="13" t="n"/>
      <c r="F658" s="11" t="n"/>
      <c r="G658" s="11" t="n"/>
      <c r="H658" s="11" t="n"/>
      <c r="I658" s="13" t="n"/>
      <c r="J658" s="6" t="n">
        <v>15</v>
      </c>
      <c r="K658" s="7">
        <f>IF(I658="","",I658*(1+J658/100))</f>
        <v/>
      </c>
      <c r="L658" s="13" t="n"/>
      <c r="M658" s="9">
        <f>IF(OR(L658="",K658="",L658=0),"",
  (L658-K658)/L658*100)</f>
        <v/>
      </c>
      <c r="N658" s="13" t="n"/>
      <c r="O658" s="11" t="n"/>
      <c r="P658" s="11" t="n"/>
      <c r="Q658" s="11" t="n"/>
      <c r="R658" s="11" t="n"/>
      <c r="S658" s="11" t="n"/>
    </row>
    <row r="659">
      <c r="A659" s="13" t="n"/>
      <c r="B659" s="4" t="n"/>
      <c r="C659" s="4" t="n"/>
      <c r="D659" s="4" t="n"/>
      <c r="E659" s="13" t="n"/>
      <c r="F659" s="4" t="n"/>
      <c r="G659" s="4" t="n"/>
      <c r="H659" s="4" t="n"/>
      <c r="I659" s="13" t="n"/>
      <c r="J659" s="6" t="n">
        <v>15</v>
      </c>
      <c r="K659" s="7">
        <f>IF(I659="","",I659*(1+J659/100))</f>
        <v/>
      </c>
      <c r="L659" s="13" t="n"/>
      <c r="M659" s="9">
        <f>IF(OR(L659="",K659="",L659=0),"",
  (L659-K659)/L659*100)</f>
        <v/>
      </c>
      <c r="N659" s="13" t="n"/>
      <c r="O659" s="4" t="n"/>
      <c r="P659" s="4" t="n"/>
      <c r="Q659" s="4" t="n"/>
      <c r="R659" s="4" t="n"/>
      <c r="S659" s="4" t="n"/>
    </row>
    <row r="660">
      <c r="A660" s="13" t="n"/>
      <c r="B660" s="11" t="n"/>
      <c r="C660" s="11" t="n"/>
      <c r="D660" s="11" t="n"/>
      <c r="E660" s="13" t="n"/>
      <c r="F660" s="11" t="n"/>
      <c r="G660" s="11" t="n"/>
      <c r="H660" s="11" t="n"/>
      <c r="I660" s="13" t="n"/>
      <c r="J660" s="6" t="n">
        <v>15</v>
      </c>
      <c r="K660" s="7">
        <f>IF(I660="","",I660*(1+J660/100))</f>
        <v/>
      </c>
      <c r="L660" s="13" t="n"/>
      <c r="M660" s="9">
        <f>IF(OR(L660="",K660="",L660=0),"",
  (L660-K660)/L660*100)</f>
        <v/>
      </c>
      <c r="N660" s="13" t="n"/>
      <c r="O660" s="11" t="n"/>
      <c r="P660" s="11" t="n"/>
      <c r="Q660" s="11" t="n"/>
      <c r="R660" s="11" t="n"/>
      <c r="S660" s="11" t="n"/>
    </row>
    <row r="661">
      <c r="A661" s="13" t="n"/>
      <c r="B661" s="4" t="n"/>
      <c r="C661" s="4" t="n"/>
      <c r="D661" s="4" t="n"/>
      <c r="E661" s="13" t="n"/>
      <c r="F661" s="4" t="n"/>
      <c r="G661" s="4" t="n"/>
      <c r="H661" s="4" t="n"/>
      <c r="I661" s="13" t="n"/>
      <c r="J661" s="6" t="n">
        <v>15</v>
      </c>
      <c r="K661" s="7">
        <f>IF(I661="","",I661*(1+J661/100))</f>
        <v/>
      </c>
      <c r="L661" s="13" t="n"/>
      <c r="M661" s="9">
        <f>IF(OR(L661="",K661="",L661=0),"",
  (L661-K661)/L661*100)</f>
        <v/>
      </c>
      <c r="N661" s="13" t="n"/>
      <c r="O661" s="4" t="n"/>
      <c r="P661" s="4" t="n"/>
      <c r="Q661" s="4" t="n"/>
      <c r="R661" s="4" t="n"/>
      <c r="S661" s="4" t="n"/>
    </row>
    <row r="662">
      <c r="A662" s="13" t="n"/>
      <c r="B662" s="11" t="n"/>
      <c r="C662" s="11" t="n"/>
      <c r="D662" s="11" t="n"/>
      <c r="E662" s="13" t="n"/>
      <c r="F662" s="11" t="n"/>
      <c r="G662" s="11" t="n"/>
      <c r="H662" s="11" t="n"/>
      <c r="I662" s="13" t="n"/>
      <c r="J662" s="6" t="n">
        <v>15</v>
      </c>
      <c r="K662" s="7">
        <f>IF(I662="","",I662*(1+J662/100))</f>
        <v/>
      </c>
      <c r="L662" s="13" t="n"/>
      <c r="M662" s="9">
        <f>IF(OR(L662="",K662="",L662=0),"",
  (L662-K662)/L662*100)</f>
        <v/>
      </c>
      <c r="N662" s="13" t="n"/>
      <c r="O662" s="11" t="n"/>
      <c r="P662" s="11" t="n"/>
      <c r="Q662" s="11" t="n"/>
      <c r="R662" s="11" t="n"/>
      <c r="S662" s="11" t="n"/>
    </row>
    <row r="663">
      <c r="A663" s="13" t="n"/>
      <c r="B663" s="4" t="n"/>
      <c r="C663" s="4" t="n"/>
      <c r="D663" s="4" t="n"/>
      <c r="E663" s="13" t="n"/>
      <c r="F663" s="4" t="n"/>
      <c r="G663" s="4" t="n"/>
      <c r="H663" s="4" t="n"/>
      <c r="I663" s="13" t="n"/>
      <c r="J663" s="6" t="n">
        <v>15</v>
      </c>
      <c r="K663" s="7">
        <f>IF(I663="","",I663*(1+J663/100))</f>
        <v/>
      </c>
      <c r="L663" s="13" t="n"/>
      <c r="M663" s="9">
        <f>IF(OR(L663="",K663="",L663=0),"",
  (L663-K663)/L663*100)</f>
        <v/>
      </c>
      <c r="N663" s="13" t="n"/>
      <c r="O663" s="4" t="n"/>
      <c r="P663" s="4" t="n"/>
      <c r="Q663" s="4" t="n"/>
      <c r="R663" s="4" t="n"/>
      <c r="S663" s="4" t="n"/>
    </row>
    <row r="664">
      <c r="A664" s="13" t="n"/>
      <c r="B664" s="11" t="n"/>
      <c r="C664" s="11" t="n"/>
      <c r="D664" s="11" t="n"/>
      <c r="E664" s="13" t="n"/>
      <c r="F664" s="11" t="n"/>
      <c r="G664" s="11" t="n"/>
      <c r="H664" s="11" t="n"/>
      <c r="I664" s="13" t="n"/>
      <c r="J664" s="6" t="n">
        <v>15</v>
      </c>
      <c r="K664" s="7">
        <f>IF(I664="","",I664*(1+J664/100))</f>
        <v/>
      </c>
      <c r="L664" s="13" t="n"/>
      <c r="M664" s="9">
        <f>IF(OR(L664="",K664="",L664=0),"",
  (L664-K664)/L664*100)</f>
        <v/>
      </c>
      <c r="N664" s="13" t="n"/>
      <c r="O664" s="11" t="n"/>
      <c r="P664" s="11" t="n"/>
      <c r="Q664" s="11" t="n"/>
      <c r="R664" s="11" t="n"/>
      <c r="S664" s="11" t="n"/>
    </row>
    <row r="665">
      <c r="A665" s="13" t="n"/>
      <c r="B665" s="4" t="n"/>
      <c r="C665" s="4" t="n"/>
      <c r="D665" s="4" t="n"/>
      <c r="E665" s="13" t="n"/>
      <c r="F665" s="4" t="n"/>
      <c r="G665" s="4" t="n"/>
      <c r="H665" s="4" t="n"/>
      <c r="I665" s="13" t="n"/>
      <c r="J665" s="6" t="n">
        <v>15</v>
      </c>
      <c r="K665" s="7">
        <f>IF(I665="","",I665*(1+J665/100))</f>
        <v/>
      </c>
      <c r="L665" s="13" t="n"/>
      <c r="M665" s="9">
        <f>IF(OR(L665="",K665="",L665=0),"",
  (L665-K665)/L665*100)</f>
        <v/>
      </c>
      <c r="N665" s="13" t="n"/>
      <c r="O665" s="4" t="n"/>
      <c r="P665" s="4" t="n"/>
      <c r="Q665" s="4" t="n"/>
      <c r="R665" s="4" t="n"/>
      <c r="S665" s="4" t="n"/>
    </row>
    <row r="666">
      <c r="A666" s="13" t="n"/>
      <c r="B666" s="11" t="n"/>
      <c r="C666" s="11" t="n"/>
      <c r="D666" s="11" t="n"/>
      <c r="E666" s="13" t="n"/>
      <c r="F666" s="11" t="n"/>
      <c r="G666" s="11" t="n"/>
      <c r="H666" s="11" t="n"/>
      <c r="I666" s="13" t="n"/>
      <c r="J666" s="6" t="n">
        <v>15</v>
      </c>
      <c r="K666" s="7">
        <f>IF(I666="","",I666*(1+J666/100))</f>
        <v/>
      </c>
      <c r="L666" s="13" t="n"/>
      <c r="M666" s="9">
        <f>IF(OR(L666="",K666="",L666=0),"",
  (L666-K666)/L666*100)</f>
        <v/>
      </c>
      <c r="N666" s="13" t="n"/>
      <c r="O666" s="11" t="n"/>
      <c r="P666" s="11" t="n"/>
      <c r="Q666" s="11" t="n"/>
      <c r="R666" s="11" t="n"/>
      <c r="S666" s="11" t="n"/>
    </row>
    <row r="667">
      <c r="A667" s="13" t="n"/>
      <c r="B667" s="4" t="n"/>
      <c r="C667" s="4" t="n"/>
      <c r="D667" s="4" t="n"/>
      <c r="E667" s="13" t="n"/>
      <c r="F667" s="4" t="n"/>
      <c r="G667" s="4" t="n"/>
      <c r="H667" s="4" t="n"/>
      <c r="I667" s="13" t="n"/>
      <c r="J667" s="6" t="n">
        <v>15</v>
      </c>
      <c r="K667" s="7">
        <f>IF(I667="","",I667*(1+J667/100))</f>
        <v/>
      </c>
      <c r="L667" s="13" t="n"/>
      <c r="M667" s="9">
        <f>IF(OR(L667="",K667="",L667=0),"",
  (L667-K667)/L667*100)</f>
        <v/>
      </c>
      <c r="N667" s="13" t="n"/>
      <c r="O667" s="4" t="n"/>
      <c r="P667" s="4" t="n"/>
      <c r="Q667" s="4" t="n"/>
      <c r="R667" s="4" t="n"/>
      <c r="S667" s="4" t="n"/>
    </row>
    <row r="668">
      <c r="A668" s="13" t="n"/>
      <c r="B668" s="11" t="n"/>
      <c r="C668" s="11" t="n"/>
      <c r="D668" s="11" t="n"/>
      <c r="E668" s="13" t="n"/>
      <c r="F668" s="11" t="n"/>
      <c r="G668" s="11" t="n"/>
      <c r="H668" s="11" t="n"/>
      <c r="I668" s="13" t="n"/>
      <c r="J668" s="6" t="n">
        <v>15</v>
      </c>
      <c r="K668" s="7">
        <f>IF(I668="","",I668*(1+J668/100))</f>
        <v/>
      </c>
      <c r="L668" s="13" t="n"/>
      <c r="M668" s="9">
        <f>IF(OR(L668="",K668="",L668=0),"",
  (L668-K668)/L668*100)</f>
        <v/>
      </c>
      <c r="N668" s="13" t="n"/>
      <c r="O668" s="11" t="n"/>
      <c r="P668" s="11" t="n"/>
      <c r="Q668" s="11" t="n"/>
      <c r="R668" s="11" t="n"/>
      <c r="S668" s="11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4" t="inlineStr">
        <is>
          <t>COLOUR KEY</t>
        </is>
      </c>
      <c r="B1" s="15" t="inlineStr"/>
    </row>
    <row r="2" ht="18" customHeight="1">
      <c r="A2" s="16" t="inlineStr">
        <is>
          <t>Orange background</t>
        </is>
      </c>
      <c r="B2" s="15" t="inlineStr">
        <is>
          <t>Required field — must be filled in</t>
        </is>
      </c>
    </row>
    <row r="3" ht="18" customHeight="1">
      <c r="A3" s="16" t="inlineStr">
        <is>
          <t>Yellow background</t>
        </is>
      </c>
      <c r="B3" s="15" t="inlineStr">
        <is>
          <t>Auto-calculated — do not edit manually</t>
        </is>
      </c>
    </row>
    <row r="4" ht="18" customHeight="1">
      <c r="A4" s="16" t="inlineStr">
        <is>
          <t>Blue tint rows</t>
        </is>
      </c>
      <c r="B4" s="15" t="inlineStr">
        <is>
          <t>Alternating row shading for readability</t>
        </is>
      </c>
    </row>
    <row r="5" ht="18" customHeight="1">
      <c r="A5" s="16" t="inlineStr"/>
      <c r="B5" s="15" t="inlineStr"/>
    </row>
    <row r="6" ht="18" customHeight="1">
      <c r="A6" s="14" t="inlineStr">
        <is>
          <t>COLUMN GUIDE</t>
        </is>
      </c>
      <c r="B6" s="15" t="inlineStr"/>
    </row>
    <row r="7" ht="18" customHeight="1">
      <c r="A7" s="16" t="inlineStr">
        <is>
          <t>Supplier SKU</t>
        </is>
      </c>
      <c r="B7" s="15" t="inlineStr">
        <is>
          <t>Supplier's own product code</t>
        </is>
      </c>
    </row>
    <row r="8" ht="18" customHeight="1">
      <c r="A8" s="16" t="inlineStr">
        <is>
          <t>WC SKU</t>
        </is>
      </c>
      <c r="B8" s="15" t="inlineStr">
        <is>
          <t>WooCommerce SKU (auto-matched)</t>
        </is>
      </c>
    </row>
    <row r="9" ht="18" customHeight="1">
      <c r="A9" s="16" t="inlineStr">
        <is>
          <t>WC ID</t>
        </is>
      </c>
      <c r="B9" s="15" t="inlineStr">
        <is>
          <t>WooCommerce product ID</t>
        </is>
      </c>
    </row>
    <row r="10" ht="18" customHeight="1">
      <c r="A10" s="16" t="inlineStr">
        <is>
          <t>Barcode / EAN</t>
        </is>
      </c>
      <c r="B10" s="15" t="inlineStr">
        <is>
          <t>EAN-13, UPC or internal barcode</t>
        </is>
      </c>
    </row>
    <row r="11" ht="18" customHeight="1">
      <c r="A11" s="16" t="inlineStr">
        <is>
          <t>Product Name</t>
        </is>
      </c>
      <c r="B11" s="15" t="inlineStr">
        <is>
          <t>Full product name as it appears on the store</t>
        </is>
      </c>
    </row>
    <row r="12" ht="18" customHeight="1">
      <c r="A12" s="16" t="inlineStr">
        <is>
          <t>Brand</t>
        </is>
      </c>
      <c r="B12" s="15" t="inlineStr">
        <is>
          <t>Brand / manufacturer</t>
        </is>
      </c>
    </row>
    <row r="13" ht="18" customHeight="1">
      <c r="A13" s="16" t="inlineStr">
        <is>
          <t>Category</t>
        </is>
      </c>
      <c r="B13" s="15" t="inlineStr">
        <is>
          <t>e.g. Homeware &gt; Kitchenware</t>
        </is>
      </c>
    </row>
    <row r="14" ht="18" customHeight="1">
      <c r="A14" s="16" t="inlineStr">
        <is>
          <t>Description</t>
        </is>
      </c>
      <c r="B14" s="15" t="inlineStr">
        <is>
          <t>Short product description</t>
        </is>
      </c>
    </row>
    <row r="15" ht="18" customHeight="1">
      <c r="A15" s="16" t="inlineStr">
        <is>
          <t>Cost Price (ex VAT)</t>
        </is>
      </c>
      <c r="B15" s="15" t="inlineStr">
        <is>
          <t>What you pay the supplier, before VAT (R)</t>
        </is>
      </c>
    </row>
    <row r="16" ht="18" customHeight="1">
      <c r="A16" s="16" t="inlineStr">
        <is>
          <t>VAT Rate %</t>
        </is>
      </c>
      <c r="B16" s="15" t="inlineStr">
        <is>
          <t>0 or 15 (auto-applied below)</t>
        </is>
      </c>
    </row>
    <row r="17" ht="18" customHeight="1">
      <c r="A17" s="16" t="inlineStr">
        <is>
          <t>Cost Price (incl VAT)</t>
        </is>
      </c>
      <c r="B17" s="15">
        <f>Cost*(1+VAT/100) — auto-calculated</f>
        <v/>
      </c>
    </row>
    <row r="18" ht="18" customHeight="1">
      <c r="A18" s="16" t="inlineStr">
        <is>
          <t>Selling Price (R)</t>
        </is>
      </c>
      <c r="B18" s="15" t="inlineStr">
        <is>
          <t>Your retail price including VAT</t>
        </is>
      </c>
    </row>
    <row r="19" ht="18" customHeight="1">
      <c r="A19" s="16" t="inlineStr">
        <is>
          <t>Margin %</t>
        </is>
      </c>
      <c r="B19" s="15">
        <f>(Selling-Cost_incl)/Selling*100 — auto</f>
        <v/>
      </c>
    </row>
    <row r="20" ht="18" customHeight="1">
      <c r="A20" s="16" t="inlineStr">
        <is>
          <t>Qty On Hand</t>
        </is>
      </c>
      <c r="B20" s="15" t="inlineStr">
        <is>
          <t>Current physical stock count</t>
        </is>
      </c>
    </row>
    <row r="21" ht="18" customHeight="1">
      <c r="A21" s="16" t="inlineStr">
        <is>
          <t>Reorder Level</t>
        </is>
      </c>
      <c r="B21" s="15" t="inlineStr">
        <is>
          <t>Alert when stock falls below this number</t>
        </is>
      </c>
    </row>
    <row r="22" ht="18" customHeight="1">
      <c r="A22" s="16" t="inlineStr">
        <is>
          <t>Location / Bay</t>
        </is>
      </c>
      <c r="B22" s="15" t="inlineStr">
        <is>
          <t>Shelf, bay or bin reference in store</t>
        </is>
      </c>
    </row>
    <row r="23" ht="18" customHeight="1">
      <c r="A23" s="16" t="inlineStr">
        <is>
          <t>Image URL</t>
        </is>
      </c>
      <c r="B23" s="15" t="inlineStr">
        <is>
          <t>Direct URL or Drive link to product image</t>
        </is>
      </c>
    </row>
    <row r="24" ht="18" customHeight="1">
      <c r="A24" s="16" t="inlineStr">
        <is>
          <t>Last Updated</t>
        </is>
      </c>
      <c r="B24" s="15" t="inlineStr">
        <is>
          <t>Date this row was last updated</t>
        </is>
      </c>
    </row>
    <row r="25" ht="18" customHeight="1">
      <c r="A25" s="16" t="inlineStr">
        <is>
          <t>Notes</t>
        </is>
      </c>
      <c r="B25" s="15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2026-03-12T15:32:10Z</dcterms:created>
  <dcterms:modified xmlns:dcterms="http://purl.org/dc/terms/" xmlns:xsi="http://www.w3.org/2001/XMLSchema-instance" xsi:type="dcterms:W3CDTF">2026-03-12T15:32:11Z</dcterms:modified>
</cp:coreProperties>
</file>