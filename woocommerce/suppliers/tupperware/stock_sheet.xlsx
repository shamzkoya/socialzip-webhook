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Tupperware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/>
      <c r="C3" s="4" t="inlineStr"/>
      <c r="D3" s="4" t="inlineStr"/>
      <c r="E3" s="5" t="inlineStr">
        <is>
          <t>Pie Taker</t>
        </is>
      </c>
      <c r="F3" s="4" t="inlineStr">
        <is>
          <t>Tupperware</t>
        </is>
      </c>
      <c r="G3" s="4" t="inlineStr">
        <is>
          <t>Homeware &gt; Kitchenware &gt; Tupperware</t>
        </is>
      </c>
      <c r="H3" s="4" t="inlineStr"/>
      <c r="I3" s="6" t="n">
        <v>129</v>
      </c>
      <c r="J3" s="7" t="n">
        <v>15</v>
      </c>
      <c r="K3" s="8">
        <f>IF(I3="","",I3*(1+J3/100))</f>
        <v/>
      </c>
      <c r="L3" s="6" t="n">
        <v>180.6</v>
      </c>
      <c r="M3" s="9">
        <f>IF(OR(L3="",K3="",L3=0),"",
  (L3-K3)/L3*100)</f>
        <v/>
      </c>
      <c r="N3" s="10" t="n">
        <v>1</v>
      </c>
      <c r="O3" s="4" t="inlineStr"/>
      <c r="P3" s="4" t="inlineStr"/>
      <c r="Q3" s="4" t="inlineStr"/>
      <c r="R3" s="4" t="inlineStr">
        <is>
          <t>2026-03-12</t>
        </is>
      </c>
      <c r="S3" s="4" t="inlineStr"/>
    </row>
    <row r="4">
      <c r="A4" s="3" t="inlineStr"/>
      <c r="B4" s="11" t="inlineStr"/>
      <c r="C4" s="11" t="inlineStr"/>
      <c r="D4" s="11" t="inlineStr"/>
      <c r="E4" s="11" t="inlineStr">
        <is>
          <t>Lunch Box - Pink wave - 850ml</t>
        </is>
      </c>
      <c r="F4" s="11" t="inlineStr">
        <is>
          <t>Tupperware</t>
        </is>
      </c>
      <c r="G4" s="11" t="inlineStr">
        <is>
          <t>Homeware &gt; Kitchenware &gt; Tupperware</t>
        </is>
      </c>
      <c r="H4" s="11" t="inlineStr"/>
      <c r="I4" s="12" t="n">
        <v>80</v>
      </c>
      <c r="J4" s="7" t="n">
        <v>15</v>
      </c>
      <c r="K4" s="8">
        <f>IF(I4="","",I4*(1+J4/100))</f>
        <v/>
      </c>
      <c r="L4" s="12" t="n">
        <v>112</v>
      </c>
      <c r="M4" s="9">
        <f>IF(OR(L4="",K4="",L4=0),"",
  (L4-K4)/L4*100)</f>
        <v/>
      </c>
      <c r="N4" s="13" t="inlineStr"/>
      <c r="O4" s="11" t="inlineStr"/>
      <c r="P4" s="11" t="inlineStr"/>
      <c r="Q4" s="11" t="inlineStr"/>
      <c r="R4" s="11" t="inlineStr">
        <is>
          <t>2026-03-12</t>
        </is>
      </c>
      <c r="S4" s="11" t="inlineStr"/>
    </row>
    <row r="5">
      <c r="A5" s="3" t="inlineStr"/>
      <c r="B5" s="4" t="inlineStr"/>
      <c r="C5" s="4" t="inlineStr"/>
      <c r="D5" s="4" t="inlineStr"/>
      <c r="E5" s="5" t="inlineStr">
        <is>
          <t>Lunch Box - Purple wave - 850ml</t>
        </is>
      </c>
      <c r="F5" s="4" t="inlineStr">
        <is>
          <t>Tupperware</t>
        </is>
      </c>
      <c r="G5" s="4" t="inlineStr">
        <is>
          <t>Homeware &gt; Kitchenware &gt; Tupperware</t>
        </is>
      </c>
      <c r="H5" s="4" t="inlineStr"/>
      <c r="I5" s="6" t="n">
        <v>80</v>
      </c>
      <c r="J5" s="7" t="n">
        <v>15</v>
      </c>
      <c r="K5" s="8">
        <f>IF(I5="","",I5*(1+J5/100))</f>
        <v/>
      </c>
      <c r="L5" s="6" t="n">
        <v>112</v>
      </c>
      <c r="M5" s="9">
        <f>IF(OR(L5="",K5="",L5=0),"",
  (L5-K5)/L5*100)</f>
        <v/>
      </c>
      <c r="N5" s="10" t="n">
        <v>1</v>
      </c>
      <c r="O5" s="4" t="inlineStr"/>
      <c r="P5" s="4" t="inlineStr"/>
      <c r="Q5" s="4" t="inlineStr"/>
      <c r="R5" s="4" t="inlineStr">
        <is>
          <t>2026-03-12</t>
        </is>
      </c>
      <c r="S5" s="4" t="inlineStr"/>
    </row>
    <row r="6">
      <c r="A6" s="3" t="inlineStr"/>
      <c r="B6" s="11" t="inlineStr"/>
      <c r="C6" s="11" t="inlineStr"/>
      <c r="D6" s="11" t="inlineStr"/>
      <c r="E6" s="11" t="inlineStr">
        <is>
          <t>Snack Cups - set of 3</t>
        </is>
      </c>
      <c r="F6" s="11" t="inlineStr">
        <is>
          <t>Tupperware</t>
        </is>
      </c>
      <c r="G6" s="11" t="inlineStr">
        <is>
          <t>Homeware &gt; Kitchenware &gt; Tupperware</t>
        </is>
      </c>
      <c r="H6" s="11" t="inlineStr"/>
      <c r="I6" s="12" t="n">
        <v>80</v>
      </c>
      <c r="J6" s="7" t="n">
        <v>15</v>
      </c>
      <c r="K6" s="8">
        <f>IF(I6="","",I6*(1+J6/100))</f>
        <v/>
      </c>
      <c r="L6" s="12" t="n">
        <v>112</v>
      </c>
      <c r="M6" s="9">
        <f>IF(OR(L6="",K6="",L6=0),"",
  (L6-K6)/L6*100)</f>
        <v/>
      </c>
      <c r="N6" s="14" t="n">
        <v>4</v>
      </c>
      <c r="O6" s="11" t="inlineStr"/>
      <c r="P6" s="11" t="inlineStr"/>
      <c r="Q6" s="11" t="inlineStr"/>
      <c r="R6" s="11" t="inlineStr">
        <is>
          <t>2026-03-12</t>
        </is>
      </c>
      <c r="S6" s="11" t="inlineStr"/>
    </row>
    <row r="7">
      <c r="A7" s="3" t="inlineStr"/>
      <c r="B7" s="4" t="inlineStr"/>
      <c r="C7" s="4" t="inlineStr"/>
      <c r="D7" s="4" t="inlineStr"/>
      <c r="E7" s="5" t="inlineStr">
        <is>
          <t>3 Div Lunch Containers</t>
        </is>
      </c>
      <c r="F7" s="4" t="inlineStr">
        <is>
          <t>Tupperware</t>
        </is>
      </c>
      <c r="G7" s="4" t="inlineStr">
        <is>
          <t>Homeware &gt; Kitchenware &gt; Tupperware</t>
        </is>
      </c>
      <c r="H7" s="4" t="inlineStr"/>
      <c r="I7" s="6" t="n">
        <v>120</v>
      </c>
      <c r="J7" s="7" t="n">
        <v>15</v>
      </c>
      <c r="K7" s="8">
        <f>IF(I7="","",I7*(1+J7/100))</f>
        <v/>
      </c>
      <c r="L7" s="6" t="n">
        <v>168</v>
      </c>
      <c r="M7" s="9">
        <f>IF(OR(L7="",K7="",L7=0),"",
  (L7-K7)/L7*100)</f>
        <v/>
      </c>
      <c r="N7" s="10" t="n">
        <v>1</v>
      </c>
      <c r="O7" s="4" t="inlineStr"/>
      <c r="P7" s="4" t="inlineStr"/>
      <c r="Q7" s="4" t="inlineStr"/>
      <c r="R7" s="4" t="inlineStr">
        <is>
          <t>2026-03-12</t>
        </is>
      </c>
      <c r="S7" s="4" t="inlineStr"/>
    </row>
    <row r="8">
      <c r="A8" s="3" t="inlineStr"/>
      <c r="B8" s="11" t="inlineStr"/>
      <c r="C8" s="11" t="inlineStr"/>
      <c r="D8" s="11" t="inlineStr"/>
      <c r="E8" s="11" t="inlineStr">
        <is>
          <t>Cubic Light Blue - 1l</t>
        </is>
      </c>
      <c r="F8" s="11" t="inlineStr">
        <is>
          <t>Tupperware</t>
        </is>
      </c>
      <c r="G8" s="11" t="inlineStr">
        <is>
          <t>Homeware &gt; Kitchenware &gt; Tupperware</t>
        </is>
      </c>
      <c r="H8" s="11" t="inlineStr"/>
      <c r="I8" s="12" t="n">
        <v>50</v>
      </c>
      <c r="J8" s="7" t="n">
        <v>15</v>
      </c>
      <c r="K8" s="8">
        <f>IF(I8="","",I8*(1+J8/100))</f>
        <v/>
      </c>
      <c r="L8" s="12" t="n">
        <v>70</v>
      </c>
      <c r="M8" s="9">
        <f>IF(OR(L8="",K8="",L8=0),"",
  (L8-K8)/L8*100)</f>
        <v/>
      </c>
      <c r="N8" s="14" t="n">
        <v>3</v>
      </c>
      <c r="O8" s="11" t="inlineStr"/>
      <c r="P8" s="11" t="inlineStr"/>
      <c r="Q8" s="11" t="inlineStr"/>
      <c r="R8" s="11" t="inlineStr">
        <is>
          <t>2026-03-12</t>
        </is>
      </c>
      <c r="S8" s="11" t="inlineStr"/>
    </row>
    <row r="9">
      <c r="A9" s="3" t="inlineStr"/>
      <c r="B9" s="4" t="inlineStr"/>
      <c r="C9" s="4" t="inlineStr"/>
      <c r="D9" s="4" t="inlineStr"/>
      <c r="E9" s="5" t="inlineStr">
        <is>
          <t>Mauve - Long Thin Rectangle 1.1l</t>
        </is>
      </c>
      <c r="F9" s="4" t="inlineStr">
        <is>
          <t>Tupperware</t>
        </is>
      </c>
      <c r="G9" s="4" t="inlineStr">
        <is>
          <t>Homeware &gt; Kitchenware &gt; Tupperware</t>
        </is>
      </c>
      <c r="H9" s="4" t="inlineStr"/>
      <c r="I9" s="6" t="n">
        <v>100</v>
      </c>
      <c r="J9" s="7" t="n">
        <v>15</v>
      </c>
      <c r="K9" s="8">
        <f>IF(I9="","",I9*(1+J9/100))</f>
        <v/>
      </c>
      <c r="L9" s="6" t="n">
        <v>140</v>
      </c>
      <c r="M9" s="9">
        <f>IF(OR(L9="",K9="",L9=0),"",
  (L9-K9)/L9*100)</f>
        <v/>
      </c>
      <c r="N9" s="13" t="inlineStr"/>
      <c r="O9" s="4" t="inlineStr"/>
      <c r="P9" s="4" t="inlineStr"/>
      <c r="Q9" s="4" t="inlineStr"/>
      <c r="R9" s="4" t="inlineStr">
        <is>
          <t>2026-03-12</t>
        </is>
      </c>
      <c r="S9" s="4" t="inlineStr"/>
    </row>
    <row r="10">
      <c r="A10" s="3" t="inlineStr"/>
      <c r="B10" s="11" t="inlineStr"/>
      <c r="C10" s="11" t="inlineStr"/>
      <c r="D10" s="11" t="inlineStr"/>
      <c r="E10" s="11" t="inlineStr">
        <is>
          <t>Ice Tray</t>
        </is>
      </c>
      <c r="F10" s="11" t="inlineStr">
        <is>
          <t>Tupperware</t>
        </is>
      </c>
      <c r="G10" s="11" t="inlineStr">
        <is>
          <t>Homeware &gt; Kitchenware &gt; Tupperware</t>
        </is>
      </c>
      <c r="H10" s="11" t="inlineStr"/>
      <c r="I10" s="12" t="n">
        <v>100</v>
      </c>
      <c r="J10" s="7" t="n">
        <v>15</v>
      </c>
      <c r="K10" s="8">
        <f>IF(I10="","",I10*(1+J10/100))</f>
        <v/>
      </c>
      <c r="L10" s="12" t="n">
        <v>140</v>
      </c>
      <c r="M10" s="9">
        <f>IF(OR(L10="",K10="",L10=0),"",
  (L10-K10)/L10*100)</f>
        <v/>
      </c>
      <c r="N10" s="13" t="inlineStr"/>
      <c r="O10" s="11" t="inlineStr"/>
      <c r="P10" s="11" t="inlineStr"/>
      <c r="Q10" s="11" t="inlineStr"/>
      <c r="R10" s="11" t="inlineStr">
        <is>
          <t>2026-03-12</t>
        </is>
      </c>
      <c r="S10" s="11" t="inlineStr"/>
    </row>
    <row r="11">
      <c r="A11" s="3" t="inlineStr"/>
      <c r="B11" s="4" t="inlineStr"/>
      <c r="C11" s="4" t="inlineStr"/>
      <c r="D11" s="4" t="inlineStr"/>
      <c r="E11" s="5" t="inlineStr">
        <is>
          <t>Store Smart</t>
        </is>
      </c>
      <c r="F11" s="4" t="inlineStr">
        <is>
          <t>Tupperware</t>
        </is>
      </c>
      <c r="G11" s="4" t="inlineStr">
        <is>
          <t>Homeware &gt; Kitchenware &gt; Tupperware</t>
        </is>
      </c>
      <c r="H11" s="4" t="inlineStr"/>
      <c r="I11" s="6" t="n">
        <v>130</v>
      </c>
      <c r="J11" s="7" t="n">
        <v>15</v>
      </c>
      <c r="K11" s="8">
        <f>IF(I11="","",I11*(1+J11/100))</f>
        <v/>
      </c>
      <c r="L11" s="6" t="n">
        <v>182</v>
      </c>
      <c r="M11" s="9">
        <f>IF(OR(L11="",K11="",L11=0),"",
  (L11-K11)/L11*100)</f>
        <v/>
      </c>
      <c r="N11" s="10" t="n">
        <v>2</v>
      </c>
      <c r="O11" s="4" t="inlineStr"/>
      <c r="P11" s="4" t="inlineStr"/>
      <c r="Q11" s="4" t="inlineStr"/>
      <c r="R11" s="4" t="inlineStr">
        <is>
          <t>2026-03-12</t>
        </is>
      </c>
      <c r="S11" s="4" t="inlineStr"/>
    </row>
    <row r="12">
      <c r="A12" s="3" t="inlineStr"/>
      <c r="B12" s="11" t="inlineStr"/>
      <c r="C12" s="11" t="inlineStr"/>
      <c r="D12" s="11" t="inlineStr"/>
      <c r="E12" s="11" t="inlineStr">
        <is>
          <t>Cheese Dome</t>
        </is>
      </c>
      <c r="F12" s="11" t="inlineStr">
        <is>
          <t>Tupperware</t>
        </is>
      </c>
      <c r="G12" s="11" t="inlineStr">
        <is>
          <t>Homeware &gt; Kitchenware &gt; Tupperware</t>
        </is>
      </c>
      <c r="H12" s="11" t="inlineStr"/>
      <c r="I12" s="12" t="n">
        <v>200</v>
      </c>
      <c r="J12" s="7" t="n">
        <v>15</v>
      </c>
      <c r="K12" s="8">
        <f>IF(I12="","",I12*(1+J12/100))</f>
        <v/>
      </c>
      <c r="L12" s="12" t="n">
        <v>280</v>
      </c>
      <c r="M12" s="9">
        <f>IF(OR(L12="",K12="",L12=0),"",
  (L12-K12)/L12*100)</f>
        <v/>
      </c>
      <c r="N12" s="14" t="n">
        <v>1</v>
      </c>
      <c r="O12" s="11" t="inlineStr"/>
      <c r="P12" s="11" t="inlineStr"/>
      <c r="Q12" s="11" t="inlineStr"/>
      <c r="R12" s="11" t="inlineStr">
        <is>
          <t>2026-03-12</t>
        </is>
      </c>
      <c r="S12" s="11" t="inlineStr"/>
    </row>
    <row r="13">
      <c r="A13" s="3" t="inlineStr"/>
      <c r="B13" s="4" t="inlineStr"/>
      <c r="C13" s="4" t="inlineStr"/>
      <c r="D13" s="4" t="inlineStr"/>
      <c r="E13" s="5" t="inlineStr">
        <is>
          <t>Peelers</t>
        </is>
      </c>
      <c r="F13" s="4" t="inlineStr">
        <is>
          <t>Tupperware</t>
        </is>
      </c>
      <c r="G13" s="4" t="inlineStr">
        <is>
          <t>Homeware &gt; Kitchenware &gt; Tupperware</t>
        </is>
      </c>
      <c r="H13" s="4" t="inlineStr"/>
      <c r="I13" s="6" t="n">
        <v>80</v>
      </c>
      <c r="J13" s="7" t="n">
        <v>15</v>
      </c>
      <c r="K13" s="8">
        <f>IF(I13="","",I13*(1+J13/100))</f>
        <v/>
      </c>
      <c r="L13" s="6" t="n">
        <v>112</v>
      </c>
      <c r="M13" s="9">
        <f>IF(OR(L13="",K13="",L13=0),"",
  (L13-K13)/L13*100)</f>
        <v/>
      </c>
      <c r="N13" s="10" t="n">
        <v>15</v>
      </c>
      <c r="O13" s="4" t="inlineStr"/>
      <c r="P13" s="4" t="inlineStr"/>
      <c r="Q13" s="4" t="inlineStr"/>
      <c r="R13" s="4" t="inlineStr">
        <is>
          <t>2026-03-12</t>
        </is>
      </c>
      <c r="S13" s="4" t="inlineStr"/>
    </row>
    <row r="14">
      <c r="A14" s="3" t="inlineStr"/>
      <c r="B14" s="11" t="inlineStr"/>
      <c r="C14" s="11" t="inlineStr"/>
      <c r="D14" s="11" t="inlineStr"/>
      <c r="E14" s="11" t="inlineStr">
        <is>
          <t>Dinner Plate - Plastic</t>
        </is>
      </c>
      <c r="F14" s="11" t="inlineStr">
        <is>
          <t>Tupperware</t>
        </is>
      </c>
      <c r="G14" s="11" t="inlineStr">
        <is>
          <t>Homeware &gt; Kitchenware &gt; Tupperware</t>
        </is>
      </c>
      <c r="H14" s="11" t="inlineStr"/>
      <c r="I14" s="12" t="n">
        <v>80</v>
      </c>
      <c r="J14" s="7" t="n">
        <v>15</v>
      </c>
      <c r="K14" s="8">
        <f>IF(I14="","",I14*(1+J14/100))</f>
        <v/>
      </c>
      <c r="L14" s="12" t="n">
        <v>112</v>
      </c>
      <c r="M14" s="9">
        <f>IF(OR(L14="",K14="",L14=0),"",
  (L14-K14)/L14*100)</f>
        <v/>
      </c>
      <c r="N14" s="14" t="n">
        <v>4</v>
      </c>
      <c r="O14" s="11" t="inlineStr"/>
      <c r="P14" s="11" t="inlineStr"/>
      <c r="Q14" s="11" t="inlineStr"/>
      <c r="R14" s="11" t="inlineStr">
        <is>
          <t>2026-03-12</t>
        </is>
      </c>
      <c r="S14" s="11" t="inlineStr"/>
    </row>
    <row r="15">
      <c r="A15" s="3" t="inlineStr"/>
      <c r="B15" s="4" t="inlineStr"/>
      <c r="C15" s="4" t="inlineStr"/>
      <c r="D15" s="4" t="inlineStr"/>
      <c r="E15" s="5" t="inlineStr">
        <is>
          <t>Cubic Minis - Set of 3 orange</t>
        </is>
      </c>
      <c r="F15" s="4" t="inlineStr">
        <is>
          <t>Tupperware</t>
        </is>
      </c>
      <c r="G15" s="4" t="inlineStr">
        <is>
          <t>Homeware &gt; Kitchenware &gt; Tupperware</t>
        </is>
      </c>
      <c r="H15" s="4" t="inlineStr"/>
      <c r="I15" s="6" t="n">
        <v>50</v>
      </c>
      <c r="J15" s="7" t="n">
        <v>15</v>
      </c>
      <c r="K15" s="8">
        <f>IF(I15="","",I15*(1+J15/100))</f>
        <v/>
      </c>
      <c r="L15" s="6" t="n">
        <v>70</v>
      </c>
      <c r="M15" s="9">
        <f>IF(OR(L15="",K15="",L15=0),"",
  (L15-K15)/L15*100)</f>
        <v/>
      </c>
      <c r="N15" s="10" t="n">
        <v>3</v>
      </c>
      <c r="O15" s="4" t="inlineStr"/>
      <c r="P15" s="4" t="inlineStr"/>
      <c r="Q15" s="4" t="inlineStr"/>
      <c r="R15" s="4" t="inlineStr">
        <is>
          <t>2026-03-12</t>
        </is>
      </c>
      <c r="S15" s="4" t="inlineStr"/>
    </row>
    <row r="16">
      <c r="A16" s="3" t="inlineStr"/>
      <c r="B16" s="11" t="inlineStr"/>
      <c r="C16" s="11" t="inlineStr"/>
      <c r="D16" s="11" t="inlineStr"/>
      <c r="E16" s="11" t="inlineStr">
        <is>
          <t>Cubic Minis - Set of 3 - Teal</t>
        </is>
      </c>
      <c r="F16" s="11" t="inlineStr">
        <is>
          <t>Tupperware</t>
        </is>
      </c>
      <c r="G16" s="11" t="inlineStr">
        <is>
          <t>Homeware &gt; Kitchenware &gt; Tupperware</t>
        </is>
      </c>
      <c r="H16" s="11" t="inlineStr"/>
      <c r="I16" s="12" t="n">
        <v>50</v>
      </c>
      <c r="J16" s="7" t="n">
        <v>15</v>
      </c>
      <c r="K16" s="8">
        <f>IF(I16="","",I16*(1+J16/100))</f>
        <v/>
      </c>
      <c r="L16" s="12" t="n">
        <v>70</v>
      </c>
      <c r="M16" s="9">
        <f>IF(OR(L16="",K16="",L16=0),"",
  (L16-K16)/L16*100)</f>
        <v/>
      </c>
      <c r="N16" s="14" t="n">
        <v>2</v>
      </c>
      <c r="O16" s="11" t="inlineStr"/>
      <c r="P16" s="11" t="inlineStr"/>
      <c r="Q16" s="11" t="inlineStr"/>
      <c r="R16" s="11" t="inlineStr">
        <is>
          <t>2026-03-12</t>
        </is>
      </c>
      <c r="S16" s="11" t="inlineStr"/>
    </row>
    <row r="17">
      <c r="A17" s="3" t="inlineStr"/>
      <c r="B17" s="4" t="inlineStr"/>
      <c r="C17" s="4" t="inlineStr"/>
      <c r="D17" s="4" t="inlineStr"/>
      <c r="E17" s="5" t="inlineStr">
        <is>
          <t>Butter Dish (rectangle)</t>
        </is>
      </c>
      <c r="F17" s="4" t="inlineStr">
        <is>
          <t>Tupperware</t>
        </is>
      </c>
      <c r="G17" s="4" t="inlineStr">
        <is>
          <t>Homeware &gt; Kitchenware &gt; Tupperware</t>
        </is>
      </c>
      <c r="H17" s="4" t="inlineStr"/>
      <c r="I17" s="6" t="n">
        <v>80</v>
      </c>
      <c r="J17" s="7" t="n">
        <v>15</v>
      </c>
      <c r="K17" s="8">
        <f>IF(I17="","",I17*(1+J17/100))</f>
        <v/>
      </c>
      <c r="L17" s="6" t="n">
        <v>112</v>
      </c>
      <c r="M17" s="9">
        <f>IF(OR(L17="",K17="",L17=0),"",
  (L17-K17)/L17*100)</f>
        <v/>
      </c>
      <c r="N17" s="10" t="n">
        <v>2</v>
      </c>
      <c r="O17" s="4" t="inlineStr"/>
      <c r="P17" s="4" t="inlineStr"/>
      <c r="Q17" s="4" t="inlineStr"/>
      <c r="R17" s="4" t="inlineStr">
        <is>
          <t>2026-03-12</t>
        </is>
      </c>
      <c r="S17" s="4" t="inlineStr"/>
    </row>
    <row r="18">
      <c r="A18" s="3" t="inlineStr"/>
      <c r="B18" s="11" t="inlineStr"/>
      <c r="C18" s="11" t="inlineStr"/>
      <c r="D18" s="11" t="inlineStr"/>
      <c r="E18" s="11" t="inlineStr">
        <is>
          <t>Printed Bottle - 500ml</t>
        </is>
      </c>
      <c r="F18" s="11" t="inlineStr">
        <is>
          <t>Tupperware</t>
        </is>
      </c>
      <c r="G18" s="11" t="inlineStr">
        <is>
          <t>Homeware &gt; Kitchenware &gt; Tupperware</t>
        </is>
      </c>
      <c r="H18" s="11" t="inlineStr"/>
      <c r="I18" s="12" t="n">
        <v>80</v>
      </c>
      <c r="J18" s="7" t="n">
        <v>15</v>
      </c>
      <c r="K18" s="8">
        <f>IF(I18="","",I18*(1+J18/100))</f>
        <v/>
      </c>
      <c r="L18" s="12" t="n">
        <v>112</v>
      </c>
      <c r="M18" s="9">
        <f>IF(OR(L18="",K18="",L18=0),"",
  (L18-K18)/L18*100)</f>
        <v/>
      </c>
      <c r="N18" s="13" t="inlineStr"/>
      <c r="O18" s="11" t="inlineStr"/>
      <c r="P18" s="11" t="inlineStr"/>
      <c r="Q18" s="11" t="inlineStr"/>
      <c r="R18" s="11" t="inlineStr">
        <is>
          <t>2026-03-12</t>
        </is>
      </c>
      <c r="S18" s="11" t="inlineStr"/>
    </row>
    <row r="19">
      <c r="A19" s="3" t="inlineStr"/>
      <c r="B19" s="4" t="inlineStr"/>
      <c r="C19" s="4" t="inlineStr"/>
      <c r="D19" s="4" t="inlineStr"/>
      <c r="E19" s="5" t="inlineStr">
        <is>
          <t>Eco Bottle Screw Top - 310ml - Green</t>
        </is>
      </c>
      <c r="F19" s="4" t="inlineStr">
        <is>
          <t>Tupperware</t>
        </is>
      </c>
      <c r="G19" s="4" t="inlineStr">
        <is>
          <t>Homeware &gt; Kitchenware &gt; Tupperware</t>
        </is>
      </c>
      <c r="H19" s="4" t="inlineStr"/>
      <c r="I19" s="6" t="n">
        <v>40</v>
      </c>
      <c r="J19" s="7" t="n">
        <v>15</v>
      </c>
      <c r="K19" s="8">
        <f>IF(I19="","",I19*(1+J19/100))</f>
        <v/>
      </c>
      <c r="L19" s="6" t="n">
        <v>56</v>
      </c>
      <c r="M19" s="9">
        <f>IF(OR(L19="",K19="",L19=0),"",
  (L19-K19)/L19*100)</f>
        <v/>
      </c>
      <c r="N19" s="10" t="n">
        <v>8</v>
      </c>
      <c r="O19" s="4" t="inlineStr"/>
      <c r="P19" s="4" t="inlineStr"/>
      <c r="Q19" s="4" t="inlineStr"/>
      <c r="R19" s="4" t="inlineStr">
        <is>
          <t>2026-03-12</t>
        </is>
      </c>
      <c r="S19" s="4" t="inlineStr"/>
    </row>
    <row r="20">
      <c r="A20" s="3" t="inlineStr"/>
      <c r="B20" s="11" t="inlineStr"/>
      <c r="C20" s="11" t="inlineStr"/>
      <c r="D20" s="11" t="inlineStr"/>
      <c r="E20" s="11" t="inlineStr">
        <is>
          <t>Eco Bottle Screw Top - 310ml - Blue</t>
        </is>
      </c>
      <c r="F20" s="11" t="inlineStr">
        <is>
          <t>Tupperware</t>
        </is>
      </c>
      <c r="G20" s="11" t="inlineStr">
        <is>
          <t>Homeware &gt; Kitchenware &gt; Tupperware</t>
        </is>
      </c>
      <c r="H20" s="11" t="inlineStr"/>
      <c r="I20" s="12" t="n">
        <v>40</v>
      </c>
      <c r="J20" s="7" t="n">
        <v>15</v>
      </c>
      <c r="K20" s="8">
        <f>IF(I20="","",I20*(1+J20/100))</f>
        <v/>
      </c>
      <c r="L20" s="12" t="n">
        <v>56</v>
      </c>
      <c r="M20" s="9">
        <f>IF(OR(L20="",K20="",L20=0),"",
  (L20-K20)/L20*100)</f>
        <v/>
      </c>
      <c r="N20" s="14" t="n">
        <v>3</v>
      </c>
      <c r="O20" s="11" t="inlineStr"/>
      <c r="P20" s="11" t="inlineStr"/>
      <c r="Q20" s="11" t="inlineStr"/>
      <c r="R20" s="11" t="inlineStr">
        <is>
          <t>2026-03-12</t>
        </is>
      </c>
      <c r="S20" s="11" t="inlineStr"/>
    </row>
    <row r="21">
      <c r="A21" s="3" t="inlineStr"/>
      <c r="B21" s="4" t="inlineStr"/>
      <c r="C21" s="4" t="inlineStr"/>
      <c r="D21" s="4" t="inlineStr"/>
      <c r="E21" s="5" t="inlineStr">
        <is>
          <t>Eco Bottle Screw Top - 310ml - Purple</t>
        </is>
      </c>
      <c r="F21" s="4" t="inlineStr">
        <is>
          <t>Tupperware</t>
        </is>
      </c>
      <c r="G21" s="4" t="inlineStr">
        <is>
          <t>Homeware &gt; Kitchenware &gt; Tupperware</t>
        </is>
      </c>
      <c r="H21" s="4" t="inlineStr"/>
      <c r="I21" s="6" t="n">
        <v>40</v>
      </c>
      <c r="J21" s="7" t="n">
        <v>15</v>
      </c>
      <c r="K21" s="8">
        <f>IF(I21="","",I21*(1+J21/100))</f>
        <v/>
      </c>
      <c r="L21" s="6" t="n">
        <v>56</v>
      </c>
      <c r="M21" s="9">
        <f>IF(OR(L21="",K21="",L21=0),"",
  (L21-K21)/L21*100)</f>
        <v/>
      </c>
      <c r="N21" s="10" t="n">
        <v>4</v>
      </c>
      <c r="O21" s="4" t="inlineStr"/>
      <c r="P21" s="4" t="inlineStr"/>
      <c r="Q21" s="4" t="inlineStr"/>
      <c r="R21" s="4" t="inlineStr">
        <is>
          <t>2026-03-12</t>
        </is>
      </c>
      <c r="S21" s="4" t="inlineStr"/>
    </row>
    <row r="22">
      <c r="A22" s="3" t="inlineStr"/>
      <c r="B22" s="11" t="inlineStr"/>
      <c r="C22" s="11" t="inlineStr"/>
      <c r="D22" s="11" t="inlineStr"/>
      <c r="E22" s="11" t="inlineStr">
        <is>
          <t>Eco Bottle Screw Top - 310ml - Pink</t>
        </is>
      </c>
      <c r="F22" s="11" t="inlineStr">
        <is>
          <t>Tupperware</t>
        </is>
      </c>
      <c r="G22" s="11" t="inlineStr">
        <is>
          <t>Homeware &gt; Kitchenware &gt; Tupperware</t>
        </is>
      </c>
      <c r="H22" s="11" t="inlineStr"/>
      <c r="I22" s="12" t="n">
        <v>40</v>
      </c>
      <c r="J22" s="7" t="n">
        <v>15</v>
      </c>
      <c r="K22" s="8">
        <f>IF(I22="","",I22*(1+J22/100))</f>
        <v/>
      </c>
      <c r="L22" s="12" t="n">
        <v>56</v>
      </c>
      <c r="M22" s="9">
        <f>IF(OR(L22="",K22="",L22=0),"",
  (L22-K22)/L22*100)</f>
        <v/>
      </c>
      <c r="N22" s="14" t="n">
        <v>2</v>
      </c>
      <c r="O22" s="11" t="inlineStr"/>
      <c r="P22" s="11" t="inlineStr"/>
      <c r="Q22" s="11" t="inlineStr"/>
      <c r="R22" s="11" t="inlineStr">
        <is>
          <t>2026-03-12</t>
        </is>
      </c>
      <c r="S22" s="11" t="inlineStr"/>
    </row>
    <row r="23">
      <c r="A23" s="3" t="inlineStr"/>
      <c r="B23" s="4" t="inlineStr"/>
      <c r="C23" s="4" t="inlineStr"/>
      <c r="D23" s="4" t="inlineStr"/>
      <c r="E23" s="5" t="inlineStr">
        <is>
          <t>Bottle 500 ml Screw Top - Blue</t>
        </is>
      </c>
      <c r="F23" s="4" t="inlineStr">
        <is>
          <t>Tupperware</t>
        </is>
      </c>
      <c r="G23" s="4" t="inlineStr">
        <is>
          <t>Homeware &gt; Kitchenware &gt; Tupperware</t>
        </is>
      </c>
      <c r="H23" s="4" t="inlineStr"/>
      <c r="I23" s="6" t="n">
        <v>50</v>
      </c>
      <c r="J23" s="7" t="n">
        <v>15</v>
      </c>
      <c r="K23" s="8">
        <f>IF(I23="","",I23*(1+J23/100))</f>
        <v/>
      </c>
      <c r="L23" s="6" t="n">
        <v>70</v>
      </c>
      <c r="M23" s="9">
        <f>IF(OR(L23="",K23="",L23=0),"",
  (L23-K23)/L23*100)</f>
        <v/>
      </c>
      <c r="N23" s="13" t="inlineStr"/>
      <c r="O23" s="4" t="inlineStr"/>
      <c r="P23" s="4" t="inlineStr"/>
      <c r="Q23" s="4" t="inlineStr"/>
      <c r="R23" s="4" t="inlineStr">
        <is>
          <t>2026-03-12</t>
        </is>
      </c>
      <c r="S23" s="4" t="inlineStr"/>
    </row>
    <row r="24">
      <c r="A24" s="3" t="inlineStr"/>
      <c r="B24" s="11" t="inlineStr"/>
      <c r="C24" s="11" t="inlineStr"/>
      <c r="D24" s="11" t="inlineStr"/>
      <c r="E24" s="11" t="inlineStr">
        <is>
          <t>Bottle 500ml Scrcew top - Green</t>
        </is>
      </c>
      <c r="F24" s="11" t="inlineStr">
        <is>
          <t>Tupperware</t>
        </is>
      </c>
      <c r="G24" s="11" t="inlineStr">
        <is>
          <t>Homeware &gt; Kitchenware &gt; Tupperware</t>
        </is>
      </c>
      <c r="H24" s="11" t="inlineStr"/>
      <c r="I24" s="12" t="n">
        <v>50</v>
      </c>
      <c r="J24" s="7" t="n">
        <v>15</v>
      </c>
      <c r="K24" s="8">
        <f>IF(I24="","",I24*(1+J24/100))</f>
        <v/>
      </c>
      <c r="L24" s="12" t="n">
        <v>70</v>
      </c>
      <c r="M24" s="9">
        <f>IF(OR(L24="",K24="",L24=0),"",
  (L24-K24)/L24*100)</f>
        <v/>
      </c>
      <c r="N24" s="14" t="n">
        <v>3</v>
      </c>
      <c r="O24" s="11" t="inlineStr"/>
      <c r="P24" s="11" t="inlineStr"/>
      <c r="Q24" s="11" t="inlineStr"/>
      <c r="R24" s="11" t="inlineStr">
        <is>
          <t>2026-03-12</t>
        </is>
      </c>
      <c r="S24" s="11" t="inlineStr"/>
    </row>
    <row r="25">
      <c r="A25" s="3" t="inlineStr"/>
      <c r="B25" s="4" t="inlineStr"/>
      <c r="C25" s="4" t="inlineStr"/>
      <c r="D25" s="4" t="inlineStr"/>
      <c r="E25" s="5" t="inlineStr">
        <is>
          <t>Bottle 500ml Scrcew top - Orange</t>
        </is>
      </c>
      <c r="F25" s="4" t="inlineStr">
        <is>
          <t>Tupperware</t>
        </is>
      </c>
      <c r="G25" s="4" t="inlineStr">
        <is>
          <t>Homeware &gt; Kitchenware &gt; Tupperware</t>
        </is>
      </c>
      <c r="H25" s="4" t="inlineStr"/>
      <c r="I25" s="6" t="n">
        <v>50</v>
      </c>
      <c r="J25" s="7" t="n">
        <v>15</v>
      </c>
      <c r="K25" s="8">
        <f>IF(I25="","",I25*(1+J25/100))</f>
        <v/>
      </c>
      <c r="L25" s="6" t="n">
        <v>70</v>
      </c>
      <c r="M25" s="9">
        <f>IF(OR(L25="",K25="",L25=0),"",
  (L25-K25)/L25*100)</f>
        <v/>
      </c>
      <c r="N25" s="10" t="n">
        <v>1</v>
      </c>
      <c r="O25" s="4" t="inlineStr"/>
      <c r="P25" s="4" t="inlineStr"/>
      <c r="Q25" s="4" t="inlineStr"/>
      <c r="R25" s="4" t="inlineStr">
        <is>
          <t>2026-03-12</t>
        </is>
      </c>
      <c r="S25" s="4" t="inlineStr"/>
    </row>
    <row r="26">
      <c r="A26" s="3" t="inlineStr"/>
      <c r="B26" s="11" t="inlineStr"/>
      <c r="C26" s="11" t="inlineStr"/>
      <c r="D26" s="11" t="inlineStr"/>
      <c r="E26" s="11" t="inlineStr">
        <is>
          <t>Bottles Teal 1lt - Screw Top</t>
        </is>
      </c>
      <c r="F26" s="11" t="inlineStr">
        <is>
          <t>Tupperware</t>
        </is>
      </c>
      <c r="G26" s="11" t="inlineStr">
        <is>
          <t>Homeware &gt; Kitchenware &gt; Tupperware</t>
        </is>
      </c>
      <c r="H26" s="11" t="inlineStr"/>
      <c r="I26" s="12" t="n">
        <v>120</v>
      </c>
      <c r="J26" s="7" t="n">
        <v>15</v>
      </c>
      <c r="K26" s="8">
        <f>IF(I26="","",I26*(1+J26/100))</f>
        <v/>
      </c>
      <c r="L26" s="12" t="n">
        <v>168</v>
      </c>
      <c r="M26" s="9">
        <f>IF(OR(L26="",K26="",L26=0),"",
  (L26-K26)/L26*100)</f>
        <v/>
      </c>
      <c r="N26" s="13" t="inlineStr"/>
      <c r="O26" s="11" t="inlineStr"/>
      <c r="P26" s="11" t="inlineStr"/>
      <c r="Q26" s="11" t="inlineStr"/>
      <c r="R26" s="11" t="inlineStr">
        <is>
          <t>2026-03-12</t>
        </is>
      </c>
      <c r="S26" s="11" t="inlineStr"/>
    </row>
    <row r="27">
      <c r="A27" s="3" t="inlineStr"/>
      <c r="B27" s="4" t="inlineStr"/>
      <c r="C27" s="4" t="inlineStr"/>
      <c r="D27" s="4" t="inlineStr"/>
      <c r="E27" s="5" t="inlineStr">
        <is>
          <t>Bottle Purple 1lt - Flip Top</t>
        </is>
      </c>
      <c r="F27" s="4" t="inlineStr">
        <is>
          <t>Tupperware</t>
        </is>
      </c>
      <c r="G27" s="4" t="inlineStr">
        <is>
          <t>Homeware &gt; Kitchenware &gt; Tupperware</t>
        </is>
      </c>
      <c r="H27" s="4" t="inlineStr"/>
      <c r="I27" s="6" t="n">
        <v>120</v>
      </c>
      <c r="J27" s="7" t="n">
        <v>15</v>
      </c>
      <c r="K27" s="8">
        <f>IF(I27="","",I27*(1+J27/100))</f>
        <v/>
      </c>
      <c r="L27" s="6" t="n">
        <v>168</v>
      </c>
      <c r="M27" s="9">
        <f>IF(OR(L27="",K27="",L27=0),"",
  (L27-K27)/L27*100)</f>
        <v/>
      </c>
      <c r="N27" s="10" t="n">
        <v>1</v>
      </c>
      <c r="O27" s="4" t="inlineStr"/>
      <c r="P27" s="4" t="inlineStr"/>
      <c r="Q27" s="4" t="inlineStr"/>
      <c r="R27" s="4" t="inlineStr">
        <is>
          <t>2026-03-12</t>
        </is>
      </c>
      <c r="S27" s="4" t="inlineStr"/>
    </row>
    <row r="28">
      <c r="A28" s="3" t="inlineStr"/>
      <c r="B28" s="11" t="inlineStr"/>
      <c r="C28" s="11" t="inlineStr"/>
      <c r="D28" s="11" t="inlineStr"/>
      <c r="E28" s="11" t="inlineStr">
        <is>
          <t>Bottle Blue - Flip Top - 750ml</t>
        </is>
      </c>
      <c r="F28" s="11" t="inlineStr">
        <is>
          <t>Tupperware</t>
        </is>
      </c>
      <c r="G28" s="11" t="inlineStr">
        <is>
          <t>Homeware &gt; Kitchenware &gt; Tupperware</t>
        </is>
      </c>
      <c r="H28" s="11" t="inlineStr"/>
      <c r="I28" s="12" t="n">
        <v>70</v>
      </c>
      <c r="J28" s="7" t="n">
        <v>15</v>
      </c>
      <c r="K28" s="8">
        <f>IF(I28="","",I28*(1+J28/100))</f>
        <v/>
      </c>
      <c r="L28" s="12" t="n">
        <v>98</v>
      </c>
      <c r="M28" s="9">
        <f>IF(OR(L28="",K28="",L28=0),"",
  (L28-K28)/L28*100)</f>
        <v/>
      </c>
      <c r="N28" s="14" t="n">
        <v>12</v>
      </c>
      <c r="O28" s="11" t="inlineStr"/>
      <c r="P28" s="11" t="inlineStr"/>
      <c r="Q28" s="11" t="inlineStr"/>
      <c r="R28" s="11" t="inlineStr">
        <is>
          <t>2026-03-12</t>
        </is>
      </c>
      <c r="S28" s="11" t="inlineStr"/>
    </row>
    <row r="29">
      <c r="A29" s="3" t="inlineStr"/>
      <c r="B29" s="4" t="inlineStr"/>
      <c r="C29" s="4" t="inlineStr"/>
      <c r="D29" s="4" t="inlineStr"/>
      <c r="E29" s="5" t="inlineStr">
        <is>
          <t>Bottle Green - Flip Top - 500ml</t>
        </is>
      </c>
      <c r="F29" s="4" t="inlineStr">
        <is>
          <t>Tupperware</t>
        </is>
      </c>
      <c r="G29" s="4" t="inlineStr">
        <is>
          <t>Homeware &gt; Kitchenware &gt; Tupperware</t>
        </is>
      </c>
      <c r="H29" s="4" t="inlineStr"/>
      <c r="I29" s="6" t="n">
        <v>50</v>
      </c>
      <c r="J29" s="7" t="n">
        <v>15</v>
      </c>
      <c r="K29" s="8">
        <f>IF(I29="","",I29*(1+J29/100))</f>
        <v/>
      </c>
      <c r="L29" s="6" t="n">
        <v>70</v>
      </c>
      <c r="M29" s="9">
        <f>IF(OR(L29="",K29="",L29=0),"",
  (L29-K29)/L29*100)</f>
        <v/>
      </c>
      <c r="N29" s="10" t="n">
        <v>4</v>
      </c>
      <c r="O29" s="4" t="inlineStr"/>
      <c r="P29" s="4" t="inlineStr"/>
      <c r="Q29" s="4" t="inlineStr"/>
      <c r="R29" s="4" t="inlineStr">
        <is>
          <t>2026-03-12</t>
        </is>
      </c>
      <c r="S29" s="4" t="inlineStr"/>
    </row>
    <row r="30">
      <c r="A30" s="3" t="inlineStr"/>
      <c r="B30" s="11" t="inlineStr"/>
      <c r="C30" s="11" t="inlineStr"/>
      <c r="D30" s="11" t="inlineStr"/>
      <c r="E30" s="11" t="inlineStr">
        <is>
          <t>Bottle Purple - Screw Top - 500ml</t>
        </is>
      </c>
      <c r="F30" s="11" t="inlineStr">
        <is>
          <t>Tupperware</t>
        </is>
      </c>
      <c r="G30" s="11" t="inlineStr">
        <is>
          <t>Homeware &gt; Kitchenware &gt; Tupperware</t>
        </is>
      </c>
      <c r="H30" s="11" t="inlineStr"/>
      <c r="I30" s="12" t="n">
        <v>50</v>
      </c>
      <c r="J30" s="7" t="n">
        <v>15</v>
      </c>
      <c r="K30" s="8">
        <f>IF(I30="","",I30*(1+J30/100))</f>
        <v/>
      </c>
      <c r="L30" s="12" t="n">
        <v>70</v>
      </c>
      <c r="M30" s="9">
        <f>IF(OR(L30="",K30="",L30=0),"",
  (L30-K30)/L30*100)</f>
        <v/>
      </c>
      <c r="N30" s="14" t="n">
        <v>1</v>
      </c>
      <c r="O30" s="11" t="inlineStr"/>
      <c r="P30" s="11" t="inlineStr"/>
      <c r="Q30" s="11" t="inlineStr"/>
      <c r="R30" s="11" t="inlineStr">
        <is>
          <t>2026-03-12</t>
        </is>
      </c>
      <c r="S30" s="11" t="inlineStr"/>
    </row>
    <row r="31">
      <c r="A31" s="3" t="inlineStr"/>
      <c r="B31" s="4" t="inlineStr"/>
      <c r="C31" s="4" t="inlineStr"/>
      <c r="D31" s="4" t="inlineStr"/>
      <c r="E31" s="5" t="inlineStr">
        <is>
          <t>Bottle Red - Screw Top - 500ml</t>
        </is>
      </c>
      <c r="F31" s="4" t="inlineStr">
        <is>
          <t>Tupperware</t>
        </is>
      </c>
      <c r="G31" s="4" t="inlineStr">
        <is>
          <t>Homeware &gt; Kitchenware &gt; Tupperware</t>
        </is>
      </c>
      <c r="H31" s="4" t="inlineStr"/>
      <c r="I31" s="6" t="n">
        <v>50</v>
      </c>
      <c r="J31" s="7" t="n">
        <v>15</v>
      </c>
      <c r="K31" s="8">
        <f>IF(I31="","",I31*(1+J31/100))</f>
        <v/>
      </c>
      <c r="L31" s="6" t="n">
        <v>70</v>
      </c>
      <c r="M31" s="9">
        <f>IF(OR(L31="",K31="",L31=0),"",
  (L31-K31)/L31*100)</f>
        <v/>
      </c>
      <c r="N31" s="10" t="n">
        <v>1</v>
      </c>
      <c r="O31" s="4" t="inlineStr"/>
      <c r="P31" s="4" t="inlineStr"/>
      <c r="Q31" s="4" t="inlineStr"/>
      <c r="R31" s="4" t="inlineStr">
        <is>
          <t>2026-03-12</t>
        </is>
      </c>
      <c r="S31" s="4" t="inlineStr"/>
    </row>
    <row r="32">
      <c r="A32" s="3" t="inlineStr"/>
      <c r="B32" s="11" t="inlineStr"/>
      <c r="C32" s="11" t="inlineStr"/>
      <c r="D32" s="11" t="inlineStr"/>
      <c r="E32" s="11" t="inlineStr">
        <is>
          <t>Bottle - Green - Screw Top - 310ml</t>
        </is>
      </c>
      <c r="F32" s="11" t="inlineStr">
        <is>
          <t>Tupperware</t>
        </is>
      </c>
      <c r="G32" s="11" t="inlineStr">
        <is>
          <t>Homeware &gt; Kitchenware &gt; Tupperware</t>
        </is>
      </c>
      <c r="H32" s="11" t="inlineStr"/>
      <c r="I32" s="12" t="n">
        <v>40</v>
      </c>
      <c r="J32" s="7" t="n">
        <v>15</v>
      </c>
      <c r="K32" s="8">
        <f>IF(I32="","",I32*(1+J32/100))</f>
        <v/>
      </c>
      <c r="L32" s="12" t="n">
        <v>56</v>
      </c>
      <c r="M32" s="9">
        <f>IF(OR(L32="",K32="",L32=0),"",
  (L32-K32)/L32*100)</f>
        <v/>
      </c>
      <c r="N32" s="13" t="inlineStr"/>
      <c r="O32" s="11" t="inlineStr"/>
      <c r="P32" s="11" t="inlineStr"/>
      <c r="Q32" s="11" t="inlineStr"/>
      <c r="R32" s="11" t="inlineStr">
        <is>
          <t>2026-03-12</t>
        </is>
      </c>
      <c r="S32" s="11" t="inlineStr"/>
    </row>
    <row r="33">
      <c r="A33" s="3" t="inlineStr"/>
      <c r="B33" s="4" t="inlineStr"/>
      <c r="C33" s="4" t="inlineStr"/>
      <c r="D33" s="4" t="inlineStr"/>
      <c r="E33" s="5" t="inlineStr">
        <is>
          <t>Bottle - Blue - Screw Top - 310ml</t>
        </is>
      </c>
      <c r="F33" s="4" t="inlineStr">
        <is>
          <t>Tupperware</t>
        </is>
      </c>
      <c r="G33" s="4" t="inlineStr">
        <is>
          <t>Homeware &gt; Kitchenware &gt; Tupperware</t>
        </is>
      </c>
      <c r="H33" s="4" t="inlineStr"/>
      <c r="I33" s="6" t="n">
        <v>40</v>
      </c>
      <c r="J33" s="7" t="n">
        <v>15</v>
      </c>
      <c r="K33" s="8">
        <f>IF(I33="","",I33*(1+J33/100))</f>
        <v/>
      </c>
      <c r="L33" s="6" t="n">
        <v>56</v>
      </c>
      <c r="M33" s="9">
        <f>IF(OR(L33="",K33="",L33=0),"",
  (L33-K33)/L33*100)</f>
        <v/>
      </c>
      <c r="N33" s="13" t="inlineStr"/>
      <c r="O33" s="4" t="inlineStr"/>
      <c r="P33" s="4" t="inlineStr"/>
      <c r="Q33" s="4" t="inlineStr"/>
      <c r="R33" s="4" t="inlineStr">
        <is>
          <t>2026-03-12</t>
        </is>
      </c>
      <c r="S33" s="4" t="inlineStr"/>
    </row>
    <row r="34">
      <c r="A34" s="3" t="inlineStr"/>
      <c r="B34" s="11" t="inlineStr"/>
      <c r="C34" s="11" t="inlineStr"/>
      <c r="D34" s="11" t="inlineStr"/>
      <c r="E34" s="11" t="inlineStr">
        <is>
          <t>Bottle - Purple - Flip Top - 350ml</t>
        </is>
      </c>
      <c r="F34" s="11" t="inlineStr">
        <is>
          <t>Tupperware</t>
        </is>
      </c>
      <c r="G34" s="11" t="inlineStr">
        <is>
          <t>Homeware &gt; Kitchenware &gt; Tupperware</t>
        </is>
      </c>
      <c r="H34" s="11" t="inlineStr"/>
      <c r="I34" s="12" t="n">
        <v>50</v>
      </c>
      <c r="J34" s="7" t="n">
        <v>15</v>
      </c>
      <c r="K34" s="8">
        <f>IF(I34="","",I34*(1+J34/100))</f>
        <v/>
      </c>
      <c r="L34" s="12" t="n">
        <v>70</v>
      </c>
      <c r="M34" s="9">
        <f>IF(OR(L34="",K34="",L34=0),"",
  (L34-K34)/L34*100)</f>
        <v/>
      </c>
      <c r="N34" s="14" t="n">
        <v>2</v>
      </c>
      <c r="O34" s="11" t="inlineStr"/>
      <c r="P34" s="11" t="inlineStr"/>
      <c r="Q34" s="11" t="inlineStr"/>
      <c r="R34" s="11" t="inlineStr">
        <is>
          <t>2026-03-12</t>
        </is>
      </c>
      <c r="S34" s="11" t="inlineStr"/>
    </row>
    <row r="35">
      <c r="A35" s="3" t="inlineStr"/>
      <c r="B35" s="4" t="inlineStr"/>
      <c r="C35" s="4" t="inlineStr"/>
      <c r="D35" s="4" t="inlineStr"/>
      <c r="E35" s="5" t="inlineStr">
        <is>
          <t>Bottle - 750ml - Flip Top</t>
        </is>
      </c>
      <c r="F35" s="4" t="inlineStr">
        <is>
          <t>Tupperware</t>
        </is>
      </c>
      <c r="G35" s="4" t="inlineStr">
        <is>
          <t>Homeware &gt; Kitchenware &gt; Tupperware</t>
        </is>
      </c>
      <c r="H35" s="4" t="inlineStr"/>
      <c r="I35" s="6" t="n">
        <v>70</v>
      </c>
      <c r="J35" s="7" t="n">
        <v>15</v>
      </c>
      <c r="K35" s="8">
        <f>IF(I35="","",I35*(1+J35/100))</f>
        <v/>
      </c>
      <c r="L35" s="6" t="n">
        <v>98</v>
      </c>
      <c r="M35" s="9">
        <f>IF(OR(L35="",K35="",L35=0),"",
  (L35-K35)/L35*100)</f>
        <v/>
      </c>
      <c r="N35" s="10" t="n">
        <v>2</v>
      </c>
      <c r="O35" s="4" t="inlineStr"/>
      <c r="P35" s="4" t="inlineStr"/>
      <c r="Q35" s="4" t="inlineStr"/>
      <c r="R35" s="4" t="inlineStr">
        <is>
          <t>2026-03-12</t>
        </is>
      </c>
      <c r="S35" s="4" t="inlineStr"/>
    </row>
    <row r="36">
      <c r="A36" s="3" t="inlineStr"/>
      <c r="B36" s="11" t="inlineStr"/>
      <c r="C36" s="11" t="inlineStr"/>
      <c r="D36" s="11" t="inlineStr"/>
      <c r="E36" s="11" t="inlineStr">
        <is>
          <t>Black Bottle 1lt</t>
        </is>
      </c>
      <c r="F36" s="11" t="inlineStr">
        <is>
          <t>Tupperware</t>
        </is>
      </c>
      <c r="G36" s="11" t="inlineStr">
        <is>
          <t>Homeware &gt; Kitchenware &gt; Tupperware</t>
        </is>
      </c>
      <c r="H36" s="11" t="inlineStr"/>
      <c r="I36" s="12" t="n">
        <v>120</v>
      </c>
      <c r="J36" s="7" t="n">
        <v>15</v>
      </c>
      <c r="K36" s="8">
        <f>IF(I36="","",I36*(1+J36/100))</f>
        <v/>
      </c>
      <c r="L36" s="12" t="n">
        <v>168</v>
      </c>
      <c r="M36" s="9">
        <f>IF(OR(L36="",K36="",L36=0),"",
  (L36-K36)/L36*100)</f>
        <v/>
      </c>
      <c r="N36" s="13" t="inlineStr"/>
      <c r="O36" s="11" t="inlineStr"/>
      <c r="P36" s="11" t="inlineStr"/>
      <c r="Q36" s="11" t="inlineStr"/>
      <c r="R36" s="11" t="inlineStr">
        <is>
          <t>2026-03-12</t>
        </is>
      </c>
      <c r="S36" s="11" t="inlineStr"/>
    </row>
    <row r="37">
      <c r="A37" s="3" t="inlineStr"/>
      <c r="B37" s="4" t="inlineStr"/>
      <c r="C37" s="4" t="inlineStr"/>
      <c r="D37" s="4" t="inlineStr"/>
      <c r="E37" s="5" t="inlineStr">
        <is>
          <t>Acrylic Butter Dish</t>
        </is>
      </c>
      <c r="F37" s="4" t="inlineStr">
        <is>
          <t>Tupperware</t>
        </is>
      </c>
      <c r="G37" s="4" t="inlineStr">
        <is>
          <t>Homeware &gt; Kitchenware &gt; Tupperware</t>
        </is>
      </c>
      <c r="H37" s="4" t="inlineStr"/>
      <c r="I37" s="6" t="n">
        <v>75</v>
      </c>
      <c r="J37" s="7" t="n">
        <v>15</v>
      </c>
      <c r="K37" s="8">
        <f>IF(I37="","",I37*(1+J37/100))</f>
        <v/>
      </c>
      <c r="L37" s="6" t="n">
        <v>105</v>
      </c>
      <c r="M37" s="9">
        <f>IF(OR(L37="",K37="",L37=0),"",
  (L37-K37)/L37*100)</f>
        <v/>
      </c>
      <c r="N37" s="13" t="inlineStr"/>
      <c r="O37" s="4" t="inlineStr"/>
      <c r="P37" s="4" t="inlineStr"/>
      <c r="Q37" s="4" t="inlineStr"/>
      <c r="R37" s="4" t="inlineStr">
        <is>
          <t>2026-03-12</t>
        </is>
      </c>
      <c r="S37" s="4" t="inlineStr"/>
    </row>
    <row r="38">
      <c r="A38" s="3" t="inlineStr"/>
      <c r="B38" s="11" t="inlineStr"/>
      <c r="C38" s="11" t="inlineStr"/>
      <c r="D38" s="11" t="inlineStr"/>
      <c r="E38" s="11" t="inlineStr">
        <is>
          <t>Glass Stove Top Jug</t>
        </is>
      </c>
      <c r="F38" s="11" t="inlineStr">
        <is>
          <t>Tupperware</t>
        </is>
      </c>
      <c r="G38" s="11" t="inlineStr">
        <is>
          <t>Homeware &gt; Kitchenware &gt; Tupperware</t>
        </is>
      </c>
      <c r="H38" s="11" t="inlineStr"/>
      <c r="I38" s="12" t="n">
        <v>100</v>
      </c>
      <c r="J38" s="7" t="n">
        <v>15</v>
      </c>
      <c r="K38" s="8">
        <f>IF(I38="","",I38*(1+J38/100))</f>
        <v/>
      </c>
      <c r="L38" s="12" t="n">
        <v>140</v>
      </c>
      <c r="M38" s="9">
        <f>IF(OR(L38="",K38="",L38=0),"",
  (L38-K38)/L38*100)</f>
        <v/>
      </c>
      <c r="N38" s="13" t="inlineStr"/>
      <c r="O38" s="11" t="inlineStr"/>
      <c r="P38" s="11" t="inlineStr"/>
      <c r="Q38" s="11" t="inlineStr"/>
      <c r="R38" s="11" t="inlineStr">
        <is>
          <t>2026-03-12</t>
        </is>
      </c>
      <c r="S38" s="11" t="inlineStr"/>
    </row>
    <row r="39">
      <c r="A39" s="3" t="inlineStr"/>
      <c r="B39" s="4" t="inlineStr"/>
      <c r="C39" s="4" t="inlineStr"/>
      <c r="D39" s="4" t="inlineStr"/>
      <c r="E39" s="5" t="inlineStr">
        <is>
          <t>Nova Slicer</t>
        </is>
      </c>
      <c r="F39" s="4" t="inlineStr">
        <is>
          <t>Tupperware</t>
        </is>
      </c>
      <c r="G39" s="4" t="inlineStr">
        <is>
          <t>Homeware &gt; Kitchenware &gt; Tupperware</t>
        </is>
      </c>
      <c r="H39" s="4" t="inlineStr"/>
      <c r="I39" s="6" t="n">
        <v>50</v>
      </c>
      <c r="J39" s="7" t="n">
        <v>15</v>
      </c>
      <c r="K39" s="8">
        <f>IF(I39="","",I39*(1+J39/100))</f>
        <v/>
      </c>
      <c r="L39" s="6" t="n">
        <v>70</v>
      </c>
      <c r="M39" s="9">
        <f>IF(OR(L39="",K39="",L39=0),"",
  (L39-K39)/L39*100)</f>
        <v/>
      </c>
      <c r="N39" s="10" t="n">
        <v>18</v>
      </c>
      <c r="O39" s="4" t="inlineStr"/>
      <c r="P39" s="4" t="inlineStr"/>
      <c r="Q39" s="4" t="inlineStr"/>
      <c r="R39" s="4" t="inlineStr">
        <is>
          <t>2026-03-12</t>
        </is>
      </c>
      <c r="S39" s="4" t="inlineStr"/>
    </row>
    <row r="40">
      <c r="A40" s="3" t="inlineStr"/>
      <c r="B40" s="11" t="inlineStr"/>
      <c r="C40" s="11" t="inlineStr"/>
      <c r="D40" s="11" t="inlineStr"/>
      <c r="E40" s="11" t="inlineStr">
        <is>
          <t>Signiture Line Tub 1.2L</t>
        </is>
      </c>
      <c r="F40" s="11" t="inlineStr">
        <is>
          <t>Tupperware</t>
        </is>
      </c>
      <c r="G40" s="11" t="inlineStr">
        <is>
          <t>Homeware &gt; Kitchenware &gt; Tupperware</t>
        </is>
      </c>
      <c r="H40" s="11" t="inlineStr"/>
      <c r="I40" s="12" t="n">
        <v>60</v>
      </c>
      <c r="J40" s="7" t="n">
        <v>15</v>
      </c>
      <c r="K40" s="8">
        <f>IF(I40="","",I40*(1+J40/100))</f>
        <v/>
      </c>
      <c r="L40" s="12" t="n">
        <v>84</v>
      </c>
      <c r="M40" s="9">
        <f>IF(OR(L40="",K40="",L40=0),"",
  (L40-K40)/L40*100)</f>
        <v/>
      </c>
      <c r="N40" s="14" t="n">
        <v>1</v>
      </c>
      <c r="O40" s="11" t="inlineStr"/>
      <c r="P40" s="11" t="inlineStr"/>
      <c r="Q40" s="11" t="inlineStr"/>
      <c r="R40" s="11" t="inlineStr">
        <is>
          <t>2026-03-12</t>
        </is>
      </c>
      <c r="S40" s="11" t="inlineStr"/>
    </row>
    <row r="41">
      <c r="A41" s="3" t="inlineStr"/>
      <c r="B41" s="4" t="inlineStr"/>
      <c r="C41" s="4" t="inlineStr"/>
      <c r="D41" s="4" t="inlineStr"/>
      <c r="E41" s="5" t="inlineStr">
        <is>
          <t>3 Pc Icing Bottle Set</t>
        </is>
      </c>
      <c r="F41" s="4" t="inlineStr">
        <is>
          <t>Tupperware</t>
        </is>
      </c>
      <c r="G41" s="4" t="inlineStr">
        <is>
          <t>Homeware &gt; Kitchenware &gt; Tupperware</t>
        </is>
      </c>
      <c r="H41" s="4" t="inlineStr"/>
      <c r="I41" s="6" t="n">
        <v>20</v>
      </c>
      <c r="J41" s="7" t="n">
        <v>15</v>
      </c>
      <c r="K41" s="8">
        <f>IF(I41="","",I41*(1+J41/100))</f>
        <v/>
      </c>
      <c r="L41" s="6" t="n">
        <v>28</v>
      </c>
      <c r="M41" s="9">
        <f>IF(OR(L41="",K41="",L41=0),"",
  (L41-K41)/L41*100)</f>
        <v/>
      </c>
      <c r="N41" s="10" t="n">
        <v>21</v>
      </c>
      <c r="O41" s="4" t="inlineStr"/>
      <c r="P41" s="4" t="inlineStr"/>
      <c r="Q41" s="4" t="inlineStr"/>
      <c r="R41" s="4" t="inlineStr">
        <is>
          <t>2026-03-12</t>
        </is>
      </c>
      <c r="S41" s="4" t="inlineStr"/>
    </row>
    <row r="42">
      <c r="A42" s="3" t="inlineStr"/>
      <c r="B42" s="11" t="inlineStr"/>
      <c r="C42" s="11" t="inlineStr"/>
      <c r="D42" s="11" t="inlineStr"/>
      <c r="E42" s="11" t="inlineStr">
        <is>
          <t>Sponges</t>
        </is>
      </c>
      <c r="F42" s="11" t="inlineStr">
        <is>
          <t>Tupperware</t>
        </is>
      </c>
      <c r="G42" s="11" t="inlineStr">
        <is>
          <t>Homeware &gt; Kitchenware &gt; Tupperware</t>
        </is>
      </c>
      <c r="H42" s="11" t="inlineStr"/>
      <c r="I42" s="12" t="n">
        <v>25</v>
      </c>
      <c r="J42" s="7" t="n">
        <v>15</v>
      </c>
      <c r="K42" s="8">
        <f>IF(I42="","",I42*(1+J42/100))</f>
        <v/>
      </c>
      <c r="L42" s="12" t="n">
        <v>35</v>
      </c>
      <c r="M42" s="9">
        <f>IF(OR(L42="",K42="",L42=0),"",
  (L42-K42)/L42*100)</f>
        <v/>
      </c>
      <c r="N42" s="14" t="n">
        <v>5</v>
      </c>
      <c r="O42" s="11" t="inlineStr"/>
      <c r="P42" s="11" t="inlineStr"/>
      <c r="Q42" s="11" t="inlineStr"/>
      <c r="R42" s="11" t="inlineStr">
        <is>
          <t>2026-03-12</t>
        </is>
      </c>
      <c r="S42" s="11" t="inlineStr"/>
    </row>
    <row r="43">
      <c r="A43" s="3" t="inlineStr"/>
      <c r="B43" s="4" t="inlineStr"/>
      <c r="C43" s="4" t="inlineStr"/>
      <c r="D43" s="4" t="inlineStr"/>
      <c r="E43" s="5" t="inlineStr">
        <is>
          <t>Round Jelly Mould</t>
        </is>
      </c>
      <c r="F43" s="4" t="inlineStr">
        <is>
          <t>Tupperware</t>
        </is>
      </c>
      <c r="G43" s="4" t="inlineStr">
        <is>
          <t>Homeware &gt; Kitchenware &gt; Tupperware</t>
        </is>
      </c>
      <c r="H43" s="4" t="inlineStr"/>
      <c r="I43" s="6" t="n">
        <v>140</v>
      </c>
      <c r="J43" s="7" t="n">
        <v>15</v>
      </c>
      <c r="K43" s="8">
        <f>IF(I43="","",I43*(1+J43/100))</f>
        <v/>
      </c>
      <c r="L43" s="6" t="n">
        <v>196</v>
      </c>
      <c r="M43" s="9">
        <f>IF(OR(L43="",K43="",L43=0),"",
  (L43-K43)/L43*100)</f>
        <v/>
      </c>
      <c r="N43" s="13" t="inlineStr"/>
      <c r="O43" s="4" t="inlineStr"/>
      <c r="P43" s="4" t="inlineStr"/>
      <c r="Q43" s="4" t="inlineStr"/>
      <c r="R43" s="4" t="inlineStr">
        <is>
          <t>2026-03-12</t>
        </is>
      </c>
      <c r="S43" s="4" t="inlineStr"/>
    </row>
    <row r="44">
      <c r="A44" s="3" t="inlineStr"/>
      <c r="B44" s="11" t="inlineStr"/>
      <c r="C44" s="11" t="inlineStr"/>
      <c r="D44" s="11" t="inlineStr"/>
      <c r="E44" s="11" t="inlineStr">
        <is>
          <t>Lunch box flip lid 20x10x7 - Purple</t>
        </is>
      </c>
      <c r="F44" s="11" t="inlineStr">
        <is>
          <t>Tupperware</t>
        </is>
      </c>
      <c r="G44" s="11" t="inlineStr">
        <is>
          <t>Homeware &gt; Kitchenware &gt; Tupperware</t>
        </is>
      </c>
      <c r="H44" s="11" t="inlineStr"/>
      <c r="I44" s="12" t="n">
        <v>60</v>
      </c>
      <c r="J44" s="7" t="n">
        <v>15</v>
      </c>
      <c r="K44" s="8">
        <f>IF(I44="","",I44*(1+J44/100))</f>
        <v/>
      </c>
      <c r="L44" s="12" t="n">
        <v>84</v>
      </c>
      <c r="M44" s="9">
        <f>IF(OR(L44="",K44="",L44=0),"",
  (L44-K44)/L44*100)</f>
        <v/>
      </c>
      <c r="N44" s="13" t="inlineStr"/>
      <c r="O44" s="11" t="inlineStr"/>
      <c r="P44" s="11" t="inlineStr"/>
      <c r="Q44" s="11" t="inlineStr"/>
      <c r="R44" s="11" t="inlineStr">
        <is>
          <t>2026-03-12</t>
        </is>
      </c>
      <c r="S44" s="11" t="inlineStr"/>
    </row>
    <row r="45">
      <c r="A45" s="3" t="inlineStr"/>
      <c r="B45" s="4" t="inlineStr"/>
      <c r="C45" s="4" t="inlineStr"/>
      <c r="D45" s="4" t="inlineStr"/>
      <c r="E45" s="5" t="inlineStr">
        <is>
          <t>Lunch box flip lid 20x10x7 - Green</t>
        </is>
      </c>
      <c r="F45" s="4" t="inlineStr">
        <is>
          <t>Tupperware</t>
        </is>
      </c>
      <c r="G45" s="4" t="inlineStr">
        <is>
          <t>Homeware &gt; Kitchenware &gt; Tupperware</t>
        </is>
      </c>
      <c r="H45" s="4" t="inlineStr"/>
      <c r="I45" s="6" t="n">
        <v>60</v>
      </c>
      <c r="J45" s="7" t="n">
        <v>15</v>
      </c>
      <c r="K45" s="8">
        <f>IF(I45="","",I45*(1+J45/100))</f>
        <v/>
      </c>
      <c r="L45" s="6" t="n">
        <v>84</v>
      </c>
      <c r="M45" s="9">
        <f>IF(OR(L45="",K45="",L45=0),"",
  (L45-K45)/L45*100)</f>
        <v/>
      </c>
      <c r="N45" s="10" t="n">
        <v>1</v>
      </c>
      <c r="O45" s="4" t="inlineStr"/>
      <c r="P45" s="4" t="inlineStr"/>
      <c r="Q45" s="4" t="inlineStr"/>
      <c r="R45" s="4" t="inlineStr">
        <is>
          <t>2026-03-12</t>
        </is>
      </c>
      <c r="S45" s="4" t="inlineStr"/>
    </row>
    <row r="46">
      <c r="A46" s="3" t="inlineStr"/>
      <c r="B46" s="11" t="inlineStr"/>
      <c r="C46" s="11" t="inlineStr"/>
      <c r="D46" s="11" t="inlineStr"/>
      <c r="E46" s="11" t="inlineStr">
        <is>
          <t>Lunch Box - Pink - divider - 23x15x8</t>
        </is>
      </c>
      <c r="F46" s="11" t="inlineStr">
        <is>
          <t>Tupperware</t>
        </is>
      </c>
      <c r="G46" s="11" t="inlineStr">
        <is>
          <t>Homeware &gt; Kitchenware &gt; Tupperware</t>
        </is>
      </c>
      <c r="H46" s="11" t="inlineStr"/>
      <c r="I46" s="12" t="n">
        <v>130</v>
      </c>
      <c r="J46" s="7" t="n">
        <v>15</v>
      </c>
      <c r="K46" s="8">
        <f>IF(I46="","",I46*(1+J46/100))</f>
        <v/>
      </c>
      <c r="L46" s="12" t="n">
        <v>182</v>
      </c>
      <c r="M46" s="9">
        <f>IF(OR(L46="",K46="",L46=0),"",
  (L46-K46)/L46*100)</f>
        <v/>
      </c>
      <c r="N46" s="13" t="inlineStr"/>
      <c r="O46" s="11" t="inlineStr"/>
      <c r="P46" s="11" t="inlineStr"/>
      <c r="Q46" s="11" t="inlineStr"/>
      <c r="R46" s="11" t="inlineStr">
        <is>
          <t>2026-03-12</t>
        </is>
      </c>
      <c r="S46" s="11" t="inlineStr"/>
    </row>
    <row r="47">
      <c r="A47" s="3" t="inlineStr"/>
      <c r="B47" s="4" t="inlineStr"/>
      <c r="C47" s="4" t="inlineStr"/>
      <c r="D47" s="4" t="inlineStr"/>
      <c r="E47" s="5" t="inlineStr">
        <is>
          <t>Multi Purpose Division Container - 29x14x5 - Purple</t>
        </is>
      </c>
      <c r="F47" s="4" t="inlineStr">
        <is>
          <t>Tupperware</t>
        </is>
      </c>
      <c r="G47" s="4" t="inlineStr">
        <is>
          <t>Homeware &gt; Kitchenware &gt; Tupperware</t>
        </is>
      </c>
      <c r="H47" s="4" t="inlineStr"/>
      <c r="I47" s="6" t="n">
        <v>120</v>
      </c>
      <c r="J47" s="7" t="n">
        <v>15</v>
      </c>
      <c r="K47" s="8">
        <f>IF(I47="","",I47*(1+J47/100))</f>
        <v/>
      </c>
      <c r="L47" s="6" t="n">
        <v>168</v>
      </c>
      <c r="M47" s="9">
        <f>IF(OR(L47="",K47="",L47=0),"",
  (L47-K47)/L47*100)</f>
        <v/>
      </c>
      <c r="N47" s="10" t="n">
        <v>3</v>
      </c>
      <c r="O47" s="4" t="inlineStr"/>
      <c r="P47" s="4" t="inlineStr"/>
      <c r="Q47" s="4" t="inlineStr"/>
      <c r="R47" s="4" t="inlineStr">
        <is>
          <t>2026-03-12</t>
        </is>
      </c>
      <c r="S47" s="4" t="inlineStr"/>
    </row>
    <row r="48">
      <c r="A48" s="3" t="inlineStr"/>
      <c r="B48" s="11" t="inlineStr"/>
      <c r="C48" s="11" t="inlineStr"/>
      <c r="D48" s="11" t="inlineStr"/>
      <c r="E48" s="11" t="inlineStr">
        <is>
          <t>Multi Purpose Division Container - 29x14x5 - Blue</t>
        </is>
      </c>
      <c r="F48" s="11" t="inlineStr">
        <is>
          <t>Tupperware</t>
        </is>
      </c>
      <c r="G48" s="11" t="inlineStr">
        <is>
          <t>Homeware &gt; Kitchenware &gt; Tupperware</t>
        </is>
      </c>
      <c r="H48" s="11" t="inlineStr"/>
      <c r="I48" s="12" t="n">
        <v>120</v>
      </c>
      <c r="J48" s="7" t="n">
        <v>15</v>
      </c>
      <c r="K48" s="8">
        <f>IF(I48="","",I48*(1+J48/100))</f>
        <v/>
      </c>
      <c r="L48" s="12" t="n">
        <v>168</v>
      </c>
      <c r="M48" s="9">
        <f>IF(OR(L48="",K48="",L48=0),"",
  (L48-K48)/L48*100)</f>
        <v/>
      </c>
      <c r="N48" s="13" t="inlineStr"/>
      <c r="O48" s="11" t="inlineStr"/>
      <c r="P48" s="11" t="inlineStr"/>
      <c r="Q48" s="11" t="inlineStr"/>
      <c r="R48" s="11" t="inlineStr">
        <is>
          <t>2026-03-12</t>
        </is>
      </c>
      <c r="S48" s="11" t="inlineStr"/>
    </row>
    <row r="49">
      <c r="A49" s="3" t="inlineStr"/>
      <c r="B49" s="4" t="inlineStr"/>
      <c r="C49" s="4" t="inlineStr"/>
      <c r="D49" s="4" t="inlineStr"/>
      <c r="E49" s="5" t="inlineStr">
        <is>
          <t>Flip Top 25x12.5x8 - Polca Dot - Yellow</t>
        </is>
      </c>
      <c r="F49" s="4" t="inlineStr">
        <is>
          <t>Tupperware</t>
        </is>
      </c>
      <c r="G49" s="4" t="inlineStr">
        <is>
          <t>Homeware &gt; Kitchenware &gt; Tupperware</t>
        </is>
      </c>
      <c r="H49" s="4" t="inlineStr"/>
      <c r="I49" s="6" t="n">
        <v>80</v>
      </c>
      <c r="J49" s="7" t="n">
        <v>15</v>
      </c>
      <c r="K49" s="8">
        <f>IF(I49="","",I49*(1+J49/100))</f>
        <v/>
      </c>
      <c r="L49" s="6" t="n">
        <v>112</v>
      </c>
      <c r="M49" s="9">
        <f>IF(OR(L49="",K49="",L49=0),"",
  (L49-K49)/L49*100)</f>
        <v/>
      </c>
      <c r="N49" s="10" t="n">
        <v>1</v>
      </c>
      <c r="O49" s="4" t="inlineStr"/>
      <c r="P49" s="4" t="inlineStr"/>
      <c r="Q49" s="4" t="inlineStr"/>
      <c r="R49" s="4" t="inlineStr">
        <is>
          <t>2026-03-12</t>
        </is>
      </c>
      <c r="S49" s="4" t="inlineStr"/>
    </row>
    <row r="50">
      <c r="A50" s="3" t="inlineStr"/>
      <c r="B50" s="11" t="inlineStr"/>
      <c r="C50" s="11" t="inlineStr"/>
      <c r="D50" s="11" t="inlineStr"/>
      <c r="E50" s="11" t="inlineStr">
        <is>
          <t>Flip Top 25x12.5x8 - Ice Cream - Orange</t>
        </is>
      </c>
      <c r="F50" s="11" t="inlineStr">
        <is>
          <t>Tupperware</t>
        </is>
      </c>
      <c r="G50" s="11" t="inlineStr">
        <is>
          <t>Homeware &gt; Kitchenware &gt; Tupperware</t>
        </is>
      </c>
      <c r="H50" s="11" t="inlineStr"/>
      <c r="I50" s="12" t="n">
        <v>80</v>
      </c>
      <c r="J50" s="7" t="n">
        <v>15</v>
      </c>
      <c r="K50" s="8">
        <f>IF(I50="","",I50*(1+J50/100))</f>
        <v/>
      </c>
      <c r="L50" s="12" t="n">
        <v>112</v>
      </c>
      <c r="M50" s="9">
        <f>IF(OR(L50="",K50="",L50=0),"",
  (L50-K50)/L50*100)</f>
        <v/>
      </c>
      <c r="N50" s="14" t="n">
        <v>1</v>
      </c>
      <c r="O50" s="11" t="inlineStr"/>
      <c r="P50" s="11" t="inlineStr"/>
      <c r="Q50" s="11" t="inlineStr"/>
      <c r="R50" s="11" t="inlineStr">
        <is>
          <t>2026-03-12</t>
        </is>
      </c>
      <c r="S50" s="11" t="inlineStr"/>
    </row>
    <row r="51">
      <c r="A51" s="3" t="inlineStr"/>
      <c r="B51" s="4" t="inlineStr"/>
      <c r="C51" s="4" t="inlineStr"/>
      <c r="D51" s="4" t="inlineStr"/>
      <c r="E51" s="5" t="inlineStr">
        <is>
          <t>Flip Top Lunch Box - Yellow - Bunny</t>
        </is>
      </c>
      <c r="F51" s="4" t="inlineStr">
        <is>
          <t>Tupperware</t>
        </is>
      </c>
      <c r="G51" s="4" t="inlineStr">
        <is>
          <t>Homeware &gt; Kitchenware &gt; Tupperware</t>
        </is>
      </c>
      <c r="H51" s="4" t="inlineStr"/>
      <c r="I51" s="6" t="n">
        <v>60</v>
      </c>
      <c r="J51" s="7" t="n">
        <v>15</v>
      </c>
      <c r="K51" s="8">
        <f>IF(I51="","",I51*(1+J51/100))</f>
        <v/>
      </c>
      <c r="L51" s="6" t="n">
        <v>84</v>
      </c>
      <c r="M51" s="9">
        <f>IF(OR(L51="",K51="",L51=0),"",
  (L51-K51)/L51*100)</f>
        <v/>
      </c>
      <c r="N51" s="10" t="n">
        <v>7</v>
      </c>
      <c r="O51" s="4" t="inlineStr"/>
      <c r="P51" s="4" t="inlineStr"/>
      <c r="Q51" s="4" t="inlineStr"/>
      <c r="R51" s="4" t="inlineStr">
        <is>
          <t>2026-03-12</t>
        </is>
      </c>
      <c r="S51" s="4" t="inlineStr"/>
    </row>
    <row r="52">
      <c r="A52" s="3" t="inlineStr"/>
      <c r="B52" s="11" t="inlineStr"/>
      <c r="C52" s="11" t="inlineStr"/>
      <c r="D52" s="11" t="inlineStr"/>
      <c r="E52" s="11" t="inlineStr">
        <is>
          <t>Fridge Mate 2.5ltr - White/Green</t>
        </is>
      </c>
      <c r="F52" s="11" t="inlineStr">
        <is>
          <t>Tupperware</t>
        </is>
      </c>
      <c r="G52" s="11" t="inlineStr">
        <is>
          <t>Homeware &gt; Kitchenware &gt; Tupperware</t>
        </is>
      </c>
      <c r="H52" s="11" t="inlineStr"/>
      <c r="I52" s="12" t="n">
        <v>100</v>
      </c>
      <c r="J52" s="7" t="n">
        <v>15</v>
      </c>
      <c r="K52" s="8">
        <f>IF(I52="","",I52*(1+J52/100))</f>
        <v/>
      </c>
      <c r="L52" s="12" t="n">
        <v>140</v>
      </c>
      <c r="M52" s="9">
        <f>IF(OR(L52="",K52="",L52=0),"",
  (L52-K52)/L52*100)</f>
        <v/>
      </c>
      <c r="N52" s="14" t="n">
        <v>3</v>
      </c>
      <c r="O52" s="11" t="inlineStr"/>
      <c r="P52" s="11" t="inlineStr"/>
      <c r="Q52" s="11" t="inlineStr"/>
      <c r="R52" s="11" t="inlineStr">
        <is>
          <t>2026-03-12</t>
        </is>
      </c>
      <c r="S52" s="11" t="inlineStr"/>
    </row>
    <row r="53">
      <c r="A53" s="3" t="inlineStr"/>
      <c r="B53" s="4" t="inlineStr"/>
      <c r="C53" s="4" t="inlineStr"/>
      <c r="D53" s="4" t="inlineStr"/>
      <c r="E53" s="5" t="inlineStr">
        <is>
          <t>Tissue Dispenser</t>
        </is>
      </c>
      <c r="F53" s="4" t="inlineStr">
        <is>
          <t>Tupperware</t>
        </is>
      </c>
      <c r="G53" s="4" t="inlineStr">
        <is>
          <t>Homeware &gt; Kitchenware &gt; Tupperware</t>
        </is>
      </c>
      <c r="H53" s="4" t="inlineStr"/>
      <c r="I53" s="6" t="n">
        <v>100</v>
      </c>
      <c r="J53" s="7" t="n">
        <v>15</v>
      </c>
      <c r="K53" s="8">
        <f>IF(I53="","",I53*(1+J53/100))</f>
        <v/>
      </c>
      <c r="L53" s="6" t="n">
        <v>140</v>
      </c>
      <c r="M53" s="9">
        <f>IF(OR(L53="",K53="",L53=0),"",
  (L53-K53)/L53*100)</f>
        <v/>
      </c>
      <c r="N53" s="13" t="inlineStr"/>
      <c r="O53" s="4" t="inlineStr"/>
      <c r="P53" s="4" t="inlineStr"/>
      <c r="Q53" s="4" t="inlineStr"/>
      <c r="R53" s="4" t="inlineStr">
        <is>
          <t>2026-03-12</t>
        </is>
      </c>
      <c r="S53" s="4" t="inlineStr"/>
    </row>
    <row r="54">
      <c r="A54" s="3" t="inlineStr"/>
      <c r="B54" s="11" t="inlineStr"/>
      <c r="C54" s="11" t="inlineStr"/>
      <c r="D54" s="11" t="inlineStr"/>
      <c r="E54" s="11" t="inlineStr">
        <is>
          <t>Oyster Container 23x11x6.5 - Green</t>
        </is>
      </c>
      <c r="F54" s="11" t="inlineStr">
        <is>
          <t>Tupperware</t>
        </is>
      </c>
      <c r="G54" s="11" t="inlineStr">
        <is>
          <t>Homeware &gt; Kitchenware &gt; Tupperware</t>
        </is>
      </c>
      <c r="H54" s="11" t="inlineStr"/>
      <c r="I54" s="12" t="n">
        <v>60</v>
      </c>
      <c r="J54" s="7" t="n">
        <v>15</v>
      </c>
      <c r="K54" s="8">
        <f>IF(I54="","",I54*(1+J54/100))</f>
        <v/>
      </c>
      <c r="L54" s="12" t="n">
        <v>84</v>
      </c>
      <c r="M54" s="9">
        <f>IF(OR(L54="",K54="",L54=0),"",
  (L54-K54)/L54*100)</f>
        <v/>
      </c>
      <c r="N54" s="14" t="n">
        <v>2</v>
      </c>
      <c r="O54" s="11" t="inlineStr"/>
      <c r="P54" s="11" t="inlineStr"/>
      <c r="Q54" s="11" t="inlineStr"/>
      <c r="R54" s="11" t="inlineStr">
        <is>
          <t>2026-03-12</t>
        </is>
      </c>
      <c r="S54" s="11" t="inlineStr"/>
    </row>
    <row r="55">
      <c r="A55" s="3" t="inlineStr"/>
      <c r="B55" s="4" t="inlineStr"/>
      <c r="C55" s="4" t="inlineStr"/>
      <c r="D55" s="4" t="inlineStr"/>
      <c r="E55" s="5" t="inlineStr">
        <is>
          <t>Ferrari / Cars Lunch Box</t>
        </is>
      </c>
      <c r="F55" s="4" t="inlineStr">
        <is>
          <t>Tupperware</t>
        </is>
      </c>
      <c r="G55" s="4" t="inlineStr">
        <is>
          <t>Homeware &gt; Kitchenware &gt; Tupperware</t>
        </is>
      </c>
      <c r="H55" s="4" t="inlineStr"/>
      <c r="I55" s="6" t="n">
        <v>60</v>
      </c>
      <c r="J55" s="7" t="n">
        <v>15</v>
      </c>
      <c r="K55" s="8">
        <f>IF(I55="","",I55*(1+J55/100))</f>
        <v/>
      </c>
      <c r="L55" s="6" t="n">
        <v>84</v>
      </c>
      <c r="M55" s="9">
        <f>IF(OR(L55="",K55="",L55=0),"",
  (L55-K55)/L55*100)</f>
        <v/>
      </c>
      <c r="N55" s="10" t="n">
        <v>1</v>
      </c>
      <c r="O55" s="4" t="inlineStr"/>
      <c r="P55" s="4" t="inlineStr"/>
      <c r="Q55" s="4" t="inlineStr"/>
      <c r="R55" s="4" t="inlineStr">
        <is>
          <t>2026-03-12</t>
        </is>
      </c>
      <c r="S55" s="4" t="inlineStr"/>
    </row>
    <row r="56">
      <c r="A56" s="3" t="inlineStr"/>
      <c r="B56" s="11" t="inlineStr"/>
      <c r="C56" s="11" t="inlineStr"/>
      <c r="D56" s="11" t="inlineStr"/>
      <c r="E56" s="11" t="inlineStr">
        <is>
          <t>Orange / Blue - 16x4cm 600ml - Round</t>
        </is>
      </c>
      <c r="F56" s="11" t="inlineStr">
        <is>
          <t>Tupperware</t>
        </is>
      </c>
      <c r="G56" s="11" t="inlineStr">
        <is>
          <t>Homeware &gt; Kitchenware &gt; Tupperware</t>
        </is>
      </c>
      <c r="H56" s="11" t="inlineStr"/>
      <c r="I56" s="12" t="n">
        <v>60</v>
      </c>
      <c r="J56" s="7" t="n">
        <v>15</v>
      </c>
      <c r="K56" s="8">
        <f>IF(I56="","",I56*(1+J56/100))</f>
        <v/>
      </c>
      <c r="L56" s="12" t="n">
        <v>84</v>
      </c>
      <c r="M56" s="9">
        <f>IF(OR(L56="",K56="",L56=0),"",
  (L56-K56)/L56*100)</f>
        <v/>
      </c>
      <c r="N56" s="14" t="n">
        <v>1</v>
      </c>
      <c r="O56" s="11" t="inlineStr"/>
      <c r="P56" s="11" t="inlineStr"/>
      <c r="Q56" s="11" t="inlineStr"/>
      <c r="R56" s="11" t="inlineStr">
        <is>
          <t>2026-03-12</t>
        </is>
      </c>
      <c r="S56" s="11" t="inlineStr"/>
    </row>
    <row r="57">
      <c r="A57" s="3" t="inlineStr"/>
      <c r="B57" s="4" t="inlineStr"/>
      <c r="C57" s="4" t="inlineStr"/>
      <c r="D57" s="4" t="inlineStr"/>
      <c r="E57" s="5" t="inlineStr">
        <is>
          <t>Micro Reheatable Luncher 850ml - White rubber cap</t>
        </is>
      </c>
      <c r="F57" s="4" t="inlineStr">
        <is>
          <t>Tupperware</t>
        </is>
      </c>
      <c r="G57" s="4" t="inlineStr">
        <is>
          <t>Homeware &gt; Kitchenware &gt; Tupperware</t>
        </is>
      </c>
      <c r="H57" s="4" t="inlineStr"/>
      <c r="I57" s="6" t="n">
        <v>120</v>
      </c>
      <c r="J57" s="7" t="n">
        <v>15</v>
      </c>
      <c r="K57" s="8">
        <f>IF(I57="","",I57*(1+J57/100))</f>
        <v/>
      </c>
      <c r="L57" s="6" t="n">
        <v>168</v>
      </c>
      <c r="M57" s="9">
        <f>IF(OR(L57="",K57="",L57=0),"",
  (L57-K57)/L57*100)</f>
        <v/>
      </c>
      <c r="N57" s="13" t="inlineStr"/>
      <c r="O57" s="4" t="inlineStr"/>
      <c r="P57" s="4" t="inlineStr"/>
      <c r="Q57" s="4" t="inlineStr"/>
      <c r="R57" s="4" t="inlineStr">
        <is>
          <t>2026-03-12</t>
        </is>
      </c>
      <c r="S57" s="4" t="inlineStr"/>
    </row>
    <row r="58">
      <c r="A58" s="3" t="inlineStr"/>
      <c r="B58" s="11" t="inlineStr"/>
      <c r="C58" s="11" t="inlineStr"/>
      <c r="D58" s="11" t="inlineStr"/>
      <c r="E58" s="11" t="inlineStr">
        <is>
          <t>Fridge Mate 700ml - White/Blue - Set of 2</t>
        </is>
      </c>
      <c r="F58" s="11" t="inlineStr">
        <is>
          <t>Tupperware</t>
        </is>
      </c>
      <c r="G58" s="11" t="inlineStr">
        <is>
          <t>Homeware &gt; Kitchenware &gt; Tupperware</t>
        </is>
      </c>
      <c r="H58" s="11" t="inlineStr"/>
      <c r="I58" s="12" t="n">
        <v>60</v>
      </c>
      <c r="J58" s="7" t="n">
        <v>15</v>
      </c>
      <c r="K58" s="8">
        <f>IF(I58="","",I58*(1+J58/100))</f>
        <v/>
      </c>
      <c r="L58" s="12" t="n">
        <v>84</v>
      </c>
      <c r="M58" s="9">
        <f>IF(OR(L58="",K58="",L58=0),"",
  (L58-K58)/L58*100)</f>
        <v/>
      </c>
      <c r="N58" s="13" t="inlineStr"/>
      <c r="O58" s="11" t="inlineStr"/>
      <c r="P58" s="11" t="inlineStr"/>
      <c r="Q58" s="11" t="inlineStr"/>
      <c r="R58" s="11" t="inlineStr">
        <is>
          <t>2026-03-12</t>
        </is>
      </c>
      <c r="S58" s="11" t="inlineStr"/>
    </row>
    <row r="59">
      <c r="A59" s="3" t="inlineStr"/>
      <c r="B59" s="4" t="inlineStr"/>
      <c r="C59" s="4" t="inlineStr"/>
      <c r="D59" s="4" t="inlineStr"/>
      <c r="E59" s="5" t="inlineStr">
        <is>
          <t>Burger Box</t>
        </is>
      </c>
      <c r="F59" s="4" t="inlineStr">
        <is>
          <t>Tupperware</t>
        </is>
      </c>
      <c r="G59" s="4" t="inlineStr">
        <is>
          <t>Homeware &gt; Kitchenware &gt; Tupperware</t>
        </is>
      </c>
      <c r="H59" s="4" t="inlineStr"/>
      <c r="I59" s="6" t="n">
        <v>75</v>
      </c>
      <c r="J59" s="7" t="n">
        <v>15</v>
      </c>
      <c r="K59" s="8">
        <f>IF(I59="","",I59*(1+J59/100))</f>
        <v/>
      </c>
      <c r="L59" s="6" t="n">
        <v>105</v>
      </c>
      <c r="M59" s="9">
        <f>IF(OR(L59="",K59="",L59=0),"",
  (L59-K59)/L59*100)</f>
        <v/>
      </c>
      <c r="N59" s="10" t="n">
        <v>1</v>
      </c>
      <c r="O59" s="4" t="inlineStr"/>
      <c r="P59" s="4" t="inlineStr"/>
      <c r="Q59" s="4" t="inlineStr"/>
      <c r="R59" s="4" t="inlineStr">
        <is>
          <t>2026-03-12</t>
        </is>
      </c>
      <c r="S59" s="4" t="inlineStr"/>
    </row>
    <row r="60">
      <c r="A60" s="3" t="inlineStr"/>
      <c r="B60" s="11" t="inlineStr"/>
      <c r="C60" s="11" t="inlineStr"/>
      <c r="D60" s="11" t="inlineStr"/>
      <c r="E60" s="11" t="inlineStr">
        <is>
          <t>Exclusive Collection Clear Bowl/ Pink Lid 2100ml</t>
        </is>
      </c>
      <c r="F60" s="11" t="inlineStr">
        <is>
          <t>Tupperware</t>
        </is>
      </c>
      <c r="G60" s="11" t="inlineStr">
        <is>
          <t>Homeware &gt; Kitchenware &gt; Tupperware</t>
        </is>
      </c>
      <c r="H60" s="11" t="inlineStr"/>
      <c r="I60" s="12" t="n">
        <v>200</v>
      </c>
      <c r="J60" s="7" t="n">
        <v>15</v>
      </c>
      <c r="K60" s="8">
        <f>IF(I60="","",I60*(1+J60/100))</f>
        <v/>
      </c>
      <c r="L60" s="12" t="n">
        <v>280</v>
      </c>
      <c r="M60" s="9">
        <f>IF(OR(L60="",K60="",L60=0),"",
  (L60-K60)/L60*100)</f>
        <v/>
      </c>
      <c r="N60" s="13" t="inlineStr"/>
      <c r="O60" s="11" t="inlineStr"/>
      <c r="P60" s="11" t="inlineStr"/>
      <c r="Q60" s="11" t="inlineStr"/>
      <c r="R60" s="11" t="inlineStr">
        <is>
          <t>2026-03-12</t>
        </is>
      </c>
      <c r="S60" s="11" t="inlineStr"/>
    </row>
    <row r="61">
      <c r="A61" s="3" t="inlineStr"/>
      <c r="B61" s="4" t="inlineStr"/>
      <c r="C61" s="4" t="inlineStr"/>
      <c r="D61" s="4" t="inlineStr"/>
      <c r="E61" s="5" t="inlineStr">
        <is>
          <t>Exclusive Collection Clear Bowl/ Pink Lid 3500ml</t>
        </is>
      </c>
      <c r="F61" s="4" t="inlineStr">
        <is>
          <t>Tupperware</t>
        </is>
      </c>
      <c r="G61" s="4" t="inlineStr">
        <is>
          <t>Homeware &gt; Kitchenware &gt; Tupperware</t>
        </is>
      </c>
      <c r="H61" s="4" t="inlineStr"/>
      <c r="I61" s="6" t="n">
        <v>250</v>
      </c>
      <c r="J61" s="7" t="n">
        <v>15</v>
      </c>
      <c r="K61" s="8">
        <f>IF(I61="","",I61*(1+J61/100))</f>
        <v/>
      </c>
      <c r="L61" s="6" t="n">
        <v>350</v>
      </c>
      <c r="M61" s="9">
        <f>IF(OR(L61="",K61="",L61=0),"",
  (L61-K61)/L61*100)</f>
        <v/>
      </c>
      <c r="N61" s="13" t="inlineStr"/>
      <c r="O61" s="4" t="inlineStr"/>
      <c r="P61" s="4" t="inlineStr"/>
      <c r="Q61" s="4" t="inlineStr"/>
      <c r="R61" s="4" t="inlineStr">
        <is>
          <t>2026-03-12</t>
        </is>
      </c>
      <c r="S61" s="4" t="inlineStr"/>
    </row>
    <row r="62">
      <c r="A62" s="3" t="inlineStr"/>
      <c r="B62" s="11" t="inlineStr"/>
      <c r="C62" s="11" t="inlineStr"/>
      <c r="D62" s="11" t="inlineStr"/>
      <c r="E62" s="11" t="inlineStr">
        <is>
          <t>Exclusive Collection Clear Bowl/ Pink Lid 2lt</t>
        </is>
      </c>
      <c r="F62" s="11" t="inlineStr">
        <is>
          <t>Tupperware</t>
        </is>
      </c>
      <c r="G62" s="11" t="inlineStr">
        <is>
          <t>Homeware &gt; Kitchenware &gt; Tupperware</t>
        </is>
      </c>
      <c r="H62" s="11" t="inlineStr"/>
      <c r="I62" s="12" t="n">
        <v>300</v>
      </c>
      <c r="J62" s="7" t="n">
        <v>15</v>
      </c>
      <c r="K62" s="8">
        <f>IF(I62="","",I62*(1+J62/100))</f>
        <v/>
      </c>
      <c r="L62" s="12" t="n">
        <v>420</v>
      </c>
      <c r="M62" s="9">
        <f>IF(OR(L62="",K62="",L62=0),"",
  (L62-K62)/L62*100)</f>
        <v/>
      </c>
      <c r="N62" s="14" t="n">
        <v>1</v>
      </c>
      <c r="O62" s="11" t="inlineStr"/>
      <c r="P62" s="11" t="inlineStr"/>
      <c r="Q62" s="11" t="inlineStr"/>
      <c r="R62" s="11" t="inlineStr">
        <is>
          <t>2026-03-12</t>
        </is>
      </c>
      <c r="S62" s="11" t="inlineStr"/>
    </row>
    <row r="63">
      <c r="A63" s="3" t="inlineStr"/>
      <c r="B63" s="4" t="inlineStr"/>
      <c r="C63" s="4" t="inlineStr"/>
      <c r="D63" s="4" t="inlineStr"/>
      <c r="E63" s="5" t="inlineStr">
        <is>
          <t>Turquoise and Purple 1lt Div Lunchbox</t>
        </is>
      </c>
      <c r="F63" s="4" t="inlineStr">
        <is>
          <t>Tupperware</t>
        </is>
      </c>
      <c r="G63" s="4" t="inlineStr">
        <is>
          <t>Homeware &gt; Kitchenware &gt; Tupperware</t>
        </is>
      </c>
      <c r="H63" s="4" t="inlineStr"/>
      <c r="I63" s="6" t="n">
        <v>120</v>
      </c>
      <c r="J63" s="7" t="n">
        <v>15</v>
      </c>
      <c r="K63" s="8">
        <f>IF(I63="","",I63*(1+J63/100))</f>
        <v/>
      </c>
      <c r="L63" s="6" t="n">
        <v>168</v>
      </c>
      <c r="M63" s="9">
        <f>IF(OR(L63="",K63="",L63=0),"",
  (L63-K63)/L63*100)</f>
        <v/>
      </c>
      <c r="N63" s="13" t="inlineStr"/>
      <c r="O63" s="4" t="inlineStr"/>
      <c r="P63" s="4" t="inlineStr"/>
      <c r="Q63" s="4" t="inlineStr"/>
      <c r="R63" s="4" t="inlineStr">
        <is>
          <t>2026-03-12</t>
        </is>
      </c>
      <c r="S63" s="4" t="inlineStr"/>
    </row>
    <row r="64">
      <c r="A64" s="3" t="inlineStr"/>
      <c r="B64" s="11" t="inlineStr"/>
      <c r="C64" s="11" t="inlineStr"/>
      <c r="D64" s="11" t="inlineStr"/>
      <c r="E64" s="11" t="inlineStr">
        <is>
          <t>Mauve Pitcher 930ml</t>
        </is>
      </c>
      <c r="F64" s="11" t="inlineStr">
        <is>
          <t>Tupperware</t>
        </is>
      </c>
      <c r="G64" s="11" t="inlineStr">
        <is>
          <t>Homeware &gt; Kitchenware &gt; Tupperware</t>
        </is>
      </c>
      <c r="H64" s="11" t="inlineStr"/>
      <c r="I64" s="12" t="n">
        <v>90</v>
      </c>
      <c r="J64" s="7" t="n">
        <v>15</v>
      </c>
      <c r="K64" s="8">
        <f>IF(I64="","",I64*(1+J64/100))</f>
        <v/>
      </c>
      <c r="L64" s="12" t="n">
        <v>126</v>
      </c>
      <c r="M64" s="9">
        <f>IF(OR(L64="",K64="",L64=0),"",
  (L64-K64)/L64*100)</f>
        <v/>
      </c>
      <c r="N64" s="14" t="n">
        <v>1</v>
      </c>
      <c r="O64" s="11" t="inlineStr"/>
      <c r="P64" s="11" t="inlineStr"/>
      <c r="Q64" s="11" t="inlineStr"/>
      <c r="R64" s="11" t="inlineStr">
        <is>
          <t>2026-03-12</t>
        </is>
      </c>
      <c r="S64" s="11" t="inlineStr"/>
    </row>
    <row r="65">
      <c r="A65" s="3" t="inlineStr"/>
      <c r="B65" s="4" t="inlineStr"/>
      <c r="C65" s="4" t="inlineStr"/>
      <c r="D65" s="4" t="inlineStr"/>
      <c r="E65" s="5" t="inlineStr">
        <is>
          <t>Mauve Tall slimline pitcher flat lid 1lt</t>
        </is>
      </c>
      <c r="F65" s="4" t="inlineStr">
        <is>
          <t>Tupperware</t>
        </is>
      </c>
      <c r="G65" s="4" t="inlineStr">
        <is>
          <t>Homeware &gt; Kitchenware &gt; Tupperware</t>
        </is>
      </c>
      <c r="H65" s="4" t="inlineStr"/>
      <c r="I65" s="6" t="n">
        <v>110</v>
      </c>
      <c r="J65" s="7" t="n">
        <v>15</v>
      </c>
      <c r="K65" s="8">
        <f>IF(I65="","",I65*(1+J65/100))</f>
        <v/>
      </c>
      <c r="L65" s="6" t="n">
        <v>154</v>
      </c>
      <c r="M65" s="9">
        <f>IF(OR(L65="",K65="",L65=0),"",
  (L65-K65)/L65*100)</f>
        <v/>
      </c>
      <c r="N65" s="10" t="n">
        <v>1</v>
      </c>
      <c r="O65" s="4" t="inlineStr"/>
      <c r="P65" s="4" t="inlineStr"/>
      <c r="Q65" s="4" t="inlineStr"/>
      <c r="R65" s="4" t="inlineStr">
        <is>
          <t>2026-03-12</t>
        </is>
      </c>
      <c r="S65" s="4" t="inlineStr"/>
    </row>
    <row r="66">
      <c r="A66" s="3" t="inlineStr"/>
      <c r="B66" s="11" t="inlineStr"/>
      <c r="C66" s="11" t="inlineStr"/>
      <c r="D66" s="11" t="inlineStr"/>
      <c r="E66" s="11" t="inlineStr">
        <is>
          <t>Mauve Tall slimline pitcher flip top 470ml</t>
        </is>
      </c>
      <c r="F66" s="11" t="inlineStr">
        <is>
          <t>Tupperware</t>
        </is>
      </c>
      <c r="G66" s="11" t="inlineStr">
        <is>
          <t>Homeware &gt; Kitchenware &gt; Tupperware</t>
        </is>
      </c>
      <c r="H66" s="11" t="inlineStr"/>
      <c r="I66" s="12" t="n">
        <v>60</v>
      </c>
      <c r="J66" s="7" t="n">
        <v>15</v>
      </c>
      <c r="K66" s="8">
        <f>IF(I66="","",I66*(1+J66/100))</f>
        <v/>
      </c>
      <c r="L66" s="12" t="n">
        <v>84</v>
      </c>
      <c r="M66" s="9">
        <f>IF(OR(L66="",K66="",L66=0),"",
  (L66-K66)/L66*100)</f>
        <v/>
      </c>
      <c r="N66" s="14" t="n">
        <v>1</v>
      </c>
      <c r="O66" s="11" t="inlineStr"/>
      <c r="P66" s="11" t="inlineStr"/>
      <c r="Q66" s="11" t="inlineStr"/>
      <c r="R66" s="11" t="inlineStr">
        <is>
          <t>2026-03-12</t>
        </is>
      </c>
      <c r="S66" s="11" t="inlineStr"/>
    </row>
    <row r="67">
      <c r="A67" s="3" t="inlineStr"/>
      <c r="B67" s="4" t="inlineStr"/>
      <c r="C67" s="4" t="inlineStr"/>
      <c r="D67" s="4" t="inlineStr"/>
      <c r="E67" s="5" t="inlineStr">
        <is>
          <t>Bottle Cooler</t>
        </is>
      </c>
      <c r="F67" s="4" t="inlineStr">
        <is>
          <t>Tupperware</t>
        </is>
      </c>
      <c r="G67" s="4" t="inlineStr">
        <is>
          <t>Homeware &gt; Kitchenware &gt; Tupperware</t>
        </is>
      </c>
      <c r="H67" s="4" t="inlineStr"/>
      <c r="I67" s="6" t="n">
        <v>100</v>
      </c>
      <c r="J67" s="7" t="n">
        <v>15</v>
      </c>
      <c r="K67" s="8">
        <f>IF(I67="","",I67*(1+J67/100))</f>
        <v/>
      </c>
      <c r="L67" s="6" t="n">
        <v>140</v>
      </c>
      <c r="M67" s="9">
        <f>IF(OR(L67="",K67="",L67=0),"",
  (L67-K67)/L67*100)</f>
        <v/>
      </c>
      <c r="N67" s="13" t="inlineStr"/>
      <c r="O67" s="4" t="inlineStr"/>
      <c r="P67" s="4" t="inlineStr"/>
      <c r="Q67" s="4" t="inlineStr"/>
      <c r="R67" s="4" t="inlineStr">
        <is>
          <t>2026-03-12</t>
        </is>
      </c>
      <c r="S67" s="4" t="inlineStr"/>
    </row>
    <row r="68">
      <c r="A68" s="3" t="inlineStr"/>
      <c r="B68" s="11" t="inlineStr"/>
      <c r="C68" s="11" t="inlineStr"/>
      <c r="D68" s="11" t="inlineStr"/>
      <c r="E68" s="11" t="inlineStr">
        <is>
          <t>Measuring Cup Set</t>
        </is>
      </c>
      <c r="F68" s="11" t="inlineStr">
        <is>
          <t>Tupperware</t>
        </is>
      </c>
      <c r="G68" s="11" t="inlineStr">
        <is>
          <t>Homeware &gt; Kitchenware &gt; Tupperware</t>
        </is>
      </c>
      <c r="H68" s="11" t="inlineStr"/>
      <c r="I68" s="12" t="n">
        <v>50</v>
      </c>
      <c r="J68" s="7" t="n">
        <v>15</v>
      </c>
      <c r="K68" s="8">
        <f>IF(I68="","",I68*(1+J68/100))</f>
        <v/>
      </c>
      <c r="L68" s="12" t="n">
        <v>70</v>
      </c>
      <c r="M68" s="9">
        <f>IF(OR(L68="",K68="",L68=0),"",
  (L68-K68)/L68*100)</f>
        <v/>
      </c>
      <c r="N68" s="13" t="inlineStr"/>
      <c r="O68" s="11" t="inlineStr"/>
      <c r="P68" s="11" t="inlineStr"/>
      <c r="Q68" s="11" t="inlineStr"/>
      <c r="R68" s="11" t="inlineStr">
        <is>
          <t>2026-03-12</t>
        </is>
      </c>
      <c r="S68" s="11" t="inlineStr"/>
    </row>
    <row r="69">
      <c r="A69" s="3" t="inlineStr"/>
      <c r="B69" s="4" t="inlineStr"/>
      <c r="C69" s="4" t="inlineStr"/>
      <c r="D69" s="4" t="inlineStr"/>
      <c r="E69" s="5" t="inlineStr">
        <is>
          <t>Green Flip Lid Pitcher/Tumbler 470ml</t>
        </is>
      </c>
      <c r="F69" s="4" t="inlineStr">
        <is>
          <t>Tupperware</t>
        </is>
      </c>
      <c r="G69" s="4" t="inlineStr">
        <is>
          <t>Homeware &gt; Kitchenware &gt; Tupperware</t>
        </is>
      </c>
      <c r="H69" s="4" t="inlineStr"/>
      <c r="I69" s="6" t="n">
        <v>60</v>
      </c>
      <c r="J69" s="7" t="n">
        <v>15</v>
      </c>
      <c r="K69" s="8">
        <f>IF(I69="","",I69*(1+J69/100))</f>
        <v/>
      </c>
      <c r="L69" s="6" t="n">
        <v>84</v>
      </c>
      <c r="M69" s="9">
        <f>IF(OR(L69="",K69="",L69=0),"",
  (L69-K69)/L69*100)</f>
        <v/>
      </c>
      <c r="N69" s="10" t="n">
        <v>1</v>
      </c>
      <c r="O69" s="4" t="inlineStr"/>
      <c r="P69" s="4" t="inlineStr"/>
      <c r="Q69" s="4" t="inlineStr"/>
      <c r="R69" s="4" t="inlineStr">
        <is>
          <t>2026-03-12</t>
        </is>
      </c>
      <c r="S69" s="4" t="inlineStr"/>
    </row>
    <row r="70">
      <c r="A70" s="3" t="inlineStr"/>
      <c r="B70" s="11" t="inlineStr"/>
      <c r="C70" s="11" t="inlineStr"/>
      <c r="D70" s="11" t="inlineStr"/>
      <c r="E70" s="11" t="inlineStr">
        <is>
          <t>Square Away Lunch Box 600ml - Blue</t>
        </is>
      </c>
      <c r="F70" s="11" t="inlineStr">
        <is>
          <t>Tupperware</t>
        </is>
      </c>
      <c r="G70" s="11" t="inlineStr">
        <is>
          <t>Homeware &gt; Kitchenware &gt; Tupperware</t>
        </is>
      </c>
      <c r="H70" s="11" t="inlineStr"/>
      <c r="I70" s="12" t="n">
        <v>70</v>
      </c>
      <c r="J70" s="7" t="n">
        <v>15</v>
      </c>
      <c r="K70" s="8">
        <f>IF(I70="","",I70*(1+J70/100))</f>
        <v/>
      </c>
      <c r="L70" s="12" t="n">
        <v>98</v>
      </c>
      <c r="M70" s="9">
        <f>IF(OR(L70="",K70="",L70=0),"",
  (L70-K70)/L70*100)</f>
        <v/>
      </c>
      <c r="N70" s="13" t="inlineStr"/>
      <c r="O70" s="11" t="inlineStr"/>
      <c r="P70" s="11" t="inlineStr"/>
      <c r="Q70" s="11" t="inlineStr"/>
      <c r="R70" s="11" t="inlineStr">
        <is>
          <t>2026-03-12</t>
        </is>
      </c>
      <c r="S70" s="11" t="inlineStr"/>
    </row>
    <row r="71">
      <c r="A71" s="3" t="inlineStr"/>
      <c r="B71" s="4" t="inlineStr"/>
      <c r="C71" s="4" t="inlineStr"/>
      <c r="D71" s="4" t="inlineStr"/>
      <c r="E71" s="5" t="inlineStr">
        <is>
          <t>Micro Luncher - Blue - reheatable steam button - set of 2</t>
        </is>
      </c>
      <c r="F71" s="4" t="inlineStr">
        <is>
          <t>Tupperware</t>
        </is>
      </c>
      <c r="G71" s="4" t="inlineStr">
        <is>
          <t>Homeware &gt; Kitchenware &gt; Tupperware</t>
        </is>
      </c>
      <c r="H71" s="4" t="inlineStr"/>
      <c r="I71" s="6" t="n">
        <v>140</v>
      </c>
      <c r="J71" s="7" t="n">
        <v>15</v>
      </c>
      <c r="K71" s="8">
        <f>IF(I71="","",I71*(1+J71/100))</f>
        <v/>
      </c>
      <c r="L71" s="6" t="n">
        <v>196</v>
      </c>
      <c r="M71" s="9">
        <f>IF(OR(L71="",K71="",L71=0),"",
  (L71-K71)/L71*100)</f>
        <v/>
      </c>
      <c r="N71" s="10" t="n">
        <v>1</v>
      </c>
      <c r="O71" s="4" t="inlineStr"/>
      <c r="P71" s="4" t="inlineStr"/>
      <c r="Q71" s="4" t="inlineStr"/>
      <c r="R71" s="4" t="inlineStr">
        <is>
          <t>2026-03-12</t>
        </is>
      </c>
      <c r="S71" s="4" t="inlineStr"/>
    </row>
    <row r="72">
      <c r="A72" s="3" t="inlineStr"/>
      <c r="B72" s="11" t="inlineStr"/>
      <c r="C72" s="11" t="inlineStr"/>
      <c r="D72" s="11" t="inlineStr"/>
      <c r="E72" s="11" t="inlineStr">
        <is>
          <t>Square 3 Red Flowers - 4lt</t>
        </is>
      </c>
      <c r="F72" s="11" t="inlineStr">
        <is>
          <t>Tupperware</t>
        </is>
      </c>
      <c r="G72" s="11" t="inlineStr">
        <is>
          <t>Homeware &gt; Kitchenware &gt; Tupperware</t>
        </is>
      </c>
      <c r="H72" s="11" t="inlineStr"/>
      <c r="I72" s="12" t="n">
        <v>180</v>
      </c>
      <c r="J72" s="7" t="n">
        <v>15</v>
      </c>
      <c r="K72" s="8">
        <f>IF(I72="","",I72*(1+J72/100))</f>
        <v/>
      </c>
      <c r="L72" s="12" t="n">
        <v>252</v>
      </c>
      <c r="M72" s="9">
        <f>IF(OR(L72="",K72="",L72=0),"",
  (L72-K72)/L72*100)</f>
        <v/>
      </c>
      <c r="N72" s="14" t="n">
        <v>1</v>
      </c>
      <c r="O72" s="11" t="inlineStr"/>
      <c r="P72" s="11" t="inlineStr"/>
      <c r="Q72" s="11" t="inlineStr"/>
      <c r="R72" s="11" t="inlineStr">
        <is>
          <t>2026-03-12</t>
        </is>
      </c>
      <c r="S72" s="11" t="inlineStr"/>
    </row>
    <row r="73">
      <c r="A73" s="3" t="inlineStr"/>
      <c r="B73" s="4" t="inlineStr"/>
      <c r="C73" s="4" t="inlineStr"/>
      <c r="D73" s="4" t="inlineStr"/>
      <c r="E73" s="5" t="inlineStr">
        <is>
          <t>Party Server - 3 div - purple</t>
        </is>
      </c>
      <c r="F73" s="4" t="inlineStr">
        <is>
          <t>Tupperware</t>
        </is>
      </c>
      <c r="G73" s="4" t="inlineStr">
        <is>
          <t>Homeware &gt; Kitchenware &gt; Tupperware</t>
        </is>
      </c>
      <c r="H73" s="4" t="inlineStr"/>
      <c r="I73" s="6" t="n">
        <v>200</v>
      </c>
      <c r="J73" s="7" t="n">
        <v>15</v>
      </c>
      <c r="K73" s="8">
        <f>IF(I73="","",I73*(1+J73/100))</f>
        <v/>
      </c>
      <c r="L73" s="6" t="n">
        <v>280</v>
      </c>
      <c r="M73" s="9">
        <f>IF(OR(L73="",K73="",L73=0),"",
  (L73-K73)/L73*100)</f>
        <v/>
      </c>
      <c r="N73" s="13" t="inlineStr"/>
      <c r="O73" s="4" t="inlineStr"/>
      <c r="P73" s="4" t="inlineStr"/>
      <c r="Q73" s="4" t="inlineStr"/>
      <c r="R73" s="4" t="inlineStr">
        <is>
          <t>2026-03-12</t>
        </is>
      </c>
      <c r="S73" s="4" t="inlineStr"/>
    </row>
    <row r="74">
      <c r="A74" s="3" t="inlineStr"/>
      <c r="B74" s="11" t="inlineStr"/>
      <c r="C74" s="11" t="inlineStr"/>
      <c r="D74" s="11" t="inlineStr"/>
      <c r="E74" s="11" t="inlineStr">
        <is>
          <t>Inspirations Double Plates - 700ml</t>
        </is>
      </c>
      <c r="F74" s="11" t="inlineStr">
        <is>
          <t>Tupperware</t>
        </is>
      </c>
      <c r="G74" s="11" t="inlineStr">
        <is>
          <t>Homeware &gt; Kitchenware &gt; Tupperware</t>
        </is>
      </c>
      <c r="H74" s="11" t="inlineStr"/>
      <c r="I74" s="12" t="n">
        <v>70</v>
      </c>
      <c r="J74" s="7" t="n">
        <v>15</v>
      </c>
      <c r="K74" s="8">
        <f>IF(I74="","",I74*(1+J74/100))</f>
        <v/>
      </c>
      <c r="L74" s="12" t="n">
        <v>98</v>
      </c>
      <c r="M74" s="9">
        <f>IF(OR(L74="",K74="",L74=0),"",
  (L74-K74)/L74*100)</f>
        <v/>
      </c>
      <c r="N74" s="13" t="inlineStr"/>
      <c r="O74" s="11" t="inlineStr"/>
      <c r="P74" s="11" t="inlineStr"/>
      <c r="Q74" s="11" t="inlineStr"/>
      <c r="R74" s="11" t="inlineStr">
        <is>
          <t>2026-03-12</t>
        </is>
      </c>
      <c r="S74" s="11" t="inlineStr"/>
    </row>
    <row r="75">
      <c r="A75" s="3" t="inlineStr"/>
      <c r="B75" s="4" t="inlineStr"/>
      <c r="C75" s="4" t="inlineStr"/>
      <c r="D75" s="4" t="inlineStr"/>
      <c r="E75" s="5" t="inlineStr">
        <is>
          <t>Flute Tumbler Set - 4 Asstd Colors</t>
        </is>
      </c>
      <c r="F75" s="4" t="inlineStr">
        <is>
          <t>Tupperware</t>
        </is>
      </c>
      <c r="G75" s="4" t="inlineStr">
        <is>
          <t>Homeware &gt; Kitchenware &gt; Tupperware</t>
        </is>
      </c>
      <c r="H75" s="4" t="inlineStr"/>
      <c r="I75" s="6" t="n">
        <v>200</v>
      </c>
      <c r="J75" s="7" t="n">
        <v>15</v>
      </c>
      <c r="K75" s="8">
        <f>IF(I75="","",I75*(1+J75/100))</f>
        <v/>
      </c>
      <c r="L75" s="6" t="n">
        <v>280</v>
      </c>
      <c r="M75" s="9">
        <f>IF(OR(L75="",K75="",L75=0),"",
  (L75-K75)/L75*100)</f>
        <v/>
      </c>
      <c r="N75" s="13" t="inlineStr"/>
      <c r="O75" s="4" t="inlineStr"/>
      <c r="P75" s="4" t="inlineStr"/>
      <c r="Q75" s="4" t="inlineStr"/>
      <c r="R75" s="4" t="inlineStr">
        <is>
          <t>2026-03-12</t>
        </is>
      </c>
      <c r="S75" s="4" t="inlineStr"/>
    </row>
    <row r="76">
      <c r="A76" s="3" t="inlineStr"/>
      <c r="B76" s="11" t="inlineStr"/>
      <c r="C76" s="11" t="inlineStr"/>
      <c r="D76" s="11" t="inlineStr"/>
      <c r="E76" s="11" t="inlineStr">
        <is>
          <t>500ml Tumbler Set of 4 green</t>
        </is>
      </c>
      <c r="F76" s="11" t="inlineStr">
        <is>
          <t>Tupperware</t>
        </is>
      </c>
      <c r="G76" s="11" t="inlineStr">
        <is>
          <t>Homeware &gt; Kitchenware &gt; Tupperware</t>
        </is>
      </c>
      <c r="H76" s="11" t="inlineStr"/>
      <c r="I76" s="12" t="n">
        <v>120</v>
      </c>
      <c r="J76" s="7" t="n">
        <v>15</v>
      </c>
      <c r="K76" s="8">
        <f>IF(I76="","",I76*(1+J76/100))</f>
        <v/>
      </c>
      <c r="L76" s="12" t="n">
        <v>168</v>
      </c>
      <c r="M76" s="9">
        <f>IF(OR(L76="",K76="",L76=0),"",
  (L76-K76)/L76*100)</f>
        <v/>
      </c>
      <c r="N76" s="13" t="inlineStr"/>
      <c r="O76" s="11" t="inlineStr"/>
      <c r="P76" s="11" t="inlineStr"/>
      <c r="Q76" s="11" t="inlineStr"/>
      <c r="R76" s="11" t="inlineStr">
        <is>
          <t>2026-03-12</t>
        </is>
      </c>
      <c r="S76" s="11" t="inlineStr"/>
    </row>
    <row r="77">
      <c r="A77" s="3" t="inlineStr"/>
      <c r="B77" s="4" t="inlineStr"/>
      <c r="C77" s="4" t="inlineStr"/>
      <c r="D77" s="4" t="inlineStr"/>
      <c r="E77" s="5" t="inlineStr">
        <is>
          <t>400ml Drinking tumbler With Spout - Blue</t>
        </is>
      </c>
      <c r="F77" s="4" t="inlineStr">
        <is>
          <t>Tupperware</t>
        </is>
      </c>
      <c r="G77" s="4" t="inlineStr">
        <is>
          <t>Homeware &gt; Kitchenware &gt; Tupperware</t>
        </is>
      </c>
      <c r="H77" s="4" t="inlineStr"/>
      <c r="I77" s="6" t="n">
        <v>60</v>
      </c>
      <c r="J77" s="7" t="n">
        <v>15</v>
      </c>
      <c r="K77" s="8">
        <f>IF(I77="","",I77*(1+J77/100))</f>
        <v/>
      </c>
      <c r="L77" s="6" t="n">
        <v>84</v>
      </c>
      <c r="M77" s="9">
        <f>IF(OR(L77="",K77="",L77=0),"",
  (L77-K77)/L77*100)</f>
        <v/>
      </c>
      <c r="N77" s="10" t="n">
        <v>1</v>
      </c>
      <c r="O77" s="4" t="inlineStr"/>
      <c r="P77" s="4" t="inlineStr"/>
      <c r="Q77" s="4" t="inlineStr"/>
      <c r="R77" s="4" t="inlineStr">
        <is>
          <t>2026-03-12</t>
        </is>
      </c>
      <c r="S77" s="4" t="inlineStr"/>
    </row>
    <row r="78">
      <c r="A78" s="3" t="inlineStr"/>
      <c r="B78" s="11" t="inlineStr"/>
      <c r="C78" s="11" t="inlineStr"/>
      <c r="D78" s="11" t="inlineStr"/>
      <c r="E78" s="11" t="inlineStr">
        <is>
          <t>470ml Drinking Tumbler With Spout - Purple Tall Slim</t>
        </is>
      </c>
      <c r="F78" s="11" t="inlineStr">
        <is>
          <t>Tupperware</t>
        </is>
      </c>
      <c r="G78" s="11" t="inlineStr">
        <is>
          <t>Homeware &gt; Kitchenware &gt; Tupperware</t>
        </is>
      </c>
      <c r="H78" s="11" t="inlineStr"/>
      <c r="I78" s="12" t="n">
        <v>70</v>
      </c>
      <c r="J78" s="7" t="n">
        <v>15</v>
      </c>
      <c r="K78" s="8">
        <f>IF(I78="","",I78*(1+J78/100))</f>
        <v/>
      </c>
      <c r="L78" s="12" t="n">
        <v>98</v>
      </c>
      <c r="M78" s="9">
        <f>IF(OR(L78="",K78="",L78=0),"",
  (L78-K78)/L78*100)</f>
        <v/>
      </c>
      <c r="N78" s="14" t="n">
        <v>1</v>
      </c>
      <c r="O78" s="11" t="inlineStr"/>
      <c r="P78" s="11" t="inlineStr"/>
      <c r="Q78" s="11" t="inlineStr"/>
      <c r="R78" s="11" t="inlineStr">
        <is>
          <t>2026-03-12</t>
        </is>
      </c>
      <c r="S78" s="11" t="inlineStr"/>
    </row>
    <row r="79">
      <c r="A79" s="3" t="inlineStr"/>
      <c r="B79" s="4" t="inlineStr"/>
      <c r="C79" s="4" t="inlineStr"/>
      <c r="D79" s="4" t="inlineStr"/>
      <c r="E79" s="5" t="inlineStr">
        <is>
          <t>4 Slice Luncher Orange Red</t>
        </is>
      </c>
      <c r="F79" s="4" t="inlineStr">
        <is>
          <t>Tupperware</t>
        </is>
      </c>
      <c r="G79" s="4" t="inlineStr">
        <is>
          <t>Homeware &gt; Kitchenware &gt; Tupperware</t>
        </is>
      </c>
      <c r="H79" s="4" t="inlineStr"/>
      <c r="I79" s="6" t="n">
        <v>70</v>
      </c>
      <c r="J79" s="7" t="n">
        <v>15</v>
      </c>
      <c r="K79" s="8">
        <f>IF(I79="","",I79*(1+J79/100))</f>
        <v/>
      </c>
      <c r="L79" s="6" t="n">
        <v>98</v>
      </c>
      <c r="M79" s="9">
        <f>IF(OR(L79="",K79="",L79=0),"",
  (L79-K79)/L79*100)</f>
        <v/>
      </c>
      <c r="N79" s="10" t="n">
        <v>2</v>
      </c>
      <c r="O79" s="4" t="inlineStr"/>
      <c r="P79" s="4" t="inlineStr"/>
      <c r="Q79" s="4" t="inlineStr"/>
      <c r="R79" s="4" t="inlineStr">
        <is>
          <t>2026-03-12</t>
        </is>
      </c>
      <c r="S79" s="4" t="inlineStr"/>
    </row>
    <row r="80">
      <c r="A80" s="3" t="inlineStr"/>
      <c r="B80" s="11" t="inlineStr"/>
      <c r="C80" s="11" t="inlineStr"/>
      <c r="D80" s="11" t="inlineStr"/>
      <c r="E80" s="11" t="inlineStr">
        <is>
          <t>Set 4 Tumbler Slim Tall 470ml</t>
        </is>
      </c>
      <c r="F80" s="11" t="inlineStr">
        <is>
          <t>Tupperware</t>
        </is>
      </c>
      <c r="G80" s="11" t="inlineStr">
        <is>
          <t>Homeware &gt; Kitchenware &gt; Tupperware</t>
        </is>
      </c>
      <c r="H80" s="11" t="inlineStr"/>
      <c r="I80" s="12" t="n">
        <v>120</v>
      </c>
      <c r="J80" s="7" t="n">
        <v>15</v>
      </c>
      <c r="K80" s="8">
        <f>IF(I80="","",I80*(1+J80/100))</f>
        <v/>
      </c>
      <c r="L80" s="12" t="n">
        <v>168</v>
      </c>
      <c r="M80" s="9">
        <f>IF(OR(L80="",K80="",L80=0),"",
  (L80-K80)/L80*100)</f>
        <v/>
      </c>
      <c r="N80" s="13" t="inlineStr"/>
      <c r="O80" s="11" t="inlineStr"/>
      <c r="P80" s="11" t="inlineStr"/>
      <c r="Q80" s="11" t="inlineStr"/>
      <c r="R80" s="11" t="inlineStr">
        <is>
          <t>2026-03-12</t>
        </is>
      </c>
      <c r="S80" s="11" t="inlineStr"/>
    </row>
    <row r="81">
      <c r="A81" s="3" t="inlineStr"/>
      <c r="B81" s="4" t="inlineStr"/>
      <c r="C81" s="4" t="inlineStr"/>
      <c r="D81" s="4" t="inlineStr"/>
      <c r="E81" s="5" t="inlineStr">
        <is>
          <t>Sippy tumbler 250 ml - Pink &amp; Green</t>
        </is>
      </c>
      <c r="F81" s="4" t="inlineStr">
        <is>
          <t>Tupperware</t>
        </is>
      </c>
      <c r="G81" s="4" t="inlineStr">
        <is>
          <t>Homeware &gt; Kitchenware &gt; Tupperware</t>
        </is>
      </c>
      <c r="H81" s="4" t="inlineStr"/>
      <c r="I81" s="6" t="n">
        <v>60</v>
      </c>
      <c r="J81" s="7" t="n">
        <v>15</v>
      </c>
      <c r="K81" s="8">
        <f>IF(I81="","",I81*(1+J81/100))</f>
        <v/>
      </c>
      <c r="L81" s="6" t="n">
        <v>84</v>
      </c>
      <c r="M81" s="9">
        <f>IF(OR(L81="",K81="",L81=0),"",
  (L81-K81)/L81*100)</f>
        <v/>
      </c>
      <c r="N81" s="10" t="n">
        <v>1</v>
      </c>
      <c r="O81" s="4" t="inlineStr"/>
      <c r="P81" s="4" t="inlineStr"/>
      <c r="Q81" s="4" t="inlineStr"/>
      <c r="R81" s="4" t="inlineStr">
        <is>
          <t>2026-03-12</t>
        </is>
      </c>
      <c r="S81" s="4" t="inlineStr"/>
    </row>
    <row r="82">
      <c r="A82" s="3" t="inlineStr"/>
      <c r="B82" s="11" t="inlineStr"/>
      <c r="C82" s="11" t="inlineStr"/>
      <c r="D82" s="11" t="inlineStr"/>
      <c r="E82" s="11" t="inlineStr">
        <is>
          <t>Quick Shake 500ml</t>
        </is>
      </c>
      <c r="F82" s="11" t="inlineStr">
        <is>
          <t>Tupperware</t>
        </is>
      </c>
      <c r="G82" s="11" t="inlineStr">
        <is>
          <t>Homeware &gt; Kitchenware &gt; Tupperware</t>
        </is>
      </c>
      <c r="H82" s="11" t="inlineStr"/>
      <c r="I82" s="12" t="n">
        <v>80</v>
      </c>
      <c r="J82" s="7" t="n">
        <v>15</v>
      </c>
      <c r="K82" s="8">
        <f>IF(I82="","",I82*(1+J82/100))</f>
        <v/>
      </c>
      <c r="L82" s="12" t="n">
        <v>112</v>
      </c>
      <c r="M82" s="9">
        <f>IF(OR(L82="",K82="",L82=0),"",
  (L82-K82)/L82*100)</f>
        <v/>
      </c>
      <c r="N82" s="13" t="inlineStr"/>
      <c r="O82" s="11" t="inlineStr"/>
      <c r="P82" s="11" t="inlineStr"/>
      <c r="Q82" s="11" t="inlineStr"/>
      <c r="R82" s="11" t="inlineStr">
        <is>
          <t>2026-03-12</t>
        </is>
      </c>
      <c r="S82" s="11" t="inlineStr"/>
    </row>
    <row r="83">
      <c r="A83" s="3" t="inlineStr"/>
      <c r="B83" s="4" t="inlineStr"/>
      <c r="C83" s="4" t="inlineStr"/>
      <c r="D83" s="4" t="inlineStr"/>
      <c r="E83" s="5" t="inlineStr">
        <is>
          <t>Spatula</t>
        </is>
      </c>
      <c r="F83" s="4" t="inlineStr">
        <is>
          <t>Tupperware</t>
        </is>
      </c>
      <c r="G83" s="4" t="inlineStr">
        <is>
          <t>Homeware &gt; Kitchenware &gt; Tupperware</t>
        </is>
      </c>
      <c r="H83" s="4" t="inlineStr"/>
      <c r="I83" s="6" t="n">
        <v>25</v>
      </c>
      <c r="J83" s="7" t="n">
        <v>15</v>
      </c>
      <c r="K83" s="8">
        <f>IF(I83="","",I83*(1+J83/100))</f>
        <v/>
      </c>
      <c r="L83" s="6" t="n">
        <v>35</v>
      </c>
      <c r="M83" s="9">
        <f>IF(OR(L83="",K83="",L83=0),"",
  (L83-K83)/L83*100)</f>
        <v/>
      </c>
      <c r="N83" s="10" t="n">
        <v>1</v>
      </c>
      <c r="O83" s="4" t="inlineStr"/>
      <c r="P83" s="4" t="inlineStr"/>
      <c r="Q83" s="4" t="inlineStr"/>
      <c r="R83" s="4" t="inlineStr">
        <is>
          <t>2026-03-12</t>
        </is>
      </c>
      <c r="S83" s="4" t="inlineStr"/>
    </row>
    <row r="84">
      <c r="A84" s="3" t="inlineStr"/>
      <c r="B84" s="11" t="inlineStr"/>
      <c r="C84" s="11" t="inlineStr"/>
      <c r="D84" s="11" t="inlineStr"/>
      <c r="E84" s="11" t="inlineStr">
        <is>
          <t>Shallow Signiture Line - Green</t>
        </is>
      </c>
      <c r="F84" s="11" t="inlineStr">
        <is>
          <t>Tupperware</t>
        </is>
      </c>
      <c r="G84" s="11" t="inlineStr">
        <is>
          <t>Homeware &gt; Kitchenware &gt; Tupperware</t>
        </is>
      </c>
      <c r="H84" s="11" t="inlineStr"/>
      <c r="I84" s="12" t="n">
        <v>130</v>
      </c>
      <c r="J84" s="7" t="n">
        <v>15</v>
      </c>
      <c r="K84" s="8">
        <f>IF(I84="","",I84*(1+J84/100))</f>
        <v/>
      </c>
      <c r="L84" s="12" t="n">
        <v>182</v>
      </c>
      <c r="M84" s="9">
        <f>IF(OR(L84="",K84="",L84=0),"",
  (L84-K84)/L84*100)</f>
        <v/>
      </c>
      <c r="N84" s="14" t="n">
        <v>1</v>
      </c>
      <c r="O84" s="11" t="inlineStr"/>
      <c r="P84" s="11" t="inlineStr"/>
      <c r="Q84" s="11" t="inlineStr"/>
      <c r="R84" s="11" t="inlineStr">
        <is>
          <t>2026-03-12</t>
        </is>
      </c>
      <c r="S84" s="11" t="inlineStr"/>
    </row>
    <row r="85">
      <c r="A85" s="3" t="inlineStr"/>
      <c r="B85" s="4" t="inlineStr"/>
      <c r="C85" s="4" t="inlineStr"/>
      <c r="D85" s="4" t="inlineStr"/>
      <c r="E85" s="5" t="inlineStr">
        <is>
          <t>Mini Chopping Board</t>
        </is>
      </c>
      <c r="F85" s="4" t="inlineStr">
        <is>
          <t>Tupperware</t>
        </is>
      </c>
      <c r="G85" s="4" t="inlineStr">
        <is>
          <t>Homeware &gt; Kitchenware &gt; Tupperware</t>
        </is>
      </c>
      <c r="H85" s="4" t="inlineStr"/>
      <c r="I85" s="6" t="n">
        <v>120</v>
      </c>
      <c r="J85" s="7" t="n">
        <v>15</v>
      </c>
      <c r="K85" s="8">
        <f>IF(I85="","",I85*(1+J85/100))</f>
        <v/>
      </c>
      <c r="L85" s="6" t="n">
        <v>168</v>
      </c>
      <c r="M85" s="9">
        <f>IF(OR(L85="",K85="",L85=0),"",
  (L85-K85)/L85*100)</f>
        <v/>
      </c>
      <c r="N85" s="13" t="inlineStr"/>
      <c r="O85" s="4" t="inlineStr"/>
      <c r="P85" s="4" t="inlineStr"/>
      <c r="Q85" s="4" t="inlineStr"/>
      <c r="R85" s="4" t="inlineStr">
        <is>
          <t>2026-03-12</t>
        </is>
      </c>
      <c r="S85" s="4" t="inlineStr"/>
    </row>
    <row r="86">
      <c r="A86" s="3" t="inlineStr"/>
      <c r="B86" s="11" t="inlineStr"/>
      <c r="C86" s="11" t="inlineStr"/>
      <c r="D86" s="11" t="inlineStr"/>
      <c r="E86" s="11" t="inlineStr">
        <is>
          <t>Stackable Set Rectangle</t>
        </is>
      </c>
      <c r="F86" s="11" t="inlineStr">
        <is>
          <t>Tupperware</t>
        </is>
      </c>
      <c r="G86" s="11" t="inlineStr">
        <is>
          <t>Homeware &gt; Kitchenware &gt; Tupperware</t>
        </is>
      </c>
      <c r="H86" s="11" t="inlineStr"/>
      <c r="I86" s="12" t="n">
        <v>150</v>
      </c>
      <c r="J86" s="7" t="n">
        <v>15</v>
      </c>
      <c r="K86" s="8">
        <f>IF(I86="","",I86*(1+J86/100))</f>
        <v/>
      </c>
      <c r="L86" s="12" t="n">
        <v>210</v>
      </c>
      <c r="M86" s="9">
        <f>IF(OR(L86="",K86="",L86=0),"",
  (L86-K86)/L86*100)</f>
        <v/>
      </c>
      <c r="N86" s="13" t="inlineStr"/>
      <c r="O86" s="11" t="inlineStr"/>
      <c r="P86" s="11" t="inlineStr"/>
      <c r="Q86" s="11" t="inlineStr"/>
      <c r="R86" s="11" t="inlineStr">
        <is>
          <t>2026-03-12</t>
        </is>
      </c>
      <c r="S86" s="11" t="inlineStr"/>
    </row>
    <row r="87">
      <c r="A87" s="3" t="inlineStr"/>
      <c r="B87" s="4" t="inlineStr"/>
      <c r="C87" s="4" t="inlineStr"/>
      <c r="D87" s="4" t="inlineStr"/>
      <c r="E87" s="5" t="inlineStr">
        <is>
          <t>Biscuit Cutter set Pink</t>
        </is>
      </c>
      <c r="F87" s="4" t="inlineStr">
        <is>
          <t>Tupperware</t>
        </is>
      </c>
      <c r="G87" s="4" t="inlineStr">
        <is>
          <t>Homeware &gt; Kitchenware &gt; Tupperware</t>
        </is>
      </c>
      <c r="H87" s="4" t="inlineStr"/>
      <c r="I87" s="6" t="n">
        <v>50</v>
      </c>
      <c r="J87" s="7" t="n">
        <v>15</v>
      </c>
      <c r="K87" s="8">
        <f>IF(I87="","",I87*(1+J87/100))</f>
        <v/>
      </c>
      <c r="L87" s="6" t="n">
        <v>70</v>
      </c>
      <c r="M87" s="9">
        <f>IF(OR(L87="",K87="",L87=0),"",
  (L87-K87)/L87*100)</f>
        <v/>
      </c>
      <c r="N87" s="10" t="n">
        <v>6</v>
      </c>
      <c r="O87" s="4" t="inlineStr"/>
      <c r="P87" s="4" t="inlineStr"/>
      <c r="Q87" s="4" t="inlineStr"/>
      <c r="R87" s="4" t="inlineStr">
        <is>
          <t>2026-03-12</t>
        </is>
      </c>
      <c r="S87" s="4" t="inlineStr"/>
    </row>
    <row r="88">
      <c r="A88" s="3" t="inlineStr"/>
      <c r="B88" s="11" t="inlineStr"/>
      <c r="C88" s="11" t="inlineStr"/>
      <c r="D88" s="11" t="inlineStr"/>
      <c r="E88" s="11" t="inlineStr">
        <is>
          <t>Measuring Cups - Mauve Stackable</t>
        </is>
      </c>
      <c r="F88" s="11" t="inlineStr">
        <is>
          <t>Tupperware</t>
        </is>
      </c>
      <c r="G88" s="11" t="inlineStr">
        <is>
          <t>Homeware &gt; Kitchenware &gt; Tupperware</t>
        </is>
      </c>
      <c r="H88" s="11" t="inlineStr"/>
      <c r="I88" s="12" t="n">
        <v>100</v>
      </c>
      <c r="J88" s="7" t="n">
        <v>15</v>
      </c>
      <c r="K88" s="8">
        <f>IF(I88="","",I88*(1+J88/100))</f>
        <v/>
      </c>
      <c r="L88" s="12" t="n">
        <v>140</v>
      </c>
      <c r="M88" s="9">
        <f>IF(OR(L88="",K88="",L88=0),"",
  (L88-K88)/L88*100)</f>
        <v/>
      </c>
      <c r="N88" s="13" t="inlineStr"/>
      <c r="O88" s="11" t="inlineStr"/>
      <c r="P88" s="11" t="inlineStr"/>
      <c r="Q88" s="11" t="inlineStr"/>
      <c r="R88" s="11" t="inlineStr">
        <is>
          <t>2026-03-12</t>
        </is>
      </c>
      <c r="S88" s="11" t="inlineStr"/>
    </row>
    <row r="89">
      <c r="A89" s="3" t="inlineStr"/>
      <c r="B89" s="4" t="inlineStr"/>
      <c r="C89" s="4" t="inlineStr"/>
      <c r="D89" s="4" t="inlineStr"/>
      <c r="E89" s="5" t="inlineStr">
        <is>
          <t>Rice Maker 3lt</t>
        </is>
      </c>
      <c r="F89" s="4" t="inlineStr">
        <is>
          <t>Tupperware</t>
        </is>
      </c>
      <c r="G89" s="4" t="inlineStr">
        <is>
          <t>Homeware &gt; Kitchenware &gt; Tupperware</t>
        </is>
      </c>
      <c r="H89" s="4" t="inlineStr"/>
      <c r="I89" s="6" t="n">
        <v>250</v>
      </c>
      <c r="J89" s="7" t="n">
        <v>15</v>
      </c>
      <c r="K89" s="8">
        <f>IF(I89="","",I89*(1+J89/100))</f>
        <v/>
      </c>
      <c r="L89" s="6" t="n">
        <v>350</v>
      </c>
      <c r="M89" s="9">
        <f>IF(OR(L89="",K89="",L89=0),"",
  (L89-K89)/L89*100)</f>
        <v/>
      </c>
      <c r="N89" s="13" t="inlineStr"/>
      <c r="O89" s="4" t="inlineStr"/>
      <c r="P89" s="4" t="inlineStr"/>
      <c r="Q89" s="4" t="inlineStr"/>
      <c r="R89" s="4" t="inlineStr">
        <is>
          <t>2026-03-12</t>
        </is>
      </c>
      <c r="S89" s="4" t="inlineStr"/>
    </row>
    <row r="90">
      <c r="A90" s="3" t="inlineStr"/>
      <c r="B90" s="11" t="inlineStr"/>
      <c r="C90" s="11" t="inlineStr"/>
      <c r="D90" s="11" t="inlineStr"/>
      <c r="E90" s="11" t="inlineStr">
        <is>
          <t>Tray Cloths</t>
        </is>
      </c>
      <c r="F90" s="11" t="inlineStr">
        <is>
          <t>Tupperware</t>
        </is>
      </c>
      <c r="G90" s="11" t="inlineStr">
        <is>
          <t>Homeware &gt; Kitchenware &gt; Tupperware</t>
        </is>
      </c>
      <c r="H90" s="11" t="inlineStr"/>
      <c r="I90" s="12" t="n">
        <v>35</v>
      </c>
      <c r="J90" s="7" t="n">
        <v>15</v>
      </c>
      <c r="K90" s="8">
        <f>IF(I90="","",I90*(1+J90/100))</f>
        <v/>
      </c>
      <c r="L90" s="12" t="n">
        <v>49</v>
      </c>
      <c r="M90" s="9">
        <f>IF(OR(L90="",K90="",L90=0),"",
  (L90-K90)/L90*100)</f>
        <v/>
      </c>
      <c r="N90" s="14" t="n">
        <v>3</v>
      </c>
      <c r="O90" s="11" t="inlineStr"/>
      <c r="P90" s="11" t="inlineStr"/>
      <c r="Q90" s="11" t="inlineStr"/>
      <c r="R90" s="11" t="inlineStr">
        <is>
          <t>2026-03-12</t>
        </is>
      </c>
      <c r="S90" s="11" t="inlineStr"/>
    </row>
    <row r="91">
      <c r="A91" s="3" t="inlineStr"/>
      <c r="B91" s="4" t="inlineStr"/>
      <c r="C91" s="4" t="inlineStr"/>
      <c r="D91" s="4" t="inlineStr"/>
      <c r="E91" s="5" t="inlineStr">
        <is>
          <t>Forget me not - 350ml</t>
        </is>
      </c>
      <c r="F91" s="4" t="inlineStr">
        <is>
          <t>Tupperware</t>
        </is>
      </c>
      <c r="G91" s="4" t="inlineStr">
        <is>
          <t>Homeware &gt; Kitchenware &gt; Tupperware</t>
        </is>
      </c>
      <c r="H91" s="4" t="inlineStr"/>
      <c r="I91" s="6" t="n">
        <v>50</v>
      </c>
      <c r="J91" s="7" t="n">
        <v>15</v>
      </c>
      <c r="K91" s="8">
        <f>IF(I91="","",I91*(1+J91/100))</f>
        <v/>
      </c>
      <c r="L91" s="6" t="n">
        <v>70</v>
      </c>
      <c r="M91" s="9">
        <f>IF(OR(L91="",K91="",L91=0),"",
  (L91-K91)/L91*100)</f>
        <v/>
      </c>
      <c r="N91" s="10" t="n">
        <v>1</v>
      </c>
      <c r="O91" s="4" t="inlineStr"/>
      <c r="P91" s="4" t="inlineStr"/>
      <c r="Q91" s="4" t="inlineStr"/>
      <c r="R91" s="4" t="inlineStr">
        <is>
          <t>2026-03-12</t>
        </is>
      </c>
      <c r="S91" s="4" t="inlineStr"/>
    </row>
    <row r="92">
      <c r="A92" s="3" t="inlineStr"/>
      <c r="B92" s="11" t="inlineStr"/>
      <c r="C92" s="11" t="inlineStr"/>
      <c r="D92" s="11" t="inlineStr"/>
      <c r="E92" s="11" t="inlineStr">
        <is>
          <t>3 div circle purple - tea/coffee/sugar</t>
        </is>
      </c>
      <c r="F92" s="11" t="inlineStr">
        <is>
          <t>Tupperware</t>
        </is>
      </c>
      <c r="G92" s="11" t="inlineStr">
        <is>
          <t>Homeware &gt; Kitchenware &gt; Tupperware</t>
        </is>
      </c>
      <c r="H92" s="11" t="inlineStr"/>
      <c r="I92" s="12" t="n">
        <v>120</v>
      </c>
      <c r="J92" s="7" t="n">
        <v>15</v>
      </c>
      <c r="K92" s="8">
        <f>IF(I92="","",I92*(1+J92/100))</f>
        <v/>
      </c>
      <c r="L92" s="12" t="n">
        <v>168</v>
      </c>
      <c r="M92" s="9">
        <f>IF(OR(L92="",K92="",L92=0),"",
  (L92-K92)/L92*100)</f>
        <v/>
      </c>
      <c r="N92" s="13" t="inlineStr"/>
      <c r="O92" s="11" t="inlineStr"/>
      <c r="P92" s="11" t="inlineStr"/>
      <c r="Q92" s="11" t="inlineStr"/>
      <c r="R92" s="11" t="inlineStr">
        <is>
          <t>2026-03-12</t>
        </is>
      </c>
      <c r="S92" s="11" t="inlineStr"/>
    </row>
    <row r="93">
      <c r="A93" s="3" t="inlineStr"/>
      <c r="B93" s="4" t="inlineStr"/>
      <c r="C93" s="4" t="inlineStr"/>
      <c r="D93" s="4" t="inlineStr"/>
      <c r="E93" s="5" t="inlineStr">
        <is>
          <t>Formula Dispenser</t>
        </is>
      </c>
      <c r="F93" s="4" t="inlineStr">
        <is>
          <t>Tupperware</t>
        </is>
      </c>
      <c r="G93" s="4" t="inlineStr">
        <is>
          <t>Homeware &gt; Kitchenware &gt; Tupperware</t>
        </is>
      </c>
      <c r="H93" s="4" t="inlineStr"/>
      <c r="I93" s="6" t="n">
        <v>120</v>
      </c>
      <c r="J93" s="7" t="n">
        <v>15</v>
      </c>
      <c r="K93" s="8">
        <f>IF(I93="","",I93*(1+J93/100))</f>
        <v/>
      </c>
      <c r="L93" s="6" t="n">
        <v>168</v>
      </c>
      <c r="M93" s="9">
        <f>IF(OR(L93="",K93="",L93=0),"",
  (L93-K93)/L93*100)</f>
        <v/>
      </c>
      <c r="N93" s="13" t="inlineStr"/>
      <c r="O93" s="4" t="inlineStr"/>
      <c r="P93" s="4" t="inlineStr"/>
      <c r="Q93" s="4" t="inlineStr"/>
      <c r="R93" s="4" t="inlineStr">
        <is>
          <t>2026-03-12</t>
        </is>
      </c>
      <c r="S93" s="4" t="inlineStr"/>
    </row>
    <row r="94">
      <c r="A94" s="3" t="inlineStr"/>
      <c r="B94" s="11" t="inlineStr"/>
      <c r="C94" s="11" t="inlineStr"/>
      <c r="D94" s="11" t="inlineStr"/>
      <c r="E94" s="11" t="inlineStr">
        <is>
          <t>Vintage jelly moulds set 2 - Snack cup - purple</t>
        </is>
      </c>
      <c r="F94" s="11" t="inlineStr">
        <is>
          <t>Tupperware</t>
        </is>
      </c>
      <c r="G94" s="11" t="inlineStr">
        <is>
          <t>Homeware &gt; Kitchenware &gt; Tupperware</t>
        </is>
      </c>
      <c r="H94" s="11" t="inlineStr"/>
      <c r="I94" s="12" t="n">
        <v>60</v>
      </c>
      <c r="J94" s="7" t="n">
        <v>15</v>
      </c>
      <c r="K94" s="8">
        <f>IF(I94="","",I94*(1+J94/100))</f>
        <v/>
      </c>
      <c r="L94" s="12" t="n">
        <v>84</v>
      </c>
      <c r="M94" s="9">
        <f>IF(OR(L94="",K94="",L94=0),"",
  (L94-K94)/L94*100)</f>
        <v/>
      </c>
      <c r="N94" s="14" t="n">
        <v>3</v>
      </c>
      <c r="O94" s="11" t="inlineStr"/>
      <c r="P94" s="11" t="inlineStr"/>
      <c r="Q94" s="11" t="inlineStr"/>
      <c r="R94" s="11" t="inlineStr">
        <is>
          <t>2026-03-12</t>
        </is>
      </c>
      <c r="S94" s="11" t="inlineStr"/>
    </row>
    <row r="95">
      <c r="A95" s="3" t="inlineStr"/>
      <c r="B95" s="4" t="inlineStr"/>
      <c r="C95" s="4" t="inlineStr"/>
      <c r="D95" s="4" t="inlineStr"/>
      <c r="E95" s="5" t="inlineStr">
        <is>
          <t>Sippy cup training</t>
        </is>
      </c>
      <c r="F95" s="4" t="inlineStr">
        <is>
          <t>Tupperware</t>
        </is>
      </c>
      <c r="G95" s="4" t="inlineStr">
        <is>
          <t>Homeware &gt; Kitchenware &gt; Tupperware</t>
        </is>
      </c>
      <c r="H95" s="4" t="inlineStr"/>
      <c r="I95" s="6" t="n">
        <v>50</v>
      </c>
      <c r="J95" s="7" t="n">
        <v>15</v>
      </c>
      <c r="K95" s="8">
        <f>IF(I95="","",I95*(1+J95/100))</f>
        <v/>
      </c>
      <c r="L95" s="6" t="n">
        <v>70</v>
      </c>
      <c r="M95" s="9">
        <f>IF(OR(L95="",K95="",L95=0),"",
  (L95-K95)/L95*100)</f>
        <v/>
      </c>
      <c r="N95" s="10" t="n">
        <v>2</v>
      </c>
      <c r="O95" s="4" t="inlineStr"/>
      <c r="P95" s="4" t="inlineStr"/>
      <c r="Q95" s="4" t="inlineStr"/>
      <c r="R95" s="4" t="inlineStr">
        <is>
          <t>2026-03-12</t>
        </is>
      </c>
      <c r="S95" s="4" t="inlineStr"/>
    </row>
    <row r="96">
      <c r="A96" s="3" t="inlineStr"/>
      <c r="B96" s="11" t="inlineStr"/>
      <c r="C96" s="11" t="inlineStr"/>
      <c r="D96" s="11" t="inlineStr"/>
      <c r="E96" s="11" t="inlineStr">
        <is>
          <t>Square Super Keeper - Deep lime green - snack witch deep</t>
        </is>
      </c>
      <c r="F96" s="11" t="inlineStr">
        <is>
          <t>Tupperware</t>
        </is>
      </c>
      <c r="G96" s="11" t="inlineStr">
        <is>
          <t>Homeware &gt; Kitchenware &gt; Tupperware</t>
        </is>
      </c>
      <c r="H96" s="11" t="inlineStr"/>
      <c r="I96" s="12" t="n">
        <v>90</v>
      </c>
      <c r="J96" s="7" t="n">
        <v>15</v>
      </c>
      <c r="K96" s="8">
        <f>IF(I96="","",I96*(1+J96/100))</f>
        <v/>
      </c>
      <c r="L96" s="12" t="n">
        <v>126</v>
      </c>
      <c r="M96" s="9">
        <f>IF(OR(L96="",K96="",L96=0),"",
  (L96-K96)/L96*100)</f>
        <v/>
      </c>
      <c r="N96" s="14" t="n">
        <v>2</v>
      </c>
      <c r="O96" s="11" t="inlineStr"/>
      <c r="P96" s="11" t="inlineStr"/>
      <c r="Q96" s="11" t="inlineStr"/>
      <c r="R96" s="11" t="inlineStr">
        <is>
          <t>2026-03-12</t>
        </is>
      </c>
      <c r="S96" s="11" t="inlineStr"/>
    </row>
    <row r="97">
      <c r="A97" s="3" t="inlineStr"/>
      <c r="B97" s="4" t="inlineStr"/>
      <c r="C97" s="4" t="inlineStr"/>
      <c r="D97" s="4" t="inlineStr"/>
      <c r="E97" s="5" t="inlineStr">
        <is>
          <t>Small Oyster Purple Snack Box</t>
        </is>
      </c>
      <c r="F97" s="4" t="inlineStr">
        <is>
          <t>Tupperware</t>
        </is>
      </c>
      <c r="G97" s="4" t="inlineStr">
        <is>
          <t>Homeware &gt; Kitchenware &gt; Tupperware</t>
        </is>
      </c>
      <c r="H97" s="4" t="inlineStr"/>
      <c r="I97" s="6" t="n">
        <v>40</v>
      </c>
      <c r="J97" s="7" t="n">
        <v>15</v>
      </c>
      <c r="K97" s="8">
        <f>IF(I97="","",I97*(1+J97/100))</f>
        <v/>
      </c>
      <c r="L97" s="6" t="n">
        <v>56</v>
      </c>
      <c r="M97" s="9">
        <f>IF(OR(L97="",K97="",L97=0),"",
  (L97-K97)/L97*100)</f>
        <v/>
      </c>
      <c r="N97" s="10" t="n">
        <v>1</v>
      </c>
      <c r="O97" s="4" t="inlineStr"/>
      <c r="P97" s="4" t="inlineStr"/>
      <c r="Q97" s="4" t="inlineStr"/>
      <c r="R97" s="4" t="inlineStr">
        <is>
          <t>2026-03-12</t>
        </is>
      </c>
      <c r="S97" s="4" t="inlineStr"/>
    </row>
    <row r="98">
      <c r="A98" s="3" t="inlineStr"/>
      <c r="B98" s="11" t="inlineStr"/>
      <c r="C98" s="11" t="inlineStr"/>
      <c r="D98" s="11" t="inlineStr"/>
      <c r="E98" s="11" t="inlineStr">
        <is>
          <t>3lt Canister - blue</t>
        </is>
      </c>
      <c r="F98" s="11" t="inlineStr">
        <is>
          <t>Tupperware</t>
        </is>
      </c>
      <c r="G98" s="11" t="inlineStr">
        <is>
          <t>Homeware &gt; Kitchenware &gt; Tupperware</t>
        </is>
      </c>
      <c r="H98" s="11" t="inlineStr"/>
      <c r="I98" s="12" t="n">
        <v>120</v>
      </c>
      <c r="J98" s="7" t="n">
        <v>15</v>
      </c>
      <c r="K98" s="8">
        <f>IF(I98="","",I98*(1+J98/100))</f>
        <v/>
      </c>
      <c r="L98" s="12" t="n">
        <v>168</v>
      </c>
      <c r="M98" s="9">
        <f>IF(OR(L98="",K98="",L98=0),"",
  (L98-K98)/L98*100)</f>
        <v/>
      </c>
      <c r="N98" s="13" t="inlineStr"/>
      <c r="O98" s="11" t="inlineStr"/>
      <c r="P98" s="11" t="inlineStr"/>
      <c r="Q98" s="11" t="inlineStr"/>
      <c r="R98" s="11" t="inlineStr">
        <is>
          <t>2026-03-12</t>
        </is>
      </c>
      <c r="S98" s="11" t="inlineStr"/>
    </row>
    <row r="99">
      <c r="A99" s="3" t="inlineStr"/>
      <c r="B99" s="4" t="inlineStr"/>
      <c r="C99" s="4" t="inlineStr"/>
      <c r="D99" s="4" t="inlineStr"/>
      <c r="E99" s="5" t="inlineStr">
        <is>
          <t>Signiture minis 450ml - Teal</t>
        </is>
      </c>
      <c r="F99" s="4" t="inlineStr">
        <is>
          <t>Tupperware</t>
        </is>
      </c>
      <c r="G99" s="4" t="inlineStr">
        <is>
          <t>Homeware &gt; Kitchenware &gt; Tupperware</t>
        </is>
      </c>
      <c r="H99" s="4" t="inlineStr"/>
      <c r="I99" s="6" t="n">
        <v>50</v>
      </c>
      <c r="J99" s="7" t="n">
        <v>15</v>
      </c>
      <c r="K99" s="8">
        <f>IF(I99="","",I99*(1+J99/100))</f>
        <v/>
      </c>
      <c r="L99" s="6" t="n">
        <v>70</v>
      </c>
      <c r="M99" s="9">
        <f>IF(OR(L99="",K99="",L99=0),"",
  (L99-K99)/L99*100)</f>
        <v/>
      </c>
      <c r="N99" s="13" t="inlineStr"/>
      <c r="O99" s="4" t="inlineStr"/>
      <c r="P99" s="4" t="inlineStr"/>
      <c r="Q99" s="4" t="inlineStr"/>
      <c r="R99" s="4" t="inlineStr">
        <is>
          <t>2026-03-12</t>
        </is>
      </c>
      <c r="S99" s="4" t="inlineStr"/>
    </row>
    <row r="100">
      <c r="A100" s="3" t="inlineStr"/>
      <c r="B100" s="11" t="inlineStr"/>
      <c r="C100" s="11" t="inlineStr"/>
      <c r="D100" s="11" t="inlineStr"/>
      <c r="E100" s="11" t="inlineStr">
        <is>
          <t>Aloha Mauve Burgendy 2lt Round</t>
        </is>
      </c>
      <c r="F100" s="11" t="inlineStr">
        <is>
          <t>Tupperware</t>
        </is>
      </c>
      <c r="G100" s="11" t="inlineStr">
        <is>
          <t>Homeware &gt; Kitchenware &gt; Tupperware</t>
        </is>
      </c>
      <c r="H100" s="11" t="inlineStr"/>
      <c r="I100" s="12" t="n">
        <v>120</v>
      </c>
      <c r="J100" s="7" t="n">
        <v>15</v>
      </c>
      <c r="K100" s="8">
        <f>IF(I100="","",I100*(1+J100/100))</f>
        <v/>
      </c>
      <c r="L100" s="12" t="n">
        <v>168</v>
      </c>
      <c r="M100" s="9">
        <f>IF(OR(L100="",K100="",L100=0),"",
  (L100-K100)/L100*100)</f>
        <v/>
      </c>
      <c r="N100" s="13" t="inlineStr"/>
      <c r="O100" s="11" t="inlineStr"/>
      <c r="P100" s="11" t="inlineStr"/>
      <c r="Q100" s="11" t="inlineStr"/>
      <c r="R100" s="11" t="inlineStr">
        <is>
          <t>2026-03-12</t>
        </is>
      </c>
      <c r="S100" s="11" t="inlineStr"/>
    </row>
    <row r="101">
      <c r="A101" s="3" t="inlineStr"/>
      <c r="B101" s="4" t="inlineStr"/>
      <c r="C101" s="4" t="inlineStr"/>
      <c r="D101" s="4" t="inlineStr"/>
      <c r="E101" s="5" t="inlineStr">
        <is>
          <t>Rectangular Crisper - Vent Smart</t>
        </is>
      </c>
      <c r="F101" s="4" t="inlineStr">
        <is>
          <t>Tupperware</t>
        </is>
      </c>
      <c r="G101" s="4" t="inlineStr">
        <is>
          <t>Homeware &gt; Kitchenware &gt; Tupperware</t>
        </is>
      </c>
      <c r="H101" s="4" t="inlineStr"/>
      <c r="I101" s="6" t="n">
        <v>150</v>
      </c>
      <c r="J101" s="7" t="n">
        <v>15</v>
      </c>
      <c r="K101" s="8">
        <f>IF(I101="","",I101*(1+J101/100))</f>
        <v/>
      </c>
      <c r="L101" s="6" t="n">
        <v>210</v>
      </c>
      <c r="M101" s="9">
        <f>IF(OR(L101="",K101="",L101=0),"",
  (L101-K101)/L101*100)</f>
        <v/>
      </c>
      <c r="N101" s="13" t="inlineStr"/>
      <c r="O101" s="4" t="inlineStr"/>
      <c r="P101" s="4" t="inlineStr"/>
      <c r="Q101" s="4" t="inlineStr"/>
      <c r="R101" s="4" t="inlineStr">
        <is>
          <t>2026-03-12</t>
        </is>
      </c>
      <c r="S101" s="4" t="inlineStr"/>
    </row>
    <row r="102">
      <c r="A102" s="3" t="inlineStr"/>
      <c r="B102" s="11" t="inlineStr"/>
      <c r="C102" s="11" t="inlineStr"/>
      <c r="D102" s="11" t="inlineStr"/>
      <c r="E102" s="11" t="inlineStr">
        <is>
          <t>That’s a bowl - 205lt Pink</t>
        </is>
      </c>
      <c r="F102" s="11" t="inlineStr">
        <is>
          <t>Tupperware</t>
        </is>
      </c>
      <c r="G102" s="11" t="inlineStr">
        <is>
          <t>Homeware &gt; Kitchenware &gt; Tupperware</t>
        </is>
      </c>
      <c r="H102" s="11" t="inlineStr"/>
      <c r="I102" s="12" t="n">
        <v>140</v>
      </c>
      <c r="J102" s="7" t="n">
        <v>15</v>
      </c>
      <c r="K102" s="8">
        <f>IF(I102="","",I102*(1+J102/100))</f>
        <v/>
      </c>
      <c r="L102" s="12" t="n">
        <v>196</v>
      </c>
      <c r="M102" s="9">
        <f>IF(OR(L102="",K102="",L102=0),"",
  (L102-K102)/L102*100)</f>
        <v/>
      </c>
      <c r="N102" s="13" t="inlineStr"/>
      <c r="O102" s="11" t="inlineStr"/>
      <c r="P102" s="11" t="inlineStr"/>
      <c r="Q102" s="11" t="inlineStr"/>
      <c r="R102" s="11" t="inlineStr">
        <is>
          <t>2026-03-12</t>
        </is>
      </c>
      <c r="S102" s="11" t="inlineStr"/>
    </row>
    <row r="103">
      <c r="A103" s="3" t="inlineStr"/>
      <c r="B103" s="4" t="inlineStr"/>
      <c r="C103" s="4" t="inlineStr"/>
      <c r="D103" s="4" t="inlineStr"/>
      <c r="E103" s="5" t="inlineStr">
        <is>
          <t>Flip Top Lunch Box - Blue -</t>
        </is>
      </c>
      <c r="F103" s="4" t="inlineStr">
        <is>
          <t>Tupperware</t>
        </is>
      </c>
      <c r="G103" s="4" t="inlineStr">
        <is>
          <t>Homeware &gt; Kitchenware &gt; Tupperware</t>
        </is>
      </c>
      <c r="H103" s="4" t="inlineStr"/>
      <c r="I103" s="6" t="n">
        <v>60</v>
      </c>
      <c r="J103" s="7" t="n">
        <v>15</v>
      </c>
      <c r="K103" s="8">
        <f>IF(I103="","",I103*(1+J103/100))</f>
        <v/>
      </c>
      <c r="L103" s="6" t="n">
        <v>84</v>
      </c>
      <c r="M103" s="9">
        <f>IF(OR(L103="",K103="",L103=0),"",
  (L103-K103)/L103*100)</f>
        <v/>
      </c>
      <c r="N103" s="10" t="n">
        <v>1</v>
      </c>
      <c r="O103" s="4" t="inlineStr"/>
      <c r="P103" s="4" t="inlineStr"/>
      <c r="Q103" s="4" t="inlineStr"/>
      <c r="R103" s="4" t="inlineStr">
        <is>
          <t>2026-03-12</t>
        </is>
      </c>
      <c r="S103" s="4" t="inlineStr"/>
    </row>
    <row r="104">
      <c r="A104" s="3" t="inlineStr"/>
      <c r="B104" s="11" t="inlineStr"/>
      <c r="C104" s="11" t="inlineStr"/>
      <c r="D104" s="11" t="inlineStr"/>
      <c r="E104" s="11" t="inlineStr">
        <is>
          <t>Cubix Square - Purple 650ml</t>
        </is>
      </c>
      <c r="F104" s="11" t="inlineStr">
        <is>
          <t>Tupperware</t>
        </is>
      </c>
      <c r="G104" s="11" t="inlineStr">
        <is>
          <t>Homeware &gt; Kitchenware &gt; Tupperware</t>
        </is>
      </c>
      <c r="H104" s="11" t="inlineStr"/>
      <c r="I104" s="12" t="n">
        <v>45</v>
      </c>
      <c r="J104" s="7" t="n">
        <v>15</v>
      </c>
      <c r="K104" s="8">
        <f>IF(I104="","",I104*(1+J104/100))</f>
        <v/>
      </c>
      <c r="L104" s="12" t="n">
        <v>62.99999999999999</v>
      </c>
      <c r="M104" s="9">
        <f>IF(OR(L104="",K104="",L104=0),"",
  (L104-K104)/L104*100)</f>
        <v/>
      </c>
      <c r="N104" s="14" t="n">
        <v>1</v>
      </c>
      <c r="O104" s="11" t="inlineStr"/>
      <c r="P104" s="11" t="inlineStr"/>
      <c r="Q104" s="11" t="inlineStr"/>
      <c r="R104" s="11" t="inlineStr">
        <is>
          <t>2026-03-12</t>
        </is>
      </c>
      <c r="S104" s="11" t="inlineStr"/>
    </row>
    <row r="105">
      <c r="A105" s="3" t="inlineStr"/>
      <c r="B105" s="4" t="inlineStr"/>
      <c r="C105" s="4" t="inlineStr"/>
      <c r="D105" s="4" t="inlineStr"/>
      <c r="E105" s="5" t="inlineStr">
        <is>
          <t>Expression Bowl - 2.5l - Pink</t>
        </is>
      </c>
      <c r="F105" s="4" t="inlineStr">
        <is>
          <t>Tupperware</t>
        </is>
      </c>
      <c r="G105" s="4" t="inlineStr">
        <is>
          <t>Homeware &gt; Kitchenware &gt; Tupperware</t>
        </is>
      </c>
      <c r="H105" s="4" t="inlineStr"/>
      <c r="I105" s="6" t="n">
        <v>120</v>
      </c>
      <c r="J105" s="7" t="n">
        <v>15</v>
      </c>
      <c r="K105" s="8">
        <f>IF(I105="","",I105*(1+J105/100))</f>
        <v/>
      </c>
      <c r="L105" s="6" t="n">
        <v>168</v>
      </c>
      <c r="M105" s="9">
        <f>IF(OR(L105="",K105="",L105=0),"",
  (L105-K105)/L105*100)</f>
        <v/>
      </c>
      <c r="N105" s="13" t="inlineStr"/>
      <c r="O105" s="4" t="inlineStr"/>
      <c r="P105" s="4" t="inlineStr"/>
      <c r="Q105" s="4" t="inlineStr"/>
      <c r="R105" s="4" t="inlineStr">
        <is>
          <t>2026-03-12</t>
        </is>
      </c>
      <c r="S105" s="4" t="inlineStr"/>
    </row>
    <row r="106">
      <c r="A106" s="3" t="inlineStr"/>
      <c r="B106" s="11" t="inlineStr"/>
      <c r="C106" s="11" t="inlineStr"/>
      <c r="D106" s="11" t="inlineStr"/>
      <c r="E106" s="11" t="inlineStr">
        <is>
          <t>Marinade Pink/Purple - season serve</t>
        </is>
      </c>
      <c r="F106" s="11" t="inlineStr">
        <is>
          <t>Tupperware</t>
        </is>
      </c>
      <c r="G106" s="11" t="inlineStr">
        <is>
          <t>Homeware &gt; Kitchenware &gt; Tupperware</t>
        </is>
      </c>
      <c r="H106" s="11" t="inlineStr"/>
      <c r="I106" s="12" t="n">
        <v>200</v>
      </c>
      <c r="J106" s="7" t="n">
        <v>15</v>
      </c>
      <c r="K106" s="8">
        <f>IF(I106="","",I106*(1+J106/100))</f>
        <v/>
      </c>
      <c r="L106" s="12" t="n">
        <v>280</v>
      </c>
      <c r="M106" s="9">
        <f>IF(OR(L106="",K106="",L106=0),"",
  (L106-K106)/L106*100)</f>
        <v/>
      </c>
      <c r="N106" s="13" t="inlineStr"/>
      <c r="O106" s="11" t="inlineStr"/>
      <c r="P106" s="11" t="inlineStr"/>
      <c r="Q106" s="11" t="inlineStr"/>
      <c r="R106" s="11" t="inlineStr">
        <is>
          <t>2026-03-12</t>
        </is>
      </c>
      <c r="S106" s="11" t="inlineStr"/>
    </row>
    <row r="107">
      <c r="A107" s="3" t="inlineStr"/>
      <c r="B107" s="4" t="inlineStr"/>
      <c r="C107" s="4" t="inlineStr"/>
      <c r="D107" s="4" t="inlineStr"/>
      <c r="E107" s="5" t="inlineStr">
        <is>
          <t>Spider man Div Lunch Box</t>
        </is>
      </c>
      <c r="F107" s="4" t="inlineStr">
        <is>
          <t>Tupperware</t>
        </is>
      </c>
      <c r="G107" s="4" t="inlineStr">
        <is>
          <t>Homeware &gt; Kitchenware &gt; Tupperware</t>
        </is>
      </c>
      <c r="H107" s="4" t="inlineStr"/>
      <c r="I107" s="6" t="n">
        <v>80</v>
      </c>
      <c r="J107" s="7" t="n">
        <v>15</v>
      </c>
      <c r="K107" s="8">
        <f>IF(I107="","",I107*(1+J107/100))</f>
        <v/>
      </c>
      <c r="L107" s="6" t="n">
        <v>112</v>
      </c>
      <c r="M107" s="9">
        <f>IF(OR(L107="",K107="",L107=0),"",
  (L107-K107)/L107*100)</f>
        <v/>
      </c>
      <c r="N107" s="13" t="inlineStr"/>
      <c r="O107" s="4" t="inlineStr"/>
      <c r="P107" s="4" t="inlineStr"/>
      <c r="Q107" s="4" t="inlineStr"/>
      <c r="R107" s="4" t="inlineStr">
        <is>
          <t>2026-03-12</t>
        </is>
      </c>
      <c r="S107" s="4" t="inlineStr"/>
    </row>
    <row r="108">
      <c r="A108" s="3" t="inlineStr"/>
      <c r="B108" s="11" t="inlineStr"/>
      <c r="C108" s="11" t="inlineStr"/>
      <c r="D108" s="11" t="inlineStr"/>
      <c r="E108" s="11" t="inlineStr">
        <is>
          <t>Snack Box - White/Purple Lid - 140ml - Set of 2</t>
        </is>
      </c>
      <c r="F108" s="11" t="inlineStr">
        <is>
          <t>Tupperware</t>
        </is>
      </c>
      <c r="G108" s="11" t="inlineStr">
        <is>
          <t>Homeware &gt; Kitchenware &gt; Tupperware</t>
        </is>
      </c>
      <c r="H108" s="11" t="inlineStr"/>
      <c r="I108" s="12" t="n">
        <v>60</v>
      </c>
      <c r="J108" s="7" t="n">
        <v>15</v>
      </c>
      <c r="K108" s="8">
        <f>IF(I108="","",I108*(1+J108/100))</f>
        <v/>
      </c>
      <c r="L108" s="12" t="n">
        <v>84</v>
      </c>
      <c r="M108" s="9">
        <f>IF(OR(L108="",K108="",L108=0),"",
  (L108-K108)/L108*100)</f>
        <v/>
      </c>
      <c r="N108" s="14" t="n">
        <v>2</v>
      </c>
      <c r="O108" s="11" t="inlineStr"/>
      <c r="P108" s="11" t="inlineStr"/>
      <c r="Q108" s="11" t="inlineStr"/>
      <c r="R108" s="11" t="inlineStr">
        <is>
          <t>2026-03-12</t>
        </is>
      </c>
      <c r="S108" s="11" t="inlineStr"/>
    </row>
    <row r="109">
      <c r="A109" s="3" t="n"/>
      <c r="B109" s="4" t="n"/>
      <c r="C109" s="4" t="n"/>
      <c r="D109" s="4" t="n"/>
      <c r="E109" s="3" t="n"/>
      <c r="F109" s="4" t="n"/>
      <c r="G109" s="4" t="n"/>
      <c r="H109" s="4" t="n"/>
      <c r="I109" s="3" t="n"/>
      <c r="J109" s="7" t="n">
        <v>15</v>
      </c>
      <c r="K109" s="8">
        <f>IF(I109="","",I109*(1+J109/100))</f>
        <v/>
      </c>
      <c r="L109" s="3" t="n"/>
      <c r="M109" s="9">
        <f>IF(OR(L109="",K109="",L109=0),"",
  (L109-K109)/L109*100)</f>
        <v/>
      </c>
      <c r="N109" s="3" t="n"/>
      <c r="O109" s="4" t="n"/>
      <c r="P109" s="4" t="n"/>
      <c r="Q109" s="4" t="n"/>
      <c r="R109" s="4" t="n"/>
      <c r="S109" s="4" t="n"/>
    </row>
    <row r="110">
      <c r="A110" s="3" t="n"/>
      <c r="B110" s="11" t="n"/>
      <c r="C110" s="11" t="n"/>
      <c r="D110" s="11" t="n"/>
      <c r="E110" s="3" t="n"/>
      <c r="F110" s="11" t="n"/>
      <c r="G110" s="11" t="n"/>
      <c r="H110" s="11" t="n"/>
      <c r="I110" s="3" t="n"/>
      <c r="J110" s="7" t="n">
        <v>15</v>
      </c>
      <c r="K110" s="8">
        <f>IF(I110="","",I110*(1+J110/100))</f>
        <v/>
      </c>
      <c r="L110" s="3" t="n"/>
      <c r="M110" s="9">
        <f>IF(OR(L110="",K110="",L110=0),"",
  (L110-K110)/L110*100)</f>
        <v/>
      </c>
      <c r="N110" s="3" t="n"/>
      <c r="O110" s="11" t="n"/>
      <c r="P110" s="11" t="n"/>
      <c r="Q110" s="11" t="n"/>
      <c r="R110" s="11" t="n"/>
      <c r="S110" s="11" t="n"/>
    </row>
    <row r="111">
      <c r="A111" s="3" t="n"/>
      <c r="B111" s="4" t="n"/>
      <c r="C111" s="4" t="n"/>
      <c r="D111" s="4" t="n"/>
      <c r="E111" s="3" t="n"/>
      <c r="F111" s="4" t="n"/>
      <c r="G111" s="4" t="n"/>
      <c r="H111" s="4" t="n"/>
      <c r="I111" s="3" t="n"/>
      <c r="J111" s="7" t="n">
        <v>15</v>
      </c>
      <c r="K111" s="8">
        <f>IF(I111="","",I111*(1+J111/100))</f>
        <v/>
      </c>
      <c r="L111" s="3" t="n"/>
      <c r="M111" s="9">
        <f>IF(OR(L111="",K111="",L111=0),"",
  (L111-K111)/L111*100)</f>
        <v/>
      </c>
      <c r="N111" s="3" t="n"/>
      <c r="O111" s="4" t="n"/>
      <c r="P111" s="4" t="n"/>
      <c r="Q111" s="4" t="n"/>
      <c r="R111" s="4" t="n"/>
      <c r="S111" s="4" t="n"/>
    </row>
    <row r="112">
      <c r="A112" s="3" t="n"/>
      <c r="B112" s="11" t="n"/>
      <c r="C112" s="11" t="n"/>
      <c r="D112" s="11" t="n"/>
      <c r="E112" s="3" t="n"/>
      <c r="F112" s="11" t="n"/>
      <c r="G112" s="11" t="n"/>
      <c r="H112" s="11" t="n"/>
      <c r="I112" s="3" t="n"/>
      <c r="J112" s="7" t="n">
        <v>15</v>
      </c>
      <c r="K112" s="8">
        <f>IF(I112="","",I112*(1+J112/100))</f>
        <v/>
      </c>
      <c r="L112" s="3" t="n"/>
      <c r="M112" s="9">
        <f>IF(OR(L112="",K112="",L112=0),"",
  (L112-K112)/L112*100)</f>
        <v/>
      </c>
      <c r="N112" s="3" t="n"/>
      <c r="O112" s="11" t="n"/>
      <c r="P112" s="11" t="n"/>
      <c r="Q112" s="11" t="n"/>
      <c r="R112" s="11" t="n"/>
      <c r="S112" s="11" t="n"/>
    </row>
    <row r="113">
      <c r="A113" s="3" t="n"/>
      <c r="B113" s="4" t="n"/>
      <c r="C113" s="4" t="n"/>
      <c r="D113" s="4" t="n"/>
      <c r="E113" s="3" t="n"/>
      <c r="F113" s="4" t="n"/>
      <c r="G113" s="4" t="n"/>
      <c r="H113" s="4" t="n"/>
      <c r="I113" s="3" t="n"/>
      <c r="J113" s="7" t="n">
        <v>15</v>
      </c>
      <c r="K113" s="8">
        <f>IF(I113="","",I113*(1+J113/100))</f>
        <v/>
      </c>
      <c r="L113" s="3" t="n"/>
      <c r="M113" s="9">
        <f>IF(OR(L113="",K113="",L113=0),"",
  (L113-K113)/L113*100)</f>
        <v/>
      </c>
      <c r="N113" s="3" t="n"/>
      <c r="O113" s="4" t="n"/>
      <c r="P113" s="4" t="n"/>
      <c r="Q113" s="4" t="n"/>
      <c r="R113" s="4" t="n"/>
      <c r="S113" s="4" t="n"/>
    </row>
    <row r="114">
      <c r="A114" s="3" t="n"/>
      <c r="B114" s="11" t="n"/>
      <c r="C114" s="11" t="n"/>
      <c r="D114" s="11" t="n"/>
      <c r="E114" s="3" t="n"/>
      <c r="F114" s="11" t="n"/>
      <c r="G114" s="11" t="n"/>
      <c r="H114" s="11" t="n"/>
      <c r="I114" s="3" t="n"/>
      <c r="J114" s="7" t="n">
        <v>15</v>
      </c>
      <c r="K114" s="8">
        <f>IF(I114="","",I114*(1+J114/100))</f>
        <v/>
      </c>
      <c r="L114" s="3" t="n"/>
      <c r="M114" s="9">
        <f>IF(OR(L114="",K114="",L114=0),"",
  (L114-K114)/L114*100)</f>
        <v/>
      </c>
      <c r="N114" s="3" t="n"/>
      <c r="O114" s="11" t="n"/>
      <c r="P114" s="11" t="n"/>
      <c r="Q114" s="11" t="n"/>
      <c r="R114" s="11" t="n"/>
      <c r="S114" s="11" t="n"/>
    </row>
    <row r="115">
      <c r="A115" s="3" t="n"/>
      <c r="B115" s="4" t="n"/>
      <c r="C115" s="4" t="n"/>
      <c r="D115" s="4" t="n"/>
      <c r="E115" s="3" t="n"/>
      <c r="F115" s="4" t="n"/>
      <c r="G115" s="4" t="n"/>
      <c r="H115" s="4" t="n"/>
      <c r="I115" s="3" t="n"/>
      <c r="J115" s="7" t="n">
        <v>15</v>
      </c>
      <c r="K115" s="8">
        <f>IF(I115="","",I115*(1+J115/100))</f>
        <v/>
      </c>
      <c r="L115" s="3" t="n"/>
      <c r="M115" s="9">
        <f>IF(OR(L115="",K115="",L115=0),"",
  (L115-K115)/L115*100)</f>
        <v/>
      </c>
      <c r="N115" s="3" t="n"/>
      <c r="O115" s="4" t="n"/>
      <c r="P115" s="4" t="n"/>
      <c r="Q115" s="4" t="n"/>
      <c r="R115" s="4" t="n"/>
      <c r="S115" s="4" t="n"/>
    </row>
    <row r="116">
      <c r="A116" s="3" t="n"/>
      <c r="B116" s="11" t="n"/>
      <c r="C116" s="11" t="n"/>
      <c r="D116" s="11" t="n"/>
      <c r="E116" s="3" t="n"/>
      <c r="F116" s="11" t="n"/>
      <c r="G116" s="11" t="n"/>
      <c r="H116" s="11" t="n"/>
      <c r="I116" s="3" t="n"/>
      <c r="J116" s="7" t="n">
        <v>15</v>
      </c>
      <c r="K116" s="8">
        <f>IF(I116="","",I116*(1+J116/100))</f>
        <v/>
      </c>
      <c r="L116" s="3" t="n"/>
      <c r="M116" s="9">
        <f>IF(OR(L116="",K116="",L116=0),"",
  (L116-K116)/L116*100)</f>
        <v/>
      </c>
      <c r="N116" s="3" t="n"/>
      <c r="O116" s="11" t="n"/>
      <c r="P116" s="11" t="n"/>
      <c r="Q116" s="11" t="n"/>
      <c r="R116" s="11" t="n"/>
      <c r="S116" s="11" t="n"/>
    </row>
    <row r="117">
      <c r="A117" s="3" t="n"/>
      <c r="B117" s="4" t="n"/>
      <c r="C117" s="4" t="n"/>
      <c r="D117" s="4" t="n"/>
      <c r="E117" s="3" t="n"/>
      <c r="F117" s="4" t="n"/>
      <c r="G117" s="4" t="n"/>
      <c r="H117" s="4" t="n"/>
      <c r="I117" s="3" t="n"/>
      <c r="J117" s="7" t="n">
        <v>15</v>
      </c>
      <c r="K117" s="8">
        <f>IF(I117="","",I117*(1+J117/100))</f>
        <v/>
      </c>
      <c r="L117" s="3" t="n"/>
      <c r="M117" s="9">
        <f>IF(OR(L117="",K117="",L117=0),"",
  (L117-K117)/L117*100)</f>
        <v/>
      </c>
      <c r="N117" s="3" t="n"/>
      <c r="O117" s="4" t="n"/>
      <c r="P117" s="4" t="n"/>
      <c r="Q117" s="4" t="n"/>
      <c r="R117" s="4" t="n"/>
      <c r="S117" s="4" t="n"/>
    </row>
    <row r="118">
      <c r="A118" s="3" t="n"/>
      <c r="B118" s="11" t="n"/>
      <c r="C118" s="11" t="n"/>
      <c r="D118" s="11" t="n"/>
      <c r="E118" s="3" t="n"/>
      <c r="F118" s="11" t="n"/>
      <c r="G118" s="11" t="n"/>
      <c r="H118" s="11" t="n"/>
      <c r="I118" s="3" t="n"/>
      <c r="J118" s="7" t="n">
        <v>15</v>
      </c>
      <c r="K118" s="8">
        <f>IF(I118="","",I118*(1+J118/100))</f>
        <v/>
      </c>
      <c r="L118" s="3" t="n"/>
      <c r="M118" s="9">
        <f>IF(OR(L118="",K118="",L118=0),"",
  (L118-K118)/L118*100)</f>
        <v/>
      </c>
      <c r="N118" s="3" t="n"/>
      <c r="O118" s="11" t="n"/>
      <c r="P118" s="11" t="n"/>
      <c r="Q118" s="11" t="n"/>
      <c r="R118" s="11" t="n"/>
      <c r="S118" s="11" t="n"/>
    </row>
    <row r="119">
      <c r="A119" s="3" t="n"/>
      <c r="B119" s="4" t="n"/>
      <c r="C119" s="4" t="n"/>
      <c r="D119" s="4" t="n"/>
      <c r="E119" s="3" t="n"/>
      <c r="F119" s="4" t="n"/>
      <c r="G119" s="4" t="n"/>
      <c r="H119" s="4" t="n"/>
      <c r="I119" s="3" t="n"/>
      <c r="J119" s="7" t="n">
        <v>15</v>
      </c>
      <c r="K119" s="8">
        <f>IF(I119="","",I119*(1+J119/100))</f>
        <v/>
      </c>
      <c r="L119" s="3" t="n"/>
      <c r="M119" s="9">
        <f>IF(OR(L119="",K119="",L119=0),"",
  (L119-K119)/L119*100)</f>
        <v/>
      </c>
      <c r="N119" s="3" t="n"/>
      <c r="O119" s="4" t="n"/>
      <c r="P119" s="4" t="n"/>
      <c r="Q119" s="4" t="n"/>
      <c r="R119" s="4" t="n"/>
      <c r="S119" s="4" t="n"/>
    </row>
    <row r="120">
      <c r="A120" s="3" t="n"/>
      <c r="B120" s="11" t="n"/>
      <c r="C120" s="11" t="n"/>
      <c r="D120" s="11" t="n"/>
      <c r="E120" s="3" t="n"/>
      <c r="F120" s="11" t="n"/>
      <c r="G120" s="11" t="n"/>
      <c r="H120" s="11" t="n"/>
      <c r="I120" s="3" t="n"/>
      <c r="J120" s="7" t="n">
        <v>15</v>
      </c>
      <c r="K120" s="8">
        <f>IF(I120="","",I120*(1+J120/100))</f>
        <v/>
      </c>
      <c r="L120" s="3" t="n"/>
      <c r="M120" s="9">
        <f>IF(OR(L120="",K120="",L120=0),"",
  (L120-K120)/L120*100)</f>
        <v/>
      </c>
      <c r="N120" s="3" t="n"/>
      <c r="O120" s="11" t="n"/>
      <c r="P120" s="11" t="n"/>
      <c r="Q120" s="11" t="n"/>
      <c r="R120" s="11" t="n"/>
      <c r="S120" s="11" t="n"/>
    </row>
    <row r="121">
      <c r="A121" s="3" t="n"/>
      <c r="B121" s="4" t="n"/>
      <c r="C121" s="4" t="n"/>
      <c r="D121" s="4" t="n"/>
      <c r="E121" s="3" t="n"/>
      <c r="F121" s="4" t="n"/>
      <c r="G121" s="4" t="n"/>
      <c r="H121" s="4" t="n"/>
      <c r="I121" s="3" t="n"/>
      <c r="J121" s="7" t="n">
        <v>15</v>
      </c>
      <c r="K121" s="8">
        <f>IF(I121="","",I121*(1+J121/100))</f>
        <v/>
      </c>
      <c r="L121" s="3" t="n"/>
      <c r="M121" s="9">
        <f>IF(OR(L121="",K121="",L121=0),"",
  (L121-K121)/L121*100)</f>
        <v/>
      </c>
      <c r="N121" s="3" t="n"/>
      <c r="O121" s="4" t="n"/>
      <c r="P121" s="4" t="n"/>
      <c r="Q121" s="4" t="n"/>
      <c r="R121" s="4" t="n"/>
      <c r="S121" s="4" t="n"/>
    </row>
    <row r="122">
      <c r="A122" s="3" t="n"/>
      <c r="B122" s="11" t="n"/>
      <c r="C122" s="11" t="n"/>
      <c r="D122" s="11" t="n"/>
      <c r="E122" s="3" t="n"/>
      <c r="F122" s="11" t="n"/>
      <c r="G122" s="11" t="n"/>
      <c r="H122" s="11" t="n"/>
      <c r="I122" s="3" t="n"/>
      <c r="J122" s="7" t="n">
        <v>15</v>
      </c>
      <c r="K122" s="8">
        <f>IF(I122="","",I122*(1+J122/100))</f>
        <v/>
      </c>
      <c r="L122" s="3" t="n"/>
      <c r="M122" s="9">
        <f>IF(OR(L122="",K122="",L122=0),"",
  (L122-K122)/L122*100)</f>
        <v/>
      </c>
      <c r="N122" s="3" t="n"/>
      <c r="O122" s="11" t="n"/>
      <c r="P122" s="11" t="n"/>
      <c r="Q122" s="11" t="n"/>
      <c r="R122" s="11" t="n"/>
      <c r="S122" s="11" t="n"/>
    </row>
    <row r="123">
      <c r="A123" s="3" t="n"/>
      <c r="B123" s="4" t="n"/>
      <c r="C123" s="4" t="n"/>
      <c r="D123" s="4" t="n"/>
      <c r="E123" s="3" t="n"/>
      <c r="F123" s="4" t="n"/>
      <c r="G123" s="4" t="n"/>
      <c r="H123" s="4" t="n"/>
      <c r="I123" s="3" t="n"/>
      <c r="J123" s="7" t="n">
        <v>15</v>
      </c>
      <c r="K123" s="8">
        <f>IF(I123="","",I123*(1+J123/100))</f>
        <v/>
      </c>
      <c r="L123" s="3" t="n"/>
      <c r="M123" s="9">
        <f>IF(OR(L123="",K123="",L123=0),"",
  (L123-K123)/L123*100)</f>
        <v/>
      </c>
      <c r="N123" s="3" t="n"/>
      <c r="O123" s="4" t="n"/>
      <c r="P123" s="4" t="n"/>
      <c r="Q123" s="4" t="n"/>
      <c r="R123" s="4" t="n"/>
      <c r="S123" s="4" t="n"/>
    </row>
    <row r="124">
      <c r="A124" s="3" t="n"/>
      <c r="B124" s="11" t="n"/>
      <c r="C124" s="11" t="n"/>
      <c r="D124" s="11" t="n"/>
      <c r="E124" s="3" t="n"/>
      <c r="F124" s="11" t="n"/>
      <c r="G124" s="11" t="n"/>
      <c r="H124" s="11" t="n"/>
      <c r="I124" s="3" t="n"/>
      <c r="J124" s="7" t="n">
        <v>15</v>
      </c>
      <c r="K124" s="8">
        <f>IF(I124="","",I124*(1+J124/100))</f>
        <v/>
      </c>
      <c r="L124" s="3" t="n"/>
      <c r="M124" s="9">
        <f>IF(OR(L124="",K124="",L124=0),"",
  (L124-K124)/L124*100)</f>
        <v/>
      </c>
      <c r="N124" s="3" t="n"/>
      <c r="O124" s="11" t="n"/>
      <c r="P124" s="11" t="n"/>
      <c r="Q124" s="11" t="n"/>
      <c r="R124" s="11" t="n"/>
      <c r="S124" s="11" t="n"/>
    </row>
    <row r="125">
      <c r="A125" s="3" t="n"/>
      <c r="B125" s="4" t="n"/>
      <c r="C125" s="4" t="n"/>
      <c r="D125" s="4" t="n"/>
      <c r="E125" s="3" t="n"/>
      <c r="F125" s="4" t="n"/>
      <c r="G125" s="4" t="n"/>
      <c r="H125" s="4" t="n"/>
      <c r="I125" s="3" t="n"/>
      <c r="J125" s="7" t="n">
        <v>15</v>
      </c>
      <c r="K125" s="8">
        <f>IF(I125="","",I125*(1+J125/100))</f>
        <v/>
      </c>
      <c r="L125" s="3" t="n"/>
      <c r="M125" s="9">
        <f>IF(OR(L125="",K125="",L125=0),"",
  (L125-K125)/L125*100)</f>
        <v/>
      </c>
      <c r="N125" s="3" t="n"/>
      <c r="O125" s="4" t="n"/>
      <c r="P125" s="4" t="n"/>
      <c r="Q125" s="4" t="n"/>
      <c r="R125" s="4" t="n"/>
      <c r="S125" s="4" t="n"/>
    </row>
    <row r="126">
      <c r="A126" s="3" t="n"/>
      <c r="B126" s="11" t="n"/>
      <c r="C126" s="11" t="n"/>
      <c r="D126" s="11" t="n"/>
      <c r="E126" s="3" t="n"/>
      <c r="F126" s="11" t="n"/>
      <c r="G126" s="11" t="n"/>
      <c r="H126" s="11" t="n"/>
      <c r="I126" s="3" t="n"/>
      <c r="J126" s="7" t="n">
        <v>15</v>
      </c>
      <c r="K126" s="8">
        <f>IF(I126="","",I126*(1+J126/100))</f>
        <v/>
      </c>
      <c r="L126" s="3" t="n"/>
      <c r="M126" s="9">
        <f>IF(OR(L126="",K126="",L126=0),"",
  (L126-K126)/L126*100)</f>
        <v/>
      </c>
      <c r="N126" s="3" t="n"/>
      <c r="O126" s="11" t="n"/>
      <c r="P126" s="11" t="n"/>
      <c r="Q126" s="11" t="n"/>
      <c r="R126" s="11" t="n"/>
      <c r="S126" s="11" t="n"/>
    </row>
    <row r="127">
      <c r="A127" s="3" t="n"/>
      <c r="B127" s="4" t="n"/>
      <c r="C127" s="4" t="n"/>
      <c r="D127" s="4" t="n"/>
      <c r="E127" s="3" t="n"/>
      <c r="F127" s="4" t="n"/>
      <c r="G127" s="4" t="n"/>
      <c r="H127" s="4" t="n"/>
      <c r="I127" s="3" t="n"/>
      <c r="J127" s="7" t="n">
        <v>15</v>
      </c>
      <c r="K127" s="8">
        <f>IF(I127="","",I127*(1+J127/100))</f>
        <v/>
      </c>
      <c r="L127" s="3" t="n"/>
      <c r="M127" s="9">
        <f>IF(OR(L127="",K127="",L127=0),"",
  (L127-K127)/L127*100)</f>
        <v/>
      </c>
      <c r="N127" s="3" t="n"/>
      <c r="O127" s="4" t="n"/>
      <c r="P127" s="4" t="n"/>
      <c r="Q127" s="4" t="n"/>
      <c r="R127" s="4" t="n"/>
      <c r="S127" s="4" t="n"/>
    </row>
    <row r="128">
      <c r="A128" s="3" t="n"/>
      <c r="B128" s="11" t="n"/>
      <c r="C128" s="11" t="n"/>
      <c r="D128" s="11" t="n"/>
      <c r="E128" s="3" t="n"/>
      <c r="F128" s="11" t="n"/>
      <c r="G128" s="11" t="n"/>
      <c r="H128" s="11" t="n"/>
      <c r="I128" s="3" t="n"/>
      <c r="J128" s="7" t="n">
        <v>15</v>
      </c>
      <c r="K128" s="8">
        <f>IF(I128="","",I128*(1+J128/100))</f>
        <v/>
      </c>
      <c r="L128" s="3" t="n"/>
      <c r="M128" s="9">
        <f>IF(OR(L128="",K128="",L128=0),"",
  (L128-K128)/L128*100)</f>
        <v/>
      </c>
      <c r="N128" s="3" t="n"/>
      <c r="O128" s="11" t="n"/>
      <c r="P128" s="11" t="n"/>
      <c r="Q128" s="11" t="n"/>
      <c r="R128" s="11" t="n"/>
      <c r="S128" s="11" t="n"/>
    </row>
    <row r="129">
      <c r="A129" s="3" t="n"/>
      <c r="B129" s="4" t="n"/>
      <c r="C129" s="4" t="n"/>
      <c r="D129" s="4" t="n"/>
      <c r="E129" s="3" t="n"/>
      <c r="F129" s="4" t="n"/>
      <c r="G129" s="4" t="n"/>
      <c r="H129" s="4" t="n"/>
      <c r="I129" s="3" t="n"/>
      <c r="J129" s="7" t="n">
        <v>15</v>
      </c>
      <c r="K129" s="8">
        <f>IF(I129="","",I129*(1+J129/100))</f>
        <v/>
      </c>
      <c r="L129" s="3" t="n"/>
      <c r="M129" s="9">
        <f>IF(OR(L129="",K129="",L129=0),"",
  (L129-K129)/L129*100)</f>
        <v/>
      </c>
      <c r="N129" s="3" t="n"/>
      <c r="O129" s="4" t="n"/>
      <c r="P129" s="4" t="n"/>
      <c r="Q129" s="4" t="n"/>
      <c r="R129" s="4" t="n"/>
      <c r="S129" s="4" t="n"/>
    </row>
    <row r="130">
      <c r="A130" s="3" t="n"/>
      <c r="B130" s="11" t="n"/>
      <c r="C130" s="11" t="n"/>
      <c r="D130" s="11" t="n"/>
      <c r="E130" s="3" t="n"/>
      <c r="F130" s="11" t="n"/>
      <c r="G130" s="11" t="n"/>
      <c r="H130" s="11" t="n"/>
      <c r="I130" s="3" t="n"/>
      <c r="J130" s="7" t="n">
        <v>15</v>
      </c>
      <c r="K130" s="8">
        <f>IF(I130="","",I130*(1+J130/100))</f>
        <v/>
      </c>
      <c r="L130" s="3" t="n"/>
      <c r="M130" s="9">
        <f>IF(OR(L130="",K130="",L130=0),"",
  (L130-K130)/L130*100)</f>
        <v/>
      </c>
      <c r="N130" s="3" t="n"/>
      <c r="O130" s="11" t="n"/>
      <c r="P130" s="11" t="n"/>
      <c r="Q130" s="11" t="n"/>
      <c r="R130" s="11" t="n"/>
      <c r="S130" s="11" t="n"/>
    </row>
    <row r="131">
      <c r="A131" s="3" t="n"/>
      <c r="B131" s="4" t="n"/>
      <c r="C131" s="4" t="n"/>
      <c r="D131" s="4" t="n"/>
      <c r="E131" s="3" t="n"/>
      <c r="F131" s="4" t="n"/>
      <c r="G131" s="4" t="n"/>
      <c r="H131" s="4" t="n"/>
      <c r="I131" s="3" t="n"/>
      <c r="J131" s="7" t="n">
        <v>15</v>
      </c>
      <c r="K131" s="8">
        <f>IF(I131="","",I131*(1+J131/100))</f>
        <v/>
      </c>
      <c r="L131" s="3" t="n"/>
      <c r="M131" s="9">
        <f>IF(OR(L131="",K131="",L131=0),"",
  (L131-K131)/L131*100)</f>
        <v/>
      </c>
      <c r="N131" s="3" t="n"/>
      <c r="O131" s="4" t="n"/>
      <c r="P131" s="4" t="n"/>
      <c r="Q131" s="4" t="n"/>
      <c r="R131" s="4" t="n"/>
      <c r="S131" s="4" t="n"/>
    </row>
    <row r="132">
      <c r="A132" s="3" t="n"/>
      <c r="B132" s="11" t="n"/>
      <c r="C132" s="11" t="n"/>
      <c r="D132" s="11" t="n"/>
      <c r="E132" s="3" t="n"/>
      <c r="F132" s="11" t="n"/>
      <c r="G132" s="11" t="n"/>
      <c r="H132" s="11" t="n"/>
      <c r="I132" s="3" t="n"/>
      <c r="J132" s="7" t="n">
        <v>15</v>
      </c>
      <c r="K132" s="8">
        <f>IF(I132="","",I132*(1+J132/100))</f>
        <v/>
      </c>
      <c r="L132" s="3" t="n"/>
      <c r="M132" s="9">
        <f>IF(OR(L132="",K132="",L132=0),"",
  (L132-K132)/L132*100)</f>
        <v/>
      </c>
      <c r="N132" s="3" t="n"/>
      <c r="O132" s="11" t="n"/>
      <c r="P132" s="11" t="n"/>
      <c r="Q132" s="11" t="n"/>
      <c r="R132" s="11" t="n"/>
      <c r="S132" s="11" t="n"/>
    </row>
    <row r="133">
      <c r="A133" s="3" t="n"/>
      <c r="B133" s="4" t="n"/>
      <c r="C133" s="4" t="n"/>
      <c r="D133" s="4" t="n"/>
      <c r="E133" s="3" t="n"/>
      <c r="F133" s="4" t="n"/>
      <c r="G133" s="4" t="n"/>
      <c r="H133" s="4" t="n"/>
      <c r="I133" s="3" t="n"/>
      <c r="J133" s="7" t="n">
        <v>15</v>
      </c>
      <c r="K133" s="8">
        <f>IF(I133="","",I133*(1+J133/100))</f>
        <v/>
      </c>
      <c r="L133" s="3" t="n"/>
      <c r="M133" s="9">
        <f>IF(OR(L133="",K133="",L133=0),"",
  (L133-K133)/L133*100)</f>
        <v/>
      </c>
      <c r="N133" s="3" t="n"/>
      <c r="O133" s="4" t="n"/>
      <c r="P133" s="4" t="n"/>
      <c r="Q133" s="4" t="n"/>
      <c r="R133" s="4" t="n"/>
      <c r="S133" s="4" t="n"/>
    </row>
    <row r="134">
      <c r="A134" s="3" t="n"/>
      <c r="B134" s="11" t="n"/>
      <c r="C134" s="11" t="n"/>
      <c r="D134" s="11" t="n"/>
      <c r="E134" s="3" t="n"/>
      <c r="F134" s="11" t="n"/>
      <c r="G134" s="11" t="n"/>
      <c r="H134" s="11" t="n"/>
      <c r="I134" s="3" t="n"/>
      <c r="J134" s="7" t="n">
        <v>15</v>
      </c>
      <c r="K134" s="8">
        <f>IF(I134="","",I134*(1+J134/100))</f>
        <v/>
      </c>
      <c r="L134" s="3" t="n"/>
      <c r="M134" s="9">
        <f>IF(OR(L134="",K134="",L134=0),"",
  (L134-K134)/L134*100)</f>
        <v/>
      </c>
      <c r="N134" s="3" t="n"/>
      <c r="O134" s="11" t="n"/>
      <c r="P134" s="11" t="n"/>
      <c r="Q134" s="11" t="n"/>
      <c r="R134" s="11" t="n"/>
      <c r="S134" s="11" t="n"/>
    </row>
    <row r="135">
      <c r="A135" s="3" t="n"/>
      <c r="B135" s="4" t="n"/>
      <c r="C135" s="4" t="n"/>
      <c r="D135" s="4" t="n"/>
      <c r="E135" s="3" t="n"/>
      <c r="F135" s="4" t="n"/>
      <c r="G135" s="4" t="n"/>
      <c r="H135" s="4" t="n"/>
      <c r="I135" s="3" t="n"/>
      <c r="J135" s="7" t="n">
        <v>15</v>
      </c>
      <c r="K135" s="8">
        <f>IF(I135="","",I135*(1+J135/100))</f>
        <v/>
      </c>
      <c r="L135" s="3" t="n"/>
      <c r="M135" s="9">
        <f>IF(OR(L135="",K135="",L135=0),"",
  (L135-K135)/L135*100)</f>
        <v/>
      </c>
      <c r="N135" s="3" t="n"/>
      <c r="O135" s="4" t="n"/>
      <c r="P135" s="4" t="n"/>
      <c r="Q135" s="4" t="n"/>
      <c r="R135" s="4" t="n"/>
      <c r="S135" s="4" t="n"/>
    </row>
    <row r="136">
      <c r="A136" s="3" t="n"/>
      <c r="B136" s="11" t="n"/>
      <c r="C136" s="11" t="n"/>
      <c r="D136" s="11" t="n"/>
      <c r="E136" s="3" t="n"/>
      <c r="F136" s="11" t="n"/>
      <c r="G136" s="11" t="n"/>
      <c r="H136" s="11" t="n"/>
      <c r="I136" s="3" t="n"/>
      <c r="J136" s="7" t="n">
        <v>15</v>
      </c>
      <c r="K136" s="8">
        <f>IF(I136="","",I136*(1+J136/100))</f>
        <v/>
      </c>
      <c r="L136" s="3" t="n"/>
      <c r="M136" s="9">
        <f>IF(OR(L136="",K136="",L136=0),"",
  (L136-K136)/L136*100)</f>
        <v/>
      </c>
      <c r="N136" s="3" t="n"/>
      <c r="O136" s="11" t="n"/>
      <c r="P136" s="11" t="n"/>
      <c r="Q136" s="11" t="n"/>
      <c r="R136" s="11" t="n"/>
      <c r="S136" s="11" t="n"/>
    </row>
    <row r="137">
      <c r="A137" s="3" t="n"/>
      <c r="B137" s="4" t="n"/>
      <c r="C137" s="4" t="n"/>
      <c r="D137" s="4" t="n"/>
      <c r="E137" s="3" t="n"/>
      <c r="F137" s="4" t="n"/>
      <c r="G137" s="4" t="n"/>
      <c r="H137" s="4" t="n"/>
      <c r="I137" s="3" t="n"/>
      <c r="J137" s="7" t="n">
        <v>15</v>
      </c>
      <c r="K137" s="8">
        <f>IF(I137="","",I137*(1+J137/100))</f>
        <v/>
      </c>
      <c r="L137" s="3" t="n"/>
      <c r="M137" s="9">
        <f>IF(OR(L137="",K137="",L137=0),"",
  (L137-K137)/L137*100)</f>
        <v/>
      </c>
      <c r="N137" s="3" t="n"/>
      <c r="O137" s="4" t="n"/>
      <c r="P137" s="4" t="n"/>
      <c r="Q137" s="4" t="n"/>
      <c r="R137" s="4" t="n"/>
      <c r="S137" s="4" t="n"/>
    </row>
    <row r="138">
      <c r="A138" s="3" t="n"/>
      <c r="B138" s="11" t="n"/>
      <c r="C138" s="11" t="n"/>
      <c r="D138" s="11" t="n"/>
      <c r="E138" s="3" t="n"/>
      <c r="F138" s="11" t="n"/>
      <c r="G138" s="11" t="n"/>
      <c r="H138" s="11" t="n"/>
      <c r="I138" s="3" t="n"/>
      <c r="J138" s="7" t="n">
        <v>15</v>
      </c>
      <c r="K138" s="8">
        <f>IF(I138="","",I138*(1+J138/100))</f>
        <v/>
      </c>
      <c r="L138" s="3" t="n"/>
      <c r="M138" s="9">
        <f>IF(OR(L138="",K138="",L138=0),"",
  (L138-K138)/L138*100)</f>
        <v/>
      </c>
      <c r="N138" s="3" t="n"/>
      <c r="O138" s="11" t="n"/>
      <c r="P138" s="11" t="n"/>
      <c r="Q138" s="11" t="n"/>
      <c r="R138" s="11" t="n"/>
      <c r="S138" s="11" t="n"/>
    </row>
    <row r="139">
      <c r="A139" s="3" t="n"/>
      <c r="B139" s="4" t="n"/>
      <c r="C139" s="4" t="n"/>
      <c r="D139" s="4" t="n"/>
      <c r="E139" s="3" t="n"/>
      <c r="F139" s="4" t="n"/>
      <c r="G139" s="4" t="n"/>
      <c r="H139" s="4" t="n"/>
      <c r="I139" s="3" t="n"/>
      <c r="J139" s="7" t="n">
        <v>15</v>
      </c>
      <c r="K139" s="8">
        <f>IF(I139="","",I139*(1+J139/100))</f>
        <v/>
      </c>
      <c r="L139" s="3" t="n"/>
      <c r="M139" s="9">
        <f>IF(OR(L139="",K139="",L139=0),"",
  (L139-K139)/L139*100)</f>
        <v/>
      </c>
      <c r="N139" s="3" t="n"/>
      <c r="O139" s="4" t="n"/>
      <c r="P139" s="4" t="n"/>
      <c r="Q139" s="4" t="n"/>
      <c r="R139" s="4" t="n"/>
      <c r="S139" s="4" t="n"/>
    </row>
    <row r="140">
      <c r="A140" s="3" t="n"/>
      <c r="B140" s="11" t="n"/>
      <c r="C140" s="11" t="n"/>
      <c r="D140" s="11" t="n"/>
      <c r="E140" s="3" t="n"/>
      <c r="F140" s="11" t="n"/>
      <c r="G140" s="11" t="n"/>
      <c r="H140" s="11" t="n"/>
      <c r="I140" s="3" t="n"/>
      <c r="J140" s="7" t="n">
        <v>15</v>
      </c>
      <c r="K140" s="8">
        <f>IF(I140="","",I140*(1+J140/100))</f>
        <v/>
      </c>
      <c r="L140" s="3" t="n"/>
      <c r="M140" s="9">
        <f>IF(OR(L140="",K140="",L140=0),"",
  (L140-K140)/L140*100)</f>
        <v/>
      </c>
      <c r="N140" s="3" t="n"/>
      <c r="O140" s="11" t="n"/>
      <c r="P140" s="11" t="n"/>
      <c r="Q140" s="11" t="n"/>
      <c r="R140" s="11" t="n"/>
      <c r="S140" s="11" t="n"/>
    </row>
    <row r="141">
      <c r="A141" s="3" t="n"/>
      <c r="B141" s="4" t="n"/>
      <c r="C141" s="4" t="n"/>
      <c r="D141" s="4" t="n"/>
      <c r="E141" s="3" t="n"/>
      <c r="F141" s="4" t="n"/>
      <c r="G141" s="4" t="n"/>
      <c r="H141" s="4" t="n"/>
      <c r="I141" s="3" t="n"/>
      <c r="J141" s="7" t="n">
        <v>15</v>
      </c>
      <c r="K141" s="8">
        <f>IF(I141="","",I141*(1+J141/100))</f>
        <v/>
      </c>
      <c r="L141" s="3" t="n"/>
      <c r="M141" s="9">
        <f>IF(OR(L141="",K141="",L141=0),"",
  (L141-K141)/L141*100)</f>
        <v/>
      </c>
      <c r="N141" s="3" t="n"/>
      <c r="O141" s="4" t="n"/>
      <c r="P141" s="4" t="n"/>
      <c r="Q141" s="4" t="n"/>
      <c r="R141" s="4" t="n"/>
      <c r="S141" s="4" t="n"/>
    </row>
    <row r="142">
      <c r="A142" s="3" t="n"/>
      <c r="B142" s="11" t="n"/>
      <c r="C142" s="11" t="n"/>
      <c r="D142" s="11" t="n"/>
      <c r="E142" s="3" t="n"/>
      <c r="F142" s="11" t="n"/>
      <c r="G142" s="11" t="n"/>
      <c r="H142" s="11" t="n"/>
      <c r="I142" s="3" t="n"/>
      <c r="J142" s="7" t="n">
        <v>15</v>
      </c>
      <c r="K142" s="8">
        <f>IF(I142="","",I142*(1+J142/100))</f>
        <v/>
      </c>
      <c r="L142" s="3" t="n"/>
      <c r="M142" s="9">
        <f>IF(OR(L142="",K142="",L142=0),"",
  (L142-K142)/L142*100)</f>
        <v/>
      </c>
      <c r="N142" s="3" t="n"/>
      <c r="O142" s="11" t="n"/>
      <c r="P142" s="11" t="n"/>
      <c r="Q142" s="11" t="n"/>
      <c r="R142" s="11" t="n"/>
      <c r="S142" s="11" t="n"/>
    </row>
    <row r="143">
      <c r="A143" s="3" t="n"/>
      <c r="B143" s="4" t="n"/>
      <c r="C143" s="4" t="n"/>
      <c r="D143" s="4" t="n"/>
      <c r="E143" s="3" t="n"/>
      <c r="F143" s="4" t="n"/>
      <c r="G143" s="4" t="n"/>
      <c r="H143" s="4" t="n"/>
      <c r="I143" s="3" t="n"/>
      <c r="J143" s="7" t="n">
        <v>15</v>
      </c>
      <c r="K143" s="8">
        <f>IF(I143="","",I143*(1+J143/100))</f>
        <v/>
      </c>
      <c r="L143" s="3" t="n"/>
      <c r="M143" s="9">
        <f>IF(OR(L143="",K143="",L143=0),"",
  (L143-K143)/L143*100)</f>
        <v/>
      </c>
      <c r="N143" s="3" t="n"/>
      <c r="O143" s="4" t="n"/>
      <c r="P143" s="4" t="n"/>
      <c r="Q143" s="4" t="n"/>
      <c r="R143" s="4" t="n"/>
      <c r="S143" s="4" t="n"/>
    </row>
    <row r="144">
      <c r="A144" s="3" t="n"/>
      <c r="B144" s="11" t="n"/>
      <c r="C144" s="11" t="n"/>
      <c r="D144" s="11" t="n"/>
      <c r="E144" s="3" t="n"/>
      <c r="F144" s="11" t="n"/>
      <c r="G144" s="11" t="n"/>
      <c r="H144" s="11" t="n"/>
      <c r="I144" s="3" t="n"/>
      <c r="J144" s="7" t="n">
        <v>15</v>
      </c>
      <c r="K144" s="8">
        <f>IF(I144="","",I144*(1+J144/100))</f>
        <v/>
      </c>
      <c r="L144" s="3" t="n"/>
      <c r="M144" s="9">
        <f>IF(OR(L144="",K144="",L144=0),"",
  (L144-K144)/L144*100)</f>
        <v/>
      </c>
      <c r="N144" s="3" t="n"/>
      <c r="O144" s="11" t="n"/>
      <c r="P144" s="11" t="n"/>
      <c r="Q144" s="11" t="n"/>
      <c r="R144" s="11" t="n"/>
      <c r="S144" s="11" t="n"/>
    </row>
    <row r="145">
      <c r="A145" s="3" t="n"/>
      <c r="B145" s="4" t="n"/>
      <c r="C145" s="4" t="n"/>
      <c r="D145" s="4" t="n"/>
      <c r="E145" s="3" t="n"/>
      <c r="F145" s="4" t="n"/>
      <c r="G145" s="4" t="n"/>
      <c r="H145" s="4" t="n"/>
      <c r="I145" s="3" t="n"/>
      <c r="J145" s="7" t="n">
        <v>15</v>
      </c>
      <c r="K145" s="8">
        <f>IF(I145="","",I145*(1+J145/100))</f>
        <v/>
      </c>
      <c r="L145" s="3" t="n"/>
      <c r="M145" s="9">
        <f>IF(OR(L145="",K145="",L145=0),"",
  (L145-K145)/L145*100)</f>
        <v/>
      </c>
      <c r="N145" s="3" t="n"/>
      <c r="O145" s="4" t="n"/>
      <c r="P145" s="4" t="n"/>
      <c r="Q145" s="4" t="n"/>
      <c r="R145" s="4" t="n"/>
      <c r="S145" s="4" t="n"/>
    </row>
    <row r="146">
      <c r="A146" s="3" t="n"/>
      <c r="B146" s="11" t="n"/>
      <c r="C146" s="11" t="n"/>
      <c r="D146" s="11" t="n"/>
      <c r="E146" s="3" t="n"/>
      <c r="F146" s="11" t="n"/>
      <c r="G146" s="11" t="n"/>
      <c r="H146" s="11" t="n"/>
      <c r="I146" s="3" t="n"/>
      <c r="J146" s="7" t="n">
        <v>15</v>
      </c>
      <c r="K146" s="8">
        <f>IF(I146="","",I146*(1+J146/100))</f>
        <v/>
      </c>
      <c r="L146" s="3" t="n"/>
      <c r="M146" s="9">
        <f>IF(OR(L146="",K146="",L146=0),"",
  (L146-K146)/L146*100)</f>
        <v/>
      </c>
      <c r="N146" s="3" t="n"/>
      <c r="O146" s="11" t="n"/>
      <c r="P146" s="11" t="n"/>
      <c r="Q146" s="11" t="n"/>
      <c r="R146" s="11" t="n"/>
      <c r="S146" s="11" t="n"/>
    </row>
    <row r="147">
      <c r="A147" s="3" t="n"/>
      <c r="B147" s="4" t="n"/>
      <c r="C147" s="4" t="n"/>
      <c r="D147" s="4" t="n"/>
      <c r="E147" s="3" t="n"/>
      <c r="F147" s="4" t="n"/>
      <c r="G147" s="4" t="n"/>
      <c r="H147" s="4" t="n"/>
      <c r="I147" s="3" t="n"/>
      <c r="J147" s="7" t="n">
        <v>15</v>
      </c>
      <c r="K147" s="8">
        <f>IF(I147="","",I147*(1+J147/100))</f>
        <v/>
      </c>
      <c r="L147" s="3" t="n"/>
      <c r="M147" s="9">
        <f>IF(OR(L147="",K147="",L147=0),"",
  (L147-K147)/L147*100)</f>
        <v/>
      </c>
      <c r="N147" s="3" t="n"/>
      <c r="O147" s="4" t="n"/>
      <c r="P147" s="4" t="n"/>
      <c r="Q147" s="4" t="n"/>
      <c r="R147" s="4" t="n"/>
      <c r="S147" s="4" t="n"/>
    </row>
    <row r="148">
      <c r="A148" s="3" t="n"/>
      <c r="B148" s="11" t="n"/>
      <c r="C148" s="11" t="n"/>
      <c r="D148" s="11" t="n"/>
      <c r="E148" s="3" t="n"/>
      <c r="F148" s="11" t="n"/>
      <c r="G148" s="11" t="n"/>
      <c r="H148" s="11" t="n"/>
      <c r="I148" s="3" t="n"/>
      <c r="J148" s="7" t="n">
        <v>15</v>
      </c>
      <c r="K148" s="8">
        <f>IF(I148="","",I148*(1+J148/100))</f>
        <v/>
      </c>
      <c r="L148" s="3" t="n"/>
      <c r="M148" s="9">
        <f>IF(OR(L148="",K148="",L148=0),"",
  (L148-K148)/L148*100)</f>
        <v/>
      </c>
      <c r="N148" s="3" t="n"/>
      <c r="O148" s="11" t="n"/>
      <c r="P148" s="11" t="n"/>
      <c r="Q148" s="11" t="n"/>
      <c r="R148" s="11" t="n"/>
      <c r="S148" s="11" t="n"/>
    </row>
    <row r="149">
      <c r="A149" s="3" t="n"/>
      <c r="B149" s="4" t="n"/>
      <c r="C149" s="4" t="n"/>
      <c r="D149" s="4" t="n"/>
      <c r="E149" s="3" t="n"/>
      <c r="F149" s="4" t="n"/>
      <c r="G149" s="4" t="n"/>
      <c r="H149" s="4" t="n"/>
      <c r="I149" s="3" t="n"/>
      <c r="J149" s="7" t="n">
        <v>15</v>
      </c>
      <c r="K149" s="8">
        <f>IF(I149="","",I149*(1+J149/100))</f>
        <v/>
      </c>
      <c r="L149" s="3" t="n"/>
      <c r="M149" s="9">
        <f>IF(OR(L149="",K149="",L149=0),"",
  (L149-K149)/L149*100)</f>
        <v/>
      </c>
      <c r="N149" s="3" t="n"/>
      <c r="O149" s="4" t="n"/>
      <c r="P149" s="4" t="n"/>
      <c r="Q149" s="4" t="n"/>
      <c r="R149" s="4" t="n"/>
      <c r="S149" s="4" t="n"/>
    </row>
    <row r="150">
      <c r="A150" s="3" t="n"/>
      <c r="B150" s="11" t="n"/>
      <c r="C150" s="11" t="n"/>
      <c r="D150" s="11" t="n"/>
      <c r="E150" s="3" t="n"/>
      <c r="F150" s="11" t="n"/>
      <c r="G150" s="11" t="n"/>
      <c r="H150" s="11" t="n"/>
      <c r="I150" s="3" t="n"/>
      <c r="J150" s="7" t="n">
        <v>15</v>
      </c>
      <c r="K150" s="8">
        <f>IF(I150="","",I150*(1+J150/100))</f>
        <v/>
      </c>
      <c r="L150" s="3" t="n"/>
      <c r="M150" s="9">
        <f>IF(OR(L150="",K150="",L150=0),"",
  (L150-K150)/L150*100)</f>
        <v/>
      </c>
      <c r="N150" s="3" t="n"/>
      <c r="O150" s="11" t="n"/>
      <c r="P150" s="11" t="n"/>
      <c r="Q150" s="11" t="n"/>
      <c r="R150" s="11" t="n"/>
      <c r="S150" s="11" t="n"/>
    </row>
    <row r="151">
      <c r="A151" s="3" t="n"/>
      <c r="B151" s="4" t="n"/>
      <c r="C151" s="4" t="n"/>
      <c r="D151" s="4" t="n"/>
      <c r="E151" s="3" t="n"/>
      <c r="F151" s="4" t="n"/>
      <c r="G151" s="4" t="n"/>
      <c r="H151" s="4" t="n"/>
      <c r="I151" s="3" t="n"/>
      <c r="J151" s="7" t="n">
        <v>15</v>
      </c>
      <c r="K151" s="8">
        <f>IF(I151="","",I151*(1+J151/100))</f>
        <v/>
      </c>
      <c r="L151" s="3" t="n"/>
      <c r="M151" s="9">
        <f>IF(OR(L151="",K151="",L151=0),"",
  (L151-K151)/L151*100)</f>
        <v/>
      </c>
      <c r="N151" s="3" t="n"/>
      <c r="O151" s="4" t="n"/>
      <c r="P151" s="4" t="n"/>
      <c r="Q151" s="4" t="n"/>
      <c r="R151" s="4" t="n"/>
      <c r="S151" s="4" t="n"/>
    </row>
    <row r="152">
      <c r="A152" s="3" t="n"/>
      <c r="B152" s="11" t="n"/>
      <c r="C152" s="11" t="n"/>
      <c r="D152" s="11" t="n"/>
      <c r="E152" s="3" t="n"/>
      <c r="F152" s="11" t="n"/>
      <c r="G152" s="11" t="n"/>
      <c r="H152" s="11" t="n"/>
      <c r="I152" s="3" t="n"/>
      <c r="J152" s="7" t="n">
        <v>15</v>
      </c>
      <c r="K152" s="8">
        <f>IF(I152="","",I152*(1+J152/100))</f>
        <v/>
      </c>
      <c r="L152" s="3" t="n"/>
      <c r="M152" s="9">
        <f>IF(OR(L152="",K152="",L152=0),"",
  (L152-K152)/L152*100)</f>
        <v/>
      </c>
      <c r="N152" s="3" t="n"/>
      <c r="O152" s="11" t="n"/>
      <c r="P152" s="11" t="n"/>
      <c r="Q152" s="11" t="n"/>
      <c r="R152" s="11" t="n"/>
      <c r="S152" s="11" t="n"/>
    </row>
    <row r="153">
      <c r="A153" s="3" t="n"/>
      <c r="B153" s="4" t="n"/>
      <c r="C153" s="4" t="n"/>
      <c r="D153" s="4" t="n"/>
      <c r="E153" s="3" t="n"/>
      <c r="F153" s="4" t="n"/>
      <c r="G153" s="4" t="n"/>
      <c r="H153" s="4" t="n"/>
      <c r="I153" s="3" t="n"/>
      <c r="J153" s="7" t="n">
        <v>15</v>
      </c>
      <c r="K153" s="8">
        <f>IF(I153="","",I153*(1+J153/100))</f>
        <v/>
      </c>
      <c r="L153" s="3" t="n"/>
      <c r="M153" s="9">
        <f>IF(OR(L153="",K153="",L153=0),"",
  (L153-K153)/L153*100)</f>
        <v/>
      </c>
      <c r="N153" s="3" t="n"/>
      <c r="O153" s="4" t="n"/>
      <c r="P153" s="4" t="n"/>
      <c r="Q153" s="4" t="n"/>
      <c r="R153" s="4" t="n"/>
      <c r="S153" s="4" t="n"/>
    </row>
    <row r="154">
      <c r="A154" s="3" t="n"/>
      <c r="B154" s="11" t="n"/>
      <c r="C154" s="11" t="n"/>
      <c r="D154" s="11" t="n"/>
      <c r="E154" s="3" t="n"/>
      <c r="F154" s="11" t="n"/>
      <c r="G154" s="11" t="n"/>
      <c r="H154" s="11" t="n"/>
      <c r="I154" s="3" t="n"/>
      <c r="J154" s="7" t="n">
        <v>15</v>
      </c>
      <c r="K154" s="8">
        <f>IF(I154="","",I154*(1+J154/100))</f>
        <v/>
      </c>
      <c r="L154" s="3" t="n"/>
      <c r="M154" s="9">
        <f>IF(OR(L154="",K154="",L154=0),"",
  (L154-K154)/L154*100)</f>
        <v/>
      </c>
      <c r="N154" s="3" t="n"/>
      <c r="O154" s="11" t="n"/>
      <c r="P154" s="11" t="n"/>
      <c r="Q154" s="11" t="n"/>
      <c r="R154" s="11" t="n"/>
      <c r="S154" s="11" t="n"/>
    </row>
    <row r="155">
      <c r="A155" s="3" t="n"/>
      <c r="B155" s="4" t="n"/>
      <c r="C155" s="4" t="n"/>
      <c r="D155" s="4" t="n"/>
      <c r="E155" s="3" t="n"/>
      <c r="F155" s="4" t="n"/>
      <c r="G155" s="4" t="n"/>
      <c r="H155" s="4" t="n"/>
      <c r="I155" s="3" t="n"/>
      <c r="J155" s="7" t="n">
        <v>15</v>
      </c>
      <c r="K155" s="8">
        <f>IF(I155="","",I155*(1+J155/100))</f>
        <v/>
      </c>
      <c r="L155" s="3" t="n"/>
      <c r="M155" s="9">
        <f>IF(OR(L155="",K155="",L155=0),"",
  (L155-K155)/L155*100)</f>
        <v/>
      </c>
      <c r="N155" s="3" t="n"/>
      <c r="O155" s="4" t="n"/>
      <c r="P155" s="4" t="n"/>
      <c r="Q155" s="4" t="n"/>
      <c r="R155" s="4" t="n"/>
      <c r="S155" s="4" t="n"/>
    </row>
    <row r="156">
      <c r="A156" s="3" t="n"/>
      <c r="B156" s="11" t="n"/>
      <c r="C156" s="11" t="n"/>
      <c r="D156" s="11" t="n"/>
      <c r="E156" s="3" t="n"/>
      <c r="F156" s="11" t="n"/>
      <c r="G156" s="11" t="n"/>
      <c r="H156" s="11" t="n"/>
      <c r="I156" s="3" t="n"/>
      <c r="J156" s="7" t="n">
        <v>15</v>
      </c>
      <c r="K156" s="8">
        <f>IF(I156="","",I156*(1+J156/100))</f>
        <v/>
      </c>
      <c r="L156" s="3" t="n"/>
      <c r="M156" s="9">
        <f>IF(OR(L156="",K156="",L156=0),"",
  (L156-K156)/L156*100)</f>
        <v/>
      </c>
      <c r="N156" s="3" t="n"/>
      <c r="O156" s="11" t="n"/>
      <c r="P156" s="11" t="n"/>
      <c r="Q156" s="11" t="n"/>
      <c r="R156" s="11" t="n"/>
      <c r="S156" s="11" t="n"/>
    </row>
    <row r="157">
      <c r="A157" s="3" t="n"/>
      <c r="B157" s="4" t="n"/>
      <c r="C157" s="4" t="n"/>
      <c r="D157" s="4" t="n"/>
      <c r="E157" s="3" t="n"/>
      <c r="F157" s="4" t="n"/>
      <c r="G157" s="4" t="n"/>
      <c r="H157" s="4" t="n"/>
      <c r="I157" s="3" t="n"/>
      <c r="J157" s="7" t="n">
        <v>15</v>
      </c>
      <c r="K157" s="8">
        <f>IF(I157="","",I157*(1+J157/100))</f>
        <v/>
      </c>
      <c r="L157" s="3" t="n"/>
      <c r="M157" s="9">
        <f>IF(OR(L157="",K157="",L157=0),"",
  (L157-K157)/L157*100)</f>
        <v/>
      </c>
      <c r="N157" s="3" t="n"/>
      <c r="O157" s="4" t="n"/>
      <c r="P157" s="4" t="n"/>
      <c r="Q157" s="4" t="n"/>
      <c r="R157" s="4" t="n"/>
      <c r="S157" s="4" t="n"/>
    </row>
    <row r="158">
      <c r="A158" s="3" t="n"/>
      <c r="B158" s="11" t="n"/>
      <c r="C158" s="11" t="n"/>
      <c r="D158" s="11" t="n"/>
      <c r="E158" s="3" t="n"/>
      <c r="F158" s="11" t="n"/>
      <c r="G158" s="11" t="n"/>
      <c r="H158" s="11" t="n"/>
      <c r="I158" s="3" t="n"/>
      <c r="J158" s="7" t="n">
        <v>15</v>
      </c>
      <c r="K158" s="8">
        <f>IF(I158="","",I158*(1+J158/100))</f>
        <v/>
      </c>
      <c r="L158" s="3" t="n"/>
      <c r="M158" s="9">
        <f>IF(OR(L158="",K158="",L158=0),"",
  (L158-K158)/L158*100)</f>
        <v/>
      </c>
      <c r="N158" s="3" t="n"/>
      <c r="O158" s="11" t="n"/>
      <c r="P158" s="11" t="n"/>
      <c r="Q158" s="11" t="n"/>
      <c r="R158" s="11" t="n"/>
      <c r="S158" s="11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5" t="inlineStr">
        <is>
          <t>COLOUR KEY</t>
        </is>
      </c>
      <c r="B1" s="16" t="inlineStr"/>
    </row>
    <row r="2" ht="18" customHeight="1">
      <c r="A2" s="17" t="inlineStr">
        <is>
          <t>Orange background</t>
        </is>
      </c>
      <c r="B2" s="16" t="inlineStr">
        <is>
          <t>Required field — must be filled in</t>
        </is>
      </c>
    </row>
    <row r="3" ht="18" customHeight="1">
      <c r="A3" s="17" t="inlineStr">
        <is>
          <t>Yellow background</t>
        </is>
      </c>
      <c r="B3" s="16" t="inlineStr">
        <is>
          <t>Auto-calculated — do not edit manually</t>
        </is>
      </c>
    </row>
    <row r="4" ht="18" customHeight="1">
      <c r="A4" s="17" t="inlineStr">
        <is>
          <t>Blue tint rows</t>
        </is>
      </c>
      <c r="B4" s="16" t="inlineStr">
        <is>
          <t>Alternating row shading for readability</t>
        </is>
      </c>
    </row>
    <row r="5" ht="18" customHeight="1">
      <c r="A5" s="17" t="inlineStr"/>
      <c r="B5" s="16" t="inlineStr"/>
    </row>
    <row r="6" ht="18" customHeight="1">
      <c r="A6" s="15" t="inlineStr">
        <is>
          <t>COLUMN GUIDE</t>
        </is>
      </c>
      <c r="B6" s="16" t="inlineStr"/>
    </row>
    <row r="7" ht="18" customHeight="1">
      <c r="A7" s="17" t="inlineStr">
        <is>
          <t>Supplier SKU</t>
        </is>
      </c>
      <c r="B7" s="16" t="inlineStr">
        <is>
          <t>Supplier's own product code</t>
        </is>
      </c>
    </row>
    <row r="8" ht="18" customHeight="1">
      <c r="A8" s="17" t="inlineStr">
        <is>
          <t>WC SKU</t>
        </is>
      </c>
      <c r="B8" s="16" t="inlineStr">
        <is>
          <t>WooCommerce SKU (auto-matched)</t>
        </is>
      </c>
    </row>
    <row r="9" ht="18" customHeight="1">
      <c r="A9" s="17" t="inlineStr">
        <is>
          <t>WC ID</t>
        </is>
      </c>
      <c r="B9" s="16" t="inlineStr">
        <is>
          <t>WooCommerce product ID</t>
        </is>
      </c>
    </row>
    <row r="10" ht="18" customHeight="1">
      <c r="A10" s="17" t="inlineStr">
        <is>
          <t>Barcode / EAN</t>
        </is>
      </c>
      <c r="B10" s="16" t="inlineStr">
        <is>
          <t>EAN-13, UPC or internal barcode</t>
        </is>
      </c>
    </row>
    <row r="11" ht="18" customHeight="1">
      <c r="A11" s="17" t="inlineStr">
        <is>
          <t>Product Name</t>
        </is>
      </c>
      <c r="B11" s="16" t="inlineStr">
        <is>
          <t>Full product name as it appears on the store</t>
        </is>
      </c>
    </row>
    <row r="12" ht="18" customHeight="1">
      <c r="A12" s="17" t="inlineStr">
        <is>
          <t>Brand</t>
        </is>
      </c>
      <c r="B12" s="16" t="inlineStr">
        <is>
          <t>Brand / manufacturer</t>
        </is>
      </c>
    </row>
    <row r="13" ht="18" customHeight="1">
      <c r="A13" s="17" t="inlineStr">
        <is>
          <t>Category</t>
        </is>
      </c>
      <c r="B13" s="16" t="inlineStr">
        <is>
          <t>e.g. Homeware &gt; Kitchenware</t>
        </is>
      </c>
    </row>
    <row r="14" ht="18" customHeight="1">
      <c r="A14" s="17" t="inlineStr">
        <is>
          <t>Description</t>
        </is>
      </c>
      <c r="B14" s="16" t="inlineStr">
        <is>
          <t>Short product description</t>
        </is>
      </c>
    </row>
    <row r="15" ht="18" customHeight="1">
      <c r="A15" s="17" t="inlineStr">
        <is>
          <t>Cost Price (ex VAT)</t>
        </is>
      </c>
      <c r="B15" s="16" t="inlineStr">
        <is>
          <t>What you pay the supplier, before VAT (R)</t>
        </is>
      </c>
    </row>
    <row r="16" ht="18" customHeight="1">
      <c r="A16" s="17" t="inlineStr">
        <is>
          <t>VAT Rate %</t>
        </is>
      </c>
      <c r="B16" s="16" t="inlineStr">
        <is>
          <t>0 or 15 (auto-applied below)</t>
        </is>
      </c>
    </row>
    <row r="17" ht="18" customHeight="1">
      <c r="A17" s="17" t="inlineStr">
        <is>
          <t>Cost Price (incl VAT)</t>
        </is>
      </c>
      <c r="B17" s="16">
        <f>Cost*(1+VAT/100) — auto-calculated</f>
        <v/>
      </c>
    </row>
    <row r="18" ht="18" customHeight="1">
      <c r="A18" s="17" t="inlineStr">
        <is>
          <t>Selling Price (R)</t>
        </is>
      </c>
      <c r="B18" s="16" t="inlineStr">
        <is>
          <t>Your retail price including VAT</t>
        </is>
      </c>
    </row>
    <row r="19" ht="18" customHeight="1">
      <c r="A19" s="17" t="inlineStr">
        <is>
          <t>Margin %</t>
        </is>
      </c>
      <c r="B19" s="16">
        <f>(Selling-Cost_incl)/Selling*100 — auto</f>
        <v/>
      </c>
    </row>
    <row r="20" ht="18" customHeight="1">
      <c r="A20" s="17" t="inlineStr">
        <is>
          <t>Qty On Hand</t>
        </is>
      </c>
      <c r="B20" s="16" t="inlineStr">
        <is>
          <t>Current physical stock count</t>
        </is>
      </c>
    </row>
    <row r="21" ht="18" customHeight="1">
      <c r="A21" s="17" t="inlineStr">
        <is>
          <t>Reorder Level</t>
        </is>
      </c>
      <c r="B21" s="16" t="inlineStr">
        <is>
          <t>Alert when stock falls below this number</t>
        </is>
      </c>
    </row>
    <row r="22" ht="18" customHeight="1">
      <c r="A22" s="17" t="inlineStr">
        <is>
          <t>Location / Bay</t>
        </is>
      </c>
      <c r="B22" s="16" t="inlineStr">
        <is>
          <t>Shelf, bay or bin reference in store</t>
        </is>
      </c>
    </row>
    <row r="23" ht="18" customHeight="1">
      <c r="A23" s="17" t="inlineStr">
        <is>
          <t>Image URL</t>
        </is>
      </c>
      <c r="B23" s="16" t="inlineStr">
        <is>
          <t>Direct URL or Drive link to product image</t>
        </is>
      </c>
    </row>
    <row r="24" ht="18" customHeight="1">
      <c r="A24" s="17" t="inlineStr">
        <is>
          <t>Last Updated</t>
        </is>
      </c>
      <c r="B24" s="16" t="inlineStr">
        <is>
          <t>Date this row was last updated</t>
        </is>
      </c>
    </row>
    <row r="25" ht="18" customHeight="1">
      <c r="A25" s="17" t="inlineStr">
        <is>
          <t>Notes</t>
        </is>
      </c>
      <c r="B25" s="16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2026-03-12T15:32:11Z</dcterms:created>
  <dcterms:modified xmlns:dcterms="http://purl.org/dc/terms/" xmlns:xsi="http://www.w3.org/2001/XMLSchema-instance" xsi:type="dcterms:W3CDTF">2026-03-12T15:32:11Z</dcterms:modified>
</cp:coreProperties>
</file>